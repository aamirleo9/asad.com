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RY"/>
  <mc:AlternateContent xmlns:mc="http://schemas.openxmlformats.org/markup-compatibility/2006">
    <mc:Choice Requires="x15">
      <x15ac:absPath xmlns:x15ac="http://schemas.microsoft.com/office/spreadsheetml/2010/11/ac" url="D:\1. Circle Officer's Docs\2. Excel Useful Format\Top Calculator\"/>
    </mc:Choice>
  </mc:AlternateContent>
  <xr:revisionPtr revIDLastSave="0" documentId="13_ncr:1_{84BB2DCA-C24C-426A-A3B9-38D19F1933B2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Main Sheet" sheetId="8" r:id="rId1"/>
    <sheet name="K-M-S" sheetId="4" r:id="rId2"/>
    <sheet name="K-M" sheetId="5" r:id="rId3"/>
    <sheet name="K-M-Sarshai" sheetId="6" r:id="rId4"/>
    <sheet name="1over1" sheetId="7" r:id="rId5"/>
    <sheet name="Warashat" sheetId="3" r:id="rId6"/>
    <sheet name="Khastkar" sheetId="1" r:id="rId7"/>
  </sheets>
  <definedNames>
    <definedName name="_xlnm._FilterDatabase" localSheetId="1">'K-M-S'!$B$2:$G$1004</definedName>
    <definedName name="Option">'Main Sheet'!$B$47</definedName>
    <definedName name="Sr.">Warashat!#REF!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" i="3" l="1"/>
  <c r="H8" i="3"/>
  <c r="H6" i="3"/>
  <c r="R7" i="1" l="1"/>
  <c r="C10" i="1"/>
  <c r="C8" i="1"/>
  <c r="F10" i="1"/>
  <c r="E3" i="1"/>
  <c r="A10" i="7" l="1"/>
  <c r="IH15" i="7"/>
  <c r="IH11" i="7" s="1"/>
  <c r="IG15" i="7"/>
  <c r="IG11" i="7" s="1"/>
  <c r="IF15" i="7"/>
  <c r="IF11" i="7" s="1"/>
  <c r="IE15" i="7"/>
  <c r="IE11" i="7" s="1"/>
  <c r="ID15" i="7"/>
  <c r="ID11" i="7" s="1"/>
  <c r="IC15" i="7"/>
  <c r="IC11" i="7" s="1"/>
  <c r="IB15" i="7"/>
  <c r="IB11" i="7" s="1"/>
  <c r="IA15" i="7"/>
  <c r="IA11" i="7" s="1"/>
  <c r="HZ15" i="7"/>
  <c r="HZ11" i="7" s="1"/>
  <c r="HY15" i="7"/>
  <c r="HY11" i="7" s="1"/>
  <c r="HX15" i="7"/>
  <c r="HX11" i="7" s="1"/>
  <c r="HW15" i="7"/>
  <c r="HW11" i="7" s="1"/>
  <c r="HV15" i="7"/>
  <c r="HV11" i="7" s="1"/>
  <c r="HU15" i="7"/>
  <c r="HU11" i="7" s="1"/>
  <c r="HT15" i="7"/>
  <c r="HT11" i="7" s="1"/>
  <c r="HS15" i="7"/>
  <c r="HS11" i="7" s="1"/>
  <c r="HR15" i="7"/>
  <c r="HR11" i="7" s="1"/>
  <c r="HQ15" i="7"/>
  <c r="HQ11" i="7" s="1"/>
  <c r="HP15" i="7"/>
  <c r="HP11" i="7" s="1"/>
  <c r="HO15" i="7"/>
  <c r="HO11" i="7" s="1"/>
  <c r="HN15" i="7"/>
  <c r="HN11" i="7" s="1"/>
  <c r="HM15" i="7"/>
  <c r="HM11" i="7" s="1"/>
  <c r="HL15" i="7"/>
  <c r="HL11" i="7" s="1"/>
  <c r="HK15" i="7"/>
  <c r="HK11" i="7" s="1"/>
  <c r="HJ15" i="7"/>
  <c r="HJ11" i="7" s="1"/>
  <c r="HI15" i="7"/>
  <c r="HI11" i="7" s="1"/>
  <c r="HH15" i="7"/>
  <c r="HH11" i="7" s="1"/>
  <c r="HG15" i="7"/>
  <c r="HG11" i="7" s="1"/>
  <c r="HF15" i="7"/>
  <c r="HF11" i="7" s="1"/>
  <c r="HE15" i="7"/>
  <c r="HE11" i="7" s="1"/>
  <c r="HD15" i="7"/>
  <c r="HD11" i="7" s="1"/>
  <c r="HC15" i="7"/>
  <c r="HC11" i="7" s="1"/>
  <c r="HB15" i="7"/>
  <c r="HB11" i="7" s="1"/>
  <c r="HA15" i="7"/>
  <c r="HA11" i="7" s="1"/>
  <c r="GZ15" i="7"/>
  <c r="GZ11" i="7" s="1"/>
  <c r="GY15" i="7"/>
  <c r="GY11" i="7" s="1"/>
  <c r="GX15" i="7"/>
  <c r="GX11" i="7" s="1"/>
  <c r="GW15" i="7"/>
  <c r="GW11" i="7" s="1"/>
  <c r="GV15" i="7"/>
  <c r="GV11" i="7" s="1"/>
  <c r="GU15" i="7"/>
  <c r="GU11" i="7" s="1"/>
  <c r="GT15" i="7"/>
  <c r="GT11" i="7" s="1"/>
  <c r="GS15" i="7"/>
  <c r="GS11" i="7" s="1"/>
  <c r="GR15" i="7"/>
  <c r="GR11" i="7" s="1"/>
  <c r="GQ15" i="7"/>
  <c r="GQ11" i="7" s="1"/>
  <c r="GP15" i="7"/>
  <c r="GP11" i="7" s="1"/>
  <c r="GO15" i="7"/>
  <c r="GO11" i="7" s="1"/>
  <c r="GN15" i="7"/>
  <c r="GN11" i="7" s="1"/>
  <c r="GM15" i="7"/>
  <c r="GM11" i="7" s="1"/>
  <c r="GL15" i="7"/>
  <c r="GL11" i="7" s="1"/>
  <c r="GK15" i="7"/>
  <c r="GK11" i="7" s="1"/>
  <c r="GJ15" i="7"/>
  <c r="GJ11" i="7" s="1"/>
  <c r="GI15" i="7"/>
  <c r="GI11" i="7" s="1"/>
  <c r="GH15" i="7"/>
  <c r="GH11" i="7" s="1"/>
  <c r="GG15" i="7"/>
  <c r="GG11" i="7" s="1"/>
  <c r="GF15" i="7"/>
  <c r="GF11" i="7" s="1"/>
  <c r="GE15" i="7"/>
  <c r="GE11" i="7" s="1"/>
  <c r="GD15" i="7"/>
  <c r="GD11" i="7" s="1"/>
  <c r="GC15" i="7"/>
  <c r="GC11" i="7" s="1"/>
  <c r="GB15" i="7"/>
  <c r="GB11" i="7" s="1"/>
  <c r="GA15" i="7"/>
  <c r="GA11" i="7" s="1"/>
  <c r="FZ15" i="7"/>
  <c r="FZ11" i="7" s="1"/>
  <c r="FY15" i="7"/>
  <c r="FY11" i="7" s="1"/>
  <c r="FX15" i="7"/>
  <c r="FX11" i="7" s="1"/>
  <c r="FW15" i="7"/>
  <c r="FW11" i="7" s="1"/>
  <c r="FV15" i="7"/>
  <c r="FV11" i="7" s="1"/>
  <c r="FU15" i="7"/>
  <c r="FU11" i="7" s="1"/>
  <c r="FT15" i="7"/>
  <c r="FT11" i="7" s="1"/>
  <c r="FS15" i="7"/>
  <c r="FS11" i="7" s="1"/>
  <c r="FR15" i="7"/>
  <c r="FR11" i="7" s="1"/>
  <c r="FQ15" i="7"/>
  <c r="FQ11" i="7" s="1"/>
  <c r="FP15" i="7"/>
  <c r="FP11" i="7" s="1"/>
  <c r="FO15" i="7"/>
  <c r="FO11" i="7" s="1"/>
  <c r="FN15" i="7"/>
  <c r="FN11" i="7" s="1"/>
  <c r="FM15" i="7"/>
  <c r="FM11" i="7" s="1"/>
  <c r="FL15" i="7"/>
  <c r="FL11" i="7" s="1"/>
  <c r="FK15" i="7"/>
  <c r="FK11" i="7" s="1"/>
  <c r="FJ15" i="7"/>
  <c r="FJ11" i="7" s="1"/>
  <c r="FI15" i="7"/>
  <c r="FI11" i="7" s="1"/>
  <c r="FH15" i="7"/>
  <c r="FH11" i="7" s="1"/>
  <c r="FG15" i="7"/>
  <c r="FG11" i="7" s="1"/>
  <c r="FF15" i="7"/>
  <c r="FF11" i="7" s="1"/>
  <c r="FE15" i="7"/>
  <c r="FE11" i="7" s="1"/>
  <c r="FD15" i="7"/>
  <c r="FD11" i="7" s="1"/>
  <c r="FC15" i="7"/>
  <c r="FC11" i="7" s="1"/>
  <c r="FB15" i="7"/>
  <c r="FB11" i="7" s="1"/>
  <c r="FA15" i="7"/>
  <c r="FA11" i="7" s="1"/>
  <c r="EZ15" i="7"/>
  <c r="EZ11" i="7" s="1"/>
  <c r="EY15" i="7"/>
  <c r="EY11" i="7" s="1"/>
  <c r="EX15" i="7"/>
  <c r="EX11" i="7" s="1"/>
  <c r="EW15" i="7"/>
  <c r="EW11" i="7" s="1"/>
  <c r="EV15" i="7"/>
  <c r="EV11" i="7" s="1"/>
  <c r="EU15" i="7"/>
  <c r="EU11" i="7" s="1"/>
  <c r="ET15" i="7"/>
  <c r="ET11" i="7" s="1"/>
  <c r="ES15" i="7"/>
  <c r="ES11" i="7" s="1"/>
  <c r="ER15" i="7"/>
  <c r="ER11" i="7" s="1"/>
  <c r="EQ15" i="7"/>
  <c r="EQ11" i="7" s="1"/>
  <c r="EP15" i="7"/>
  <c r="EP11" i="7" s="1"/>
  <c r="EO15" i="7"/>
  <c r="EO11" i="7" s="1"/>
  <c r="EN15" i="7"/>
  <c r="EN11" i="7" s="1"/>
  <c r="EM15" i="7"/>
  <c r="EM11" i="7" s="1"/>
  <c r="EL15" i="7"/>
  <c r="EL11" i="7" s="1"/>
  <c r="EK15" i="7"/>
  <c r="EK11" i="7" s="1"/>
  <c r="EJ15" i="7"/>
  <c r="EJ11" i="7" s="1"/>
  <c r="EI15" i="7"/>
  <c r="EI11" i="7" s="1"/>
  <c r="EH15" i="7"/>
  <c r="EH11" i="7" s="1"/>
  <c r="EG15" i="7"/>
  <c r="EG11" i="7" s="1"/>
  <c r="EF15" i="7"/>
  <c r="EF11" i="7" s="1"/>
  <c r="EE15" i="7"/>
  <c r="EE11" i="7" s="1"/>
  <c r="ED15" i="7"/>
  <c r="ED11" i="7" s="1"/>
  <c r="EC15" i="7"/>
  <c r="EC11" i="7" s="1"/>
  <c r="EB15" i="7"/>
  <c r="EB11" i="7" s="1"/>
  <c r="EA15" i="7"/>
  <c r="EA11" i="7" s="1"/>
  <c r="DZ15" i="7"/>
  <c r="DZ11" i="7" s="1"/>
  <c r="DY15" i="7"/>
  <c r="DY11" i="7" s="1"/>
  <c r="DX15" i="7"/>
  <c r="DX11" i="7" s="1"/>
  <c r="DW15" i="7"/>
  <c r="DW11" i="7" s="1"/>
  <c r="DV15" i="7"/>
  <c r="DV11" i="7" s="1"/>
  <c r="DU15" i="7"/>
  <c r="DU11" i="7" s="1"/>
  <c r="DT15" i="7"/>
  <c r="DT11" i="7" s="1"/>
  <c r="DS15" i="7"/>
  <c r="DS11" i="7" s="1"/>
  <c r="DR15" i="7"/>
  <c r="DR11" i="7" s="1"/>
  <c r="DQ15" i="7"/>
  <c r="DQ11" i="7" s="1"/>
  <c r="DP15" i="7"/>
  <c r="DP11" i="7" s="1"/>
  <c r="DO15" i="7"/>
  <c r="DO11" i="7" s="1"/>
  <c r="DN15" i="7"/>
  <c r="DN11" i="7" s="1"/>
  <c r="DM15" i="7"/>
  <c r="DM11" i="7" s="1"/>
  <c r="DL15" i="7"/>
  <c r="DL11" i="7" s="1"/>
  <c r="DK15" i="7"/>
  <c r="DK11" i="7" s="1"/>
  <c r="DJ15" i="7"/>
  <c r="DJ11" i="7" s="1"/>
  <c r="DI15" i="7"/>
  <c r="DI11" i="7" s="1"/>
  <c r="DH15" i="7"/>
  <c r="DH11" i="7" s="1"/>
  <c r="DG15" i="7"/>
  <c r="DG11" i="7" s="1"/>
  <c r="DF15" i="7"/>
  <c r="DF11" i="7" s="1"/>
  <c r="DE15" i="7"/>
  <c r="DE11" i="7" s="1"/>
  <c r="DD15" i="7"/>
  <c r="DD11" i="7" s="1"/>
  <c r="DC15" i="7"/>
  <c r="DC11" i="7" s="1"/>
  <c r="DB15" i="7"/>
  <c r="DB11" i="7" s="1"/>
  <c r="DA15" i="7"/>
  <c r="DA11" i="7" s="1"/>
  <c r="CZ15" i="7"/>
  <c r="CZ11" i="7" s="1"/>
  <c r="CY15" i="7"/>
  <c r="CY11" i="7" s="1"/>
  <c r="CX15" i="7"/>
  <c r="CX11" i="7" s="1"/>
  <c r="CW15" i="7"/>
  <c r="CW11" i="7" s="1"/>
  <c r="CV15" i="7"/>
  <c r="CV11" i="7" s="1"/>
  <c r="CU15" i="7"/>
  <c r="CU11" i="7" s="1"/>
  <c r="CT15" i="7"/>
  <c r="CT11" i="7" s="1"/>
  <c r="CS15" i="7"/>
  <c r="CS11" i="7" s="1"/>
  <c r="CR15" i="7"/>
  <c r="CR11" i="7" s="1"/>
  <c r="CQ15" i="7"/>
  <c r="CQ11" i="7" s="1"/>
  <c r="CP15" i="7"/>
  <c r="CP11" i="7" s="1"/>
  <c r="CO15" i="7"/>
  <c r="CO11" i="7" s="1"/>
  <c r="CN15" i="7"/>
  <c r="CN11" i="7" s="1"/>
  <c r="CM15" i="7"/>
  <c r="CM11" i="7" s="1"/>
  <c r="CL15" i="7"/>
  <c r="CK15" i="7"/>
  <c r="CK11" i="7" s="1"/>
  <c r="CJ15" i="7"/>
  <c r="CI15" i="7"/>
  <c r="CI11" i="7" s="1"/>
  <c r="CH15" i="7"/>
  <c r="CG15" i="7"/>
  <c r="CG11" i="7" s="1"/>
  <c r="CF15" i="7"/>
  <c r="CE15" i="7"/>
  <c r="CE11" i="7" s="1"/>
  <c r="CD15" i="7"/>
  <c r="CD14" i="7" s="1"/>
  <c r="CC15" i="7"/>
  <c r="CC11" i="7" s="1"/>
  <c r="CB15" i="7"/>
  <c r="CB14" i="7" s="1"/>
  <c r="CA15" i="7"/>
  <c r="CA11" i="7" s="1"/>
  <c r="BZ15" i="7"/>
  <c r="BZ14" i="7" s="1"/>
  <c r="BY15" i="7"/>
  <c r="BY11" i="7" s="1"/>
  <c r="BX15" i="7"/>
  <c r="BX14" i="7" s="1"/>
  <c r="BW15" i="7"/>
  <c r="BW11" i="7" s="1"/>
  <c r="BV15" i="7"/>
  <c r="BV14" i="7" s="1"/>
  <c r="BU15" i="7"/>
  <c r="BU11" i="7" s="1"/>
  <c r="BT15" i="7"/>
  <c r="BT14" i="7" s="1"/>
  <c r="BS15" i="7"/>
  <c r="BS11" i="7" s="1"/>
  <c r="BR15" i="7"/>
  <c r="BR14" i="7" s="1"/>
  <c r="BQ15" i="7"/>
  <c r="BQ11" i="7" s="1"/>
  <c r="BP15" i="7"/>
  <c r="BP14" i="7" s="1"/>
  <c r="BO15" i="7"/>
  <c r="BO11" i="7" s="1"/>
  <c r="BN15" i="7"/>
  <c r="BN14" i="7" s="1"/>
  <c r="BM15" i="7"/>
  <c r="BM11" i="7" s="1"/>
  <c r="BL15" i="7"/>
  <c r="BL14" i="7" s="1"/>
  <c r="BK15" i="7"/>
  <c r="BK11" i="7" s="1"/>
  <c r="BJ15" i="7"/>
  <c r="BJ14" i="7" s="1"/>
  <c r="BI15" i="7"/>
  <c r="BI11" i="7" s="1"/>
  <c r="BH15" i="7"/>
  <c r="BH14" i="7" s="1"/>
  <c r="BG15" i="7"/>
  <c r="BG11" i="7" s="1"/>
  <c r="BF15" i="7"/>
  <c r="BF14" i="7" s="1"/>
  <c r="BE15" i="7"/>
  <c r="BE11" i="7" s="1"/>
  <c r="BD15" i="7"/>
  <c r="BD14" i="7" s="1"/>
  <c r="BC15" i="7"/>
  <c r="BC11" i="7" s="1"/>
  <c r="BB15" i="7"/>
  <c r="BB14" i="7" s="1"/>
  <c r="BA15" i="7"/>
  <c r="BA11" i="7" s="1"/>
  <c r="AZ15" i="7"/>
  <c r="AZ14" i="7" s="1"/>
  <c r="AY15" i="7"/>
  <c r="AY11" i="7" s="1"/>
  <c r="AX15" i="7"/>
  <c r="AX14" i="7" s="1"/>
  <c r="AW15" i="7"/>
  <c r="AW11" i="7" s="1"/>
  <c r="AV15" i="7"/>
  <c r="AV14" i="7" s="1"/>
  <c r="AU15" i="7"/>
  <c r="AU11" i="7" s="1"/>
  <c r="AT15" i="7"/>
  <c r="AT14" i="7" s="1"/>
  <c r="AS15" i="7"/>
  <c r="AS11" i="7" s="1"/>
  <c r="AR15" i="7"/>
  <c r="AR14" i="7" s="1"/>
  <c r="AQ15" i="7"/>
  <c r="AQ11" i="7" s="1"/>
  <c r="AP15" i="7"/>
  <c r="AP14" i="7" s="1"/>
  <c r="AO15" i="7"/>
  <c r="AO11" i="7" s="1"/>
  <c r="AN15" i="7"/>
  <c r="AN14" i="7" s="1"/>
  <c r="AM15" i="7"/>
  <c r="AM11" i="7" s="1"/>
  <c r="AL15" i="7"/>
  <c r="AL14" i="7" s="1"/>
  <c r="AK15" i="7"/>
  <c r="AK11" i="7" s="1"/>
  <c r="AJ15" i="7"/>
  <c r="AJ14" i="7" s="1"/>
  <c r="AI15" i="7"/>
  <c r="AI11" i="7" s="1"/>
  <c r="AH15" i="7"/>
  <c r="AH14" i="7" s="1"/>
  <c r="AG15" i="7"/>
  <c r="AG11" i="7" s="1"/>
  <c r="AF15" i="7"/>
  <c r="AF14" i="7" s="1"/>
  <c r="AE15" i="7"/>
  <c r="AE11" i="7" s="1"/>
  <c r="AD15" i="7"/>
  <c r="AD14" i="7" s="1"/>
  <c r="IG14" i="7"/>
  <c r="L3" i="7"/>
  <c r="M24" i="7"/>
  <c r="D13" i="7"/>
  <c r="K3" i="7"/>
  <c r="HY14" i="7" l="1"/>
  <c r="HY12" i="7" s="1"/>
  <c r="HY99" i="7" s="1"/>
  <c r="HY101" i="7" s="1"/>
  <c r="IC14" i="7"/>
  <c r="IC12" i="7" s="1"/>
  <c r="IC99" i="7" s="1"/>
  <c r="IC101" i="7" s="1"/>
  <c r="GO14" i="7"/>
  <c r="GO12" i="7" s="1"/>
  <c r="GO99" i="7" s="1"/>
  <c r="GO101" i="7" s="1"/>
  <c r="HA14" i="7"/>
  <c r="HA12" i="7" s="1"/>
  <c r="HA99" i="7" s="1"/>
  <c r="HA101" i="7" s="1"/>
  <c r="HI14" i="7"/>
  <c r="HI12" i="7" s="1"/>
  <c r="HI99" i="7" s="1"/>
  <c r="HI101" i="7" s="1"/>
  <c r="FM14" i="7"/>
  <c r="FM12" i="7" s="1"/>
  <c r="FM99" i="7" s="1"/>
  <c r="FM101" i="7" s="1"/>
  <c r="GC14" i="7"/>
  <c r="GC12" i="7" s="1"/>
  <c r="GC99" i="7" s="1"/>
  <c r="GC101" i="7" s="1"/>
  <c r="HM14" i="7"/>
  <c r="HM12" i="7" s="1"/>
  <c r="HM99" i="7" s="1"/>
  <c r="HM101" i="7" s="1"/>
  <c r="GS14" i="7"/>
  <c r="GS12" i="7" s="1"/>
  <c r="GS99" i="7" s="1"/>
  <c r="GS101" i="7" s="1"/>
  <c r="HQ14" i="7"/>
  <c r="HQ12" i="7" s="1"/>
  <c r="HQ99" i="7" s="1"/>
  <c r="HQ101" i="7" s="1"/>
  <c r="GK14" i="7"/>
  <c r="GK12" i="7" s="1"/>
  <c r="GK99" i="7" s="1"/>
  <c r="GK101" i="7" s="1"/>
  <c r="HE14" i="7"/>
  <c r="HE12" i="7" s="1"/>
  <c r="HE99" i="7" s="1"/>
  <c r="HE101" i="7" s="1"/>
  <c r="HU14" i="7"/>
  <c r="HU12" i="7" s="1"/>
  <c r="HU99" i="7" s="1"/>
  <c r="HU101" i="7" s="1"/>
  <c r="EA14" i="7"/>
  <c r="EA12" i="7" s="1"/>
  <c r="EA99" i="7" s="1"/>
  <c r="EA101" i="7" s="1"/>
  <c r="FW14" i="7"/>
  <c r="FW12" i="7" s="1"/>
  <c r="FW99" i="7" s="1"/>
  <c r="FW101" i="7" s="1"/>
  <c r="HO14" i="7"/>
  <c r="HO12" i="7" s="1"/>
  <c r="HO99" i="7" s="1"/>
  <c r="HO101" i="7" s="1"/>
  <c r="HW14" i="7"/>
  <c r="HW12" i="7" s="1"/>
  <c r="HW99" i="7" s="1"/>
  <c r="HW101" i="7" s="1"/>
  <c r="IE14" i="7"/>
  <c r="IE12" i="7" s="1"/>
  <c r="IE99" i="7" s="1"/>
  <c r="IE101" i="7" s="1"/>
  <c r="EU14" i="7"/>
  <c r="EU12" i="7" s="1"/>
  <c r="EU99" i="7" s="1"/>
  <c r="EU101" i="7" s="1"/>
  <c r="FK14" i="7"/>
  <c r="FK12" i="7" s="1"/>
  <c r="FK99" i="7" s="1"/>
  <c r="FK101" i="7" s="1"/>
  <c r="GG14" i="7"/>
  <c r="GG12" i="7" s="1"/>
  <c r="GG99" i="7" s="1"/>
  <c r="GG101" i="7" s="1"/>
  <c r="GW14" i="7"/>
  <c r="GW12" i="7" s="1"/>
  <c r="GW99" i="7" s="1"/>
  <c r="GW101" i="7" s="1"/>
  <c r="HK14" i="7"/>
  <c r="HK12" i="7" s="1"/>
  <c r="HK99" i="7" s="1"/>
  <c r="HK101" i="7" s="1"/>
  <c r="HS14" i="7"/>
  <c r="HS12" i="7" s="1"/>
  <c r="HS99" i="7" s="1"/>
  <c r="HS101" i="7" s="1"/>
  <c r="IA14" i="7"/>
  <c r="IG12" i="7"/>
  <c r="IG99" i="7" s="1"/>
  <c r="IG101" i="7" s="1"/>
  <c r="EE14" i="7"/>
  <c r="EY14" i="7"/>
  <c r="GA14" i="7"/>
  <c r="GI14" i="7"/>
  <c r="GQ14" i="7"/>
  <c r="GY14" i="7"/>
  <c r="GY12" i="7" s="1"/>
  <c r="HG14" i="7"/>
  <c r="DK14" i="7"/>
  <c r="EM14" i="7"/>
  <c r="FC14" i="7"/>
  <c r="FO14" i="7"/>
  <c r="FO12" i="7" s="1"/>
  <c r="DO14" i="7"/>
  <c r="DO12" i="7" s="1"/>
  <c r="EQ14" i="7"/>
  <c r="FG14" i="7"/>
  <c r="FS14" i="7"/>
  <c r="GE14" i="7"/>
  <c r="GE12" i="7" s="1"/>
  <c r="GM14" i="7"/>
  <c r="GU14" i="7"/>
  <c r="HC14" i="7"/>
  <c r="HC12" i="7" s="1"/>
  <c r="DW14" i="7"/>
  <c r="DS14" i="7"/>
  <c r="EI14" i="7"/>
  <c r="EW14" i="7"/>
  <c r="FU14" i="7"/>
  <c r="FQ14" i="7"/>
  <c r="FY14" i="7"/>
  <c r="EG14" i="7"/>
  <c r="FE14" i="7"/>
  <c r="DY14" i="7"/>
  <c r="DQ14" i="7"/>
  <c r="FA14" i="7"/>
  <c r="FI14" i="7"/>
  <c r="DI14" i="7"/>
  <c r="EO14" i="7"/>
  <c r="DM14" i="7"/>
  <c r="DU14" i="7"/>
  <c r="EC14" i="7"/>
  <c r="EK14" i="7"/>
  <c r="ES14" i="7"/>
  <c r="AD11" i="7"/>
  <c r="AF11" i="7"/>
  <c r="AH11" i="7"/>
  <c r="AJ11" i="7"/>
  <c r="AL11" i="7"/>
  <c r="AN11" i="7"/>
  <c r="AP11" i="7"/>
  <c r="AR11" i="7"/>
  <c r="AT11" i="7"/>
  <c r="AV11" i="7"/>
  <c r="AX11" i="7"/>
  <c r="AZ11" i="7"/>
  <c r="BB11" i="7"/>
  <c r="BD11" i="7"/>
  <c r="BF11" i="7"/>
  <c r="BH11" i="7"/>
  <c r="BJ11" i="7"/>
  <c r="BL11" i="7"/>
  <c r="BN11" i="7"/>
  <c r="BP11" i="7"/>
  <c r="BR11" i="7"/>
  <c r="BT11" i="7"/>
  <c r="BX11" i="7"/>
  <c r="CB11" i="7"/>
  <c r="CF14" i="7"/>
  <c r="CF11" i="7"/>
  <c r="CH14" i="7"/>
  <c r="CH11" i="7"/>
  <c r="CJ14" i="7"/>
  <c r="CJ11" i="7"/>
  <c r="CL14" i="7"/>
  <c r="CL11" i="7"/>
  <c r="BV11" i="7"/>
  <c r="BV12" i="7" s="1"/>
  <c r="BZ11" i="7"/>
  <c r="BZ12" i="7" s="1"/>
  <c r="CD11" i="7"/>
  <c r="CD12" i="7" s="1"/>
  <c r="CG14" i="7"/>
  <c r="CW14" i="7"/>
  <c r="CO14" i="7"/>
  <c r="DE14" i="7"/>
  <c r="CK14" i="7"/>
  <c r="CS14" i="7"/>
  <c r="DA14" i="7"/>
  <c r="DG14" i="7"/>
  <c r="BA14" i="7"/>
  <c r="AK14" i="7"/>
  <c r="BQ14" i="7"/>
  <c r="AS14" i="7"/>
  <c r="BI14" i="7"/>
  <c r="BY14" i="7"/>
  <c r="AG14" i="7"/>
  <c r="AO14" i="7"/>
  <c r="AW14" i="7"/>
  <c r="BE14" i="7"/>
  <c r="BM14" i="7"/>
  <c r="BU14" i="7"/>
  <c r="CC14" i="7"/>
  <c r="AE14" i="7"/>
  <c r="AI14" i="7"/>
  <c r="AM14" i="7"/>
  <c r="AQ14" i="7"/>
  <c r="AU14" i="7"/>
  <c r="AY14" i="7"/>
  <c r="BC14" i="7"/>
  <c r="BG14" i="7"/>
  <c r="BK14" i="7"/>
  <c r="BO14" i="7"/>
  <c r="BS14" i="7"/>
  <c r="BW14" i="7"/>
  <c r="CA14" i="7"/>
  <c r="CE14" i="7"/>
  <c r="CI14" i="7"/>
  <c r="CM14" i="7"/>
  <c r="CQ14" i="7"/>
  <c r="CU14" i="7"/>
  <c r="CY14" i="7"/>
  <c r="DC14" i="7"/>
  <c r="CN14" i="7"/>
  <c r="CP14" i="7"/>
  <c r="CR14" i="7"/>
  <c r="CT14" i="7"/>
  <c r="CV14" i="7"/>
  <c r="CX14" i="7"/>
  <c r="CZ14" i="7"/>
  <c r="DB14" i="7"/>
  <c r="DD14" i="7"/>
  <c r="DF14" i="7"/>
  <c r="DH14" i="7"/>
  <c r="DJ14" i="7"/>
  <c r="DL14" i="7"/>
  <c r="DN14" i="7"/>
  <c r="DP14" i="7"/>
  <c r="DR14" i="7"/>
  <c r="DT14" i="7"/>
  <c r="DV14" i="7"/>
  <c r="DX14" i="7"/>
  <c r="DZ14" i="7"/>
  <c r="EB14" i="7"/>
  <c r="ED14" i="7"/>
  <c r="EF14" i="7"/>
  <c r="EH14" i="7"/>
  <c r="EJ14" i="7"/>
  <c r="EL14" i="7"/>
  <c r="EN14" i="7"/>
  <c r="EP14" i="7"/>
  <c r="ER14" i="7"/>
  <c r="ET14" i="7"/>
  <c r="EV14" i="7"/>
  <c r="EX14" i="7"/>
  <c r="EZ14" i="7"/>
  <c r="FB14" i="7"/>
  <c r="FD14" i="7"/>
  <c r="FF14" i="7"/>
  <c r="FH14" i="7"/>
  <c r="FJ14" i="7"/>
  <c r="FL14" i="7"/>
  <c r="FN14" i="7"/>
  <c r="FP14" i="7"/>
  <c r="FR14" i="7"/>
  <c r="FT14" i="7"/>
  <c r="FV14" i="7"/>
  <c r="FX14" i="7"/>
  <c r="FZ14" i="7"/>
  <c r="GB14" i="7"/>
  <c r="GD14" i="7"/>
  <c r="GF14" i="7"/>
  <c r="GH14" i="7"/>
  <c r="GJ14" i="7"/>
  <c r="GL14" i="7"/>
  <c r="GN14" i="7"/>
  <c r="GP14" i="7"/>
  <c r="GR14" i="7"/>
  <c r="GT14" i="7"/>
  <c r="GV14" i="7"/>
  <c r="GX14" i="7"/>
  <c r="GZ14" i="7"/>
  <c r="HB14" i="7"/>
  <c r="HD14" i="7"/>
  <c r="HF14" i="7"/>
  <c r="HH14" i="7"/>
  <c r="HJ14" i="7"/>
  <c r="HL14" i="7"/>
  <c r="HN14" i="7"/>
  <c r="HP14" i="7"/>
  <c r="HR14" i="7"/>
  <c r="HT14" i="7"/>
  <c r="HV14" i="7"/>
  <c r="HX14" i="7"/>
  <c r="HZ14" i="7"/>
  <c r="IB14" i="7"/>
  <c r="ID14" i="7"/>
  <c r="IF14" i="7"/>
  <c r="IH14" i="7"/>
  <c r="AD12" i="7"/>
  <c r="AF12" i="7"/>
  <c r="AH12" i="7"/>
  <c r="AJ12" i="7"/>
  <c r="AL12" i="7"/>
  <c r="AL99" i="7" s="1"/>
  <c r="AL101" i="7" s="1"/>
  <c r="AN12" i="7"/>
  <c r="AP12" i="7"/>
  <c r="AR12" i="7"/>
  <c r="AT12" i="7"/>
  <c r="AV12" i="7"/>
  <c r="AV99" i="7" s="1"/>
  <c r="AV101" i="7" s="1"/>
  <c r="AX12" i="7"/>
  <c r="AZ12" i="7"/>
  <c r="BB12" i="7"/>
  <c r="BB99" i="7" s="1"/>
  <c r="BB101" i="7" s="1"/>
  <c r="BD12" i="7"/>
  <c r="BF12" i="7"/>
  <c r="BH12" i="7"/>
  <c r="BJ12" i="7"/>
  <c r="BL12" i="7"/>
  <c r="BN12" i="7"/>
  <c r="BP12" i="7"/>
  <c r="BR12" i="7"/>
  <c r="BR99" i="7" s="1"/>
  <c r="BR101" i="7" s="1"/>
  <c r="BT12" i="7"/>
  <c r="BX12" i="7"/>
  <c r="CB12" i="7"/>
  <c r="DK12" i="7"/>
  <c r="IH38" i="7"/>
  <c r="IG38" i="7"/>
  <c r="IF38" i="7"/>
  <c r="IE38" i="7"/>
  <c r="ID38" i="7"/>
  <c r="IC38" i="7"/>
  <c r="IB38" i="7"/>
  <c r="IA38" i="7"/>
  <c r="HZ38" i="7"/>
  <c r="HY38" i="7"/>
  <c r="HX38" i="7"/>
  <c r="HW38" i="7"/>
  <c r="HV38" i="7"/>
  <c r="HU38" i="7"/>
  <c r="HT38" i="7"/>
  <c r="HS38" i="7"/>
  <c r="HR38" i="7"/>
  <c r="HQ38" i="7"/>
  <c r="HP38" i="7"/>
  <c r="HO38" i="7"/>
  <c r="HN38" i="7"/>
  <c r="HM38" i="7"/>
  <c r="HL38" i="7"/>
  <c r="HK38" i="7"/>
  <c r="HJ38" i="7"/>
  <c r="HI38" i="7"/>
  <c r="HH38" i="7"/>
  <c r="HG38" i="7"/>
  <c r="HF38" i="7"/>
  <c r="HE38" i="7"/>
  <c r="HD38" i="7"/>
  <c r="HC38" i="7"/>
  <c r="HB38" i="7"/>
  <c r="HA38" i="7"/>
  <c r="GZ38" i="7"/>
  <c r="GY38" i="7"/>
  <c r="GX38" i="7"/>
  <c r="GW38" i="7"/>
  <c r="GV38" i="7"/>
  <c r="GU38" i="7"/>
  <c r="GT38" i="7"/>
  <c r="GS38" i="7"/>
  <c r="GR38" i="7"/>
  <c r="GQ38" i="7"/>
  <c r="GP38" i="7"/>
  <c r="GO38" i="7"/>
  <c r="GN38" i="7"/>
  <c r="GM38" i="7"/>
  <c r="GL38" i="7"/>
  <c r="GK38" i="7"/>
  <c r="GJ38" i="7"/>
  <c r="GI38" i="7"/>
  <c r="GH38" i="7"/>
  <c r="GG38" i="7"/>
  <c r="GF38" i="7"/>
  <c r="GE38" i="7"/>
  <c r="GD38" i="7"/>
  <c r="GC38" i="7"/>
  <c r="GB38" i="7"/>
  <c r="GA38" i="7"/>
  <c r="FZ38" i="7"/>
  <c r="FY38" i="7"/>
  <c r="FX38" i="7"/>
  <c r="FW38" i="7"/>
  <c r="FV38" i="7"/>
  <c r="FU38" i="7"/>
  <c r="FT38" i="7"/>
  <c r="FS38" i="7"/>
  <c r="FR38" i="7"/>
  <c r="FQ38" i="7"/>
  <c r="FP38" i="7"/>
  <c r="FO38" i="7"/>
  <c r="FN38" i="7"/>
  <c r="FM38" i="7"/>
  <c r="FL38" i="7"/>
  <c r="FK38" i="7"/>
  <c r="FJ38" i="7"/>
  <c r="FI38" i="7"/>
  <c r="FH38" i="7"/>
  <c r="FG38" i="7"/>
  <c r="FF38" i="7"/>
  <c r="FE38" i="7"/>
  <c r="FD38" i="7"/>
  <c r="FC38" i="7"/>
  <c r="FB38" i="7"/>
  <c r="FA38" i="7"/>
  <c r="EZ38" i="7"/>
  <c r="EY38" i="7"/>
  <c r="EX38" i="7"/>
  <c r="EW38" i="7"/>
  <c r="EV38" i="7"/>
  <c r="EU38" i="7"/>
  <c r="ET38" i="7"/>
  <c r="ES38" i="7"/>
  <c r="ER38" i="7"/>
  <c r="EQ38" i="7"/>
  <c r="EP38" i="7"/>
  <c r="EO38" i="7"/>
  <c r="EN38" i="7"/>
  <c r="EM38" i="7"/>
  <c r="EL38" i="7"/>
  <c r="EK38" i="7"/>
  <c r="EJ38" i="7"/>
  <c r="EI38" i="7"/>
  <c r="EH38" i="7"/>
  <c r="EG38" i="7"/>
  <c r="EF38" i="7"/>
  <c r="EE38" i="7"/>
  <c r="ED38" i="7"/>
  <c r="EC38" i="7"/>
  <c r="EB38" i="7"/>
  <c r="EA38" i="7"/>
  <c r="DZ38" i="7"/>
  <c r="DY38" i="7"/>
  <c r="DX38" i="7"/>
  <c r="DW38" i="7"/>
  <c r="DV38" i="7"/>
  <c r="DU38" i="7"/>
  <c r="DT38" i="7"/>
  <c r="DS38" i="7"/>
  <c r="DR38" i="7"/>
  <c r="DQ38" i="7"/>
  <c r="DP38" i="7"/>
  <c r="DO38" i="7"/>
  <c r="DN38" i="7"/>
  <c r="DM38" i="7"/>
  <c r="DL38" i="7"/>
  <c r="DK38" i="7"/>
  <c r="DJ38" i="7"/>
  <c r="DI38" i="7"/>
  <c r="DH38" i="7"/>
  <c r="DG38" i="7"/>
  <c r="DF38" i="7"/>
  <c r="DE38" i="7"/>
  <c r="DD38" i="7"/>
  <c r="DC38" i="7"/>
  <c r="DB38" i="7"/>
  <c r="DA38" i="7"/>
  <c r="CZ38" i="7"/>
  <c r="CY38" i="7"/>
  <c r="CX38" i="7"/>
  <c r="CW38" i="7"/>
  <c r="CV38" i="7"/>
  <c r="CU38" i="7"/>
  <c r="CT38" i="7"/>
  <c r="CS38" i="7"/>
  <c r="CR38" i="7"/>
  <c r="CQ38" i="7"/>
  <c r="CP38" i="7"/>
  <c r="CO38" i="7"/>
  <c r="CN38" i="7"/>
  <c r="CM38" i="7"/>
  <c r="CL38" i="7"/>
  <c r="CK38" i="7"/>
  <c r="CJ38" i="7"/>
  <c r="CI38" i="7"/>
  <c r="CH38" i="7"/>
  <c r="CG38" i="7"/>
  <c r="CF38" i="7"/>
  <c r="CE38" i="7"/>
  <c r="CD38" i="7"/>
  <c r="CC38" i="7"/>
  <c r="CB38" i="7"/>
  <c r="CA38" i="7"/>
  <c r="BZ38" i="7"/>
  <c r="BY38" i="7"/>
  <c r="BX38" i="7"/>
  <c r="BW38" i="7"/>
  <c r="BV38" i="7"/>
  <c r="BU38" i="7"/>
  <c r="BT38" i="7"/>
  <c r="BS38" i="7"/>
  <c r="BR38" i="7"/>
  <c r="BQ38" i="7"/>
  <c r="BP38" i="7"/>
  <c r="BO38" i="7"/>
  <c r="BN38" i="7"/>
  <c r="BM38" i="7"/>
  <c r="BL38" i="7"/>
  <c r="BK38" i="7"/>
  <c r="BJ38" i="7"/>
  <c r="BI38" i="7"/>
  <c r="BH38" i="7"/>
  <c r="BG38" i="7"/>
  <c r="BF38" i="7"/>
  <c r="BE38" i="7"/>
  <c r="BD38" i="7"/>
  <c r="BC38" i="7"/>
  <c r="BB38" i="7"/>
  <c r="BA38" i="7"/>
  <c r="AZ38" i="7"/>
  <c r="AY38" i="7"/>
  <c r="AX38" i="7"/>
  <c r="AW38" i="7"/>
  <c r="AV38" i="7"/>
  <c r="AU38" i="7"/>
  <c r="AT38" i="7"/>
  <c r="AS38" i="7"/>
  <c r="AR38" i="7"/>
  <c r="AQ38" i="7"/>
  <c r="AP38" i="7"/>
  <c r="AO38" i="7"/>
  <c r="AN38" i="7"/>
  <c r="AM38" i="7"/>
  <c r="AL38" i="7"/>
  <c r="AK38" i="7"/>
  <c r="AJ38" i="7"/>
  <c r="AI38" i="7"/>
  <c r="AH38" i="7"/>
  <c r="AG38" i="7"/>
  <c r="AF38" i="7"/>
  <c r="AE38" i="7"/>
  <c r="AD38" i="7"/>
  <c r="H21" i="7"/>
  <c r="BT99" i="7" l="1"/>
  <c r="BT101" i="7" s="1"/>
  <c r="BL99" i="7"/>
  <c r="BL101" i="7" s="1"/>
  <c r="AN99" i="7"/>
  <c r="AN101" i="7" s="1"/>
  <c r="BX99" i="7"/>
  <c r="BX101" i="7" s="1"/>
  <c r="BF99" i="7"/>
  <c r="BF101" i="7" s="1"/>
  <c r="AP99" i="7"/>
  <c r="AP101" i="7" s="1"/>
  <c r="AF99" i="7"/>
  <c r="AF101" i="7" s="1"/>
  <c r="BV99" i="7"/>
  <c r="BV101" i="7" s="1"/>
  <c r="BN99" i="7"/>
  <c r="BN101" i="7" s="1"/>
  <c r="AX99" i="7"/>
  <c r="AX101" i="7" s="1"/>
  <c r="AH99" i="7"/>
  <c r="AH101" i="7" s="1"/>
  <c r="IA12" i="7"/>
  <c r="IA99" i="7" s="1"/>
  <c r="IA101" i="7" s="1"/>
  <c r="BD99" i="7"/>
  <c r="BD101" i="7" s="1"/>
  <c r="BJ99" i="7"/>
  <c r="BJ101" i="7" s="1"/>
  <c r="AT99" i="7"/>
  <c r="AT101" i="7" s="1"/>
  <c r="AD99" i="7"/>
  <c r="AD101" i="7" s="1"/>
  <c r="CB99" i="7"/>
  <c r="CB101" i="7" s="1"/>
  <c r="BP99" i="7"/>
  <c r="BP101" i="7" s="1"/>
  <c r="BH99" i="7"/>
  <c r="BH101" i="7" s="1"/>
  <c r="AZ99" i="7"/>
  <c r="AZ101" i="7" s="1"/>
  <c r="AR99" i="7"/>
  <c r="AR101" i="7" s="1"/>
  <c r="AJ99" i="7"/>
  <c r="AJ101" i="7" s="1"/>
  <c r="DC12" i="7"/>
  <c r="DC99" i="7" s="1"/>
  <c r="DC101" i="7" s="1"/>
  <c r="BW12" i="7"/>
  <c r="BW99" i="7" s="1"/>
  <c r="BW101" i="7" s="1"/>
  <c r="AQ12" i="7"/>
  <c r="AQ99" i="7" s="1"/>
  <c r="AQ101" i="7" s="1"/>
  <c r="AW12" i="7"/>
  <c r="AW99" i="7" s="1"/>
  <c r="AW101" i="7" s="1"/>
  <c r="BA12" i="7"/>
  <c r="BA99" i="7" s="1"/>
  <c r="BA101" i="7" s="1"/>
  <c r="CG12" i="7"/>
  <c r="CG99" i="7" s="1"/>
  <c r="CG101" i="7" s="1"/>
  <c r="ES12" i="7"/>
  <c r="ES99" i="7" s="1"/>
  <c r="ES101" i="7" s="1"/>
  <c r="FA12" i="7"/>
  <c r="FA99" i="7" s="1"/>
  <c r="FA101" i="7" s="1"/>
  <c r="HC99" i="7"/>
  <c r="HC101" i="7" s="1"/>
  <c r="FS12" i="7"/>
  <c r="FS99" i="7" s="1"/>
  <c r="FS101" i="7" s="1"/>
  <c r="CY12" i="7"/>
  <c r="CY99" i="7" s="1"/>
  <c r="CY101" i="7" s="1"/>
  <c r="BS12" i="7"/>
  <c r="BS99" i="7" s="1"/>
  <c r="BS101" i="7" s="1"/>
  <c r="AO12" i="7"/>
  <c r="AO99" i="7" s="1"/>
  <c r="AO101" i="7" s="1"/>
  <c r="DG12" i="7"/>
  <c r="DG99" i="7" s="1"/>
  <c r="DG101" i="7" s="1"/>
  <c r="EK12" i="7"/>
  <c r="EK99" i="7" s="1"/>
  <c r="EK101" i="7" s="1"/>
  <c r="DQ12" i="7"/>
  <c r="DQ99" i="7" s="1"/>
  <c r="DQ101" i="7" s="1"/>
  <c r="FY12" i="7"/>
  <c r="FY99" i="7" s="1"/>
  <c r="FY101" i="7" s="1"/>
  <c r="EI12" i="7"/>
  <c r="EI99" i="7" s="1"/>
  <c r="EI101" i="7" s="1"/>
  <c r="GU12" i="7"/>
  <c r="GU99" i="7" s="1"/>
  <c r="GU101" i="7" s="1"/>
  <c r="FG12" i="7"/>
  <c r="FG99" i="7" s="1"/>
  <c r="FG101" i="7" s="1"/>
  <c r="EY12" i="7"/>
  <c r="EY99" i="7" s="1"/>
  <c r="EY101" i="7" s="1"/>
  <c r="CU12" i="7"/>
  <c r="CU99" i="7" s="1"/>
  <c r="CU101" i="7" s="1"/>
  <c r="CE12" i="7"/>
  <c r="CE99" i="7" s="1"/>
  <c r="CE101" i="7" s="1"/>
  <c r="BO12" i="7"/>
  <c r="BO99" i="7" s="1"/>
  <c r="BO101" i="7" s="1"/>
  <c r="AY12" i="7"/>
  <c r="AY99" i="7" s="1"/>
  <c r="AY101" i="7" s="1"/>
  <c r="AI12" i="7"/>
  <c r="AI99" i="7" s="1"/>
  <c r="AI101" i="7" s="1"/>
  <c r="BM12" i="7"/>
  <c r="BM99" i="7" s="1"/>
  <c r="BM101" i="7" s="1"/>
  <c r="AG12" i="7"/>
  <c r="AG99" i="7" s="1"/>
  <c r="AG101" i="7" s="1"/>
  <c r="BQ12" i="7"/>
  <c r="BQ99" i="7" s="1"/>
  <c r="BQ101" i="7" s="1"/>
  <c r="DA12" i="7"/>
  <c r="DA99" i="7" s="1"/>
  <c r="DA101" i="7" s="1"/>
  <c r="CO12" i="7"/>
  <c r="CO99" i="7" s="1"/>
  <c r="CO101" i="7" s="1"/>
  <c r="EC12" i="7"/>
  <c r="EC99" i="7" s="1"/>
  <c r="EC101" i="7" s="1"/>
  <c r="DI12" i="7"/>
  <c r="DI99" i="7" s="1"/>
  <c r="DI101" i="7" s="1"/>
  <c r="DY12" i="7"/>
  <c r="DY99" i="7" s="1"/>
  <c r="DY101" i="7" s="1"/>
  <c r="FQ12" i="7"/>
  <c r="FQ99" i="7" s="1"/>
  <c r="FQ101" i="7" s="1"/>
  <c r="DS12" i="7"/>
  <c r="DS99" i="7" s="1"/>
  <c r="DS101" i="7" s="1"/>
  <c r="GM12" i="7"/>
  <c r="GM99" i="7" s="1"/>
  <c r="GM101" i="7" s="1"/>
  <c r="EQ12" i="7"/>
  <c r="EQ99" i="7" s="1"/>
  <c r="EQ101" i="7" s="1"/>
  <c r="EM12" i="7"/>
  <c r="EM99" i="7" s="1"/>
  <c r="EM101" i="7" s="1"/>
  <c r="GQ12" i="7"/>
  <c r="GQ99" i="7" s="1"/>
  <c r="GQ101" i="7" s="1"/>
  <c r="EE12" i="7"/>
  <c r="EE99" i="7" s="1"/>
  <c r="EE101" i="7" s="1"/>
  <c r="CD99" i="7"/>
  <c r="CD101" i="7" s="1"/>
  <c r="CM12" i="7"/>
  <c r="CM99" i="7" s="1"/>
  <c r="CM101" i="7" s="1"/>
  <c r="BG12" i="7"/>
  <c r="BG99" i="7" s="1"/>
  <c r="BG101" i="7" s="1"/>
  <c r="CC12" i="7"/>
  <c r="CC99" i="7" s="1"/>
  <c r="CC101" i="7" s="1"/>
  <c r="BI12" i="7"/>
  <c r="BI99" i="7" s="1"/>
  <c r="BI101" i="7" s="1"/>
  <c r="CK12" i="7"/>
  <c r="CK99" i="7" s="1"/>
  <c r="CK101" i="7" s="1"/>
  <c r="DM12" i="7"/>
  <c r="DM99" i="7" s="1"/>
  <c r="DM101" i="7" s="1"/>
  <c r="EG12" i="7"/>
  <c r="EG99" i="7" s="1"/>
  <c r="EG101" i="7" s="1"/>
  <c r="EW12" i="7"/>
  <c r="EW99" i="7" s="1"/>
  <c r="EW101" i="7" s="1"/>
  <c r="FO99" i="7"/>
  <c r="FO101" i="7" s="1"/>
  <c r="HG12" i="7"/>
  <c r="HG99" i="7" s="1"/>
  <c r="HG101" i="7" s="1"/>
  <c r="CI12" i="7"/>
  <c r="CI99" i="7" s="1"/>
  <c r="CI101" i="7" s="1"/>
  <c r="BU12" i="7"/>
  <c r="BU99" i="7" s="1"/>
  <c r="BU101" i="7" s="1"/>
  <c r="AS12" i="7"/>
  <c r="AS99" i="7" s="1"/>
  <c r="AS101" i="7" s="1"/>
  <c r="DE12" i="7"/>
  <c r="DE99" i="7" s="1"/>
  <c r="DE101" i="7" s="1"/>
  <c r="EO12" i="7"/>
  <c r="EO99" i="7" s="1"/>
  <c r="EO101" i="7" s="1"/>
  <c r="GY99" i="7"/>
  <c r="GY101" i="7" s="1"/>
  <c r="GA12" i="7"/>
  <c r="GA99" i="7" s="1"/>
  <c r="GA101" i="7" s="1"/>
  <c r="FC12" i="7"/>
  <c r="FC99" i="7" s="1"/>
  <c r="FC101" i="7" s="1"/>
  <c r="CQ12" i="7"/>
  <c r="CQ99" i="7" s="1"/>
  <c r="CQ101" i="7" s="1"/>
  <c r="CA12" i="7"/>
  <c r="CA99" i="7" s="1"/>
  <c r="CA101" i="7" s="1"/>
  <c r="BK12" i="7"/>
  <c r="BK99" i="7" s="1"/>
  <c r="BK101" i="7" s="1"/>
  <c r="BE12" i="7"/>
  <c r="BE99" i="7" s="1"/>
  <c r="BE101" i="7" s="1"/>
  <c r="BY12" i="7"/>
  <c r="BY99" i="7" s="1"/>
  <c r="BY101" i="7" s="1"/>
  <c r="AK12" i="7"/>
  <c r="AK99" i="7" s="1"/>
  <c r="AK101" i="7" s="1"/>
  <c r="CS12" i="7"/>
  <c r="CS99" i="7" s="1"/>
  <c r="CS101" i="7" s="1"/>
  <c r="CW12" i="7"/>
  <c r="CW99" i="7" s="1"/>
  <c r="CW101" i="7" s="1"/>
  <c r="DU12" i="7"/>
  <c r="DU99" i="7" s="1"/>
  <c r="DU101" i="7" s="1"/>
  <c r="FI12" i="7"/>
  <c r="FI99" i="7" s="1"/>
  <c r="FI101" i="7" s="1"/>
  <c r="FE12" i="7"/>
  <c r="FE99" i="7" s="1"/>
  <c r="FE101" i="7" s="1"/>
  <c r="FU12" i="7"/>
  <c r="FU99" i="7" s="1"/>
  <c r="FU101" i="7" s="1"/>
  <c r="DW12" i="7"/>
  <c r="DW99" i="7" s="1"/>
  <c r="DW101" i="7" s="1"/>
  <c r="GE99" i="7"/>
  <c r="GE101" i="7" s="1"/>
  <c r="DO99" i="7"/>
  <c r="DO101" i="7" s="1"/>
  <c r="DK99" i="7"/>
  <c r="DK101" i="7" s="1"/>
  <c r="GI12" i="7"/>
  <c r="GI99" i="7" s="1"/>
  <c r="GI101" i="7" s="1"/>
  <c r="BZ99" i="7"/>
  <c r="BZ101" i="7" s="1"/>
  <c r="CJ12" i="7"/>
  <c r="CJ99" i="7" s="1"/>
  <c r="CJ101" i="7" s="1"/>
  <c r="CH12" i="7"/>
  <c r="CH99" i="7" s="1"/>
  <c r="CH101" i="7" s="1"/>
  <c r="CL12" i="7"/>
  <c r="CL99" i="7" s="1"/>
  <c r="CL101" i="7" s="1"/>
  <c r="CF12" i="7"/>
  <c r="CF99" i="7" s="1"/>
  <c r="CF101" i="7" s="1"/>
  <c r="BC12" i="7"/>
  <c r="BC99" i="7" s="1"/>
  <c r="BC101" i="7" s="1"/>
  <c r="AU12" i="7"/>
  <c r="AU99" i="7" s="1"/>
  <c r="AU101" i="7" s="1"/>
  <c r="AM12" i="7"/>
  <c r="AM99" i="7" s="1"/>
  <c r="AM101" i="7" s="1"/>
  <c r="AE12" i="7"/>
  <c r="AE99" i="7" s="1"/>
  <c r="AE101" i="7" s="1"/>
  <c r="IH12" i="7"/>
  <c r="IH99" i="7" s="1"/>
  <c r="IH101" i="7" s="1"/>
  <c r="IF12" i="7"/>
  <c r="IF99" i="7" s="1"/>
  <c r="IF101" i="7" s="1"/>
  <c r="ID12" i="7"/>
  <c r="ID99" i="7" s="1"/>
  <c r="ID101" i="7" s="1"/>
  <c r="IB12" i="7"/>
  <c r="IB99" i="7" s="1"/>
  <c r="IB101" i="7" s="1"/>
  <c r="HZ12" i="7"/>
  <c r="HZ99" i="7" s="1"/>
  <c r="HZ101" i="7" s="1"/>
  <c r="HX12" i="7"/>
  <c r="HX99" i="7" s="1"/>
  <c r="HX101" i="7" s="1"/>
  <c r="HV12" i="7"/>
  <c r="HV99" i="7" s="1"/>
  <c r="HV101" i="7" s="1"/>
  <c r="HT12" i="7"/>
  <c r="HT99" i="7" s="1"/>
  <c r="HT101" i="7" s="1"/>
  <c r="HR12" i="7"/>
  <c r="HR99" i="7" s="1"/>
  <c r="HR101" i="7" s="1"/>
  <c r="HP12" i="7"/>
  <c r="HP99" i="7" s="1"/>
  <c r="HP101" i="7" s="1"/>
  <c r="HN12" i="7"/>
  <c r="HN99" i="7" s="1"/>
  <c r="HN101" i="7" s="1"/>
  <c r="HL12" i="7"/>
  <c r="HL99" i="7" s="1"/>
  <c r="HL101" i="7" s="1"/>
  <c r="HJ12" i="7"/>
  <c r="HJ99" i="7" s="1"/>
  <c r="HJ101" i="7" s="1"/>
  <c r="HH12" i="7"/>
  <c r="HH99" i="7" s="1"/>
  <c r="HH101" i="7" s="1"/>
  <c r="HF12" i="7"/>
  <c r="HF99" i="7" s="1"/>
  <c r="HF101" i="7" s="1"/>
  <c r="HD12" i="7"/>
  <c r="HD99" i="7" s="1"/>
  <c r="HD101" i="7" s="1"/>
  <c r="HB12" i="7"/>
  <c r="HB99" i="7" s="1"/>
  <c r="HB101" i="7" s="1"/>
  <c r="GZ12" i="7"/>
  <c r="GZ99" i="7" s="1"/>
  <c r="GZ101" i="7" s="1"/>
  <c r="GX12" i="7"/>
  <c r="GX99" i="7" s="1"/>
  <c r="GX101" i="7" s="1"/>
  <c r="GV12" i="7"/>
  <c r="GV99" i="7" s="1"/>
  <c r="GV101" i="7" s="1"/>
  <c r="GT12" i="7"/>
  <c r="GT99" i="7" s="1"/>
  <c r="GT101" i="7" s="1"/>
  <c r="GR12" i="7"/>
  <c r="GR99" i="7" s="1"/>
  <c r="GR101" i="7" s="1"/>
  <c r="GP12" i="7"/>
  <c r="GP99" i="7" s="1"/>
  <c r="GP101" i="7" s="1"/>
  <c r="GN12" i="7"/>
  <c r="GN99" i="7" s="1"/>
  <c r="GN101" i="7" s="1"/>
  <c r="GL12" i="7"/>
  <c r="GL99" i="7" s="1"/>
  <c r="GL101" i="7" s="1"/>
  <c r="GJ12" i="7"/>
  <c r="GJ99" i="7" s="1"/>
  <c r="GJ101" i="7" s="1"/>
  <c r="GH12" i="7"/>
  <c r="GH99" i="7" s="1"/>
  <c r="GH101" i="7" s="1"/>
  <c r="GF12" i="7"/>
  <c r="GF99" i="7" s="1"/>
  <c r="GF101" i="7" s="1"/>
  <c r="GD12" i="7"/>
  <c r="GD99" i="7" s="1"/>
  <c r="GD101" i="7" s="1"/>
  <c r="GB12" i="7"/>
  <c r="GB99" i="7" s="1"/>
  <c r="GB101" i="7" s="1"/>
  <c r="FZ12" i="7"/>
  <c r="FZ99" i="7" s="1"/>
  <c r="FZ101" i="7" s="1"/>
  <c r="FX12" i="7"/>
  <c r="FX99" i="7" s="1"/>
  <c r="FX101" i="7" s="1"/>
  <c r="FV12" i="7"/>
  <c r="FV99" i="7" s="1"/>
  <c r="FV101" i="7" s="1"/>
  <c r="FT12" i="7"/>
  <c r="FT99" i="7" s="1"/>
  <c r="FT101" i="7" s="1"/>
  <c r="FR12" i="7"/>
  <c r="FR99" i="7" s="1"/>
  <c r="FR101" i="7" s="1"/>
  <c r="FP12" i="7"/>
  <c r="FP99" i="7" s="1"/>
  <c r="FP101" i="7" s="1"/>
  <c r="FN12" i="7"/>
  <c r="FN99" i="7" s="1"/>
  <c r="FN101" i="7" s="1"/>
  <c r="FL12" i="7"/>
  <c r="FL99" i="7" s="1"/>
  <c r="FL101" i="7" s="1"/>
  <c r="FJ12" i="7"/>
  <c r="FJ99" i="7" s="1"/>
  <c r="FJ101" i="7" s="1"/>
  <c r="FH12" i="7"/>
  <c r="FH99" i="7" s="1"/>
  <c r="FH101" i="7" s="1"/>
  <c r="FF12" i="7"/>
  <c r="FF99" i="7" s="1"/>
  <c r="FF101" i="7" s="1"/>
  <c r="FD12" i="7"/>
  <c r="FD99" i="7" s="1"/>
  <c r="FD101" i="7" s="1"/>
  <c r="FB12" i="7"/>
  <c r="FB99" i="7" s="1"/>
  <c r="FB101" i="7" s="1"/>
  <c r="EZ12" i="7"/>
  <c r="EZ99" i="7" s="1"/>
  <c r="EZ101" i="7" s="1"/>
  <c r="EX12" i="7"/>
  <c r="EX99" i="7" s="1"/>
  <c r="EX101" i="7" s="1"/>
  <c r="EV12" i="7"/>
  <c r="EV99" i="7" s="1"/>
  <c r="EV101" i="7" s="1"/>
  <c r="ET12" i="7"/>
  <c r="ET99" i="7" s="1"/>
  <c r="ET101" i="7" s="1"/>
  <c r="ER12" i="7"/>
  <c r="ER99" i="7" s="1"/>
  <c r="ER101" i="7" s="1"/>
  <c r="EP12" i="7"/>
  <c r="EP99" i="7" s="1"/>
  <c r="EP101" i="7" s="1"/>
  <c r="EN12" i="7"/>
  <c r="EN99" i="7" s="1"/>
  <c r="EN101" i="7" s="1"/>
  <c r="EL12" i="7"/>
  <c r="EL99" i="7" s="1"/>
  <c r="EL101" i="7" s="1"/>
  <c r="EJ12" i="7"/>
  <c r="EJ99" i="7" s="1"/>
  <c r="EJ101" i="7" s="1"/>
  <c r="EH12" i="7"/>
  <c r="EH99" i="7" s="1"/>
  <c r="EH101" i="7" s="1"/>
  <c r="EF12" i="7"/>
  <c r="EF99" i="7" s="1"/>
  <c r="EF101" i="7" s="1"/>
  <c r="ED12" i="7"/>
  <c r="ED99" i="7" s="1"/>
  <c r="ED101" i="7" s="1"/>
  <c r="EB12" i="7"/>
  <c r="EB99" i="7" s="1"/>
  <c r="EB101" i="7" s="1"/>
  <c r="DZ12" i="7"/>
  <c r="DZ99" i="7" s="1"/>
  <c r="DZ101" i="7" s="1"/>
  <c r="DX12" i="7"/>
  <c r="DX99" i="7" s="1"/>
  <c r="DX101" i="7" s="1"/>
  <c r="DV12" i="7"/>
  <c r="DV99" i="7" s="1"/>
  <c r="DV101" i="7" s="1"/>
  <c r="DT12" i="7"/>
  <c r="DT99" i="7" s="1"/>
  <c r="DT101" i="7" s="1"/>
  <c r="DR12" i="7"/>
  <c r="DR99" i="7" s="1"/>
  <c r="DR101" i="7" s="1"/>
  <c r="DP12" i="7"/>
  <c r="DP99" i="7" s="1"/>
  <c r="DP101" i="7" s="1"/>
  <c r="DN12" i="7"/>
  <c r="DN99" i="7" s="1"/>
  <c r="DN101" i="7" s="1"/>
  <c r="DL12" i="7"/>
  <c r="DL99" i="7" s="1"/>
  <c r="DL101" i="7" s="1"/>
  <c r="DJ12" i="7"/>
  <c r="DJ99" i="7" s="1"/>
  <c r="DJ101" i="7" s="1"/>
  <c r="DH12" i="7"/>
  <c r="DH99" i="7" s="1"/>
  <c r="DH101" i="7" s="1"/>
  <c r="DF12" i="7"/>
  <c r="DF99" i="7" s="1"/>
  <c r="DF101" i="7" s="1"/>
  <c r="DD12" i="7"/>
  <c r="DD99" i="7" s="1"/>
  <c r="DD101" i="7" s="1"/>
  <c r="DB12" i="7"/>
  <c r="DB99" i="7" s="1"/>
  <c r="DB101" i="7" s="1"/>
  <c r="CZ12" i="7"/>
  <c r="CZ99" i="7" s="1"/>
  <c r="CZ101" i="7" s="1"/>
  <c r="CX12" i="7"/>
  <c r="CX99" i="7" s="1"/>
  <c r="CX101" i="7" s="1"/>
  <c r="CV12" i="7"/>
  <c r="CV99" i="7" s="1"/>
  <c r="CV101" i="7" s="1"/>
  <c r="CT12" i="7"/>
  <c r="CT99" i="7" s="1"/>
  <c r="CT101" i="7" s="1"/>
  <c r="CR12" i="7"/>
  <c r="CR99" i="7" s="1"/>
  <c r="CR101" i="7" s="1"/>
  <c r="CP12" i="7"/>
  <c r="CP99" i="7" s="1"/>
  <c r="CP101" i="7" s="1"/>
  <c r="CN12" i="7"/>
  <c r="CN99" i="7" s="1"/>
  <c r="CN101" i="7" s="1"/>
  <c r="AB38" i="7" l="1"/>
  <c r="L38" i="7"/>
  <c r="AC38" i="7"/>
  <c r="AA38" i="7"/>
  <c r="Y38" i="7"/>
  <c r="W38" i="7"/>
  <c r="U38" i="7"/>
  <c r="S38" i="7"/>
  <c r="Q38" i="7"/>
  <c r="O38" i="7"/>
  <c r="M38" i="7"/>
  <c r="K38" i="7"/>
  <c r="I38" i="7"/>
  <c r="Z38" i="7"/>
  <c r="X38" i="7"/>
  <c r="V38" i="7"/>
  <c r="T38" i="7"/>
  <c r="R38" i="7"/>
  <c r="P38" i="7"/>
  <c r="N38" i="7"/>
  <c r="J38" i="7"/>
  <c r="H38" i="7"/>
  <c r="G38" i="7"/>
  <c r="E38" i="7"/>
  <c r="F38" i="7"/>
  <c r="L23" i="3"/>
  <c r="L24" i="3" s="1"/>
  <c r="K23" i="3"/>
  <c r="K24" i="3" s="1"/>
  <c r="J23" i="3"/>
  <c r="J24" i="3" s="1"/>
  <c r="I23" i="3"/>
  <c r="I24" i="3" s="1"/>
  <c r="L22" i="3"/>
  <c r="K22" i="3"/>
  <c r="J22" i="3"/>
  <c r="I22" i="3"/>
  <c r="L18" i="3"/>
  <c r="L19" i="3" s="1"/>
  <c r="K18" i="3"/>
  <c r="K19" i="3" s="1"/>
  <c r="J18" i="3"/>
  <c r="J19" i="3" s="1"/>
  <c r="I18" i="3"/>
  <c r="I19" i="3" s="1"/>
  <c r="H18" i="3"/>
  <c r="H19" i="3" s="1"/>
  <c r="L17" i="3"/>
  <c r="K17" i="3"/>
  <c r="J17" i="3"/>
  <c r="I17" i="3"/>
  <c r="H17" i="3"/>
  <c r="L13" i="3"/>
  <c r="L14" i="3" s="1"/>
  <c r="K13" i="3"/>
  <c r="K14" i="3" s="1"/>
  <c r="J13" i="3"/>
  <c r="J14" i="3" s="1"/>
  <c r="I13" i="3"/>
  <c r="I14" i="3" s="1"/>
  <c r="H13" i="3"/>
  <c r="H14" i="3" s="1"/>
  <c r="G13" i="3"/>
  <c r="G14" i="3" s="1"/>
  <c r="F13" i="3"/>
  <c r="F14" i="3" s="1"/>
  <c r="E13" i="3"/>
  <c r="E14" i="3" s="1"/>
  <c r="L12" i="3"/>
  <c r="K12" i="3"/>
  <c r="J12" i="3"/>
  <c r="I12" i="3"/>
  <c r="H12" i="3"/>
  <c r="G12" i="3"/>
  <c r="F12" i="3"/>
  <c r="E12" i="3"/>
  <c r="M8" i="1" l="1"/>
  <c r="F11" i="1" s="1"/>
  <c r="N8" i="1"/>
  <c r="G48" i="8" l="1"/>
  <c r="I45" i="8" l="1"/>
  <c r="I46" i="8" s="1"/>
  <c r="C13" i="8"/>
  <c r="H47" i="8" l="1"/>
  <c r="I4" i="5"/>
  <c r="M4" i="4"/>
  <c r="N4" i="4" s="1"/>
  <c r="O4" i="4"/>
  <c r="K51" i="8"/>
  <c r="K49" i="8" s="1"/>
  <c r="G52" i="8"/>
  <c r="E51" i="8"/>
  <c r="G51" i="8"/>
  <c r="G50" i="8"/>
  <c r="J4" i="4" l="1"/>
  <c r="I4" i="4" s="1"/>
  <c r="I48" i="8"/>
  <c r="P10" i="1"/>
  <c r="O10" i="1"/>
  <c r="D18" i="7"/>
  <c r="C18" i="7"/>
  <c r="B18" i="7"/>
  <c r="F10" i="7"/>
  <c r="G10" i="7" s="1"/>
  <c r="H10" i="7" s="1"/>
  <c r="I10" i="7" s="1"/>
  <c r="J10" i="7" s="1"/>
  <c r="K10" i="7" s="1"/>
  <c r="L10" i="7" s="1"/>
  <c r="M10" i="7" s="1"/>
  <c r="N10" i="7" s="1"/>
  <c r="O10" i="7" s="1"/>
  <c r="P10" i="7" s="1"/>
  <c r="Q10" i="7" s="1"/>
  <c r="R10" i="7" s="1"/>
  <c r="S10" i="7" s="1"/>
  <c r="T10" i="7" s="1"/>
  <c r="U10" i="7" s="1"/>
  <c r="V10" i="7" s="1"/>
  <c r="W10" i="7" s="1"/>
  <c r="X10" i="7" s="1"/>
  <c r="Y10" i="7" s="1"/>
  <c r="Z10" i="7" s="1"/>
  <c r="AA10" i="7" s="1"/>
  <c r="AB10" i="7" s="1"/>
  <c r="AC10" i="7" s="1"/>
  <c r="AD10" i="7" s="1"/>
  <c r="AE10" i="7" s="1"/>
  <c r="AF10" i="7" s="1"/>
  <c r="AG10" i="7" s="1"/>
  <c r="AH10" i="7" s="1"/>
  <c r="AI10" i="7" s="1"/>
  <c r="AJ10" i="7" s="1"/>
  <c r="AK10" i="7" s="1"/>
  <c r="AL10" i="7" s="1"/>
  <c r="AM10" i="7" s="1"/>
  <c r="AN10" i="7" s="1"/>
  <c r="AO10" i="7" s="1"/>
  <c r="AP10" i="7" s="1"/>
  <c r="AQ10" i="7" s="1"/>
  <c r="AR10" i="7" s="1"/>
  <c r="AS10" i="7" s="1"/>
  <c r="AT10" i="7" s="1"/>
  <c r="AU10" i="7" s="1"/>
  <c r="AV10" i="7" s="1"/>
  <c r="AW10" i="7" s="1"/>
  <c r="AX10" i="7" s="1"/>
  <c r="AY10" i="7" s="1"/>
  <c r="AZ10" i="7" s="1"/>
  <c r="BA10" i="7" s="1"/>
  <c r="BB10" i="7" s="1"/>
  <c r="BC10" i="7" s="1"/>
  <c r="BD10" i="7" s="1"/>
  <c r="BE10" i="7" s="1"/>
  <c r="BF10" i="7" s="1"/>
  <c r="BG10" i="7" s="1"/>
  <c r="BH10" i="7" s="1"/>
  <c r="BI10" i="7" s="1"/>
  <c r="BJ10" i="7" s="1"/>
  <c r="BK10" i="7" s="1"/>
  <c r="BL10" i="7" s="1"/>
  <c r="BM10" i="7" s="1"/>
  <c r="BN10" i="7" s="1"/>
  <c r="BO10" i="7" s="1"/>
  <c r="BP10" i="7" s="1"/>
  <c r="BQ10" i="7" s="1"/>
  <c r="BR10" i="7" s="1"/>
  <c r="BS10" i="7" s="1"/>
  <c r="BT10" i="7" s="1"/>
  <c r="BU10" i="7" s="1"/>
  <c r="BV10" i="7" s="1"/>
  <c r="BW10" i="7" s="1"/>
  <c r="BX10" i="7" s="1"/>
  <c r="BY10" i="7" s="1"/>
  <c r="BZ10" i="7" s="1"/>
  <c r="CA10" i="7" s="1"/>
  <c r="CB10" i="7" s="1"/>
  <c r="CC10" i="7" s="1"/>
  <c r="CD10" i="7" s="1"/>
  <c r="CE10" i="7" s="1"/>
  <c r="CF10" i="7" s="1"/>
  <c r="CG10" i="7" s="1"/>
  <c r="CH10" i="7" s="1"/>
  <c r="CI10" i="7" s="1"/>
  <c r="CJ10" i="7" s="1"/>
  <c r="CK10" i="7" s="1"/>
  <c r="CL10" i="7" s="1"/>
  <c r="CM10" i="7" s="1"/>
  <c r="CN10" i="7" s="1"/>
  <c r="CO10" i="7" s="1"/>
  <c r="CP10" i="7" s="1"/>
  <c r="CQ10" i="7" s="1"/>
  <c r="CR10" i="7" s="1"/>
  <c r="CS10" i="7" s="1"/>
  <c r="CT10" i="7" s="1"/>
  <c r="CU10" i="7" s="1"/>
  <c r="CV10" i="7" s="1"/>
  <c r="CW10" i="7" s="1"/>
  <c r="CX10" i="7" s="1"/>
  <c r="CY10" i="7" s="1"/>
  <c r="CZ10" i="7" s="1"/>
  <c r="DA10" i="7" s="1"/>
  <c r="DB10" i="7" s="1"/>
  <c r="DC10" i="7" s="1"/>
  <c r="DD10" i="7" s="1"/>
  <c r="DE10" i="7" s="1"/>
  <c r="DF10" i="7" s="1"/>
  <c r="DG10" i="7" s="1"/>
  <c r="DH10" i="7" s="1"/>
  <c r="DI10" i="7" s="1"/>
  <c r="DJ10" i="7" s="1"/>
  <c r="DK10" i="7" s="1"/>
  <c r="DL10" i="7" s="1"/>
  <c r="DM10" i="7" s="1"/>
  <c r="DN10" i="7" s="1"/>
  <c r="DO10" i="7" s="1"/>
  <c r="DP10" i="7" s="1"/>
  <c r="DQ10" i="7" s="1"/>
  <c r="DR10" i="7" s="1"/>
  <c r="DS10" i="7" s="1"/>
  <c r="DT10" i="7" l="1"/>
  <c r="DU10" i="7" s="1"/>
  <c r="DV10" i="7" s="1"/>
  <c r="DW10" i="7" s="1"/>
  <c r="DX10" i="7" s="1"/>
  <c r="DY10" i="7" s="1"/>
  <c r="DZ10" i="7" s="1"/>
  <c r="EA10" i="7" s="1"/>
  <c r="EB10" i="7" s="1"/>
  <c r="EC10" i="7" s="1"/>
  <c r="ED10" i="7" s="1"/>
  <c r="EE10" i="7" s="1"/>
  <c r="EF10" i="7" s="1"/>
  <c r="EG10" i="7" s="1"/>
  <c r="EH10" i="7" s="1"/>
  <c r="EI10" i="7" s="1"/>
  <c r="EJ10" i="7" s="1"/>
  <c r="EK10" i="7" s="1"/>
  <c r="EL10" i="7" s="1"/>
  <c r="EM10" i="7" s="1"/>
  <c r="EN10" i="7" s="1"/>
  <c r="EO10" i="7" s="1"/>
  <c r="EP10" i="7" s="1"/>
  <c r="EQ10" i="7" s="1"/>
  <c r="ER10" i="7" s="1"/>
  <c r="ES10" i="7" s="1"/>
  <c r="ET10" i="7" s="1"/>
  <c r="EU10" i="7" s="1"/>
  <c r="EV10" i="7" s="1"/>
  <c r="EW10" i="7" s="1"/>
  <c r="EX10" i="7" s="1"/>
  <c r="EY10" i="7" s="1"/>
  <c r="EZ10" i="7" s="1"/>
  <c r="FA10" i="7" s="1"/>
  <c r="FB10" i="7" s="1"/>
  <c r="FC10" i="7" s="1"/>
  <c r="FD10" i="7" s="1"/>
  <c r="FE10" i="7" s="1"/>
  <c r="FF10" i="7" s="1"/>
  <c r="FG10" i="7" s="1"/>
  <c r="FH10" i="7" s="1"/>
  <c r="FI10" i="7" s="1"/>
  <c r="FJ10" i="7" s="1"/>
  <c r="FK10" i="7" s="1"/>
  <c r="FL10" i="7" s="1"/>
  <c r="FM10" i="7" s="1"/>
  <c r="FN10" i="7" s="1"/>
  <c r="FO10" i="7" s="1"/>
  <c r="FP10" i="7" s="1"/>
  <c r="FQ10" i="7" s="1"/>
  <c r="FR10" i="7" s="1"/>
  <c r="FS10" i="7" s="1"/>
  <c r="FT10" i="7" s="1"/>
  <c r="FU10" i="7" s="1"/>
  <c r="FV10" i="7" s="1"/>
  <c r="FW10" i="7" s="1"/>
  <c r="FX10" i="7" s="1"/>
  <c r="FY10" i="7" s="1"/>
  <c r="FZ10" i="7" s="1"/>
  <c r="GA10" i="7" s="1"/>
  <c r="GB10" i="7" s="1"/>
  <c r="GC10" i="7" s="1"/>
  <c r="GD10" i="7" s="1"/>
  <c r="GE10" i="7" s="1"/>
  <c r="GF10" i="7" s="1"/>
  <c r="GG10" i="7" s="1"/>
  <c r="GH10" i="7" s="1"/>
  <c r="GI10" i="7" s="1"/>
  <c r="GJ10" i="7" s="1"/>
  <c r="GK10" i="7" s="1"/>
  <c r="GL10" i="7" s="1"/>
  <c r="GM10" i="7" s="1"/>
  <c r="GN10" i="7" s="1"/>
  <c r="GO10" i="7" s="1"/>
  <c r="GP10" i="7" s="1"/>
  <c r="GQ10" i="7" s="1"/>
  <c r="GR10" i="7" s="1"/>
  <c r="GS10" i="7" s="1"/>
  <c r="GT10" i="7" s="1"/>
  <c r="GU10" i="7" s="1"/>
  <c r="GV10" i="7" s="1"/>
  <c r="GW10" i="7" s="1"/>
  <c r="GX10" i="7" s="1"/>
  <c r="GY10" i="7" s="1"/>
  <c r="GZ10" i="7" s="1"/>
  <c r="HA10" i="7" s="1"/>
  <c r="HB10" i="7" s="1"/>
  <c r="HC10" i="7" s="1"/>
  <c r="HD10" i="7" s="1"/>
  <c r="HE10" i="7" s="1"/>
  <c r="HF10" i="7" s="1"/>
  <c r="HG10" i="7" s="1"/>
  <c r="HH10" i="7" s="1"/>
  <c r="HI10" i="7" s="1"/>
  <c r="HJ10" i="7" s="1"/>
  <c r="HK10" i="7" s="1"/>
  <c r="HL10" i="7" s="1"/>
  <c r="HM10" i="7" s="1"/>
  <c r="HN10" i="7" s="1"/>
  <c r="HO10" i="7" s="1"/>
  <c r="HP10" i="7" s="1"/>
  <c r="HQ10" i="7" s="1"/>
  <c r="HR10" i="7" s="1"/>
  <c r="HS10" i="7" s="1"/>
  <c r="HT10" i="7" s="1"/>
  <c r="HU10" i="7" s="1"/>
  <c r="HV10" i="7" s="1"/>
  <c r="HW10" i="7" s="1"/>
  <c r="HX10" i="7" s="1"/>
  <c r="HY10" i="7" s="1"/>
  <c r="HZ10" i="7" s="1"/>
  <c r="IA10" i="7" s="1"/>
  <c r="IB10" i="7" s="1"/>
  <c r="IC10" i="7" s="1"/>
  <c r="ID10" i="7" s="1"/>
  <c r="IE10" i="7" s="1"/>
  <c r="IF10" i="7" s="1"/>
  <c r="IG10" i="7" s="1"/>
  <c r="IH10" i="7" s="1"/>
  <c r="I21" i="7"/>
  <c r="CD100" i="7"/>
  <c r="CD13" i="7" s="1"/>
  <c r="CZ100" i="7"/>
  <c r="CZ13" i="7" s="1"/>
  <c r="DP100" i="7"/>
  <c r="DP13" i="7" s="1"/>
  <c r="EF100" i="7"/>
  <c r="EF13" i="7" s="1"/>
  <c r="EV100" i="7"/>
  <c r="EV13" i="7" s="1"/>
  <c r="FL100" i="7"/>
  <c r="FL13" i="7" s="1"/>
  <c r="GB100" i="7"/>
  <c r="GB13" i="7" s="1"/>
  <c r="GR100" i="7"/>
  <c r="GR13" i="7" s="1"/>
  <c r="HH100" i="7"/>
  <c r="HH13" i="7" s="1"/>
  <c r="HX100" i="7"/>
  <c r="HX13" i="7" s="1"/>
  <c r="CT100" i="7"/>
  <c r="CT13" i="7" s="1"/>
  <c r="DJ100" i="7"/>
  <c r="DJ13" i="7" s="1"/>
  <c r="DZ100" i="7"/>
  <c r="DZ13" i="7" s="1"/>
  <c r="EP100" i="7"/>
  <c r="EP13" i="7" s="1"/>
  <c r="FF100" i="7"/>
  <c r="FF13" i="7" s="1"/>
  <c r="FV100" i="7"/>
  <c r="FV13" i="7" s="1"/>
  <c r="GL100" i="7"/>
  <c r="GL13" i="7" s="1"/>
  <c r="HB100" i="7"/>
  <c r="HB13" i="7" s="1"/>
  <c r="HR100" i="7"/>
  <c r="HR13" i="7" s="1"/>
  <c r="IH100" i="7"/>
  <c r="IH13" i="7" s="1"/>
  <c r="BT100" i="7"/>
  <c r="BT13" i="7" s="1"/>
  <c r="CJ100" i="7"/>
  <c r="CJ13" i="7" s="1"/>
  <c r="IS3" i="7"/>
  <c r="IQ3" i="7"/>
  <c r="IR3" i="7" s="1"/>
  <c r="IS4" i="7" s="1"/>
  <c r="IL2" i="7"/>
  <c r="IS2" i="7" s="1"/>
  <c r="O1004" i="6"/>
  <c r="M1004" i="6"/>
  <c r="Q1004" i="6" s="1"/>
  <c r="O1003" i="6"/>
  <c r="M1003" i="6"/>
  <c r="Q1003" i="6" s="1"/>
  <c r="O1002" i="6"/>
  <c r="M1002" i="6"/>
  <c r="Q1002" i="6" s="1"/>
  <c r="O1001" i="6"/>
  <c r="M1001" i="6"/>
  <c r="Q1001" i="6" s="1"/>
  <c r="O1000" i="6"/>
  <c r="M1000" i="6"/>
  <c r="Q1000" i="6" s="1"/>
  <c r="O999" i="6"/>
  <c r="M999" i="6"/>
  <c r="Q999" i="6" s="1"/>
  <c r="O998" i="6"/>
  <c r="M998" i="6"/>
  <c r="Q998" i="6" s="1"/>
  <c r="O997" i="6"/>
  <c r="M997" i="6"/>
  <c r="Q997" i="6" s="1"/>
  <c r="O996" i="6"/>
  <c r="M996" i="6"/>
  <c r="Q996" i="6" s="1"/>
  <c r="O995" i="6"/>
  <c r="M995" i="6"/>
  <c r="Q995" i="6" s="1"/>
  <c r="O994" i="6"/>
  <c r="M994" i="6"/>
  <c r="Q994" i="6" s="1"/>
  <c r="O993" i="6"/>
  <c r="M993" i="6"/>
  <c r="Q993" i="6" s="1"/>
  <c r="O992" i="6"/>
  <c r="M992" i="6"/>
  <c r="Q992" i="6" s="1"/>
  <c r="O991" i="6"/>
  <c r="M991" i="6"/>
  <c r="Q991" i="6" s="1"/>
  <c r="O990" i="6"/>
  <c r="M990" i="6"/>
  <c r="Q990" i="6" s="1"/>
  <c r="O989" i="6"/>
  <c r="M989" i="6"/>
  <c r="Q989" i="6" s="1"/>
  <c r="O988" i="6"/>
  <c r="J988" i="6" s="1"/>
  <c r="I988" i="6" s="1"/>
  <c r="M988" i="6"/>
  <c r="Q988" i="6" s="1"/>
  <c r="O987" i="6"/>
  <c r="M987" i="6"/>
  <c r="Q987" i="6" s="1"/>
  <c r="O986" i="6"/>
  <c r="M986" i="6"/>
  <c r="Q986" i="6" s="1"/>
  <c r="O985" i="6"/>
  <c r="M985" i="6"/>
  <c r="Q985" i="6" s="1"/>
  <c r="O984" i="6"/>
  <c r="M984" i="6"/>
  <c r="Q984" i="6" s="1"/>
  <c r="O983" i="6"/>
  <c r="M983" i="6"/>
  <c r="Q983" i="6" s="1"/>
  <c r="O982" i="6"/>
  <c r="M982" i="6"/>
  <c r="Q982" i="6" s="1"/>
  <c r="O981" i="6"/>
  <c r="M981" i="6"/>
  <c r="Q981" i="6" s="1"/>
  <c r="O980" i="6"/>
  <c r="M980" i="6"/>
  <c r="Q980" i="6" s="1"/>
  <c r="O979" i="6"/>
  <c r="M979" i="6"/>
  <c r="Q979" i="6" s="1"/>
  <c r="O978" i="6"/>
  <c r="M978" i="6"/>
  <c r="Q978" i="6" s="1"/>
  <c r="O977" i="6"/>
  <c r="M977" i="6"/>
  <c r="Q977" i="6" s="1"/>
  <c r="O976" i="6"/>
  <c r="M976" i="6"/>
  <c r="Q976" i="6" s="1"/>
  <c r="O975" i="6"/>
  <c r="M975" i="6"/>
  <c r="Q975" i="6" s="1"/>
  <c r="O974" i="6"/>
  <c r="M974" i="6"/>
  <c r="Q974" i="6" s="1"/>
  <c r="O973" i="6"/>
  <c r="M973" i="6"/>
  <c r="Q973" i="6" s="1"/>
  <c r="O972" i="6"/>
  <c r="J972" i="6" s="1"/>
  <c r="I972" i="6" s="1"/>
  <c r="M972" i="6"/>
  <c r="Q972" i="6" s="1"/>
  <c r="O971" i="6"/>
  <c r="M971" i="6"/>
  <c r="Q971" i="6" s="1"/>
  <c r="O970" i="6"/>
  <c r="M970" i="6"/>
  <c r="Q970" i="6" s="1"/>
  <c r="O969" i="6"/>
  <c r="M969" i="6"/>
  <c r="Q969" i="6" s="1"/>
  <c r="O968" i="6"/>
  <c r="M968" i="6"/>
  <c r="Q968" i="6" s="1"/>
  <c r="O967" i="6"/>
  <c r="M967" i="6"/>
  <c r="Q967" i="6" s="1"/>
  <c r="O966" i="6"/>
  <c r="M966" i="6"/>
  <c r="Q966" i="6" s="1"/>
  <c r="O965" i="6"/>
  <c r="M965" i="6"/>
  <c r="Q965" i="6" s="1"/>
  <c r="O964" i="6"/>
  <c r="M964" i="6"/>
  <c r="Q964" i="6" s="1"/>
  <c r="O963" i="6"/>
  <c r="M963" i="6"/>
  <c r="Q963" i="6" s="1"/>
  <c r="O962" i="6"/>
  <c r="M962" i="6"/>
  <c r="Q962" i="6" s="1"/>
  <c r="O961" i="6"/>
  <c r="M961" i="6"/>
  <c r="Q961" i="6" s="1"/>
  <c r="O960" i="6"/>
  <c r="M960" i="6"/>
  <c r="Q960" i="6" s="1"/>
  <c r="O959" i="6"/>
  <c r="M959" i="6"/>
  <c r="Q959" i="6" s="1"/>
  <c r="O958" i="6"/>
  <c r="M958" i="6"/>
  <c r="Q958" i="6" s="1"/>
  <c r="O957" i="6"/>
  <c r="M957" i="6"/>
  <c r="Q957" i="6" s="1"/>
  <c r="O956" i="6"/>
  <c r="M956" i="6"/>
  <c r="Q956" i="6" s="1"/>
  <c r="O955" i="6"/>
  <c r="M955" i="6"/>
  <c r="Q955" i="6" s="1"/>
  <c r="O954" i="6"/>
  <c r="M954" i="6"/>
  <c r="Q954" i="6" s="1"/>
  <c r="O953" i="6"/>
  <c r="M953" i="6"/>
  <c r="Q953" i="6" s="1"/>
  <c r="O952" i="6"/>
  <c r="M952" i="6"/>
  <c r="Q952" i="6" s="1"/>
  <c r="O951" i="6"/>
  <c r="M951" i="6"/>
  <c r="Q951" i="6" s="1"/>
  <c r="O950" i="6"/>
  <c r="M950" i="6"/>
  <c r="O949" i="6"/>
  <c r="M949" i="6"/>
  <c r="Q949" i="6" s="1"/>
  <c r="O948" i="6"/>
  <c r="M948" i="6"/>
  <c r="O947" i="6"/>
  <c r="M947" i="6"/>
  <c r="Q947" i="6" s="1"/>
  <c r="O946" i="6"/>
  <c r="M946" i="6"/>
  <c r="O945" i="6"/>
  <c r="M945" i="6"/>
  <c r="Q945" i="6" s="1"/>
  <c r="O944" i="6"/>
  <c r="M944" i="6"/>
  <c r="O943" i="6"/>
  <c r="M943" i="6"/>
  <c r="Q943" i="6" s="1"/>
  <c r="O942" i="6"/>
  <c r="M942" i="6"/>
  <c r="O941" i="6"/>
  <c r="M941" i="6"/>
  <c r="Q941" i="6" s="1"/>
  <c r="O940" i="6"/>
  <c r="M940" i="6"/>
  <c r="O939" i="6"/>
  <c r="M939" i="6"/>
  <c r="Q939" i="6" s="1"/>
  <c r="O938" i="6"/>
  <c r="M938" i="6"/>
  <c r="O937" i="6"/>
  <c r="M937" i="6"/>
  <c r="Q937" i="6" s="1"/>
  <c r="O936" i="6"/>
  <c r="M936" i="6"/>
  <c r="O935" i="6"/>
  <c r="M935" i="6"/>
  <c r="Q935" i="6" s="1"/>
  <c r="O934" i="6"/>
  <c r="M934" i="6"/>
  <c r="O933" i="6"/>
  <c r="M933" i="6"/>
  <c r="Q933" i="6" s="1"/>
  <c r="O932" i="6"/>
  <c r="M932" i="6"/>
  <c r="O931" i="6"/>
  <c r="M931" i="6"/>
  <c r="Q931" i="6" s="1"/>
  <c r="O930" i="6"/>
  <c r="M930" i="6"/>
  <c r="O929" i="6"/>
  <c r="M929" i="6"/>
  <c r="Q929" i="6" s="1"/>
  <c r="O928" i="6"/>
  <c r="M928" i="6"/>
  <c r="O927" i="6"/>
  <c r="M927" i="6"/>
  <c r="Q927" i="6" s="1"/>
  <c r="O926" i="6"/>
  <c r="M926" i="6"/>
  <c r="O925" i="6"/>
  <c r="M925" i="6"/>
  <c r="Q925" i="6" s="1"/>
  <c r="O924" i="6"/>
  <c r="M924" i="6"/>
  <c r="O923" i="6"/>
  <c r="M923" i="6"/>
  <c r="Q923" i="6" s="1"/>
  <c r="O922" i="6"/>
  <c r="M922" i="6"/>
  <c r="O921" i="6"/>
  <c r="M921" i="6"/>
  <c r="Q921" i="6" s="1"/>
  <c r="O920" i="6"/>
  <c r="M920" i="6"/>
  <c r="O919" i="6"/>
  <c r="M919" i="6"/>
  <c r="Q919" i="6" s="1"/>
  <c r="O918" i="6"/>
  <c r="M918" i="6"/>
  <c r="O917" i="6"/>
  <c r="M917" i="6"/>
  <c r="Q917" i="6" s="1"/>
  <c r="O916" i="6"/>
  <c r="M916" i="6"/>
  <c r="O915" i="6"/>
  <c r="M915" i="6"/>
  <c r="Q915" i="6" s="1"/>
  <c r="O914" i="6"/>
  <c r="M914" i="6"/>
  <c r="O913" i="6"/>
  <c r="M913" i="6"/>
  <c r="Q913" i="6" s="1"/>
  <c r="O912" i="6"/>
  <c r="M912" i="6"/>
  <c r="O911" i="6"/>
  <c r="M911" i="6"/>
  <c r="Q911" i="6" s="1"/>
  <c r="O910" i="6"/>
  <c r="M910" i="6"/>
  <c r="O909" i="6"/>
  <c r="M909" i="6"/>
  <c r="Q909" i="6" s="1"/>
  <c r="O908" i="6"/>
  <c r="M908" i="6"/>
  <c r="O907" i="6"/>
  <c r="M907" i="6"/>
  <c r="Q907" i="6" s="1"/>
  <c r="O906" i="6"/>
  <c r="M906" i="6"/>
  <c r="O905" i="6"/>
  <c r="M905" i="6"/>
  <c r="Q905" i="6" s="1"/>
  <c r="O904" i="6"/>
  <c r="M904" i="6"/>
  <c r="O903" i="6"/>
  <c r="M903" i="6"/>
  <c r="Q903" i="6" s="1"/>
  <c r="O902" i="6"/>
  <c r="M902" i="6"/>
  <c r="O901" i="6"/>
  <c r="M901" i="6"/>
  <c r="Q901" i="6" s="1"/>
  <c r="O900" i="6"/>
  <c r="M900" i="6"/>
  <c r="O899" i="6"/>
  <c r="M899" i="6"/>
  <c r="Q899" i="6" s="1"/>
  <c r="O898" i="6"/>
  <c r="M898" i="6"/>
  <c r="O897" i="6"/>
  <c r="M897" i="6"/>
  <c r="Q897" i="6" s="1"/>
  <c r="O896" i="6"/>
  <c r="M896" i="6"/>
  <c r="O895" i="6"/>
  <c r="M895" i="6"/>
  <c r="Q895" i="6" s="1"/>
  <c r="O894" i="6"/>
  <c r="M894" i="6"/>
  <c r="O893" i="6"/>
  <c r="M893" i="6"/>
  <c r="Q893" i="6" s="1"/>
  <c r="O892" i="6"/>
  <c r="M892" i="6"/>
  <c r="O891" i="6"/>
  <c r="M891" i="6"/>
  <c r="Q891" i="6" s="1"/>
  <c r="O890" i="6"/>
  <c r="M890" i="6"/>
  <c r="O889" i="6"/>
  <c r="M889" i="6"/>
  <c r="Q889" i="6" s="1"/>
  <c r="O888" i="6"/>
  <c r="M888" i="6"/>
  <c r="O887" i="6"/>
  <c r="M887" i="6"/>
  <c r="Q887" i="6" s="1"/>
  <c r="O886" i="6"/>
  <c r="M886" i="6"/>
  <c r="O885" i="6"/>
  <c r="M885" i="6"/>
  <c r="Q885" i="6" s="1"/>
  <c r="O884" i="6"/>
  <c r="M884" i="6"/>
  <c r="O883" i="6"/>
  <c r="M883" i="6"/>
  <c r="Q883" i="6" s="1"/>
  <c r="O882" i="6"/>
  <c r="M882" i="6"/>
  <c r="O881" i="6"/>
  <c r="M881" i="6"/>
  <c r="Q881" i="6" s="1"/>
  <c r="O880" i="6"/>
  <c r="M880" i="6"/>
  <c r="O879" i="6"/>
  <c r="M879" i="6"/>
  <c r="Q879" i="6" s="1"/>
  <c r="O878" i="6"/>
  <c r="M878" i="6"/>
  <c r="O877" i="6"/>
  <c r="M877" i="6"/>
  <c r="Q877" i="6" s="1"/>
  <c r="O876" i="6"/>
  <c r="M876" i="6"/>
  <c r="O875" i="6"/>
  <c r="M875" i="6"/>
  <c r="Q875" i="6" s="1"/>
  <c r="O874" i="6"/>
  <c r="M874" i="6"/>
  <c r="O873" i="6"/>
  <c r="M873" i="6"/>
  <c r="Q873" i="6" s="1"/>
  <c r="O872" i="6"/>
  <c r="M872" i="6"/>
  <c r="O871" i="6"/>
  <c r="M871" i="6"/>
  <c r="Q871" i="6" s="1"/>
  <c r="O870" i="6"/>
  <c r="M870" i="6"/>
  <c r="O869" i="6"/>
  <c r="M869" i="6"/>
  <c r="Q869" i="6" s="1"/>
  <c r="O868" i="6"/>
  <c r="M868" i="6"/>
  <c r="O867" i="6"/>
  <c r="M867" i="6"/>
  <c r="Q867" i="6" s="1"/>
  <c r="O866" i="6"/>
  <c r="M866" i="6"/>
  <c r="O865" i="6"/>
  <c r="M865" i="6"/>
  <c r="Q865" i="6" s="1"/>
  <c r="O864" i="6"/>
  <c r="M864" i="6"/>
  <c r="O863" i="6"/>
  <c r="M863" i="6"/>
  <c r="Q863" i="6" s="1"/>
  <c r="O862" i="6"/>
  <c r="M862" i="6"/>
  <c r="O861" i="6"/>
  <c r="M861" i="6"/>
  <c r="Q861" i="6" s="1"/>
  <c r="O860" i="6"/>
  <c r="M860" i="6"/>
  <c r="O859" i="6"/>
  <c r="M859" i="6"/>
  <c r="Q859" i="6" s="1"/>
  <c r="O858" i="6"/>
  <c r="M858" i="6"/>
  <c r="O857" i="6"/>
  <c r="M857" i="6"/>
  <c r="Q857" i="6" s="1"/>
  <c r="O856" i="6"/>
  <c r="M856" i="6"/>
  <c r="O855" i="6"/>
  <c r="M855" i="6"/>
  <c r="Q855" i="6" s="1"/>
  <c r="O854" i="6"/>
  <c r="M854" i="6"/>
  <c r="O853" i="6"/>
  <c r="M853" i="6"/>
  <c r="Q853" i="6" s="1"/>
  <c r="O852" i="6"/>
  <c r="M852" i="6"/>
  <c r="O851" i="6"/>
  <c r="M851" i="6"/>
  <c r="Q851" i="6" s="1"/>
  <c r="O850" i="6"/>
  <c r="M850" i="6"/>
  <c r="O849" i="6"/>
  <c r="M849" i="6"/>
  <c r="Q849" i="6" s="1"/>
  <c r="O848" i="6"/>
  <c r="M848" i="6"/>
  <c r="O847" i="6"/>
  <c r="M847" i="6"/>
  <c r="Q847" i="6" s="1"/>
  <c r="O846" i="6"/>
  <c r="M846" i="6"/>
  <c r="O845" i="6"/>
  <c r="M845" i="6"/>
  <c r="Q845" i="6" s="1"/>
  <c r="O844" i="6"/>
  <c r="M844" i="6"/>
  <c r="O843" i="6"/>
  <c r="M843" i="6"/>
  <c r="Q843" i="6" s="1"/>
  <c r="O842" i="6"/>
  <c r="M842" i="6"/>
  <c r="O841" i="6"/>
  <c r="M841" i="6"/>
  <c r="Q841" i="6" s="1"/>
  <c r="O840" i="6"/>
  <c r="M840" i="6"/>
  <c r="O839" i="6"/>
  <c r="M839" i="6"/>
  <c r="Q839" i="6" s="1"/>
  <c r="O838" i="6"/>
  <c r="M838" i="6"/>
  <c r="O837" i="6"/>
  <c r="M837" i="6"/>
  <c r="Q837" i="6" s="1"/>
  <c r="O836" i="6"/>
  <c r="M836" i="6"/>
  <c r="O835" i="6"/>
  <c r="M835" i="6"/>
  <c r="Q835" i="6" s="1"/>
  <c r="O834" i="6"/>
  <c r="M834" i="6"/>
  <c r="O833" i="6"/>
  <c r="M833" i="6"/>
  <c r="Q833" i="6" s="1"/>
  <c r="O832" i="6"/>
  <c r="M832" i="6"/>
  <c r="Q832" i="6" s="1"/>
  <c r="O831" i="6"/>
  <c r="M831" i="6"/>
  <c r="Q831" i="6" s="1"/>
  <c r="O830" i="6"/>
  <c r="M830" i="6"/>
  <c r="Q830" i="6" s="1"/>
  <c r="O829" i="6"/>
  <c r="M829" i="6"/>
  <c r="Q829" i="6" s="1"/>
  <c r="O828" i="6"/>
  <c r="J828" i="6" s="1"/>
  <c r="I828" i="6" s="1"/>
  <c r="M828" i="6"/>
  <c r="Q828" i="6" s="1"/>
  <c r="O827" i="6"/>
  <c r="M827" i="6"/>
  <c r="Q827" i="6" s="1"/>
  <c r="O826" i="6"/>
  <c r="M826" i="6"/>
  <c r="Q826" i="6" s="1"/>
  <c r="O825" i="6"/>
  <c r="M825" i="6"/>
  <c r="Q825" i="6" s="1"/>
  <c r="O824" i="6"/>
  <c r="M824" i="6"/>
  <c r="Q824" i="6" s="1"/>
  <c r="O823" i="6"/>
  <c r="M823" i="6"/>
  <c r="Q823" i="6" s="1"/>
  <c r="O822" i="6"/>
  <c r="M822" i="6"/>
  <c r="Q822" i="6" s="1"/>
  <c r="O821" i="6"/>
  <c r="M821" i="6"/>
  <c r="Q821" i="6" s="1"/>
  <c r="O820" i="6"/>
  <c r="M820" i="6"/>
  <c r="Q820" i="6" s="1"/>
  <c r="O819" i="6"/>
  <c r="M819" i="6"/>
  <c r="Q819" i="6" s="1"/>
  <c r="O818" i="6"/>
  <c r="M818" i="6"/>
  <c r="Q818" i="6" s="1"/>
  <c r="O817" i="6"/>
  <c r="M817" i="6"/>
  <c r="Q817" i="6" s="1"/>
  <c r="O816" i="6"/>
  <c r="M816" i="6"/>
  <c r="Q816" i="6" s="1"/>
  <c r="O815" i="6"/>
  <c r="M815" i="6"/>
  <c r="Q815" i="6" s="1"/>
  <c r="O814" i="6"/>
  <c r="M814" i="6"/>
  <c r="Q814" i="6" s="1"/>
  <c r="O813" i="6"/>
  <c r="M813" i="6"/>
  <c r="Q813" i="6" s="1"/>
  <c r="O812" i="6"/>
  <c r="J812" i="6" s="1"/>
  <c r="I812" i="6" s="1"/>
  <c r="M812" i="6"/>
  <c r="Q812" i="6" s="1"/>
  <c r="O811" i="6"/>
  <c r="M811" i="6"/>
  <c r="Q811" i="6" s="1"/>
  <c r="O810" i="6"/>
  <c r="M810" i="6"/>
  <c r="Q810" i="6" s="1"/>
  <c r="O809" i="6"/>
  <c r="M809" i="6"/>
  <c r="Q809" i="6" s="1"/>
  <c r="O808" i="6"/>
  <c r="M808" i="6"/>
  <c r="Q808" i="6" s="1"/>
  <c r="O807" i="6"/>
  <c r="M807" i="6"/>
  <c r="Q807" i="6" s="1"/>
  <c r="O806" i="6"/>
  <c r="M806" i="6"/>
  <c r="Q806" i="6" s="1"/>
  <c r="O805" i="6"/>
  <c r="M805" i="6"/>
  <c r="Q805" i="6" s="1"/>
  <c r="O804" i="6"/>
  <c r="J804" i="6" s="1"/>
  <c r="I804" i="6" s="1"/>
  <c r="M804" i="6"/>
  <c r="Q804" i="6" s="1"/>
  <c r="O803" i="6"/>
  <c r="M803" i="6"/>
  <c r="Q803" i="6" s="1"/>
  <c r="O802" i="6"/>
  <c r="M802" i="6"/>
  <c r="Q802" i="6" s="1"/>
  <c r="O801" i="6"/>
  <c r="M801" i="6"/>
  <c r="Q801" i="6" s="1"/>
  <c r="O800" i="6"/>
  <c r="M800" i="6"/>
  <c r="Q800" i="6" s="1"/>
  <c r="O799" i="6"/>
  <c r="M799" i="6"/>
  <c r="Q799" i="6" s="1"/>
  <c r="O798" i="6"/>
  <c r="M798" i="6"/>
  <c r="Q798" i="6" s="1"/>
  <c r="O797" i="6"/>
  <c r="M797" i="6"/>
  <c r="Q797" i="6" s="1"/>
  <c r="O796" i="6"/>
  <c r="J796" i="6" s="1"/>
  <c r="I796" i="6" s="1"/>
  <c r="M796" i="6"/>
  <c r="Q796" i="6" s="1"/>
  <c r="O795" i="6"/>
  <c r="M795" i="6"/>
  <c r="Q795" i="6" s="1"/>
  <c r="O794" i="6"/>
  <c r="M794" i="6"/>
  <c r="Q794" i="6" s="1"/>
  <c r="O793" i="6"/>
  <c r="M793" i="6"/>
  <c r="Q793" i="6" s="1"/>
  <c r="O792" i="6"/>
  <c r="M792" i="6"/>
  <c r="Q792" i="6" s="1"/>
  <c r="O791" i="6"/>
  <c r="M791" i="6"/>
  <c r="Q791" i="6" s="1"/>
  <c r="O790" i="6"/>
  <c r="M790" i="6"/>
  <c r="Q790" i="6" s="1"/>
  <c r="O789" i="6"/>
  <c r="M789" i="6"/>
  <c r="Q789" i="6" s="1"/>
  <c r="O788" i="6"/>
  <c r="M788" i="6"/>
  <c r="Q788" i="6" s="1"/>
  <c r="O787" i="6"/>
  <c r="M787" i="6"/>
  <c r="Q787" i="6" s="1"/>
  <c r="O786" i="6"/>
  <c r="M786" i="6"/>
  <c r="Q786" i="6" s="1"/>
  <c r="O785" i="6"/>
  <c r="M785" i="6"/>
  <c r="Q785" i="6" s="1"/>
  <c r="O784" i="6"/>
  <c r="M784" i="6"/>
  <c r="Q784" i="6" s="1"/>
  <c r="O783" i="6"/>
  <c r="M783" i="6"/>
  <c r="Q783" i="6" s="1"/>
  <c r="O782" i="6"/>
  <c r="M782" i="6"/>
  <c r="Q782" i="6" s="1"/>
  <c r="O781" i="6"/>
  <c r="M781" i="6"/>
  <c r="Q781" i="6" s="1"/>
  <c r="O780" i="6"/>
  <c r="M780" i="6"/>
  <c r="Q780" i="6" s="1"/>
  <c r="O779" i="6"/>
  <c r="M779" i="6"/>
  <c r="Q779" i="6" s="1"/>
  <c r="O778" i="6"/>
  <c r="M778" i="6"/>
  <c r="Q778" i="6" s="1"/>
  <c r="O777" i="6"/>
  <c r="M777" i="6"/>
  <c r="Q777" i="6" s="1"/>
  <c r="O776" i="6"/>
  <c r="M776" i="6"/>
  <c r="Q776" i="6" s="1"/>
  <c r="O775" i="6"/>
  <c r="M775" i="6"/>
  <c r="Q775" i="6" s="1"/>
  <c r="O774" i="6"/>
  <c r="M774" i="6"/>
  <c r="Q774" i="6" s="1"/>
  <c r="O773" i="6"/>
  <c r="M773" i="6"/>
  <c r="Q773" i="6" s="1"/>
  <c r="O772" i="6"/>
  <c r="M772" i="6"/>
  <c r="Q772" i="6" s="1"/>
  <c r="O771" i="6"/>
  <c r="M771" i="6"/>
  <c r="Q771" i="6" s="1"/>
  <c r="O770" i="6"/>
  <c r="M770" i="6"/>
  <c r="Q770" i="6" s="1"/>
  <c r="O769" i="6"/>
  <c r="M769" i="6"/>
  <c r="Q769" i="6" s="1"/>
  <c r="O768" i="6"/>
  <c r="M768" i="6"/>
  <c r="Q768" i="6" s="1"/>
  <c r="O767" i="6"/>
  <c r="M767" i="6"/>
  <c r="Q767" i="6" s="1"/>
  <c r="O766" i="6"/>
  <c r="M766" i="6"/>
  <c r="Q766" i="6" s="1"/>
  <c r="O765" i="6"/>
  <c r="M765" i="6"/>
  <c r="Q765" i="6" s="1"/>
  <c r="O764" i="6"/>
  <c r="M764" i="6"/>
  <c r="Q764" i="6" s="1"/>
  <c r="J764" i="6"/>
  <c r="I764" i="6" s="1"/>
  <c r="O763" i="6"/>
  <c r="M763" i="6"/>
  <c r="Q763" i="6" s="1"/>
  <c r="O762" i="6"/>
  <c r="M762" i="6"/>
  <c r="Q762" i="6" s="1"/>
  <c r="O761" i="6"/>
  <c r="M761" i="6"/>
  <c r="Q761" i="6" s="1"/>
  <c r="O760" i="6"/>
  <c r="M760" i="6"/>
  <c r="Q760" i="6" s="1"/>
  <c r="O759" i="6"/>
  <c r="M759" i="6"/>
  <c r="Q759" i="6" s="1"/>
  <c r="O758" i="6"/>
  <c r="M758" i="6"/>
  <c r="Q758" i="6" s="1"/>
  <c r="O757" i="6"/>
  <c r="M757" i="6"/>
  <c r="Q757" i="6" s="1"/>
  <c r="O756" i="6"/>
  <c r="M756" i="6"/>
  <c r="Q756" i="6" s="1"/>
  <c r="O755" i="6"/>
  <c r="M755" i="6"/>
  <c r="Q755" i="6" s="1"/>
  <c r="O754" i="6"/>
  <c r="M754" i="6"/>
  <c r="Q754" i="6" s="1"/>
  <c r="O753" i="6"/>
  <c r="M753" i="6"/>
  <c r="Q753" i="6" s="1"/>
  <c r="O752" i="6"/>
  <c r="M752" i="6"/>
  <c r="Q752" i="6" s="1"/>
  <c r="O751" i="6"/>
  <c r="M751" i="6"/>
  <c r="Q751" i="6" s="1"/>
  <c r="O750" i="6"/>
  <c r="M750" i="6"/>
  <c r="Q750" i="6" s="1"/>
  <c r="O749" i="6"/>
  <c r="M749" i="6"/>
  <c r="Q749" i="6" s="1"/>
  <c r="O748" i="6"/>
  <c r="M748" i="6"/>
  <c r="Q748" i="6" s="1"/>
  <c r="O747" i="6"/>
  <c r="M747" i="6"/>
  <c r="Q747" i="6" s="1"/>
  <c r="O746" i="6"/>
  <c r="M746" i="6"/>
  <c r="Q746" i="6" s="1"/>
  <c r="O745" i="6"/>
  <c r="M745" i="6"/>
  <c r="Q745" i="6" s="1"/>
  <c r="O744" i="6"/>
  <c r="M744" i="6"/>
  <c r="Q744" i="6" s="1"/>
  <c r="O743" i="6"/>
  <c r="M743" i="6"/>
  <c r="Q743" i="6" s="1"/>
  <c r="O742" i="6"/>
  <c r="M742" i="6"/>
  <c r="Q742" i="6" s="1"/>
  <c r="O741" i="6"/>
  <c r="M741" i="6"/>
  <c r="Q741" i="6" s="1"/>
  <c r="O740" i="6"/>
  <c r="M740" i="6"/>
  <c r="Q740" i="6" s="1"/>
  <c r="O739" i="6"/>
  <c r="M739" i="6"/>
  <c r="Q739" i="6" s="1"/>
  <c r="O738" i="6"/>
  <c r="M738" i="6"/>
  <c r="Q738" i="6" s="1"/>
  <c r="O737" i="6"/>
  <c r="M737" i="6"/>
  <c r="Q737" i="6" s="1"/>
  <c r="O736" i="6"/>
  <c r="M736" i="6"/>
  <c r="Q736" i="6" s="1"/>
  <c r="O735" i="6"/>
  <c r="M735" i="6"/>
  <c r="Q735" i="6" s="1"/>
  <c r="O734" i="6"/>
  <c r="M734" i="6"/>
  <c r="Q734" i="6" s="1"/>
  <c r="O733" i="6"/>
  <c r="M733" i="6"/>
  <c r="Q733" i="6" s="1"/>
  <c r="O732" i="6"/>
  <c r="M732" i="6"/>
  <c r="Q732" i="6" s="1"/>
  <c r="O731" i="6"/>
  <c r="M731" i="6"/>
  <c r="Q731" i="6" s="1"/>
  <c r="O730" i="6"/>
  <c r="M730" i="6"/>
  <c r="Q730" i="6" s="1"/>
  <c r="O729" i="6"/>
  <c r="M729" i="6"/>
  <c r="Q729" i="6" s="1"/>
  <c r="O728" i="6"/>
  <c r="M728" i="6"/>
  <c r="Q728" i="6" s="1"/>
  <c r="O727" i="6"/>
  <c r="M727" i="6"/>
  <c r="Q727" i="6" s="1"/>
  <c r="O726" i="6"/>
  <c r="M726" i="6"/>
  <c r="Q726" i="6" s="1"/>
  <c r="O725" i="6"/>
  <c r="M725" i="6"/>
  <c r="Q725" i="6" s="1"/>
  <c r="O724" i="6"/>
  <c r="M724" i="6"/>
  <c r="Q724" i="6" s="1"/>
  <c r="O723" i="6"/>
  <c r="M723" i="6"/>
  <c r="Q723" i="6" s="1"/>
  <c r="O722" i="6"/>
  <c r="M722" i="6"/>
  <c r="Q722" i="6" s="1"/>
  <c r="O721" i="6"/>
  <c r="M721" i="6"/>
  <c r="Q721" i="6" s="1"/>
  <c r="O720" i="6"/>
  <c r="M720" i="6"/>
  <c r="Q720" i="6" s="1"/>
  <c r="O719" i="6"/>
  <c r="M719" i="6"/>
  <c r="Q719" i="6" s="1"/>
  <c r="O718" i="6"/>
  <c r="M718" i="6"/>
  <c r="Q718" i="6" s="1"/>
  <c r="O717" i="6"/>
  <c r="M717" i="6"/>
  <c r="Q717" i="6" s="1"/>
  <c r="O716" i="6"/>
  <c r="J716" i="6" s="1"/>
  <c r="I716" i="6" s="1"/>
  <c r="M716" i="6"/>
  <c r="Q716" i="6" s="1"/>
  <c r="O715" i="6"/>
  <c r="M715" i="6"/>
  <c r="Q715" i="6" s="1"/>
  <c r="O714" i="6"/>
  <c r="M714" i="6"/>
  <c r="Q714" i="6" s="1"/>
  <c r="O713" i="6"/>
  <c r="M713" i="6"/>
  <c r="Q713" i="6" s="1"/>
  <c r="O712" i="6"/>
  <c r="M712" i="6"/>
  <c r="Q712" i="6" s="1"/>
  <c r="O711" i="6"/>
  <c r="M711" i="6"/>
  <c r="Q711" i="6" s="1"/>
  <c r="O710" i="6"/>
  <c r="M710" i="6"/>
  <c r="Q710" i="6" s="1"/>
  <c r="O709" i="6"/>
  <c r="M709" i="6"/>
  <c r="Q709" i="6" s="1"/>
  <c r="O708" i="6"/>
  <c r="J708" i="6" s="1"/>
  <c r="I708" i="6" s="1"/>
  <c r="M708" i="6"/>
  <c r="Q708" i="6" s="1"/>
  <c r="O707" i="6"/>
  <c r="M707" i="6"/>
  <c r="Q707" i="6" s="1"/>
  <c r="O706" i="6"/>
  <c r="M706" i="6"/>
  <c r="Q706" i="6" s="1"/>
  <c r="O705" i="6"/>
  <c r="M705" i="6"/>
  <c r="Q705" i="6" s="1"/>
  <c r="O704" i="6"/>
  <c r="M704" i="6"/>
  <c r="Q704" i="6" s="1"/>
  <c r="O703" i="6"/>
  <c r="M703" i="6"/>
  <c r="Q703" i="6" s="1"/>
  <c r="O702" i="6"/>
  <c r="M702" i="6"/>
  <c r="Q702" i="6" s="1"/>
  <c r="O701" i="6"/>
  <c r="M701" i="6"/>
  <c r="Q701" i="6" s="1"/>
  <c r="O700" i="6"/>
  <c r="J700" i="6" s="1"/>
  <c r="I700" i="6" s="1"/>
  <c r="M700" i="6"/>
  <c r="Q700" i="6" s="1"/>
  <c r="O699" i="6"/>
  <c r="M699" i="6"/>
  <c r="Q699" i="6" s="1"/>
  <c r="O698" i="6"/>
  <c r="M698" i="6"/>
  <c r="Q698" i="6" s="1"/>
  <c r="O697" i="6"/>
  <c r="M697" i="6"/>
  <c r="Q697" i="6" s="1"/>
  <c r="O696" i="6"/>
  <c r="M696" i="6"/>
  <c r="Q696" i="6" s="1"/>
  <c r="O695" i="6"/>
  <c r="M695" i="6"/>
  <c r="Q695" i="6" s="1"/>
  <c r="O694" i="6"/>
  <c r="M694" i="6"/>
  <c r="Q694" i="6" s="1"/>
  <c r="O693" i="6"/>
  <c r="M693" i="6"/>
  <c r="Q693" i="6" s="1"/>
  <c r="O692" i="6"/>
  <c r="M692" i="6"/>
  <c r="Q692" i="6" s="1"/>
  <c r="O691" i="6"/>
  <c r="M691" i="6"/>
  <c r="Q691" i="6" s="1"/>
  <c r="O690" i="6"/>
  <c r="M690" i="6"/>
  <c r="Q690" i="6" s="1"/>
  <c r="O689" i="6"/>
  <c r="M689" i="6"/>
  <c r="Q689" i="6" s="1"/>
  <c r="O688" i="6"/>
  <c r="M688" i="6"/>
  <c r="Q688" i="6" s="1"/>
  <c r="O687" i="6"/>
  <c r="M687" i="6"/>
  <c r="Q687" i="6" s="1"/>
  <c r="O686" i="6"/>
  <c r="M686" i="6"/>
  <c r="Q686" i="6" s="1"/>
  <c r="O685" i="6"/>
  <c r="M685" i="6"/>
  <c r="Q685" i="6" s="1"/>
  <c r="O684" i="6"/>
  <c r="J684" i="6" s="1"/>
  <c r="I684" i="6" s="1"/>
  <c r="M684" i="6"/>
  <c r="Q684" i="6" s="1"/>
  <c r="O683" i="6"/>
  <c r="M683" i="6"/>
  <c r="Q683" i="6" s="1"/>
  <c r="O682" i="6"/>
  <c r="M682" i="6"/>
  <c r="Q682" i="6" s="1"/>
  <c r="O681" i="6"/>
  <c r="M681" i="6"/>
  <c r="Q681" i="6" s="1"/>
  <c r="O680" i="6"/>
  <c r="M680" i="6"/>
  <c r="Q680" i="6" s="1"/>
  <c r="O679" i="6"/>
  <c r="M679" i="6"/>
  <c r="Q679" i="6" s="1"/>
  <c r="O678" i="6"/>
  <c r="M678" i="6"/>
  <c r="Q678" i="6" s="1"/>
  <c r="O677" i="6"/>
  <c r="M677" i="6"/>
  <c r="Q677" i="6" s="1"/>
  <c r="O676" i="6"/>
  <c r="J676" i="6" s="1"/>
  <c r="I676" i="6" s="1"/>
  <c r="M676" i="6"/>
  <c r="Q676" i="6" s="1"/>
  <c r="O675" i="6"/>
  <c r="M675" i="6"/>
  <c r="Q675" i="6" s="1"/>
  <c r="O674" i="6"/>
  <c r="M674" i="6"/>
  <c r="Q674" i="6" s="1"/>
  <c r="O673" i="6"/>
  <c r="M673" i="6"/>
  <c r="Q673" i="6" s="1"/>
  <c r="O672" i="6"/>
  <c r="M672" i="6"/>
  <c r="Q672" i="6" s="1"/>
  <c r="O671" i="6"/>
  <c r="M671" i="6"/>
  <c r="Q671" i="6" s="1"/>
  <c r="O670" i="6"/>
  <c r="M670" i="6"/>
  <c r="Q670" i="6" s="1"/>
  <c r="O669" i="6"/>
  <c r="M669" i="6"/>
  <c r="Q669" i="6" s="1"/>
  <c r="O668" i="6"/>
  <c r="J668" i="6" s="1"/>
  <c r="I668" i="6" s="1"/>
  <c r="M668" i="6"/>
  <c r="Q668" i="6" s="1"/>
  <c r="O667" i="6"/>
  <c r="M667" i="6"/>
  <c r="Q667" i="6" s="1"/>
  <c r="O666" i="6"/>
  <c r="M666" i="6"/>
  <c r="Q666" i="6" s="1"/>
  <c r="O665" i="6"/>
  <c r="M665" i="6"/>
  <c r="Q665" i="6" s="1"/>
  <c r="O664" i="6"/>
  <c r="M664" i="6"/>
  <c r="Q664" i="6" s="1"/>
  <c r="O663" i="6"/>
  <c r="M663" i="6"/>
  <c r="Q663" i="6" s="1"/>
  <c r="O662" i="6"/>
  <c r="M662" i="6"/>
  <c r="Q662" i="6" s="1"/>
  <c r="O661" i="6"/>
  <c r="M661" i="6"/>
  <c r="Q661" i="6" s="1"/>
  <c r="O660" i="6"/>
  <c r="M660" i="6"/>
  <c r="Q660" i="6" s="1"/>
  <c r="O659" i="6"/>
  <c r="M659" i="6"/>
  <c r="Q659" i="6" s="1"/>
  <c r="O658" i="6"/>
  <c r="M658" i="6"/>
  <c r="Q658" i="6" s="1"/>
  <c r="O657" i="6"/>
  <c r="M657" i="6"/>
  <c r="Q657" i="6" s="1"/>
  <c r="O656" i="6"/>
  <c r="M656" i="6"/>
  <c r="Q656" i="6" s="1"/>
  <c r="O655" i="6"/>
  <c r="M655" i="6"/>
  <c r="Q655" i="6" s="1"/>
  <c r="O654" i="6"/>
  <c r="M654" i="6"/>
  <c r="Q654" i="6" s="1"/>
  <c r="O653" i="6"/>
  <c r="M653" i="6"/>
  <c r="Q653" i="6" s="1"/>
  <c r="O652" i="6"/>
  <c r="M652" i="6"/>
  <c r="Q652" i="6" s="1"/>
  <c r="O651" i="6"/>
  <c r="M651" i="6"/>
  <c r="Q651" i="6" s="1"/>
  <c r="O650" i="6"/>
  <c r="M650" i="6"/>
  <c r="Q650" i="6" s="1"/>
  <c r="O649" i="6"/>
  <c r="M649" i="6"/>
  <c r="Q649" i="6" s="1"/>
  <c r="O648" i="6"/>
  <c r="M648" i="6"/>
  <c r="Q648" i="6" s="1"/>
  <c r="O647" i="6"/>
  <c r="M647" i="6"/>
  <c r="Q647" i="6" s="1"/>
  <c r="O646" i="6"/>
  <c r="M646" i="6"/>
  <c r="Q646" i="6" s="1"/>
  <c r="O645" i="6"/>
  <c r="M645" i="6"/>
  <c r="Q645" i="6" s="1"/>
  <c r="O644" i="6"/>
  <c r="M644" i="6"/>
  <c r="Q644" i="6" s="1"/>
  <c r="O643" i="6"/>
  <c r="M643" i="6"/>
  <c r="Q643" i="6" s="1"/>
  <c r="O642" i="6"/>
  <c r="M642" i="6"/>
  <c r="Q642" i="6" s="1"/>
  <c r="O641" i="6"/>
  <c r="M641" i="6"/>
  <c r="Q641" i="6" s="1"/>
  <c r="O640" i="6"/>
  <c r="M640" i="6"/>
  <c r="Q640" i="6" s="1"/>
  <c r="O639" i="6"/>
  <c r="M639" i="6"/>
  <c r="Q639" i="6" s="1"/>
  <c r="O638" i="6"/>
  <c r="M638" i="6"/>
  <c r="Q638" i="6" s="1"/>
  <c r="O637" i="6"/>
  <c r="M637" i="6"/>
  <c r="Q637" i="6" s="1"/>
  <c r="O636" i="6"/>
  <c r="M636" i="6"/>
  <c r="Q636" i="6" s="1"/>
  <c r="J636" i="6"/>
  <c r="I636" i="6" s="1"/>
  <c r="O635" i="6"/>
  <c r="M635" i="6"/>
  <c r="Q635" i="6" s="1"/>
  <c r="O634" i="6"/>
  <c r="M634" i="6"/>
  <c r="Q634" i="6" s="1"/>
  <c r="O633" i="6"/>
  <c r="M633" i="6"/>
  <c r="Q633" i="6" s="1"/>
  <c r="O632" i="6"/>
  <c r="M632" i="6"/>
  <c r="Q632" i="6" s="1"/>
  <c r="O631" i="6"/>
  <c r="M631" i="6"/>
  <c r="Q631" i="6" s="1"/>
  <c r="O630" i="6"/>
  <c r="M630" i="6"/>
  <c r="Q630" i="6" s="1"/>
  <c r="O629" i="6"/>
  <c r="M629" i="6"/>
  <c r="Q629" i="6" s="1"/>
  <c r="O628" i="6"/>
  <c r="M628" i="6"/>
  <c r="Q628" i="6" s="1"/>
  <c r="O627" i="6"/>
  <c r="M627" i="6"/>
  <c r="Q627" i="6" s="1"/>
  <c r="O626" i="6"/>
  <c r="M626" i="6"/>
  <c r="Q626" i="6" s="1"/>
  <c r="O625" i="6"/>
  <c r="M625" i="6"/>
  <c r="Q625" i="6" s="1"/>
  <c r="O624" i="6"/>
  <c r="M624" i="6"/>
  <c r="Q624" i="6" s="1"/>
  <c r="O623" i="6"/>
  <c r="M623" i="6"/>
  <c r="Q623" i="6" s="1"/>
  <c r="O622" i="6"/>
  <c r="M622" i="6"/>
  <c r="Q622" i="6" s="1"/>
  <c r="O621" i="6"/>
  <c r="M621" i="6"/>
  <c r="Q621" i="6" s="1"/>
  <c r="O620" i="6"/>
  <c r="M620" i="6"/>
  <c r="Q620" i="6" s="1"/>
  <c r="O619" i="6"/>
  <c r="M619" i="6"/>
  <c r="Q619" i="6" s="1"/>
  <c r="O618" i="6"/>
  <c r="M618" i="6"/>
  <c r="Q618" i="6" s="1"/>
  <c r="O617" i="6"/>
  <c r="M617" i="6"/>
  <c r="Q617" i="6" s="1"/>
  <c r="O616" i="6"/>
  <c r="M616" i="6"/>
  <c r="Q616" i="6" s="1"/>
  <c r="O615" i="6"/>
  <c r="M615" i="6"/>
  <c r="Q615" i="6" s="1"/>
  <c r="O614" i="6"/>
  <c r="M614" i="6"/>
  <c r="Q614" i="6" s="1"/>
  <c r="O613" i="6"/>
  <c r="M613" i="6"/>
  <c r="Q613" i="6" s="1"/>
  <c r="O612" i="6"/>
  <c r="M612" i="6"/>
  <c r="Q612" i="6" s="1"/>
  <c r="O611" i="6"/>
  <c r="M611" i="6"/>
  <c r="Q611" i="6" s="1"/>
  <c r="O610" i="6"/>
  <c r="M610" i="6"/>
  <c r="Q610" i="6" s="1"/>
  <c r="O609" i="6"/>
  <c r="M609" i="6"/>
  <c r="Q609" i="6" s="1"/>
  <c r="O608" i="6"/>
  <c r="M608" i="6"/>
  <c r="Q608" i="6" s="1"/>
  <c r="O607" i="6"/>
  <c r="M607" i="6"/>
  <c r="Q607" i="6" s="1"/>
  <c r="O606" i="6"/>
  <c r="M606" i="6"/>
  <c r="Q606" i="6" s="1"/>
  <c r="O605" i="6"/>
  <c r="M605" i="6"/>
  <c r="Q605" i="6" s="1"/>
  <c r="O604" i="6"/>
  <c r="M604" i="6"/>
  <c r="Q604" i="6" s="1"/>
  <c r="O603" i="6"/>
  <c r="M603" i="6"/>
  <c r="Q603" i="6" s="1"/>
  <c r="O602" i="6"/>
  <c r="M602" i="6"/>
  <c r="Q602" i="6" s="1"/>
  <c r="O601" i="6"/>
  <c r="M601" i="6"/>
  <c r="Q601" i="6" s="1"/>
  <c r="O600" i="6"/>
  <c r="M600" i="6"/>
  <c r="O599" i="6"/>
  <c r="M599" i="6"/>
  <c r="Q599" i="6" s="1"/>
  <c r="O598" i="6"/>
  <c r="M598" i="6"/>
  <c r="O597" i="6"/>
  <c r="M597" i="6"/>
  <c r="Q597" i="6" s="1"/>
  <c r="O596" i="6"/>
  <c r="M596" i="6"/>
  <c r="O595" i="6"/>
  <c r="M595" i="6"/>
  <c r="Q595" i="6" s="1"/>
  <c r="O594" i="6"/>
  <c r="M594" i="6"/>
  <c r="O593" i="6"/>
  <c r="M593" i="6"/>
  <c r="Q593" i="6" s="1"/>
  <c r="O592" i="6"/>
  <c r="M592" i="6"/>
  <c r="O591" i="6"/>
  <c r="M591" i="6"/>
  <c r="Q591" i="6" s="1"/>
  <c r="O590" i="6"/>
  <c r="M590" i="6"/>
  <c r="O589" i="6"/>
  <c r="M589" i="6"/>
  <c r="Q589" i="6" s="1"/>
  <c r="O588" i="6"/>
  <c r="M588" i="6"/>
  <c r="O587" i="6"/>
  <c r="M587" i="6"/>
  <c r="Q587" i="6" s="1"/>
  <c r="O586" i="6"/>
  <c r="M586" i="6"/>
  <c r="O585" i="6"/>
  <c r="M585" i="6"/>
  <c r="Q585" i="6" s="1"/>
  <c r="O584" i="6"/>
  <c r="M584" i="6"/>
  <c r="O583" i="6"/>
  <c r="M583" i="6"/>
  <c r="Q583" i="6" s="1"/>
  <c r="O582" i="6"/>
  <c r="M582" i="6"/>
  <c r="O581" i="6"/>
  <c r="M581" i="6"/>
  <c r="Q581" i="6" s="1"/>
  <c r="O580" i="6"/>
  <c r="M580" i="6"/>
  <c r="O579" i="6"/>
  <c r="M579" i="6"/>
  <c r="Q579" i="6" s="1"/>
  <c r="O578" i="6"/>
  <c r="M578" i="6"/>
  <c r="O577" i="6"/>
  <c r="M577" i="6"/>
  <c r="Q577" i="6" s="1"/>
  <c r="O576" i="6"/>
  <c r="M576" i="6"/>
  <c r="O575" i="6"/>
  <c r="M575" i="6"/>
  <c r="Q575" i="6" s="1"/>
  <c r="O574" i="6"/>
  <c r="M574" i="6"/>
  <c r="O573" i="6"/>
  <c r="M573" i="6"/>
  <c r="Q573" i="6" s="1"/>
  <c r="O572" i="6"/>
  <c r="M572" i="6"/>
  <c r="O571" i="6"/>
  <c r="M571" i="6"/>
  <c r="Q571" i="6" s="1"/>
  <c r="O570" i="6"/>
  <c r="M570" i="6"/>
  <c r="O569" i="6"/>
  <c r="M569" i="6"/>
  <c r="Q569" i="6" s="1"/>
  <c r="O568" i="6"/>
  <c r="M568" i="6"/>
  <c r="O567" i="6"/>
  <c r="M567" i="6"/>
  <c r="Q567" i="6" s="1"/>
  <c r="O566" i="6"/>
  <c r="M566" i="6"/>
  <c r="O565" i="6"/>
  <c r="M565" i="6"/>
  <c r="Q565" i="6" s="1"/>
  <c r="O564" i="6"/>
  <c r="M564" i="6"/>
  <c r="O563" i="6"/>
  <c r="M563" i="6"/>
  <c r="Q563" i="6" s="1"/>
  <c r="O562" i="6"/>
  <c r="M562" i="6"/>
  <c r="O561" i="6"/>
  <c r="M561" i="6"/>
  <c r="Q561" i="6" s="1"/>
  <c r="O560" i="6"/>
  <c r="M560" i="6"/>
  <c r="O559" i="6"/>
  <c r="M559" i="6"/>
  <c r="Q559" i="6" s="1"/>
  <c r="O558" i="6"/>
  <c r="M558" i="6"/>
  <c r="O557" i="6"/>
  <c r="M557" i="6"/>
  <c r="Q557" i="6" s="1"/>
  <c r="O556" i="6"/>
  <c r="M556" i="6"/>
  <c r="O555" i="6"/>
  <c r="M555" i="6"/>
  <c r="Q555" i="6" s="1"/>
  <c r="O554" i="6"/>
  <c r="M554" i="6"/>
  <c r="O553" i="6"/>
  <c r="M553" i="6"/>
  <c r="Q553" i="6" s="1"/>
  <c r="O552" i="6"/>
  <c r="M552" i="6"/>
  <c r="O551" i="6"/>
  <c r="M551" i="6"/>
  <c r="Q551" i="6" s="1"/>
  <c r="O550" i="6"/>
  <c r="M550" i="6"/>
  <c r="O549" i="6"/>
  <c r="M549" i="6"/>
  <c r="Q549" i="6" s="1"/>
  <c r="O548" i="6"/>
  <c r="M548" i="6"/>
  <c r="O547" i="6"/>
  <c r="M547" i="6"/>
  <c r="Q547" i="6" s="1"/>
  <c r="O546" i="6"/>
  <c r="M546" i="6"/>
  <c r="O545" i="6"/>
  <c r="M545" i="6"/>
  <c r="Q545" i="6" s="1"/>
  <c r="O544" i="6"/>
  <c r="M544" i="6"/>
  <c r="O543" i="6"/>
  <c r="M543" i="6"/>
  <c r="Q543" i="6" s="1"/>
  <c r="O542" i="6"/>
  <c r="J542" i="6" s="1"/>
  <c r="I542" i="6" s="1"/>
  <c r="M542" i="6"/>
  <c r="O541" i="6"/>
  <c r="M541" i="6"/>
  <c r="Q541" i="6" s="1"/>
  <c r="O540" i="6"/>
  <c r="M540" i="6"/>
  <c r="O539" i="6"/>
  <c r="M539" i="6"/>
  <c r="Q539" i="6" s="1"/>
  <c r="O538" i="6"/>
  <c r="M538" i="6"/>
  <c r="O537" i="6"/>
  <c r="M537" i="6"/>
  <c r="Q537" i="6" s="1"/>
  <c r="O536" i="6"/>
  <c r="M536" i="6"/>
  <c r="O535" i="6"/>
  <c r="M535" i="6"/>
  <c r="Q535" i="6" s="1"/>
  <c r="O534" i="6"/>
  <c r="M534" i="6"/>
  <c r="O533" i="6"/>
  <c r="M533" i="6"/>
  <c r="Q533" i="6" s="1"/>
  <c r="O532" i="6"/>
  <c r="M532" i="6"/>
  <c r="O531" i="6"/>
  <c r="M531" i="6"/>
  <c r="Q531" i="6" s="1"/>
  <c r="O530" i="6"/>
  <c r="M530" i="6"/>
  <c r="O529" i="6"/>
  <c r="M529" i="6"/>
  <c r="Q529" i="6" s="1"/>
  <c r="O528" i="6"/>
  <c r="M528" i="6"/>
  <c r="O527" i="6"/>
  <c r="M527" i="6"/>
  <c r="Q527" i="6" s="1"/>
  <c r="O526" i="6"/>
  <c r="J526" i="6" s="1"/>
  <c r="I526" i="6" s="1"/>
  <c r="M526" i="6"/>
  <c r="O525" i="6"/>
  <c r="M525" i="6"/>
  <c r="Q525" i="6" s="1"/>
  <c r="O524" i="6"/>
  <c r="M524" i="6"/>
  <c r="O523" i="6"/>
  <c r="M523" i="6"/>
  <c r="Q523" i="6" s="1"/>
  <c r="O522" i="6"/>
  <c r="M522" i="6"/>
  <c r="O521" i="6"/>
  <c r="M521" i="6"/>
  <c r="Q521" i="6" s="1"/>
  <c r="O520" i="6"/>
  <c r="M520" i="6"/>
  <c r="O519" i="6"/>
  <c r="M519" i="6"/>
  <c r="Q519" i="6" s="1"/>
  <c r="O518" i="6"/>
  <c r="M518" i="6"/>
  <c r="O517" i="6"/>
  <c r="M517" i="6"/>
  <c r="Q517" i="6" s="1"/>
  <c r="O516" i="6"/>
  <c r="M516" i="6"/>
  <c r="O515" i="6"/>
  <c r="M515" i="6"/>
  <c r="Q515" i="6" s="1"/>
  <c r="O514" i="6"/>
  <c r="M514" i="6"/>
  <c r="O513" i="6"/>
  <c r="M513" i="6"/>
  <c r="Q513" i="6" s="1"/>
  <c r="O512" i="6"/>
  <c r="M512" i="6"/>
  <c r="O511" i="6"/>
  <c r="M511" i="6"/>
  <c r="Q511" i="6" s="1"/>
  <c r="O510" i="6"/>
  <c r="J510" i="6" s="1"/>
  <c r="I510" i="6" s="1"/>
  <c r="M510" i="6"/>
  <c r="O509" i="6"/>
  <c r="M509" i="6"/>
  <c r="Q509" i="6" s="1"/>
  <c r="O508" i="6"/>
  <c r="M508" i="6"/>
  <c r="O507" i="6"/>
  <c r="M507" i="6"/>
  <c r="Q507" i="6" s="1"/>
  <c r="O506" i="6"/>
  <c r="M506" i="6"/>
  <c r="O505" i="6"/>
  <c r="M505" i="6"/>
  <c r="Q505" i="6" s="1"/>
  <c r="O504" i="6"/>
  <c r="M504" i="6"/>
  <c r="O503" i="6"/>
  <c r="M503" i="6"/>
  <c r="Q503" i="6" s="1"/>
  <c r="O502" i="6"/>
  <c r="M502" i="6"/>
  <c r="O501" i="6"/>
  <c r="M501" i="6"/>
  <c r="Q501" i="6" s="1"/>
  <c r="O500" i="6"/>
  <c r="M500" i="6"/>
  <c r="O499" i="6"/>
  <c r="M499" i="6"/>
  <c r="Q499" i="6" s="1"/>
  <c r="O498" i="6"/>
  <c r="M498" i="6"/>
  <c r="O497" i="6"/>
  <c r="M497" i="6"/>
  <c r="Q497" i="6" s="1"/>
  <c r="O496" i="6"/>
  <c r="M496" i="6"/>
  <c r="O495" i="6"/>
  <c r="M495" i="6"/>
  <c r="Q495" i="6" s="1"/>
  <c r="O494" i="6"/>
  <c r="M494" i="6"/>
  <c r="O493" i="6"/>
  <c r="M493" i="6"/>
  <c r="Q493" i="6" s="1"/>
  <c r="O492" i="6"/>
  <c r="M492" i="6"/>
  <c r="Q492" i="6" s="1"/>
  <c r="O491" i="6"/>
  <c r="M491" i="6"/>
  <c r="Q491" i="6" s="1"/>
  <c r="O490" i="6"/>
  <c r="M490" i="6"/>
  <c r="Q490" i="6" s="1"/>
  <c r="O489" i="6"/>
  <c r="M489" i="6"/>
  <c r="Q489" i="6" s="1"/>
  <c r="O488" i="6"/>
  <c r="M488" i="6"/>
  <c r="Q488" i="6" s="1"/>
  <c r="O487" i="6"/>
  <c r="M487" i="6"/>
  <c r="Q487" i="6" s="1"/>
  <c r="O486" i="6"/>
  <c r="J486" i="6" s="1"/>
  <c r="I486" i="6" s="1"/>
  <c r="M486" i="6"/>
  <c r="Q486" i="6" s="1"/>
  <c r="O485" i="6"/>
  <c r="M485" i="6"/>
  <c r="Q485" i="6" s="1"/>
  <c r="O484" i="6"/>
  <c r="M484" i="6"/>
  <c r="Q484" i="6" s="1"/>
  <c r="O483" i="6"/>
  <c r="M483" i="6"/>
  <c r="Q483" i="6" s="1"/>
  <c r="O482" i="6"/>
  <c r="M482" i="6"/>
  <c r="Q482" i="6" s="1"/>
  <c r="O481" i="6"/>
  <c r="M481" i="6"/>
  <c r="Q481" i="6" s="1"/>
  <c r="O480" i="6"/>
  <c r="M480" i="6"/>
  <c r="Q480" i="6" s="1"/>
  <c r="O479" i="6"/>
  <c r="M479" i="6"/>
  <c r="Q479" i="6" s="1"/>
  <c r="O478" i="6"/>
  <c r="J478" i="6" s="1"/>
  <c r="I478" i="6" s="1"/>
  <c r="M478" i="6"/>
  <c r="Q478" i="6" s="1"/>
  <c r="O477" i="6"/>
  <c r="M477" i="6"/>
  <c r="Q477" i="6" s="1"/>
  <c r="O476" i="6"/>
  <c r="M476" i="6"/>
  <c r="Q476" i="6" s="1"/>
  <c r="O475" i="6"/>
  <c r="M475" i="6"/>
  <c r="Q475" i="6" s="1"/>
  <c r="O474" i="6"/>
  <c r="M474" i="6"/>
  <c r="Q474" i="6" s="1"/>
  <c r="O473" i="6"/>
  <c r="M473" i="6"/>
  <c r="Q473" i="6" s="1"/>
  <c r="O472" i="6"/>
  <c r="M472" i="6"/>
  <c r="Q472" i="6" s="1"/>
  <c r="O471" i="6"/>
  <c r="M471" i="6"/>
  <c r="Q471" i="6" s="1"/>
  <c r="O470" i="6"/>
  <c r="J470" i="6" s="1"/>
  <c r="I470" i="6" s="1"/>
  <c r="M470" i="6"/>
  <c r="Q470" i="6" s="1"/>
  <c r="O469" i="6"/>
  <c r="M469" i="6"/>
  <c r="Q469" i="6" s="1"/>
  <c r="O468" i="6"/>
  <c r="M468" i="6"/>
  <c r="Q468" i="6" s="1"/>
  <c r="O467" i="6"/>
  <c r="M467" i="6"/>
  <c r="Q467" i="6" s="1"/>
  <c r="O466" i="6"/>
  <c r="M466" i="6"/>
  <c r="Q466" i="6" s="1"/>
  <c r="O465" i="6"/>
  <c r="M465" i="6"/>
  <c r="Q465" i="6" s="1"/>
  <c r="O464" i="6"/>
  <c r="M464" i="6"/>
  <c r="Q464" i="6" s="1"/>
  <c r="O463" i="6"/>
  <c r="M463" i="6"/>
  <c r="Q463" i="6" s="1"/>
  <c r="O462" i="6"/>
  <c r="M462" i="6"/>
  <c r="Q462" i="6" s="1"/>
  <c r="O461" i="6"/>
  <c r="M461" i="6"/>
  <c r="Q461" i="6" s="1"/>
  <c r="O460" i="6"/>
  <c r="M460" i="6"/>
  <c r="Q460" i="6" s="1"/>
  <c r="O459" i="6"/>
  <c r="M459" i="6"/>
  <c r="Q459" i="6" s="1"/>
  <c r="O458" i="6"/>
  <c r="M458" i="6"/>
  <c r="Q458" i="6" s="1"/>
  <c r="O457" i="6"/>
  <c r="M457" i="6"/>
  <c r="Q457" i="6" s="1"/>
  <c r="O456" i="6"/>
  <c r="M456" i="6"/>
  <c r="Q456" i="6" s="1"/>
  <c r="O455" i="6"/>
  <c r="M455" i="6"/>
  <c r="Q455" i="6" s="1"/>
  <c r="O454" i="6"/>
  <c r="M454" i="6"/>
  <c r="Q454" i="6" s="1"/>
  <c r="O453" i="6"/>
  <c r="M453" i="6"/>
  <c r="Q453" i="6" s="1"/>
  <c r="O452" i="6"/>
  <c r="M452" i="6"/>
  <c r="Q452" i="6" s="1"/>
  <c r="O451" i="6"/>
  <c r="M451" i="6"/>
  <c r="Q451" i="6" s="1"/>
  <c r="O450" i="6"/>
  <c r="M450" i="6"/>
  <c r="Q450" i="6" s="1"/>
  <c r="O449" i="6"/>
  <c r="M449" i="6"/>
  <c r="Q449" i="6" s="1"/>
  <c r="O448" i="6"/>
  <c r="M448" i="6"/>
  <c r="Q448" i="6" s="1"/>
  <c r="O447" i="6"/>
  <c r="M447" i="6"/>
  <c r="Q447" i="6" s="1"/>
  <c r="O446" i="6"/>
  <c r="M446" i="6"/>
  <c r="Q446" i="6" s="1"/>
  <c r="O445" i="6"/>
  <c r="M445" i="6"/>
  <c r="Q445" i="6" s="1"/>
  <c r="O444" i="6"/>
  <c r="M444" i="6"/>
  <c r="Q444" i="6" s="1"/>
  <c r="O443" i="6"/>
  <c r="M443" i="6"/>
  <c r="Q443" i="6" s="1"/>
  <c r="O442" i="6"/>
  <c r="M442" i="6"/>
  <c r="Q442" i="6" s="1"/>
  <c r="O441" i="6"/>
  <c r="M441" i="6"/>
  <c r="Q441" i="6" s="1"/>
  <c r="O440" i="6"/>
  <c r="M440" i="6"/>
  <c r="Q440" i="6" s="1"/>
  <c r="O439" i="6"/>
  <c r="M439" i="6"/>
  <c r="Q439" i="6" s="1"/>
  <c r="O438" i="6"/>
  <c r="M438" i="6"/>
  <c r="Q438" i="6" s="1"/>
  <c r="J438" i="6"/>
  <c r="I438" i="6" s="1"/>
  <c r="O437" i="6"/>
  <c r="M437" i="6"/>
  <c r="Q437" i="6" s="1"/>
  <c r="O436" i="6"/>
  <c r="M436" i="6"/>
  <c r="Q436" i="6" s="1"/>
  <c r="O435" i="6"/>
  <c r="M435" i="6"/>
  <c r="Q435" i="6" s="1"/>
  <c r="O434" i="6"/>
  <c r="M434" i="6"/>
  <c r="Q434" i="6" s="1"/>
  <c r="O433" i="6"/>
  <c r="M433" i="6"/>
  <c r="Q433" i="6" s="1"/>
  <c r="O432" i="6"/>
  <c r="M432" i="6"/>
  <c r="Q432" i="6" s="1"/>
  <c r="O431" i="6"/>
  <c r="M431" i="6"/>
  <c r="Q431" i="6" s="1"/>
  <c r="O430" i="6"/>
  <c r="M430" i="6"/>
  <c r="Q430" i="6" s="1"/>
  <c r="O429" i="6"/>
  <c r="M429" i="6"/>
  <c r="Q429" i="6" s="1"/>
  <c r="O428" i="6"/>
  <c r="M428" i="6"/>
  <c r="Q428" i="6" s="1"/>
  <c r="O427" i="6"/>
  <c r="M427" i="6"/>
  <c r="Q427" i="6" s="1"/>
  <c r="O426" i="6"/>
  <c r="M426" i="6"/>
  <c r="Q426" i="6" s="1"/>
  <c r="O425" i="6"/>
  <c r="M425" i="6"/>
  <c r="Q425" i="6" s="1"/>
  <c r="O424" i="6"/>
  <c r="M424" i="6"/>
  <c r="Q424" i="6" s="1"/>
  <c r="O423" i="6"/>
  <c r="M423" i="6"/>
  <c r="Q423" i="6" s="1"/>
  <c r="O422" i="6"/>
  <c r="M422" i="6"/>
  <c r="Q422" i="6" s="1"/>
  <c r="O421" i="6"/>
  <c r="M421" i="6"/>
  <c r="Q421" i="6" s="1"/>
  <c r="O420" i="6"/>
  <c r="M420" i="6"/>
  <c r="Q420" i="6" s="1"/>
  <c r="O419" i="6"/>
  <c r="M419" i="6"/>
  <c r="Q419" i="6" s="1"/>
  <c r="O418" i="6"/>
  <c r="M418" i="6"/>
  <c r="Q418" i="6" s="1"/>
  <c r="O417" i="6"/>
  <c r="M417" i="6"/>
  <c r="Q417" i="6" s="1"/>
  <c r="O416" i="6"/>
  <c r="M416" i="6"/>
  <c r="Q416" i="6" s="1"/>
  <c r="O415" i="6"/>
  <c r="M415" i="6"/>
  <c r="Q415" i="6" s="1"/>
  <c r="O414" i="6"/>
  <c r="M414" i="6"/>
  <c r="Q414" i="6" s="1"/>
  <c r="O413" i="6"/>
  <c r="M413" i="6"/>
  <c r="Q413" i="6" s="1"/>
  <c r="O412" i="6"/>
  <c r="M412" i="6"/>
  <c r="Q412" i="6" s="1"/>
  <c r="O411" i="6"/>
  <c r="M411" i="6"/>
  <c r="Q411" i="6" s="1"/>
  <c r="O410" i="6"/>
  <c r="M410" i="6"/>
  <c r="Q410" i="6" s="1"/>
  <c r="O409" i="6"/>
  <c r="M409" i="6"/>
  <c r="Q409" i="6" s="1"/>
  <c r="O408" i="6"/>
  <c r="M408" i="6"/>
  <c r="Q408" i="6" s="1"/>
  <c r="O407" i="6"/>
  <c r="M407" i="6"/>
  <c r="Q407" i="6" s="1"/>
  <c r="O406" i="6"/>
  <c r="M406" i="6"/>
  <c r="Q406" i="6" s="1"/>
  <c r="O405" i="6"/>
  <c r="M405" i="6"/>
  <c r="Q405" i="6" s="1"/>
  <c r="O404" i="6"/>
  <c r="M404" i="6"/>
  <c r="Q404" i="6" s="1"/>
  <c r="O403" i="6"/>
  <c r="M403" i="6"/>
  <c r="Q403" i="6" s="1"/>
  <c r="O402" i="6"/>
  <c r="M402" i="6"/>
  <c r="Q402" i="6" s="1"/>
  <c r="O401" i="6"/>
  <c r="M401" i="6"/>
  <c r="Q401" i="6" s="1"/>
  <c r="O400" i="6"/>
  <c r="M400" i="6"/>
  <c r="Q400" i="6" s="1"/>
  <c r="O399" i="6"/>
  <c r="M399" i="6"/>
  <c r="Q399" i="6" s="1"/>
  <c r="O398" i="6"/>
  <c r="M398" i="6"/>
  <c r="Q398" i="6" s="1"/>
  <c r="O397" i="6"/>
  <c r="M397" i="6"/>
  <c r="Q397" i="6" s="1"/>
  <c r="O396" i="6"/>
  <c r="M396" i="6"/>
  <c r="Q396" i="6" s="1"/>
  <c r="O395" i="6"/>
  <c r="M395" i="6"/>
  <c r="Q395" i="6" s="1"/>
  <c r="O394" i="6"/>
  <c r="M394" i="6"/>
  <c r="Q394" i="6" s="1"/>
  <c r="O393" i="6"/>
  <c r="M393" i="6"/>
  <c r="Q393" i="6" s="1"/>
  <c r="O392" i="6"/>
  <c r="M392" i="6"/>
  <c r="Q392" i="6" s="1"/>
  <c r="O391" i="6"/>
  <c r="M391" i="6"/>
  <c r="Q391" i="6" s="1"/>
  <c r="O390" i="6"/>
  <c r="J390" i="6" s="1"/>
  <c r="I390" i="6" s="1"/>
  <c r="M390" i="6"/>
  <c r="Q390" i="6" s="1"/>
  <c r="O389" i="6"/>
  <c r="M389" i="6"/>
  <c r="Q389" i="6" s="1"/>
  <c r="O388" i="6"/>
  <c r="M388" i="6"/>
  <c r="Q388" i="6" s="1"/>
  <c r="O387" i="6"/>
  <c r="M387" i="6"/>
  <c r="Q387" i="6" s="1"/>
  <c r="O386" i="6"/>
  <c r="M386" i="6"/>
  <c r="Q386" i="6" s="1"/>
  <c r="O385" i="6"/>
  <c r="M385" i="6"/>
  <c r="Q385" i="6" s="1"/>
  <c r="O384" i="6"/>
  <c r="M384" i="6"/>
  <c r="Q384" i="6" s="1"/>
  <c r="O383" i="6"/>
  <c r="M383" i="6"/>
  <c r="Q383" i="6" s="1"/>
  <c r="O382" i="6"/>
  <c r="J382" i="6" s="1"/>
  <c r="I382" i="6" s="1"/>
  <c r="M382" i="6"/>
  <c r="Q382" i="6" s="1"/>
  <c r="O381" i="6"/>
  <c r="M381" i="6"/>
  <c r="Q381" i="6" s="1"/>
  <c r="O380" i="6"/>
  <c r="M380" i="6"/>
  <c r="Q380" i="6" s="1"/>
  <c r="O379" i="6"/>
  <c r="M379" i="6"/>
  <c r="Q379" i="6" s="1"/>
  <c r="O378" i="6"/>
  <c r="M378" i="6"/>
  <c r="Q378" i="6" s="1"/>
  <c r="O377" i="6"/>
  <c r="M377" i="6"/>
  <c r="Q377" i="6" s="1"/>
  <c r="O376" i="6"/>
  <c r="M376" i="6"/>
  <c r="Q376" i="6" s="1"/>
  <c r="O375" i="6"/>
  <c r="M375" i="6"/>
  <c r="Q375" i="6" s="1"/>
  <c r="O374" i="6"/>
  <c r="J374" i="6" s="1"/>
  <c r="I374" i="6" s="1"/>
  <c r="M374" i="6"/>
  <c r="Q374" i="6" s="1"/>
  <c r="O373" i="6"/>
  <c r="M373" i="6"/>
  <c r="Q373" i="6" s="1"/>
  <c r="O372" i="6"/>
  <c r="M372" i="6"/>
  <c r="Q372" i="6" s="1"/>
  <c r="O371" i="6"/>
  <c r="M371" i="6"/>
  <c r="Q371" i="6" s="1"/>
  <c r="O370" i="6"/>
  <c r="M370" i="6"/>
  <c r="Q370" i="6" s="1"/>
  <c r="O369" i="6"/>
  <c r="M369" i="6"/>
  <c r="Q369" i="6" s="1"/>
  <c r="O368" i="6"/>
  <c r="M368" i="6"/>
  <c r="Q368" i="6" s="1"/>
  <c r="O367" i="6"/>
  <c r="M367" i="6"/>
  <c r="Q367" i="6" s="1"/>
  <c r="O366" i="6"/>
  <c r="M366" i="6"/>
  <c r="Q366" i="6" s="1"/>
  <c r="O365" i="6"/>
  <c r="M365" i="6"/>
  <c r="Q365" i="6" s="1"/>
  <c r="O364" i="6"/>
  <c r="M364" i="6"/>
  <c r="Q364" i="6" s="1"/>
  <c r="O363" i="6"/>
  <c r="M363" i="6"/>
  <c r="Q363" i="6" s="1"/>
  <c r="O362" i="6"/>
  <c r="M362" i="6"/>
  <c r="Q362" i="6" s="1"/>
  <c r="O361" i="6"/>
  <c r="M361" i="6"/>
  <c r="Q361" i="6" s="1"/>
  <c r="O360" i="6"/>
  <c r="M360" i="6"/>
  <c r="Q360" i="6" s="1"/>
  <c r="O359" i="6"/>
  <c r="M359" i="6"/>
  <c r="Q359" i="6" s="1"/>
  <c r="O358" i="6"/>
  <c r="M358" i="6"/>
  <c r="Q358" i="6" s="1"/>
  <c r="O357" i="6"/>
  <c r="M357" i="6"/>
  <c r="Q357" i="6" s="1"/>
  <c r="O356" i="6"/>
  <c r="M356" i="6"/>
  <c r="Q356" i="6" s="1"/>
  <c r="O355" i="6"/>
  <c r="M355" i="6"/>
  <c r="Q355" i="6" s="1"/>
  <c r="O354" i="6"/>
  <c r="M354" i="6"/>
  <c r="Q354" i="6" s="1"/>
  <c r="O353" i="6"/>
  <c r="M353" i="6"/>
  <c r="Q353" i="6" s="1"/>
  <c r="O352" i="6"/>
  <c r="M352" i="6"/>
  <c r="Q352" i="6" s="1"/>
  <c r="O351" i="6"/>
  <c r="M351" i="6"/>
  <c r="Q351" i="6" s="1"/>
  <c r="O350" i="6"/>
  <c r="M350" i="6"/>
  <c r="Q350" i="6" s="1"/>
  <c r="J350" i="6"/>
  <c r="I350" i="6" s="1"/>
  <c r="O349" i="6"/>
  <c r="M349" i="6"/>
  <c r="Q349" i="6" s="1"/>
  <c r="O348" i="6"/>
  <c r="M348" i="6"/>
  <c r="J348" i="6" s="1"/>
  <c r="I348" i="6" s="1"/>
  <c r="O347" i="6"/>
  <c r="M347" i="6"/>
  <c r="Q347" i="6" s="1"/>
  <c r="O346" i="6"/>
  <c r="M346" i="6"/>
  <c r="O345" i="6"/>
  <c r="M345" i="6"/>
  <c r="Q345" i="6" s="1"/>
  <c r="O344" i="6"/>
  <c r="M344" i="6"/>
  <c r="J344" i="6" s="1"/>
  <c r="I344" i="6" s="1"/>
  <c r="O343" i="6"/>
  <c r="M343" i="6"/>
  <c r="Q343" i="6" s="1"/>
  <c r="O342" i="6"/>
  <c r="M342" i="6"/>
  <c r="O341" i="6"/>
  <c r="M341" i="6"/>
  <c r="Q341" i="6" s="1"/>
  <c r="O340" i="6"/>
  <c r="M340" i="6"/>
  <c r="O339" i="6"/>
  <c r="M339" i="6"/>
  <c r="Q339" i="6" s="1"/>
  <c r="O338" i="6"/>
  <c r="M338" i="6"/>
  <c r="O337" i="6"/>
  <c r="M337" i="6"/>
  <c r="Q337" i="6" s="1"/>
  <c r="O336" i="6"/>
  <c r="M336" i="6"/>
  <c r="J336" i="6" s="1"/>
  <c r="I336" i="6" s="1"/>
  <c r="O335" i="6"/>
  <c r="M335" i="6"/>
  <c r="Q335" i="6" s="1"/>
  <c r="O334" i="6"/>
  <c r="M334" i="6"/>
  <c r="O333" i="6"/>
  <c r="M333" i="6"/>
  <c r="Q333" i="6" s="1"/>
  <c r="O332" i="6"/>
  <c r="M332" i="6"/>
  <c r="O331" i="6"/>
  <c r="M331" i="6"/>
  <c r="Q331" i="6" s="1"/>
  <c r="O330" i="6"/>
  <c r="M330" i="6"/>
  <c r="O329" i="6"/>
  <c r="M329" i="6"/>
  <c r="Q329" i="6" s="1"/>
  <c r="O328" i="6"/>
  <c r="M328" i="6"/>
  <c r="O327" i="6"/>
  <c r="M327" i="6"/>
  <c r="Q327" i="6" s="1"/>
  <c r="O326" i="6"/>
  <c r="M326" i="6"/>
  <c r="O325" i="6"/>
  <c r="M325" i="6"/>
  <c r="Q325" i="6" s="1"/>
  <c r="O324" i="6"/>
  <c r="M324" i="6"/>
  <c r="O323" i="6"/>
  <c r="M323" i="6"/>
  <c r="Q323" i="6" s="1"/>
  <c r="O322" i="6"/>
  <c r="M322" i="6"/>
  <c r="O321" i="6"/>
  <c r="M321" i="6"/>
  <c r="Q321" i="6" s="1"/>
  <c r="O320" i="6"/>
  <c r="J320" i="6" s="1"/>
  <c r="I320" i="6" s="1"/>
  <c r="M320" i="6"/>
  <c r="O319" i="6"/>
  <c r="M319" i="6"/>
  <c r="Q319" i="6" s="1"/>
  <c r="O318" i="6"/>
  <c r="M318" i="6"/>
  <c r="O317" i="6"/>
  <c r="M317" i="6"/>
  <c r="Q317" i="6" s="1"/>
  <c r="O316" i="6"/>
  <c r="M316" i="6"/>
  <c r="O315" i="6"/>
  <c r="M315" i="6"/>
  <c r="Q315" i="6" s="1"/>
  <c r="O314" i="6"/>
  <c r="M314" i="6"/>
  <c r="O313" i="6"/>
  <c r="M313" i="6"/>
  <c r="Q313" i="6" s="1"/>
  <c r="O312" i="6"/>
  <c r="M312" i="6"/>
  <c r="O311" i="6"/>
  <c r="M311" i="6"/>
  <c r="Q311" i="6" s="1"/>
  <c r="O310" i="6"/>
  <c r="M310" i="6"/>
  <c r="O309" i="6"/>
  <c r="M309" i="6"/>
  <c r="Q309" i="6" s="1"/>
  <c r="O308" i="6"/>
  <c r="M308" i="6"/>
  <c r="O307" i="6"/>
  <c r="M307" i="6"/>
  <c r="Q307" i="6" s="1"/>
  <c r="O306" i="6"/>
  <c r="M306" i="6"/>
  <c r="O305" i="6"/>
  <c r="M305" i="6"/>
  <c r="Q305" i="6" s="1"/>
  <c r="O304" i="6"/>
  <c r="M304" i="6"/>
  <c r="O303" i="6"/>
  <c r="M303" i="6"/>
  <c r="Q303" i="6" s="1"/>
  <c r="O302" i="6"/>
  <c r="M302" i="6"/>
  <c r="O301" i="6"/>
  <c r="M301" i="6"/>
  <c r="Q301" i="6" s="1"/>
  <c r="O300" i="6"/>
  <c r="M300" i="6"/>
  <c r="O299" i="6"/>
  <c r="M299" i="6"/>
  <c r="Q299" i="6" s="1"/>
  <c r="O298" i="6"/>
  <c r="M298" i="6"/>
  <c r="O297" i="6"/>
  <c r="M297" i="6"/>
  <c r="Q297" i="6" s="1"/>
  <c r="O296" i="6"/>
  <c r="J296" i="6" s="1"/>
  <c r="I296" i="6" s="1"/>
  <c r="M296" i="6"/>
  <c r="O295" i="6"/>
  <c r="M295" i="6"/>
  <c r="Q295" i="6" s="1"/>
  <c r="O294" i="6"/>
  <c r="M294" i="6"/>
  <c r="O293" i="6"/>
  <c r="M293" i="6"/>
  <c r="Q293" i="6" s="1"/>
  <c r="O292" i="6"/>
  <c r="M292" i="6"/>
  <c r="O291" i="6"/>
  <c r="M291" i="6"/>
  <c r="Q291" i="6" s="1"/>
  <c r="O290" i="6"/>
  <c r="M290" i="6"/>
  <c r="O289" i="6"/>
  <c r="M289" i="6"/>
  <c r="Q289" i="6" s="1"/>
  <c r="O288" i="6"/>
  <c r="M288" i="6"/>
  <c r="O287" i="6"/>
  <c r="M287" i="6"/>
  <c r="Q287" i="6" s="1"/>
  <c r="O286" i="6"/>
  <c r="M286" i="6"/>
  <c r="O285" i="6"/>
  <c r="M285" i="6"/>
  <c r="Q285" i="6" s="1"/>
  <c r="O284" i="6"/>
  <c r="M284" i="6"/>
  <c r="O283" i="6"/>
  <c r="M283" i="6"/>
  <c r="Q283" i="6" s="1"/>
  <c r="O282" i="6"/>
  <c r="M282" i="6"/>
  <c r="O281" i="6"/>
  <c r="M281" i="6"/>
  <c r="Q281" i="6" s="1"/>
  <c r="O280" i="6"/>
  <c r="J280" i="6" s="1"/>
  <c r="I280" i="6" s="1"/>
  <c r="M280" i="6"/>
  <c r="O279" i="6"/>
  <c r="M279" i="6"/>
  <c r="Q279" i="6" s="1"/>
  <c r="O278" i="6"/>
  <c r="M278" i="6"/>
  <c r="O277" i="6"/>
  <c r="M277" i="6"/>
  <c r="Q277" i="6" s="1"/>
  <c r="O276" i="6"/>
  <c r="M276" i="6"/>
  <c r="O275" i="6"/>
  <c r="M275" i="6"/>
  <c r="Q275" i="6" s="1"/>
  <c r="O274" i="6"/>
  <c r="M274" i="6"/>
  <c r="O273" i="6"/>
  <c r="M273" i="6"/>
  <c r="Q273" i="6" s="1"/>
  <c r="O272" i="6"/>
  <c r="M272" i="6"/>
  <c r="O271" i="6"/>
  <c r="M271" i="6"/>
  <c r="Q271" i="6" s="1"/>
  <c r="O270" i="6"/>
  <c r="M270" i="6"/>
  <c r="O269" i="6"/>
  <c r="M269" i="6"/>
  <c r="Q269" i="6" s="1"/>
  <c r="O268" i="6"/>
  <c r="M268" i="6"/>
  <c r="O267" i="6"/>
  <c r="M267" i="6"/>
  <c r="Q267" i="6" s="1"/>
  <c r="O266" i="6"/>
  <c r="M266" i="6"/>
  <c r="O265" i="6"/>
  <c r="M265" i="6"/>
  <c r="Q265" i="6" s="1"/>
  <c r="O264" i="6"/>
  <c r="J264" i="6" s="1"/>
  <c r="I264" i="6" s="1"/>
  <c r="M264" i="6"/>
  <c r="O263" i="6"/>
  <c r="M263" i="6"/>
  <c r="Q263" i="6" s="1"/>
  <c r="O262" i="6"/>
  <c r="M262" i="6"/>
  <c r="J262" i="6" s="1"/>
  <c r="I262" i="6" s="1"/>
  <c r="O261" i="6"/>
  <c r="M261" i="6"/>
  <c r="Q261" i="6" s="1"/>
  <c r="O260" i="6"/>
  <c r="M260" i="6"/>
  <c r="J260" i="6" s="1"/>
  <c r="I260" i="6" s="1"/>
  <c r="O259" i="6"/>
  <c r="M259" i="6"/>
  <c r="Q259" i="6" s="1"/>
  <c r="O258" i="6"/>
  <c r="M258" i="6"/>
  <c r="O257" i="6"/>
  <c r="M257" i="6"/>
  <c r="Q257" i="6" s="1"/>
  <c r="O256" i="6"/>
  <c r="M256" i="6"/>
  <c r="J256" i="6" s="1"/>
  <c r="I256" i="6" s="1"/>
  <c r="O255" i="6"/>
  <c r="M255" i="6"/>
  <c r="Q255" i="6" s="1"/>
  <c r="O254" i="6"/>
  <c r="M254" i="6"/>
  <c r="O253" i="6"/>
  <c r="M253" i="6"/>
  <c r="Q253" i="6" s="1"/>
  <c r="O252" i="6"/>
  <c r="M252" i="6"/>
  <c r="O251" i="6"/>
  <c r="M251" i="6"/>
  <c r="Q251" i="6" s="1"/>
  <c r="O250" i="6"/>
  <c r="M250" i="6"/>
  <c r="O249" i="6"/>
  <c r="M249" i="6"/>
  <c r="Q249" i="6" s="1"/>
  <c r="O248" i="6"/>
  <c r="M248" i="6"/>
  <c r="J248" i="6" s="1"/>
  <c r="I248" i="6" s="1"/>
  <c r="O247" i="6"/>
  <c r="M247" i="6"/>
  <c r="Q247" i="6" s="1"/>
  <c r="O246" i="6"/>
  <c r="M246" i="6"/>
  <c r="O245" i="6"/>
  <c r="M245" i="6"/>
  <c r="Q245" i="6" s="1"/>
  <c r="O244" i="6"/>
  <c r="M244" i="6"/>
  <c r="O243" i="6"/>
  <c r="M243" i="6"/>
  <c r="Q243" i="6" s="1"/>
  <c r="O242" i="6"/>
  <c r="M242" i="6"/>
  <c r="O241" i="6"/>
  <c r="M241" i="6"/>
  <c r="Q241" i="6" s="1"/>
  <c r="O240" i="6"/>
  <c r="M240" i="6"/>
  <c r="O239" i="6"/>
  <c r="M239" i="6"/>
  <c r="Q239" i="6" s="1"/>
  <c r="O238" i="6"/>
  <c r="M238" i="6"/>
  <c r="O237" i="6"/>
  <c r="M237" i="6"/>
  <c r="Q237" i="6" s="1"/>
  <c r="O236" i="6"/>
  <c r="M236" i="6"/>
  <c r="O235" i="6"/>
  <c r="M235" i="6"/>
  <c r="Q235" i="6" s="1"/>
  <c r="O234" i="6"/>
  <c r="M234" i="6"/>
  <c r="O233" i="6"/>
  <c r="M233" i="6"/>
  <c r="O232" i="6"/>
  <c r="M232" i="6"/>
  <c r="Q232" i="6" s="1"/>
  <c r="O231" i="6"/>
  <c r="M231" i="6"/>
  <c r="O230" i="6"/>
  <c r="M230" i="6"/>
  <c r="O229" i="6"/>
  <c r="M229" i="6"/>
  <c r="O228" i="6"/>
  <c r="M228" i="6"/>
  <c r="Q228" i="6" s="1"/>
  <c r="O227" i="6"/>
  <c r="M227" i="6"/>
  <c r="O226" i="6"/>
  <c r="M226" i="6"/>
  <c r="J226" i="6" s="1"/>
  <c r="I226" i="6" s="1"/>
  <c r="O225" i="6"/>
  <c r="M225" i="6"/>
  <c r="O224" i="6"/>
  <c r="M224" i="6"/>
  <c r="Q224" i="6" s="1"/>
  <c r="O223" i="6"/>
  <c r="M223" i="6"/>
  <c r="O222" i="6"/>
  <c r="M222" i="6"/>
  <c r="Q222" i="6" s="1"/>
  <c r="O221" i="6"/>
  <c r="M221" i="6"/>
  <c r="O220" i="6"/>
  <c r="M220" i="6"/>
  <c r="Q220" i="6" s="1"/>
  <c r="O219" i="6"/>
  <c r="M219" i="6"/>
  <c r="O218" i="6"/>
  <c r="M218" i="6"/>
  <c r="O217" i="6"/>
  <c r="M217" i="6"/>
  <c r="O216" i="6"/>
  <c r="M216" i="6"/>
  <c r="Q216" i="6" s="1"/>
  <c r="O215" i="6"/>
  <c r="M215" i="6"/>
  <c r="O214" i="6"/>
  <c r="M214" i="6"/>
  <c r="Q214" i="6" s="1"/>
  <c r="O213" i="6"/>
  <c r="M213" i="6"/>
  <c r="O212" i="6"/>
  <c r="M212" i="6"/>
  <c r="Q212" i="6" s="1"/>
  <c r="O211" i="6"/>
  <c r="M211" i="6"/>
  <c r="O210" i="6"/>
  <c r="M210" i="6"/>
  <c r="O209" i="6"/>
  <c r="M209" i="6"/>
  <c r="O208" i="6"/>
  <c r="M208" i="6"/>
  <c r="Q208" i="6" s="1"/>
  <c r="O207" i="6"/>
  <c r="M207" i="6"/>
  <c r="O206" i="6"/>
  <c r="M206" i="6"/>
  <c r="Q206" i="6" s="1"/>
  <c r="O205" i="6"/>
  <c r="M205" i="6"/>
  <c r="O204" i="6"/>
  <c r="M204" i="6"/>
  <c r="Q204" i="6" s="1"/>
  <c r="O203" i="6"/>
  <c r="M203" i="6"/>
  <c r="O202" i="6"/>
  <c r="M202" i="6"/>
  <c r="O201" i="6"/>
  <c r="M201" i="6"/>
  <c r="O200" i="6"/>
  <c r="M200" i="6"/>
  <c r="Q200" i="6" s="1"/>
  <c r="O199" i="6"/>
  <c r="M199" i="6"/>
  <c r="O198" i="6"/>
  <c r="M198" i="6"/>
  <c r="Q198" i="6" s="1"/>
  <c r="O197" i="6"/>
  <c r="M197" i="6"/>
  <c r="O196" i="6"/>
  <c r="M196" i="6"/>
  <c r="Q196" i="6" s="1"/>
  <c r="O195" i="6"/>
  <c r="M195" i="6"/>
  <c r="O194" i="6"/>
  <c r="M194" i="6"/>
  <c r="O193" i="6"/>
  <c r="M193" i="6"/>
  <c r="O192" i="6"/>
  <c r="M192" i="6"/>
  <c r="Q192" i="6" s="1"/>
  <c r="O191" i="6"/>
  <c r="M191" i="6"/>
  <c r="O190" i="6"/>
  <c r="M190" i="6"/>
  <c r="Q190" i="6" s="1"/>
  <c r="O189" i="6"/>
  <c r="M189" i="6"/>
  <c r="O188" i="6"/>
  <c r="M188" i="6"/>
  <c r="Q188" i="6" s="1"/>
  <c r="O187" i="6"/>
  <c r="M187" i="6"/>
  <c r="O186" i="6"/>
  <c r="M186" i="6"/>
  <c r="O185" i="6"/>
  <c r="M185" i="6"/>
  <c r="O184" i="6"/>
  <c r="M184" i="6"/>
  <c r="Q184" i="6" s="1"/>
  <c r="O183" i="6"/>
  <c r="M183" i="6"/>
  <c r="O182" i="6"/>
  <c r="M182" i="6"/>
  <c r="Q182" i="6" s="1"/>
  <c r="O181" i="6"/>
  <c r="M181" i="6"/>
  <c r="O180" i="6"/>
  <c r="M180" i="6"/>
  <c r="Q180" i="6" s="1"/>
  <c r="O179" i="6"/>
  <c r="M179" i="6"/>
  <c r="O178" i="6"/>
  <c r="M178" i="6"/>
  <c r="O177" i="6"/>
  <c r="M177" i="6"/>
  <c r="O176" i="6"/>
  <c r="M176" i="6"/>
  <c r="Q176" i="6" s="1"/>
  <c r="O175" i="6"/>
  <c r="M175" i="6"/>
  <c r="O174" i="6"/>
  <c r="M174" i="6"/>
  <c r="Q174" i="6" s="1"/>
  <c r="O173" i="6"/>
  <c r="M173" i="6"/>
  <c r="O172" i="6"/>
  <c r="M172" i="6"/>
  <c r="Q172" i="6" s="1"/>
  <c r="O171" i="6"/>
  <c r="M171" i="6"/>
  <c r="O170" i="6"/>
  <c r="M170" i="6"/>
  <c r="O169" i="6"/>
  <c r="M169" i="6"/>
  <c r="O168" i="6"/>
  <c r="M168" i="6"/>
  <c r="Q168" i="6" s="1"/>
  <c r="O167" i="6"/>
  <c r="M167" i="6"/>
  <c r="O166" i="6"/>
  <c r="M166" i="6"/>
  <c r="Q166" i="6" s="1"/>
  <c r="J166" i="6"/>
  <c r="I166" i="6" s="1"/>
  <c r="O165" i="6"/>
  <c r="M165" i="6"/>
  <c r="O164" i="6"/>
  <c r="M164" i="6"/>
  <c r="Q164" i="6" s="1"/>
  <c r="O163" i="6"/>
  <c r="M163" i="6"/>
  <c r="O162" i="6"/>
  <c r="M162" i="6"/>
  <c r="J162" i="6" s="1"/>
  <c r="I162" i="6" s="1"/>
  <c r="O161" i="6"/>
  <c r="M161" i="6"/>
  <c r="O160" i="6"/>
  <c r="M160" i="6"/>
  <c r="Q160" i="6" s="1"/>
  <c r="O159" i="6"/>
  <c r="M159" i="6"/>
  <c r="O158" i="6"/>
  <c r="M158" i="6"/>
  <c r="Q158" i="6" s="1"/>
  <c r="O157" i="6"/>
  <c r="M157" i="6"/>
  <c r="O156" i="6"/>
  <c r="M156" i="6"/>
  <c r="Q156" i="6" s="1"/>
  <c r="O155" i="6"/>
  <c r="M155" i="6"/>
  <c r="O154" i="6"/>
  <c r="M154" i="6"/>
  <c r="O153" i="6"/>
  <c r="M153" i="6"/>
  <c r="O152" i="6"/>
  <c r="M152" i="6"/>
  <c r="Q152" i="6" s="1"/>
  <c r="O151" i="6"/>
  <c r="M151" i="6"/>
  <c r="O150" i="6"/>
  <c r="M150" i="6"/>
  <c r="Q150" i="6" s="1"/>
  <c r="O149" i="6"/>
  <c r="M149" i="6"/>
  <c r="O148" i="6"/>
  <c r="M148" i="6"/>
  <c r="Q148" i="6" s="1"/>
  <c r="O147" i="6"/>
  <c r="M147" i="6"/>
  <c r="O146" i="6"/>
  <c r="M146" i="6"/>
  <c r="O145" i="6"/>
  <c r="M145" i="6"/>
  <c r="O144" i="6"/>
  <c r="M144" i="6"/>
  <c r="Q144" i="6" s="1"/>
  <c r="O143" i="6"/>
  <c r="M143" i="6"/>
  <c r="O142" i="6"/>
  <c r="M142" i="6"/>
  <c r="Q142" i="6" s="1"/>
  <c r="O141" i="6"/>
  <c r="M141" i="6"/>
  <c r="O140" i="6"/>
  <c r="M140" i="6"/>
  <c r="Q140" i="6" s="1"/>
  <c r="O139" i="6"/>
  <c r="M139" i="6"/>
  <c r="O138" i="6"/>
  <c r="M138" i="6"/>
  <c r="O137" i="6"/>
  <c r="M137" i="6"/>
  <c r="O136" i="6"/>
  <c r="M136" i="6"/>
  <c r="Q136" i="6" s="1"/>
  <c r="O135" i="6"/>
  <c r="M135" i="6"/>
  <c r="O134" i="6"/>
  <c r="M134" i="6"/>
  <c r="Q134" i="6" s="1"/>
  <c r="O133" i="6"/>
  <c r="M133" i="6"/>
  <c r="O132" i="6"/>
  <c r="M132" i="6"/>
  <c r="Q132" i="6" s="1"/>
  <c r="O131" i="6"/>
  <c r="M131" i="6"/>
  <c r="O130" i="6"/>
  <c r="M130" i="6"/>
  <c r="J130" i="6" s="1"/>
  <c r="I130" i="6" s="1"/>
  <c r="O129" i="6"/>
  <c r="M129" i="6"/>
  <c r="O128" i="6"/>
  <c r="M128" i="6"/>
  <c r="Q128" i="6" s="1"/>
  <c r="O127" i="6"/>
  <c r="M127" i="6"/>
  <c r="O126" i="6"/>
  <c r="M126" i="6"/>
  <c r="Q126" i="6" s="1"/>
  <c r="O125" i="6"/>
  <c r="M125" i="6"/>
  <c r="O124" i="6"/>
  <c r="M124" i="6"/>
  <c r="Q124" i="6" s="1"/>
  <c r="O123" i="6"/>
  <c r="M123" i="6"/>
  <c r="O122" i="6"/>
  <c r="M122" i="6"/>
  <c r="Q122" i="6" s="1"/>
  <c r="O121" i="6"/>
  <c r="M121" i="6"/>
  <c r="O120" i="6"/>
  <c r="M120" i="6"/>
  <c r="Q120" i="6" s="1"/>
  <c r="O119" i="6"/>
  <c r="M119" i="6"/>
  <c r="O118" i="6"/>
  <c r="M118" i="6"/>
  <c r="Q118" i="6" s="1"/>
  <c r="O117" i="6"/>
  <c r="M117" i="6"/>
  <c r="O116" i="6"/>
  <c r="M116" i="6"/>
  <c r="Q116" i="6" s="1"/>
  <c r="O115" i="6"/>
  <c r="M115" i="6"/>
  <c r="O114" i="6"/>
  <c r="M114" i="6"/>
  <c r="Q114" i="6" s="1"/>
  <c r="O113" i="6"/>
  <c r="M113" i="6"/>
  <c r="O112" i="6"/>
  <c r="M112" i="6"/>
  <c r="Q112" i="6" s="1"/>
  <c r="O111" i="6"/>
  <c r="M111" i="6"/>
  <c r="O110" i="6"/>
  <c r="M110" i="6"/>
  <c r="Q110" i="6" s="1"/>
  <c r="O109" i="6"/>
  <c r="M109" i="6"/>
  <c r="O108" i="6"/>
  <c r="M108" i="6"/>
  <c r="Q108" i="6" s="1"/>
  <c r="O107" i="6"/>
  <c r="M107" i="6"/>
  <c r="O106" i="6"/>
  <c r="M106" i="6"/>
  <c r="Q106" i="6" s="1"/>
  <c r="O105" i="6"/>
  <c r="M105" i="6"/>
  <c r="O104" i="6"/>
  <c r="M104" i="6"/>
  <c r="Q104" i="6" s="1"/>
  <c r="O103" i="6"/>
  <c r="M103" i="6"/>
  <c r="O102" i="6"/>
  <c r="M102" i="6"/>
  <c r="Q102" i="6" s="1"/>
  <c r="O101" i="6"/>
  <c r="M101" i="6"/>
  <c r="O100" i="6"/>
  <c r="M100" i="6"/>
  <c r="Q100" i="6" s="1"/>
  <c r="O99" i="6"/>
  <c r="M99" i="6"/>
  <c r="O98" i="6"/>
  <c r="M98" i="6"/>
  <c r="Q98" i="6" s="1"/>
  <c r="O97" i="6"/>
  <c r="M97" i="6"/>
  <c r="O96" i="6"/>
  <c r="M96" i="6"/>
  <c r="Q96" i="6" s="1"/>
  <c r="O95" i="6"/>
  <c r="M95" i="6"/>
  <c r="O94" i="6"/>
  <c r="M94" i="6"/>
  <c r="Q94" i="6" s="1"/>
  <c r="O93" i="6"/>
  <c r="M93" i="6"/>
  <c r="O92" i="6"/>
  <c r="M92" i="6"/>
  <c r="Q92" i="6" s="1"/>
  <c r="O91" i="6"/>
  <c r="M91" i="6"/>
  <c r="O90" i="6"/>
  <c r="M90" i="6"/>
  <c r="Q90" i="6" s="1"/>
  <c r="O89" i="6"/>
  <c r="M89" i="6"/>
  <c r="O88" i="6"/>
  <c r="M88" i="6"/>
  <c r="Q88" i="6" s="1"/>
  <c r="O87" i="6"/>
  <c r="M87" i="6"/>
  <c r="O86" i="6"/>
  <c r="M86" i="6"/>
  <c r="Q86" i="6" s="1"/>
  <c r="O85" i="6"/>
  <c r="M85" i="6"/>
  <c r="O84" i="6"/>
  <c r="M84" i="6"/>
  <c r="Q84" i="6" s="1"/>
  <c r="O83" i="6"/>
  <c r="M83" i="6"/>
  <c r="O82" i="6"/>
  <c r="M82" i="6"/>
  <c r="Q82" i="6" s="1"/>
  <c r="O81" i="6"/>
  <c r="M81" i="6"/>
  <c r="O80" i="6"/>
  <c r="M80" i="6"/>
  <c r="Q80" i="6" s="1"/>
  <c r="O79" i="6"/>
  <c r="M79" i="6"/>
  <c r="O78" i="6"/>
  <c r="M78" i="6"/>
  <c r="Q78" i="6" s="1"/>
  <c r="O77" i="6"/>
  <c r="M77" i="6"/>
  <c r="O76" i="6"/>
  <c r="M76" i="6"/>
  <c r="Q76" i="6" s="1"/>
  <c r="O75" i="6"/>
  <c r="M75" i="6"/>
  <c r="O74" i="6"/>
  <c r="M74" i="6"/>
  <c r="Q74" i="6" s="1"/>
  <c r="O73" i="6"/>
  <c r="M73" i="6"/>
  <c r="O72" i="6"/>
  <c r="M72" i="6"/>
  <c r="Q72" i="6" s="1"/>
  <c r="O71" i="6"/>
  <c r="M71" i="6"/>
  <c r="O70" i="6"/>
  <c r="M70" i="6"/>
  <c r="Q70" i="6" s="1"/>
  <c r="O69" i="6"/>
  <c r="M69" i="6"/>
  <c r="O68" i="6"/>
  <c r="M68" i="6"/>
  <c r="Q68" i="6" s="1"/>
  <c r="O67" i="6"/>
  <c r="M67" i="6"/>
  <c r="O66" i="6"/>
  <c r="M66" i="6"/>
  <c r="Q66" i="6" s="1"/>
  <c r="O65" i="6"/>
  <c r="M65" i="6"/>
  <c r="O64" i="6"/>
  <c r="M64" i="6"/>
  <c r="Q64" i="6" s="1"/>
  <c r="O63" i="6"/>
  <c r="M63" i="6"/>
  <c r="O62" i="6"/>
  <c r="M62" i="6"/>
  <c r="Q62" i="6" s="1"/>
  <c r="O61" i="6"/>
  <c r="M61" i="6"/>
  <c r="O60" i="6"/>
  <c r="M60" i="6"/>
  <c r="Q60" i="6" s="1"/>
  <c r="O59" i="6"/>
  <c r="M59" i="6"/>
  <c r="O58" i="6"/>
  <c r="M58" i="6"/>
  <c r="Q58" i="6" s="1"/>
  <c r="O57" i="6"/>
  <c r="M57" i="6"/>
  <c r="O56" i="6"/>
  <c r="M56" i="6"/>
  <c r="Q56" i="6" s="1"/>
  <c r="O55" i="6"/>
  <c r="M55" i="6"/>
  <c r="O54" i="6"/>
  <c r="M54" i="6"/>
  <c r="Q54" i="6" s="1"/>
  <c r="O53" i="6"/>
  <c r="M53" i="6"/>
  <c r="O52" i="6"/>
  <c r="M52" i="6"/>
  <c r="Q52" i="6" s="1"/>
  <c r="O51" i="6"/>
  <c r="M51" i="6"/>
  <c r="O50" i="6"/>
  <c r="M50" i="6"/>
  <c r="Q50" i="6" s="1"/>
  <c r="O49" i="6"/>
  <c r="M49" i="6"/>
  <c r="O48" i="6"/>
  <c r="M48" i="6"/>
  <c r="Q48" i="6" s="1"/>
  <c r="O47" i="6"/>
  <c r="M47" i="6"/>
  <c r="O46" i="6"/>
  <c r="M46" i="6"/>
  <c r="Q46" i="6" s="1"/>
  <c r="O45" i="6"/>
  <c r="M45" i="6"/>
  <c r="O44" i="6"/>
  <c r="M44" i="6"/>
  <c r="Q44" i="6" s="1"/>
  <c r="O43" i="6"/>
  <c r="M43" i="6"/>
  <c r="O42" i="6"/>
  <c r="M42" i="6"/>
  <c r="Q42" i="6" s="1"/>
  <c r="O41" i="6"/>
  <c r="M41" i="6"/>
  <c r="O40" i="6"/>
  <c r="M40" i="6"/>
  <c r="Q40" i="6" s="1"/>
  <c r="O39" i="6"/>
  <c r="M39" i="6"/>
  <c r="O38" i="6"/>
  <c r="M38" i="6"/>
  <c r="Q38" i="6" s="1"/>
  <c r="O37" i="6"/>
  <c r="M37" i="6"/>
  <c r="O36" i="6"/>
  <c r="M36" i="6"/>
  <c r="Q36" i="6" s="1"/>
  <c r="O35" i="6"/>
  <c r="M35" i="6"/>
  <c r="O34" i="6"/>
  <c r="M34" i="6"/>
  <c r="Q34" i="6" s="1"/>
  <c r="O33" i="6"/>
  <c r="M33" i="6"/>
  <c r="O32" i="6"/>
  <c r="M32" i="6"/>
  <c r="Q32" i="6" s="1"/>
  <c r="O31" i="6"/>
  <c r="M31" i="6"/>
  <c r="O30" i="6"/>
  <c r="M30" i="6"/>
  <c r="Q30" i="6" s="1"/>
  <c r="O29" i="6"/>
  <c r="M29" i="6"/>
  <c r="O28" i="6"/>
  <c r="M28" i="6"/>
  <c r="Q28" i="6" s="1"/>
  <c r="O27" i="6"/>
  <c r="M27" i="6"/>
  <c r="O26" i="6"/>
  <c r="M26" i="6"/>
  <c r="Q26" i="6" s="1"/>
  <c r="T26" i="6" s="1"/>
  <c r="O25" i="6"/>
  <c r="M25" i="6"/>
  <c r="O24" i="6"/>
  <c r="M24" i="6"/>
  <c r="Q24" i="6" s="1"/>
  <c r="T24" i="6" s="1"/>
  <c r="O23" i="6"/>
  <c r="M23" i="6"/>
  <c r="O22" i="6"/>
  <c r="M22" i="6"/>
  <c r="Q22" i="6" s="1"/>
  <c r="T22" i="6" s="1"/>
  <c r="O21" i="6"/>
  <c r="M21" i="6"/>
  <c r="O20" i="6"/>
  <c r="M20" i="6"/>
  <c r="Q20" i="6" s="1"/>
  <c r="T20" i="6" s="1"/>
  <c r="O19" i="6"/>
  <c r="M19" i="6"/>
  <c r="O18" i="6"/>
  <c r="M18" i="6"/>
  <c r="Q18" i="6" s="1"/>
  <c r="T18" i="6" s="1"/>
  <c r="O17" i="6"/>
  <c r="M17" i="6"/>
  <c r="O16" i="6"/>
  <c r="M16" i="6"/>
  <c r="Q16" i="6" s="1"/>
  <c r="T16" i="6" s="1"/>
  <c r="O15" i="6"/>
  <c r="M15" i="6"/>
  <c r="O14" i="6"/>
  <c r="M14" i="6"/>
  <c r="Q14" i="6" s="1"/>
  <c r="T14" i="6" s="1"/>
  <c r="O13" i="6"/>
  <c r="M13" i="6"/>
  <c r="O12" i="6"/>
  <c r="M12" i="6"/>
  <c r="Q12" i="6" s="1"/>
  <c r="T12" i="6" s="1"/>
  <c r="O11" i="6"/>
  <c r="M11" i="6"/>
  <c r="O10" i="6"/>
  <c r="M10" i="6"/>
  <c r="Q10" i="6" s="1"/>
  <c r="T10" i="6" s="1"/>
  <c r="O9" i="6"/>
  <c r="M9" i="6"/>
  <c r="O8" i="6"/>
  <c r="M8" i="6"/>
  <c r="Q8" i="6" s="1"/>
  <c r="T8" i="6" s="1"/>
  <c r="O7" i="6"/>
  <c r="M7" i="6"/>
  <c r="O6" i="6"/>
  <c r="M6" i="6"/>
  <c r="Q6" i="6" s="1"/>
  <c r="T6" i="6" s="1"/>
  <c r="O5" i="6"/>
  <c r="M5" i="6"/>
  <c r="O4" i="6"/>
  <c r="M4" i="6"/>
  <c r="I1004" i="5"/>
  <c r="I1003" i="5"/>
  <c r="I1002" i="5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I939" i="5"/>
  <c r="I938" i="5"/>
  <c r="I937" i="5"/>
  <c r="I936" i="5"/>
  <c r="I935" i="5"/>
  <c r="I934" i="5"/>
  <c r="I933" i="5"/>
  <c r="I932" i="5"/>
  <c r="I931" i="5"/>
  <c r="I930" i="5"/>
  <c r="I929" i="5"/>
  <c r="I928" i="5"/>
  <c r="I927" i="5"/>
  <c r="I926" i="5"/>
  <c r="I925" i="5"/>
  <c r="I924" i="5"/>
  <c r="I923" i="5"/>
  <c r="I922" i="5"/>
  <c r="I921" i="5"/>
  <c r="I920" i="5"/>
  <c r="I919" i="5"/>
  <c r="I918" i="5"/>
  <c r="I917" i="5"/>
  <c r="I916" i="5"/>
  <c r="I915" i="5"/>
  <c r="I914" i="5"/>
  <c r="I913" i="5"/>
  <c r="I912" i="5"/>
  <c r="I911" i="5"/>
  <c r="I910" i="5"/>
  <c r="I909" i="5"/>
  <c r="I908" i="5"/>
  <c r="I907" i="5"/>
  <c r="I906" i="5"/>
  <c r="I905" i="5"/>
  <c r="I904" i="5"/>
  <c r="I903" i="5"/>
  <c r="I902" i="5"/>
  <c r="I901" i="5"/>
  <c r="I900" i="5"/>
  <c r="I899" i="5"/>
  <c r="I898" i="5"/>
  <c r="I897" i="5"/>
  <c r="I896" i="5"/>
  <c r="I895" i="5"/>
  <c r="I894" i="5"/>
  <c r="I893" i="5"/>
  <c r="I892" i="5"/>
  <c r="I891" i="5"/>
  <c r="I890" i="5"/>
  <c r="I889" i="5"/>
  <c r="I888" i="5"/>
  <c r="I887" i="5"/>
  <c r="I886" i="5"/>
  <c r="I885" i="5"/>
  <c r="I884" i="5"/>
  <c r="I883" i="5"/>
  <c r="I882" i="5"/>
  <c r="I881" i="5"/>
  <c r="I880" i="5"/>
  <c r="I879" i="5"/>
  <c r="I878" i="5"/>
  <c r="I877" i="5"/>
  <c r="I876" i="5"/>
  <c r="I875" i="5"/>
  <c r="I874" i="5"/>
  <c r="I873" i="5"/>
  <c r="I872" i="5"/>
  <c r="I871" i="5"/>
  <c r="I870" i="5"/>
  <c r="I869" i="5"/>
  <c r="I868" i="5"/>
  <c r="I867" i="5"/>
  <c r="I866" i="5"/>
  <c r="I865" i="5"/>
  <c r="I864" i="5"/>
  <c r="I863" i="5"/>
  <c r="I862" i="5"/>
  <c r="I861" i="5"/>
  <c r="I860" i="5"/>
  <c r="I859" i="5"/>
  <c r="I858" i="5"/>
  <c r="I857" i="5"/>
  <c r="I856" i="5"/>
  <c r="I855" i="5"/>
  <c r="I854" i="5"/>
  <c r="I853" i="5"/>
  <c r="I852" i="5"/>
  <c r="I851" i="5"/>
  <c r="I850" i="5"/>
  <c r="I849" i="5"/>
  <c r="I848" i="5"/>
  <c r="I847" i="5"/>
  <c r="I846" i="5"/>
  <c r="I845" i="5"/>
  <c r="I844" i="5"/>
  <c r="I843" i="5"/>
  <c r="I842" i="5"/>
  <c r="I841" i="5"/>
  <c r="I840" i="5"/>
  <c r="I839" i="5"/>
  <c r="I838" i="5"/>
  <c r="I837" i="5"/>
  <c r="I836" i="5"/>
  <c r="I835" i="5"/>
  <c r="I834" i="5"/>
  <c r="I833" i="5"/>
  <c r="I832" i="5"/>
  <c r="I831" i="5"/>
  <c r="I830" i="5"/>
  <c r="I829" i="5"/>
  <c r="I828" i="5"/>
  <c r="I827" i="5"/>
  <c r="I826" i="5"/>
  <c r="I825" i="5"/>
  <c r="I824" i="5"/>
  <c r="I823" i="5"/>
  <c r="I822" i="5"/>
  <c r="I821" i="5"/>
  <c r="I820" i="5"/>
  <c r="I819" i="5"/>
  <c r="I818" i="5"/>
  <c r="I817" i="5"/>
  <c r="I816" i="5"/>
  <c r="I815" i="5"/>
  <c r="I814" i="5"/>
  <c r="I813" i="5"/>
  <c r="I812" i="5"/>
  <c r="I811" i="5"/>
  <c r="I810" i="5"/>
  <c r="I809" i="5"/>
  <c r="I808" i="5"/>
  <c r="I807" i="5"/>
  <c r="I806" i="5"/>
  <c r="I805" i="5"/>
  <c r="I804" i="5"/>
  <c r="I803" i="5"/>
  <c r="I802" i="5"/>
  <c r="I801" i="5"/>
  <c r="I800" i="5"/>
  <c r="I799" i="5"/>
  <c r="I798" i="5"/>
  <c r="I797" i="5"/>
  <c r="I796" i="5"/>
  <c r="I795" i="5"/>
  <c r="I794" i="5"/>
  <c r="I793" i="5"/>
  <c r="I792" i="5"/>
  <c r="I791" i="5"/>
  <c r="I790" i="5"/>
  <c r="I789" i="5"/>
  <c r="I788" i="5"/>
  <c r="I787" i="5"/>
  <c r="I786" i="5"/>
  <c r="I785" i="5"/>
  <c r="I784" i="5"/>
  <c r="I783" i="5"/>
  <c r="I782" i="5"/>
  <c r="I781" i="5"/>
  <c r="I780" i="5"/>
  <c r="I779" i="5"/>
  <c r="I778" i="5"/>
  <c r="I777" i="5"/>
  <c r="I776" i="5"/>
  <c r="I775" i="5"/>
  <c r="I774" i="5"/>
  <c r="I773" i="5"/>
  <c r="I772" i="5"/>
  <c r="I771" i="5"/>
  <c r="I770" i="5"/>
  <c r="I769" i="5"/>
  <c r="I768" i="5"/>
  <c r="I767" i="5"/>
  <c r="I766" i="5"/>
  <c r="I765" i="5"/>
  <c r="I764" i="5"/>
  <c r="I763" i="5"/>
  <c r="I762" i="5"/>
  <c r="I761" i="5"/>
  <c r="I760" i="5"/>
  <c r="I759" i="5"/>
  <c r="I758" i="5"/>
  <c r="I757" i="5"/>
  <c r="I756" i="5"/>
  <c r="I755" i="5"/>
  <c r="I754" i="5"/>
  <c r="I753" i="5"/>
  <c r="I752" i="5"/>
  <c r="I751" i="5"/>
  <c r="I750" i="5"/>
  <c r="I749" i="5"/>
  <c r="I748" i="5"/>
  <c r="I747" i="5"/>
  <c r="I746" i="5"/>
  <c r="I745" i="5"/>
  <c r="I744" i="5"/>
  <c r="I743" i="5"/>
  <c r="I742" i="5"/>
  <c r="I741" i="5"/>
  <c r="I740" i="5"/>
  <c r="I739" i="5"/>
  <c r="I738" i="5"/>
  <c r="I737" i="5"/>
  <c r="I736" i="5"/>
  <c r="I735" i="5"/>
  <c r="I734" i="5"/>
  <c r="I733" i="5"/>
  <c r="I732" i="5"/>
  <c r="I731" i="5"/>
  <c r="I730" i="5"/>
  <c r="I729" i="5"/>
  <c r="I728" i="5"/>
  <c r="I727" i="5"/>
  <c r="I726" i="5"/>
  <c r="I725" i="5"/>
  <c r="I724" i="5"/>
  <c r="I723" i="5"/>
  <c r="I722" i="5"/>
  <c r="I721" i="5"/>
  <c r="I720" i="5"/>
  <c r="I719" i="5"/>
  <c r="I718" i="5"/>
  <c r="I717" i="5"/>
  <c r="I716" i="5"/>
  <c r="I715" i="5"/>
  <c r="I714" i="5"/>
  <c r="I713" i="5"/>
  <c r="I712" i="5"/>
  <c r="I711" i="5"/>
  <c r="I710" i="5"/>
  <c r="I709" i="5"/>
  <c r="I708" i="5"/>
  <c r="I707" i="5"/>
  <c r="I706" i="5"/>
  <c r="I705" i="5"/>
  <c r="I704" i="5"/>
  <c r="I703" i="5"/>
  <c r="I702" i="5"/>
  <c r="I701" i="5"/>
  <c r="I700" i="5"/>
  <c r="I699" i="5"/>
  <c r="I698" i="5"/>
  <c r="I697" i="5"/>
  <c r="I696" i="5"/>
  <c r="I695" i="5"/>
  <c r="I694" i="5"/>
  <c r="I693" i="5"/>
  <c r="I692" i="5"/>
  <c r="I691" i="5"/>
  <c r="I690" i="5"/>
  <c r="I689" i="5"/>
  <c r="I688" i="5"/>
  <c r="I687" i="5"/>
  <c r="I686" i="5"/>
  <c r="I685" i="5"/>
  <c r="I684" i="5"/>
  <c r="I683" i="5"/>
  <c r="I682" i="5"/>
  <c r="I681" i="5"/>
  <c r="I680" i="5"/>
  <c r="I679" i="5"/>
  <c r="I678" i="5"/>
  <c r="I677" i="5"/>
  <c r="I676" i="5"/>
  <c r="I675" i="5"/>
  <c r="I674" i="5"/>
  <c r="I673" i="5"/>
  <c r="I672" i="5"/>
  <c r="I671" i="5"/>
  <c r="I670" i="5"/>
  <c r="I669" i="5"/>
  <c r="I668" i="5"/>
  <c r="I667" i="5"/>
  <c r="I666" i="5"/>
  <c r="I665" i="5"/>
  <c r="I664" i="5"/>
  <c r="I663" i="5"/>
  <c r="I662" i="5"/>
  <c r="I661" i="5"/>
  <c r="I660" i="5"/>
  <c r="I659" i="5"/>
  <c r="I658" i="5"/>
  <c r="I657" i="5"/>
  <c r="I656" i="5"/>
  <c r="I655" i="5"/>
  <c r="I654" i="5"/>
  <c r="I653" i="5"/>
  <c r="I652" i="5"/>
  <c r="I651" i="5"/>
  <c r="I650" i="5"/>
  <c r="I649" i="5"/>
  <c r="I648" i="5"/>
  <c r="I647" i="5"/>
  <c r="I646" i="5"/>
  <c r="I645" i="5"/>
  <c r="I644" i="5"/>
  <c r="I643" i="5"/>
  <c r="I642" i="5"/>
  <c r="I641" i="5"/>
  <c r="I640" i="5"/>
  <c r="I639" i="5"/>
  <c r="I638" i="5"/>
  <c r="I637" i="5"/>
  <c r="I636" i="5"/>
  <c r="I635" i="5"/>
  <c r="I634" i="5"/>
  <c r="I633" i="5"/>
  <c r="I632" i="5"/>
  <c r="I631" i="5"/>
  <c r="I630" i="5"/>
  <c r="I629" i="5"/>
  <c r="I628" i="5"/>
  <c r="I627" i="5"/>
  <c r="I626" i="5"/>
  <c r="I625" i="5"/>
  <c r="I624" i="5"/>
  <c r="I623" i="5"/>
  <c r="I622" i="5"/>
  <c r="I621" i="5"/>
  <c r="I620" i="5"/>
  <c r="I619" i="5"/>
  <c r="I618" i="5"/>
  <c r="I617" i="5"/>
  <c r="I616" i="5"/>
  <c r="I615" i="5"/>
  <c r="I614" i="5"/>
  <c r="I613" i="5"/>
  <c r="I612" i="5"/>
  <c r="I611" i="5"/>
  <c r="I610" i="5"/>
  <c r="I609" i="5"/>
  <c r="I608" i="5"/>
  <c r="I607" i="5"/>
  <c r="I606" i="5"/>
  <c r="I605" i="5"/>
  <c r="I604" i="5"/>
  <c r="I603" i="5"/>
  <c r="I602" i="5"/>
  <c r="I601" i="5"/>
  <c r="I600" i="5"/>
  <c r="I599" i="5"/>
  <c r="I598" i="5"/>
  <c r="I597" i="5"/>
  <c r="I596" i="5"/>
  <c r="I595" i="5"/>
  <c r="I594" i="5"/>
  <c r="I593" i="5"/>
  <c r="I592" i="5"/>
  <c r="I591" i="5"/>
  <c r="I590" i="5"/>
  <c r="I589" i="5"/>
  <c r="I588" i="5"/>
  <c r="I587" i="5"/>
  <c r="I586" i="5"/>
  <c r="I585" i="5"/>
  <c r="I584" i="5"/>
  <c r="I583" i="5"/>
  <c r="I582" i="5"/>
  <c r="I581" i="5"/>
  <c r="I580" i="5"/>
  <c r="I579" i="5"/>
  <c r="I578" i="5"/>
  <c r="I577" i="5"/>
  <c r="I576" i="5"/>
  <c r="I575" i="5"/>
  <c r="I574" i="5"/>
  <c r="I573" i="5"/>
  <c r="I572" i="5"/>
  <c r="I571" i="5"/>
  <c r="I570" i="5"/>
  <c r="I569" i="5"/>
  <c r="I568" i="5"/>
  <c r="I567" i="5"/>
  <c r="I566" i="5"/>
  <c r="I565" i="5"/>
  <c r="I564" i="5"/>
  <c r="I563" i="5"/>
  <c r="I562" i="5"/>
  <c r="I561" i="5"/>
  <c r="I560" i="5"/>
  <c r="I559" i="5"/>
  <c r="I558" i="5"/>
  <c r="I557" i="5"/>
  <c r="I556" i="5"/>
  <c r="I555" i="5"/>
  <c r="I554" i="5"/>
  <c r="I553" i="5"/>
  <c r="I552" i="5"/>
  <c r="I551" i="5"/>
  <c r="I550" i="5"/>
  <c r="I549" i="5"/>
  <c r="I548" i="5"/>
  <c r="I547" i="5"/>
  <c r="I546" i="5"/>
  <c r="I545" i="5"/>
  <c r="I544" i="5"/>
  <c r="I543" i="5"/>
  <c r="I542" i="5"/>
  <c r="I541" i="5"/>
  <c r="I540" i="5"/>
  <c r="I539" i="5"/>
  <c r="I538" i="5"/>
  <c r="I537" i="5"/>
  <c r="I536" i="5"/>
  <c r="I535" i="5"/>
  <c r="I534" i="5"/>
  <c r="I533" i="5"/>
  <c r="I532" i="5"/>
  <c r="I531" i="5"/>
  <c r="I530" i="5"/>
  <c r="I529" i="5"/>
  <c r="I528" i="5"/>
  <c r="I527" i="5"/>
  <c r="I526" i="5"/>
  <c r="I525" i="5"/>
  <c r="I524" i="5"/>
  <c r="I523" i="5"/>
  <c r="I522" i="5"/>
  <c r="I521" i="5"/>
  <c r="I520" i="5"/>
  <c r="I519" i="5"/>
  <c r="I518" i="5"/>
  <c r="I517" i="5"/>
  <c r="I516" i="5"/>
  <c r="I515" i="5"/>
  <c r="I514" i="5"/>
  <c r="I513" i="5"/>
  <c r="I512" i="5"/>
  <c r="I511" i="5"/>
  <c r="I510" i="5"/>
  <c r="I509" i="5"/>
  <c r="I508" i="5"/>
  <c r="I507" i="5"/>
  <c r="I506" i="5"/>
  <c r="I505" i="5"/>
  <c r="I504" i="5"/>
  <c r="I503" i="5"/>
  <c r="I502" i="5"/>
  <c r="I501" i="5"/>
  <c r="I500" i="5"/>
  <c r="I499" i="5"/>
  <c r="I498" i="5"/>
  <c r="I497" i="5"/>
  <c r="I496" i="5"/>
  <c r="I495" i="5"/>
  <c r="I494" i="5"/>
  <c r="I493" i="5"/>
  <c r="I492" i="5"/>
  <c r="I491" i="5"/>
  <c r="I490" i="5"/>
  <c r="I489" i="5"/>
  <c r="I488" i="5"/>
  <c r="I487" i="5"/>
  <c r="I486" i="5"/>
  <c r="I485" i="5"/>
  <c r="I484" i="5"/>
  <c r="I483" i="5"/>
  <c r="I482" i="5"/>
  <c r="I481" i="5"/>
  <c r="I480" i="5"/>
  <c r="I479" i="5"/>
  <c r="I478" i="5"/>
  <c r="I477" i="5"/>
  <c r="I476" i="5"/>
  <c r="I475" i="5"/>
  <c r="I474" i="5"/>
  <c r="I473" i="5"/>
  <c r="I472" i="5"/>
  <c r="I471" i="5"/>
  <c r="I470" i="5"/>
  <c r="I469" i="5"/>
  <c r="I468" i="5"/>
  <c r="I467" i="5"/>
  <c r="I466" i="5"/>
  <c r="I465" i="5"/>
  <c r="I464" i="5"/>
  <c r="I463" i="5"/>
  <c r="I462" i="5"/>
  <c r="I461" i="5"/>
  <c r="I460" i="5"/>
  <c r="I459" i="5"/>
  <c r="I458" i="5"/>
  <c r="I457" i="5"/>
  <c r="I456" i="5"/>
  <c r="I455" i="5"/>
  <c r="I454" i="5"/>
  <c r="I453" i="5"/>
  <c r="I452" i="5"/>
  <c r="I451" i="5"/>
  <c r="I450" i="5"/>
  <c r="I449" i="5"/>
  <c r="I448" i="5"/>
  <c r="I447" i="5"/>
  <c r="I446" i="5"/>
  <c r="I445" i="5"/>
  <c r="I444" i="5"/>
  <c r="I443" i="5"/>
  <c r="I442" i="5"/>
  <c r="I441" i="5"/>
  <c r="I440" i="5"/>
  <c r="I439" i="5"/>
  <c r="I438" i="5"/>
  <c r="I437" i="5"/>
  <c r="I436" i="5"/>
  <c r="I435" i="5"/>
  <c r="I434" i="5"/>
  <c r="I433" i="5"/>
  <c r="I432" i="5"/>
  <c r="I431" i="5"/>
  <c r="I430" i="5"/>
  <c r="I429" i="5"/>
  <c r="I428" i="5"/>
  <c r="I427" i="5"/>
  <c r="I426" i="5"/>
  <c r="I425" i="5"/>
  <c r="I424" i="5"/>
  <c r="I423" i="5"/>
  <c r="I422" i="5"/>
  <c r="I421" i="5"/>
  <c r="I420" i="5"/>
  <c r="I419" i="5"/>
  <c r="I418" i="5"/>
  <c r="I417" i="5"/>
  <c r="I416" i="5"/>
  <c r="I415" i="5"/>
  <c r="I414" i="5"/>
  <c r="I413" i="5"/>
  <c r="I412" i="5"/>
  <c r="I411" i="5"/>
  <c r="I410" i="5"/>
  <c r="I409" i="5"/>
  <c r="I408" i="5"/>
  <c r="I407" i="5"/>
  <c r="I406" i="5"/>
  <c r="I405" i="5"/>
  <c r="I404" i="5"/>
  <c r="I403" i="5"/>
  <c r="I402" i="5"/>
  <c r="I401" i="5"/>
  <c r="I400" i="5"/>
  <c r="I399" i="5"/>
  <c r="I398" i="5"/>
  <c r="I397" i="5"/>
  <c r="I396" i="5"/>
  <c r="I395" i="5"/>
  <c r="I394" i="5"/>
  <c r="I393" i="5"/>
  <c r="I392" i="5"/>
  <c r="I391" i="5"/>
  <c r="I390" i="5"/>
  <c r="I389" i="5"/>
  <c r="I388" i="5"/>
  <c r="I387" i="5"/>
  <c r="I386" i="5"/>
  <c r="I385" i="5"/>
  <c r="I384" i="5"/>
  <c r="I383" i="5"/>
  <c r="I382" i="5"/>
  <c r="I381" i="5"/>
  <c r="I380" i="5"/>
  <c r="I379" i="5"/>
  <c r="I378" i="5"/>
  <c r="I377" i="5"/>
  <c r="I376" i="5"/>
  <c r="I375" i="5"/>
  <c r="I374" i="5"/>
  <c r="I373" i="5"/>
  <c r="I372" i="5"/>
  <c r="I371" i="5"/>
  <c r="I370" i="5"/>
  <c r="I369" i="5"/>
  <c r="I368" i="5"/>
  <c r="I367" i="5"/>
  <c r="I366" i="5"/>
  <c r="I365" i="5"/>
  <c r="I364" i="5"/>
  <c r="I363" i="5"/>
  <c r="I362" i="5"/>
  <c r="I361" i="5"/>
  <c r="I360" i="5"/>
  <c r="I359" i="5"/>
  <c r="I358" i="5"/>
  <c r="I357" i="5"/>
  <c r="I356" i="5"/>
  <c r="I355" i="5"/>
  <c r="I354" i="5"/>
  <c r="I353" i="5"/>
  <c r="I352" i="5"/>
  <c r="I351" i="5"/>
  <c r="I350" i="5"/>
  <c r="I349" i="5"/>
  <c r="I348" i="5"/>
  <c r="I347" i="5"/>
  <c r="I346" i="5"/>
  <c r="I345" i="5"/>
  <c r="I344" i="5"/>
  <c r="I343" i="5"/>
  <c r="I342" i="5"/>
  <c r="I341" i="5"/>
  <c r="I340" i="5"/>
  <c r="I339" i="5"/>
  <c r="I338" i="5"/>
  <c r="I337" i="5"/>
  <c r="I336" i="5"/>
  <c r="I335" i="5"/>
  <c r="I334" i="5"/>
  <c r="I333" i="5"/>
  <c r="I332" i="5"/>
  <c r="I331" i="5"/>
  <c r="I330" i="5"/>
  <c r="I329" i="5"/>
  <c r="I328" i="5"/>
  <c r="I327" i="5"/>
  <c r="I326" i="5"/>
  <c r="I325" i="5"/>
  <c r="I324" i="5"/>
  <c r="I323" i="5"/>
  <c r="I322" i="5"/>
  <c r="I321" i="5"/>
  <c r="I320" i="5"/>
  <c r="I319" i="5"/>
  <c r="I318" i="5"/>
  <c r="I317" i="5"/>
  <c r="I316" i="5"/>
  <c r="I315" i="5"/>
  <c r="I314" i="5"/>
  <c r="I313" i="5"/>
  <c r="I312" i="5"/>
  <c r="I311" i="5"/>
  <c r="I310" i="5"/>
  <c r="I309" i="5"/>
  <c r="I308" i="5"/>
  <c r="I307" i="5"/>
  <c r="I306" i="5"/>
  <c r="I305" i="5"/>
  <c r="I304" i="5"/>
  <c r="I303" i="5"/>
  <c r="I302" i="5"/>
  <c r="I301" i="5"/>
  <c r="I300" i="5"/>
  <c r="I299" i="5"/>
  <c r="I298" i="5"/>
  <c r="I297" i="5"/>
  <c r="I296" i="5"/>
  <c r="I295" i="5"/>
  <c r="I294" i="5"/>
  <c r="I293" i="5"/>
  <c r="I292" i="5"/>
  <c r="I291" i="5"/>
  <c r="I290" i="5"/>
  <c r="I289" i="5"/>
  <c r="I288" i="5"/>
  <c r="I287" i="5"/>
  <c r="I286" i="5"/>
  <c r="I285" i="5"/>
  <c r="I284" i="5"/>
  <c r="I283" i="5"/>
  <c r="I282" i="5"/>
  <c r="I281" i="5"/>
  <c r="I280" i="5"/>
  <c r="I279" i="5"/>
  <c r="I278" i="5"/>
  <c r="I277" i="5"/>
  <c r="I276" i="5"/>
  <c r="I275" i="5"/>
  <c r="I274" i="5"/>
  <c r="I273" i="5"/>
  <c r="I272" i="5"/>
  <c r="I271" i="5"/>
  <c r="I270" i="5"/>
  <c r="I269" i="5"/>
  <c r="I268" i="5"/>
  <c r="I267" i="5"/>
  <c r="I266" i="5"/>
  <c r="I265" i="5"/>
  <c r="I264" i="5"/>
  <c r="I263" i="5"/>
  <c r="I262" i="5"/>
  <c r="I261" i="5"/>
  <c r="I260" i="5"/>
  <c r="I259" i="5"/>
  <c r="I258" i="5"/>
  <c r="I257" i="5"/>
  <c r="I256" i="5"/>
  <c r="I255" i="5"/>
  <c r="I254" i="5"/>
  <c r="I253" i="5"/>
  <c r="I252" i="5"/>
  <c r="I251" i="5"/>
  <c r="I250" i="5"/>
  <c r="I249" i="5"/>
  <c r="I248" i="5"/>
  <c r="I247" i="5"/>
  <c r="I246" i="5"/>
  <c r="I245" i="5"/>
  <c r="I244" i="5"/>
  <c r="I243" i="5"/>
  <c r="I242" i="5"/>
  <c r="I241" i="5"/>
  <c r="I240" i="5"/>
  <c r="I239" i="5"/>
  <c r="I238" i="5"/>
  <c r="I237" i="5"/>
  <c r="I236" i="5"/>
  <c r="I235" i="5"/>
  <c r="I234" i="5"/>
  <c r="I233" i="5"/>
  <c r="I232" i="5"/>
  <c r="I231" i="5"/>
  <c r="I230" i="5"/>
  <c r="I229" i="5"/>
  <c r="I228" i="5"/>
  <c r="I227" i="5"/>
  <c r="I226" i="5"/>
  <c r="I225" i="5"/>
  <c r="I224" i="5"/>
  <c r="I223" i="5"/>
  <c r="I222" i="5"/>
  <c r="I221" i="5"/>
  <c r="I220" i="5"/>
  <c r="I219" i="5"/>
  <c r="I218" i="5"/>
  <c r="I217" i="5"/>
  <c r="I216" i="5"/>
  <c r="I215" i="5"/>
  <c r="I214" i="5"/>
  <c r="I213" i="5"/>
  <c r="I212" i="5"/>
  <c r="I211" i="5"/>
  <c r="I210" i="5"/>
  <c r="I209" i="5"/>
  <c r="I208" i="5"/>
  <c r="I207" i="5"/>
  <c r="I206" i="5"/>
  <c r="I205" i="5"/>
  <c r="I204" i="5"/>
  <c r="I203" i="5"/>
  <c r="I202" i="5"/>
  <c r="I201" i="5"/>
  <c r="I200" i="5"/>
  <c r="I199" i="5"/>
  <c r="I198" i="5"/>
  <c r="I197" i="5"/>
  <c r="I196" i="5"/>
  <c r="I195" i="5"/>
  <c r="I194" i="5"/>
  <c r="I193" i="5"/>
  <c r="I192" i="5"/>
  <c r="I191" i="5"/>
  <c r="I190" i="5"/>
  <c r="I189" i="5"/>
  <c r="I188" i="5"/>
  <c r="I187" i="5"/>
  <c r="I186" i="5"/>
  <c r="I185" i="5"/>
  <c r="I184" i="5"/>
  <c r="I183" i="5"/>
  <c r="I182" i="5"/>
  <c r="I181" i="5"/>
  <c r="I180" i="5"/>
  <c r="I179" i="5"/>
  <c r="I178" i="5"/>
  <c r="I177" i="5"/>
  <c r="I176" i="5"/>
  <c r="I175" i="5"/>
  <c r="I174" i="5"/>
  <c r="I173" i="5"/>
  <c r="I172" i="5"/>
  <c r="I171" i="5"/>
  <c r="I170" i="5"/>
  <c r="I169" i="5"/>
  <c r="I168" i="5"/>
  <c r="I167" i="5"/>
  <c r="I166" i="5"/>
  <c r="I165" i="5"/>
  <c r="I164" i="5"/>
  <c r="I163" i="5"/>
  <c r="I162" i="5"/>
  <c r="I161" i="5"/>
  <c r="I160" i="5"/>
  <c r="I159" i="5"/>
  <c r="I158" i="5"/>
  <c r="I157" i="5"/>
  <c r="I156" i="5"/>
  <c r="I155" i="5"/>
  <c r="I154" i="5"/>
  <c r="I153" i="5"/>
  <c r="I152" i="5"/>
  <c r="I151" i="5"/>
  <c r="I150" i="5"/>
  <c r="I149" i="5"/>
  <c r="I148" i="5"/>
  <c r="I147" i="5"/>
  <c r="I146" i="5"/>
  <c r="I145" i="5"/>
  <c r="I144" i="5"/>
  <c r="I143" i="5"/>
  <c r="I142" i="5"/>
  <c r="I141" i="5"/>
  <c r="I140" i="5"/>
  <c r="I139" i="5"/>
  <c r="I138" i="5"/>
  <c r="I137" i="5"/>
  <c r="I136" i="5"/>
  <c r="I135" i="5"/>
  <c r="I134" i="5"/>
  <c r="I133" i="5"/>
  <c r="I132" i="5"/>
  <c r="I131" i="5"/>
  <c r="I130" i="5"/>
  <c r="I129" i="5"/>
  <c r="I128" i="5"/>
  <c r="I127" i="5"/>
  <c r="I126" i="5"/>
  <c r="I125" i="5"/>
  <c r="I124" i="5"/>
  <c r="I123" i="5"/>
  <c r="I122" i="5"/>
  <c r="I121" i="5"/>
  <c r="I120" i="5"/>
  <c r="I119" i="5"/>
  <c r="I118" i="5"/>
  <c r="I117" i="5"/>
  <c r="I116" i="5"/>
  <c r="I115" i="5"/>
  <c r="I114" i="5"/>
  <c r="I113" i="5"/>
  <c r="I112" i="5"/>
  <c r="I111" i="5"/>
  <c r="I110" i="5"/>
  <c r="I109" i="5"/>
  <c r="I108" i="5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O1004" i="4"/>
  <c r="J1004" i="4" s="1"/>
  <c r="I1004" i="4" s="1"/>
  <c r="M1004" i="4"/>
  <c r="Q1004" i="4" s="1"/>
  <c r="O1003" i="4"/>
  <c r="M1003" i="4"/>
  <c r="Q1003" i="4" s="1"/>
  <c r="O1002" i="4"/>
  <c r="M1002" i="4"/>
  <c r="Q1002" i="4" s="1"/>
  <c r="O1001" i="4"/>
  <c r="M1001" i="4"/>
  <c r="Q1001" i="4" s="1"/>
  <c r="O1000" i="4"/>
  <c r="M1000" i="4"/>
  <c r="Q1000" i="4" s="1"/>
  <c r="O999" i="4"/>
  <c r="M999" i="4"/>
  <c r="Q999" i="4" s="1"/>
  <c r="O998" i="4"/>
  <c r="M998" i="4"/>
  <c r="Q998" i="4" s="1"/>
  <c r="O997" i="4"/>
  <c r="M997" i="4"/>
  <c r="Q997" i="4" s="1"/>
  <c r="O996" i="4"/>
  <c r="M996" i="4"/>
  <c r="Q996" i="4" s="1"/>
  <c r="O995" i="4"/>
  <c r="M995" i="4"/>
  <c r="Q995" i="4" s="1"/>
  <c r="O994" i="4"/>
  <c r="M994" i="4"/>
  <c r="Q994" i="4" s="1"/>
  <c r="O993" i="4"/>
  <c r="M993" i="4"/>
  <c r="Q993" i="4" s="1"/>
  <c r="O992" i="4"/>
  <c r="M992" i="4"/>
  <c r="Q992" i="4" s="1"/>
  <c r="O991" i="4"/>
  <c r="M991" i="4"/>
  <c r="Q991" i="4" s="1"/>
  <c r="O990" i="4"/>
  <c r="M990" i="4"/>
  <c r="Q990" i="4" s="1"/>
  <c r="O989" i="4"/>
  <c r="M989" i="4"/>
  <c r="Q989" i="4" s="1"/>
  <c r="O988" i="4"/>
  <c r="M988" i="4"/>
  <c r="Q988" i="4" s="1"/>
  <c r="O987" i="4"/>
  <c r="M987" i="4"/>
  <c r="Q987" i="4" s="1"/>
  <c r="O986" i="4"/>
  <c r="M986" i="4"/>
  <c r="Q986" i="4" s="1"/>
  <c r="O985" i="4"/>
  <c r="M985" i="4"/>
  <c r="Q985" i="4" s="1"/>
  <c r="O984" i="4"/>
  <c r="M984" i="4"/>
  <c r="Q984" i="4" s="1"/>
  <c r="O983" i="4"/>
  <c r="M983" i="4"/>
  <c r="Q983" i="4" s="1"/>
  <c r="O982" i="4"/>
  <c r="M982" i="4"/>
  <c r="Q982" i="4" s="1"/>
  <c r="O981" i="4"/>
  <c r="M981" i="4"/>
  <c r="Q981" i="4" s="1"/>
  <c r="O980" i="4"/>
  <c r="M980" i="4"/>
  <c r="Q980" i="4" s="1"/>
  <c r="O979" i="4"/>
  <c r="M979" i="4"/>
  <c r="Q979" i="4" s="1"/>
  <c r="O978" i="4"/>
  <c r="M978" i="4"/>
  <c r="Q978" i="4" s="1"/>
  <c r="O977" i="4"/>
  <c r="M977" i="4"/>
  <c r="Q977" i="4" s="1"/>
  <c r="O976" i="4"/>
  <c r="M976" i="4"/>
  <c r="Q976" i="4" s="1"/>
  <c r="O975" i="4"/>
  <c r="M975" i="4"/>
  <c r="Q975" i="4" s="1"/>
  <c r="O974" i="4"/>
  <c r="M974" i="4"/>
  <c r="Q974" i="4" s="1"/>
  <c r="O973" i="4"/>
  <c r="M973" i="4"/>
  <c r="Q973" i="4" s="1"/>
  <c r="O972" i="4"/>
  <c r="M972" i="4"/>
  <c r="Q972" i="4" s="1"/>
  <c r="O971" i="4"/>
  <c r="M971" i="4"/>
  <c r="Q971" i="4" s="1"/>
  <c r="O970" i="4"/>
  <c r="M970" i="4"/>
  <c r="Q970" i="4" s="1"/>
  <c r="O969" i="4"/>
  <c r="M969" i="4"/>
  <c r="Q969" i="4" s="1"/>
  <c r="O968" i="4"/>
  <c r="M968" i="4"/>
  <c r="Q968" i="4" s="1"/>
  <c r="O967" i="4"/>
  <c r="M967" i="4"/>
  <c r="Q967" i="4" s="1"/>
  <c r="O966" i="4"/>
  <c r="M966" i="4"/>
  <c r="Q966" i="4" s="1"/>
  <c r="O965" i="4"/>
  <c r="M965" i="4"/>
  <c r="Q965" i="4" s="1"/>
  <c r="O964" i="4"/>
  <c r="M964" i="4"/>
  <c r="Q964" i="4" s="1"/>
  <c r="O963" i="4"/>
  <c r="M963" i="4"/>
  <c r="Q963" i="4" s="1"/>
  <c r="O962" i="4"/>
  <c r="M962" i="4"/>
  <c r="Q962" i="4" s="1"/>
  <c r="O961" i="4"/>
  <c r="M961" i="4"/>
  <c r="Q961" i="4" s="1"/>
  <c r="O960" i="4"/>
  <c r="M960" i="4"/>
  <c r="Q960" i="4" s="1"/>
  <c r="O959" i="4"/>
  <c r="M959" i="4"/>
  <c r="Q959" i="4" s="1"/>
  <c r="O958" i="4"/>
  <c r="M958" i="4"/>
  <c r="Q958" i="4" s="1"/>
  <c r="O957" i="4"/>
  <c r="M957" i="4"/>
  <c r="Q957" i="4" s="1"/>
  <c r="O956" i="4"/>
  <c r="M956" i="4"/>
  <c r="Q956" i="4" s="1"/>
  <c r="O955" i="4"/>
  <c r="M955" i="4"/>
  <c r="Q955" i="4" s="1"/>
  <c r="O954" i="4"/>
  <c r="M954" i="4"/>
  <c r="Q954" i="4" s="1"/>
  <c r="O953" i="4"/>
  <c r="M953" i="4"/>
  <c r="Q953" i="4" s="1"/>
  <c r="O952" i="4"/>
  <c r="M952" i="4"/>
  <c r="O951" i="4"/>
  <c r="M951" i="4"/>
  <c r="Q951" i="4" s="1"/>
  <c r="O950" i="4"/>
  <c r="M950" i="4"/>
  <c r="O949" i="4"/>
  <c r="M949" i="4"/>
  <c r="Q949" i="4" s="1"/>
  <c r="O948" i="4"/>
  <c r="M948" i="4"/>
  <c r="O947" i="4"/>
  <c r="M947" i="4"/>
  <c r="Q947" i="4" s="1"/>
  <c r="O946" i="4"/>
  <c r="M946" i="4"/>
  <c r="O945" i="4"/>
  <c r="M945" i="4"/>
  <c r="Q945" i="4" s="1"/>
  <c r="O944" i="4"/>
  <c r="M944" i="4"/>
  <c r="O943" i="4"/>
  <c r="M943" i="4"/>
  <c r="Q943" i="4" s="1"/>
  <c r="O942" i="4"/>
  <c r="M942" i="4"/>
  <c r="O941" i="4"/>
  <c r="M941" i="4"/>
  <c r="Q941" i="4" s="1"/>
  <c r="O940" i="4"/>
  <c r="M940" i="4"/>
  <c r="O939" i="4"/>
  <c r="M939" i="4"/>
  <c r="Q939" i="4" s="1"/>
  <c r="O938" i="4"/>
  <c r="M938" i="4"/>
  <c r="O937" i="4"/>
  <c r="M937" i="4"/>
  <c r="Q937" i="4" s="1"/>
  <c r="O936" i="4"/>
  <c r="M936" i="4"/>
  <c r="O935" i="4"/>
  <c r="M935" i="4"/>
  <c r="Q935" i="4" s="1"/>
  <c r="O934" i="4"/>
  <c r="M934" i="4"/>
  <c r="O933" i="4"/>
  <c r="M933" i="4"/>
  <c r="Q933" i="4" s="1"/>
  <c r="O932" i="4"/>
  <c r="M932" i="4"/>
  <c r="O931" i="4"/>
  <c r="M931" i="4"/>
  <c r="Q931" i="4" s="1"/>
  <c r="O930" i="4"/>
  <c r="M930" i="4"/>
  <c r="O929" i="4"/>
  <c r="M929" i="4"/>
  <c r="Q929" i="4" s="1"/>
  <c r="O928" i="4"/>
  <c r="M928" i="4"/>
  <c r="O927" i="4"/>
  <c r="M927" i="4"/>
  <c r="Q927" i="4" s="1"/>
  <c r="O926" i="4"/>
  <c r="M926" i="4"/>
  <c r="O925" i="4"/>
  <c r="M925" i="4"/>
  <c r="Q925" i="4" s="1"/>
  <c r="O924" i="4"/>
  <c r="M924" i="4"/>
  <c r="O923" i="4"/>
  <c r="M923" i="4"/>
  <c r="Q923" i="4" s="1"/>
  <c r="O922" i="4"/>
  <c r="M922" i="4"/>
  <c r="O921" i="4"/>
  <c r="M921" i="4"/>
  <c r="Q921" i="4" s="1"/>
  <c r="O920" i="4"/>
  <c r="M920" i="4"/>
  <c r="O919" i="4"/>
  <c r="M919" i="4"/>
  <c r="Q919" i="4" s="1"/>
  <c r="O918" i="4"/>
  <c r="M918" i="4"/>
  <c r="O917" i="4"/>
  <c r="M917" i="4"/>
  <c r="Q917" i="4" s="1"/>
  <c r="O916" i="4"/>
  <c r="M916" i="4"/>
  <c r="O915" i="4"/>
  <c r="M915" i="4"/>
  <c r="Q915" i="4" s="1"/>
  <c r="O914" i="4"/>
  <c r="M914" i="4"/>
  <c r="O913" i="4"/>
  <c r="M913" i="4"/>
  <c r="Q913" i="4" s="1"/>
  <c r="O912" i="4"/>
  <c r="M912" i="4"/>
  <c r="O911" i="4"/>
  <c r="M911" i="4"/>
  <c r="Q911" i="4" s="1"/>
  <c r="O910" i="4"/>
  <c r="M910" i="4"/>
  <c r="O909" i="4"/>
  <c r="M909" i="4"/>
  <c r="Q909" i="4" s="1"/>
  <c r="O908" i="4"/>
  <c r="M908" i="4"/>
  <c r="O907" i="4"/>
  <c r="M907" i="4"/>
  <c r="Q907" i="4" s="1"/>
  <c r="O906" i="4"/>
  <c r="M906" i="4"/>
  <c r="O905" i="4"/>
  <c r="M905" i="4"/>
  <c r="Q905" i="4" s="1"/>
  <c r="O904" i="4"/>
  <c r="M904" i="4"/>
  <c r="O903" i="4"/>
  <c r="M903" i="4"/>
  <c r="Q903" i="4" s="1"/>
  <c r="O902" i="4"/>
  <c r="M902" i="4"/>
  <c r="O901" i="4"/>
  <c r="M901" i="4"/>
  <c r="Q901" i="4" s="1"/>
  <c r="O900" i="4"/>
  <c r="M900" i="4"/>
  <c r="O899" i="4"/>
  <c r="M899" i="4"/>
  <c r="Q899" i="4" s="1"/>
  <c r="O898" i="4"/>
  <c r="M898" i="4"/>
  <c r="O897" i="4"/>
  <c r="M897" i="4"/>
  <c r="Q897" i="4" s="1"/>
  <c r="O896" i="4"/>
  <c r="M896" i="4"/>
  <c r="O895" i="4"/>
  <c r="M895" i="4"/>
  <c r="Q895" i="4" s="1"/>
  <c r="O894" i="4"/>
  <c r="M894" i="4"/>
  <c r="O893" i="4"/>
  <c r="M893" i="4"/>
  <c r="Q893" i="4" s="1"/>
  <c r="O892" i="4"/>
  <c r="M892" i="4"/>
  <c r="O891" i="4"/>
  <c r="M891" i="4"/>
  <c r="Q891" i="4" s="1"/>
  <c r="O890" i="4"/>
  <c r="M890" i="4"/>
  <c r="O889" i="4"/>
  <c r="M889" i="4"/>
  <c r="Q889" i="4" s="1"/>
  <c r="O888" i="4"/>
  <c r="M888" i="4"/>
  <c r="O887" i="4"/>
  <c r="M887" i="4"/>
  <c r="Q887" i="4" s="1"/>
  <c r="O886" i="4"/>
  <c r="M886" i="4"/>
  <c r="O885" i="4"/>
  <c r="M885" i="4"/>
  <c r="Q885" i="4" s="1"/>
  <c r="O884" i="4"/>
  <c r="M884" i="4"/>
  <c r="O883" i="4"/>
  <c r="M883" i="4"/>
  <c r="Q883" i="4" s="1"/>
  <c r="O882" i="4"/>
  <c r="M882" i="4"/>
  <c r="O881" i="4"/>
  <c r="M881" i="4"/>
  <c r="Q881" i="4" s="1"/>
  <c r="O880" i="4"/>
  <c r="M880" i="4"/>
  <c r="O879" i="4"/>
  <c r="M879" i="4"/>
  <c r="Q879" i="4" s="1"/>
  <c r="O878" i="4"/>
  <c r="M878" i="4"/>
  <c r="O877" i="4"/>
  <c r="M877" i="4"/>
  <c r="Q877" i="4" s="1"/>
  <c r="O876" i="4"/>
  <c r="M876" i="4"/>
  <c r="O875" i="4"/>
  <c r="M875" i="4"/>
  <c r="Q875" i="4" s="1"/>
  <c r="O874" i="4"/>
  <c r="M874" i="4"/>
  <c r="O873" i="4"/>
  <c r="M873" i="4"/>
  <c r="Q873" i="4" s="1"/>
  <c r="O872" i="4"/>
  <c r="M872" i="4"/>
  <c r="O871" i="4"/>
  <c r="M871" i="4"/>
  <c r="Q871" i="4" s="1"/>
  <c r="O870" i="4"/>
  <c r="M870" i="4"/>
  <c r="O869" i="4"/>
  <c r="M869" i="4"/>
  <c r="Q869" i="4" s="1"/>
  <c r="O868" i="4"/>
  <c r="M868" i="4"/>
  <c r="O867" i="4"/>
  <c r="M867" i="4"/>
  <c r="Q867" i="4" s="1"/>
  <c r="O866" i="4"/>
  <c r="M866" i="4"/>
  <c r="O865" i="4"/>
  <c r="M865" i="4"/>
  <c r="Q865" i="4" s="1"/>
  <c r="O864" i="4"/>
  <c r="M864" i="4"/>
  <c r="O863" i="4"/>
  <c r="M863" i="4"/>
  <c r="Q863" i="4" s="1"/>
  <c r="O862" i="4"/>
  <c r="M862" i="4"/>
  <c r="O861" i="4"/>
  <c r="M861" i="4"/>
  <c r="Q861" i="4" s="1"/>
  <c r="O860" i="4"/>
  <c r="M860" i="4"/>
  <c r="O859" i="4"/>
  <c r="M859" i="4"/>
  <c r="Q859" i="4" s="1"/>
  <c r="O858" i="4"/>
  <c r="M858" i="4"/>
  <c r="O857" i="4"/>
  <c r="M857" i="4"/>
  <c r="Q857" i="4" s="1"/>
  <c r="O856" i="4"/>
  <c r="M856" i="4"/>
  <c r="O855" i="4"/>
  <c r="M855" i="4"/>
  <c r="Q855" i="4" s="1"/>
  <c r="O854" i="4"/>
  <c r="M854" i="4"/>
  <c r="O853" i="4"/>
  <c r="M853" i="4"/>
  <c r="Q853" i="4" s="1"/>
  <c r="O852" i="4"/>
  <c r="M852" i="4"/>
  <c r="O851" i="4"/>
  <c r="M851" i="4"/>
  <c r="Q851" i="4" s="1"/>
  <c r="O850" i="4"/>
  <c r="M850" i="4"/>
  <c r="O849" i="4"/>
  <c r="M849" i="4"/>
  <c r="Q849" i="4" s="1"/>
  <c r="O848" i="4"/>
  <c r="M848" i="4"/>
  <c r="O847" i="4"/>
  <c r="M847" i="4"/>
  <c r="Q847" i="4" s="1"/>
  <c r="O846" i="4"/>
  <c r="M846" i="4"/>
  <c r="O845" i="4"/>
  <c r="M845" i="4"/>
  <c r="Q845" i="4" s="1"/>
  <c r="O844" i="4"/>
  <c r="M844" i="4"/>
  <c r="O843" i="4"/>
  <c r="M843" i="4"/>
  <c r="Q843" i="4" s="1"/>
  <c r="O842" i="4"/>
  <c r="M842" i="4"/>
  <c r="O841" i="4"/>
  <c r="M841" i="4"/>
  <c r="Q841" i="4" s="1"/>
  <c r="O840" i="4"/>
  <c r="M840" i="4"/>
  <c r="O839" i="4"/>
  <c r="M839" i="4"/>
  <c r="Q839" i="4" s="1"/>
  <c r="O838" i="4"/>
  <c r="M838" i="4"/>
  <c r="O837" i="4"/>
  <c r="M837" i="4"/>
  <c r="Q837" i="4" s="1"/>
  <c r="O836" i="4"/>
  <c r="M836" i="4"/>
  <c r="O835" i="4"/>
  <c r="M835" i="4"/>
  <c r="Q835" i="4" s="1"/>
  <c r="O834" i="4"/>
  <c r="M834" i="4"/>
  <c r="Q834" i="4" s="1"/>
  <c r="O833" i="4"/>
  <c r="M833" i="4"/>
  <c r="Q833" i="4" s="1"/>
  <c r="O832" i="4"/>
  <c r="M832" i="4"/>
  <c r="Q832" i="4" s="1"/>
  <c r="O831" i="4"/>
  <c r="M831" i="4"/>
  <c r="Q831" i="4" s="1"/>
  <c r="O830" i="4"/>
  <c r="M830" i="4"/>
  <c r="Q830" i="4" s="1"/>
  <c r="O829" i="4"/>
  <c r="M829" i="4"/>
  <c r="Q829" i="4" s="1"/>
  <c r="O828" i="4"/>
  <c r="M828" i="4"/>
  <c r="Q828" i="4" s="1"/>
  <c r="O827" i="4"/>
  <c r="M827" i="4"/>
  <c r="Q827" i="4" s="1"/>
  <c r="O826" i="4"/>
  <c r="M826" i="4"/>
  <c r="Q826" i="4" s="1"/>
  <c r="O825" i="4"/>
  <c r="M825" i="4"/>
  <c r="Q825" i="4" s="1"/>
  <c r="O824" i="4"/>
  <c r="M824" i="4"/>
  <c r="Q824" i="4" s="1"/>
  <c r="O823" i="4"/>
  <c r="M823" i="4"/>
  <c r="Q823" i="4" s="1"/>
  <c r="O822" i="4"/>
  <c r="M822" i="4"/>
  <c r="Q822" i="4" s="1"/>
  <c r="O821" i="4"/>
  <c r="M821" i="4"/>
  <c r="Q821" i="4" s="1"/>
  <c r="O820" i="4"/>
  <c r="M820" i="4"/>
  <c r="Q820" i="4" s="1"/>
  <c r="O819" i="4"/>
  <c r="M819" i="4"/>
  <c r="Q819" i="4" s="1"/>
  <c r="O818" i="4"/>
  <c r="M818" i="4"/>
  <c r="Q818" i="4" s="1"/>
  <c r="O817" i="4"/>
  <c r="M817" i="4"/>
  <c r="Q817" i="4" s="1"/>
  <c r="O816" i="4"/>
  <c r="M816" i="4"/>
  <c r="Q816" i="4" s="1"/>
  <c r="O815" i="4"/>
  <c r="M815" i="4"/>
  <c r="Q815" i="4" s="1"/>
  <c r="O814" i="4"/>
  <c r="M814" i="4"/>
  <c r="Q814" i="4" s="1"/>
  <c r="O813" i="4"/>
  <c r="M813" i="4"/>
  <c r="Q813" i="4" s="1"/>
  <c r="O812" i="4"/>
  <c r="M812" i="4"/>
  <c r="Q812" i="4" s="1"/>
  <c r="O811" i="4"/>
  <c r="M811" i="4"/>
  <c r="Q811" i="4" s="1"/>
  <c r="O810" i="4"/>
  <c r="M810" i="4"/>
  <c r="Q810" i="4" s="1"/>
  <c r="O809" i="4"/>
  <c r="M809" i="4"/>
  <c r="Q809" i="4" s="1"/>
  <c r="O808" i="4"/>
  <c r="J808" i="4" s="1"/>
  <c r="I808" i="4" s="1"/>
  <c r="M808" i="4"/>
  <c r="Q808" i="4" s="1"/>
  <c r="O807" i="4"/>
  <c r="M807" i="4"/>
  <c r="Q807" i="4" s="1"/>
  <c r="O806" i="4"/>
  <c r="M806" i="4"/>
  <c r="Q806" i="4" s="1"/>
  <c r="O805" i="4"/>
  <c r="M805" i="4"/>
  <c r="Q805" i="4" s="1"/>
  <c r="O804" i="4"/>
  <c r="M804" i="4"/>
  <c r="Q804" i="4" s="1"/>
  <c r="O803" i="4"/>
  <c r="M803" i="4"/>
  <c r="Q803" i="4" s="1"/>
  <c r="O802" i="4"/>
  <c r="M802" i="4"/>
  <c r="Q802" i="4" s="1"/>
  <c r="O801" i="4"/>
  <c r="M801" i="4"/>
  <c r="Q801" i="4" s="1"/>
  <c r="O800" i="4"/>
  <c r="M800" i="4"/>
  <c r="Q800" i="4" s="1"/>
  <c r="O799" i="4"/>
  <c r="M799" i="4"/>
  <c r="Q799" i="4" s="1"/>
  <c r="O798" i="4"/>
  <c r="M798" i="4"/>
  <c r="Q798" i="4" s="1"/>
  <c r="O797" i="4"/>
  <c r="M797" i="4"/>
  <c r="Q797" i="4" s="1"/>
  <c r="O796" i="4"/>
  <c r="M796" i="4"/>
  <c r="Q796" i="4" s="1"/>
  <c r="O795" i="4"/>
  <c r="M795" i="4"/>
  <c r="Q795" i="4" s="1"/>
  <c r="O794" i="4"/>
  <c r="M794" i="4"/>
  <c r="Q794" i="4" s="1"/>
  <c r="O793" i="4"/>
  <c r="M793" i="4"/>
  <c r="Q793" i="4" s="1"/>
  <c r="O792" i="4"/>
  <c r="M792" i="4"/>
  <c r="Q792" i="4" s="1"/>
  <c r="O791" i="4"/>
  <c r="M791" i="4"/>
  <c r="Q791" i="4" s="1"/>
  <c r="O790" i="4"/>
  <c r="M790" i="4"/>
  <c r="Q790" i="4" s="1"/>
  <c r="O789" i="4"/>
  <c r="M789" i="4"/>
  <c r="Q789" i="4" s="1"/>
  <c r="O788" i="4"/>
  <c r="M788" i="4"/>
  <c r="Q788" i="4" s="1"/>
  <c r="O787" i="4"/>
  <c r="M787" i="4"/>
  <c r="Q787" i="4" s="1"/>
  <c r="O786" i="4"/>
  <c r="M786" i="4"/>
  <c r="Q786" i="4" s="1"/>
  <c r="O785" i="4"/>
  <c r="M785" i="4"/>
  <c r="Q785" i="4" s="1"/>
  <c r="O784" i="4"/>
  <c r="M784" i="4"/>
  <c r="Q784" i="4" s="1"/>
  <c r="O783" i="4"/>
  <c r="M783" i="4"/>
  <c r="Q783" i="4" s="1"/>
  <c r="O782" i="4"/>
  <c r="M782" i="4"/>
  <c r="Q782" i="4" s="1"/>
  <c r="O781" i="4"/>
  <c r="M781" i="4"/>
  <c r="Q781" i="4" s="1"/>
  <c r="O780" i="4"/>
  <c r="M780" i="4"/>
  <c r="Q780" i="4" s="1"/>
  <c r="O779" i="4"/>
  <c r="M779" i="4"/>
  <c r="Q779" i="4" s="1"/>
  <c r="O778" i="4"/>
  <c r="M778" i="4"/>
  <c r="Q778" i="4" s="1"/>
  <c r="O777" i="4"/>
  <c r="M777" i="4"/>
  <c r="Q777" i="4" s="1"/>
  <c r="O776" i="4"/>
  <c r="M776" i="4"/>
  <c r="Q776" i="4" s="1"/>
  <c r="O775" i="4"/>
  <c r="M775" i="4"/>
  <c r="Q775" i="4" s="1"/>
  <c r="O774" i="4"/>
  <c r="M774" i="4"/>
  <c r="Q774" i="4" s="1"/>
  <c r="O773" i="4"/>
  <c r="M773" i="4"/>
  <c r="Q773" i="4" s="1"/>
  <c r="O772" i="4"/>
  <c r="J772" i="4" s="1"/>
  <c r="I772" i="4" s="1"/>
  <c r="M772" i="4"/>
  <c r="Q772" i="4" s="1"/>
  <c r="O771" i="4"/>
  <c r="M771" i="4"/>
  <c r="Q771" i="4" s="1"/>
  <c r="O770" i="4"/>
  <c r="M770" i="4"/>
  <c r="Q770" i="4" s="1"/>
  <c r="O769" i="4"/>
  <c r="M769" i="4"/>
  <c r="Q769" i="4" s="1"/>
  <c r="O768" i="4"/>
  <c r="M768" i="4"/>
  <c r="Q768" i="4" s="1"/>
  <c r="O767" i="4"/>
  <c r="M767" i="4"/>
  <c r="Q767" i="4" s="1"/>
  <c r="O766" i="4"/>
  <c r="M766" i="4"/>
  <c r="Q766" i="4" s="1"/>
  <c r="O765" i="4"/>
  <c r="M765" i="4"/>
  <c r="Q765" i="4" s="1"/>
  <c r="O764" i="4"/>
  <c r="M764" i="4"/>
  <c r="Q764" i="4" s="1"/>
  <c r="O763" i="4"/>
  <c r="M763" i="4"/>
  <c r="Q763" i="4" s="1"/>
  <c r="O762" i="4"/>
  <c r="M762" i="4"/>
  <c r="Q762" i="4" s="1"/>
  <c r="O761" i="4"/>
  <c r="M761" i="4"/>
  <c r="Q761" i="4" s="1"/>
  <c r="O760" i="4"/>
  <c r="M760" i="4"/>
  <c r="Q760" i="4" s="1"/>
  <c r="O759" i="4"/>
  <c r="M759" i="4"/>
  <c r="Q759" i="4" s="1"/>
  <c r="O758" i="4"/>
  <c r="M758" i="4"/>
  <c r="Q758" i="4" s="1"/>
  <c r="O757" i="4"/>
  <c r="M757" i="4"/>
  <c r="Q757" i="4" s="1"/>
  <c r="O756" i="4"/>
  <c r="M756" i="4"/>
  <c r="Q756" i="4" s="1"/>
  <c r="O755" i="4"/>
  <c r="M755" i="4"/>
  <c r="Q755" i="4" s="1"/>
  <c r="O754" i="4"/>
  <c r="M754" i="4"/>
  <c r="Q754" i="4" s="1"/>
  <c r="O753" i="4"/>
  <c r="M753" i="4"/>
  <c r="Q753" i="4" s="1"/>
  <c r="O752" i="4"/>
  <c r="M752" i="4"/>
  <c r="Q752" i="4" s="1"/>
  <c r="O751" i="4"/>
  <c r="M751" i="4"/>
  <c r="Q751" i="4" s="1"/>
  <c r="O750" i="4"/>
  <c r="M750" i="4"/>
  <c r="Q750" i="4" s="1"/>
  <c r="O749" i="4"/>
  <c r="M749" i="4"/>
  <c r="Q749" i="4" s="1"/>
  <c r="O748" i="4"/>
  <c r="M748" i="4"/>
  <c r="Q748" i="4" s="1"/>
  <c r="O747" i="4"/>
  <c r="M747" i="4"/>
  <c r="Q747" i="4" s="1"/>
  <c r="O746" i="4"/>
  <c r="M746" i="4"/>
  <c r="Q746" i="4" s="1"/>
  <c r="O745" i="4"/>
  <c r="M745" i="4"/>
  <c r="Q745" i="4" s="1"/>
  <c r="O744" i="4"/>
  <c r="M744" i="4"/>
  <c r="Q744" i="4" s="1"/>
  <c r="O743" i="4"/>
  <c r="M743" i="4"/>
  <c r="Q743" i="4" s="1"/>
  <c r="O742" i="4"/>
  <c r="M742" i="4"/>
  <c r="Q742" i="4" s="1"/>
  <c r="O741" i="4"/>
  <c r="M741" i="4"/>
  <c r="Q741" i="4" s="1"/>
  <c r="O740" i="4"/>
  <c r="M740" i="4"/>
  <c r="Q740" i="4" s="1"/>
  <c r="O739" i="4"/>
  <c r="M739" i="4"/>
  <c r="Q739" i="4" s="1"/>
  <c r="O738" i="4"/>
  <c r="M738" i="4"/>
  <c r="Q738" i="4" s="1"/>
  <c r="O737" i="4"/>
  <c r="M737" i="4"/>
  <c r="Q737" i="4" s="1"/>
  <c r="O736" i="4"/>
  <c r="M736" i="4"/>
  <c r="Q736" i="4" s="1"/>
  <c r="O735" i="4"/>
  <c r="M735" i="4"/>
  <c r="Q735" i="4" s="1"/>
  <c r="O734" i="4"/>
  <c r="M734" i="4"/>
  <c r="Q734" i="4" s="1"/>
  <c r="O733" i="4"/>
  <c r="M733" i="4"/>
  <c r="Q733" i="4" s="1"/>
  <c r="O732" i="4"/>
  <c r="M732" i="4"/>
  <c r="O731" i="4"/>
  <c r="M731" i="4"/>
  <c r="Q731" i="4" s="1"/>
  <c r="O730" i="4"/>
  <c r="M730" i="4"/>
  <c r="O729" i="4"/>
  <c r="M729" i="4"/>
  <c r="Q729" i="4" s="1"/>
  <c r="O728" i="4"/>
  <c r="M728" i="4"/>
  <c r="O727" i="4"/>
  <c r="M727" i="4"/>
  <c r="Q727" i="4" s="1"/>
  <c r="O726" i="4"/>
  <c r="M726" i="4"/>
  <c r="O725" i="4"/>
  <c r="M725" i="4"/>
  <c r="Q725" i="4" s="1"/>
  <c r="O724" i="4"/>
  <c r="M724" i="4"/>
  <c r="O723" i="4"/>
  <c r="M723" i="4"/>
  <c r="Q723" i="4" s="1"/>
  <c r="O722" i="4"/>
  <c r="M722" i="4"/>
  <c r="O721" i="4"/>
  <c r="M721" i="4"/>
  <c r="Q721" i="4" s="1"/>
  <c r="O720" i="4"/>
  <c r="M720" i="4"/>
  <c r="O719" i="4"/>
  <c r="M719" i="4"/>
  <c r="Q719" i="4" s="1"/>
  <c r="O718" i="4"/>
  <c r="M718" i="4"/>
  <c r="O717" i="4"/>
  <c r="M717" i="4"/>
  <c r="Q717" i="4" s="1"/>
  <c r="O716" i="4"/>
  <c r="M716" i="4"/>
  <c r="O715" i="4"/>
  <c r="M715" i="4"/>
  <c r="Q715" i="4" s="1"/>
  <c r="O714" i="4"/>
  <c r="M714" i="4"/>
  <c r="O713" i="4"/>
  <c r="M713" i="4"/>
  <c r="Q713" i="4" s="1"/>
  <c r="O712" i="4"/>
  <c r="M712" i="4"/>
  <c r="O711" i="4"/>
  <c r="M711" i="4"/>
  <c r="Q711" i="4" s="1"/>
  <c r="O710" i="4"/>
  <c r="M710" i="4"/>
  <c r="O709" i="4"/>
  <c r="M709" i="4"/>
  <c r="Q709" i="4" s="1"/>
  <c r="O708" i="4"/>
  <c r="M708" i="4"/>
  <c r="O707" i="4"/>
  <c r="M707" i="4"/>
  <c r="Q707" i="4" s="1"/>
  <c r="O706" i="4"/>
  <c r="M706" i="4"/>
  <c r="O705" i="4"/>
  <c r="M705" i="4"/>
  <c r="Q705" i="4" s="1"/>
  <c r="O704" i="4"/>
  <c r="M704" i="4"/>
  <c r="O703" i="4"/>
  <c r="M703" i="4"/>
  <c r="Q703" i="4" s="1"/>
  <c r="O702" i="4"/>
  <c r="M702" i="4"/>
  <c r="O701" i="4"/>
  <c r="M701" i="4"/>
  <c r="Q701" i="4" s="1"/>
  <c r="O700" i="4"/>
  <c r="M700" i="4"/>
  <c r="O699" i="4"/>
  <c r="M699" i="4"/>
  <c r="Q699" i="4" s="1"/>
  <c r="O698" i="4"/>
  <c r="M698" i="4"/>
  <c r="O697" i="4"/>
  <c r="M697" i="4"/>
  <c r="Q697" i="4" s="1"/>
  <c r="O696" i="4"/>
  <c r="M696" i="4"/>
  <c r="O695" i="4"/>
  <c r="M695" i="4"/>
  <c r="Q695" i="4" s="1"/>
  <c r="O694" i="4"/>
  <c r="M694" i="4"/>
  <c r="O693" i="4"/>
  <c r="M693" i="4"/>
  <c r="Q693" i="4" s="1"/>
  <c r="O692" i="4"/>
  <c r="M692" i="4"/>
  <c r="O691" i="4"/>
  <c r="M691" i="4"/>
  <c r="Q691" i="4" s="1"/>
  <c r="O690" i="4"/>
  <c r="M690" i="4"/>
  <c r="O689" i="4"/>
  <c r="M689" i="4"/>
  <c r="Q689" i="4" s="1"/>
  <c r="O688" i="4"/>
  <c r="M688" i="4"/>
  <c r="O687" i="4"/>
  <c r="M687" i="4"/>
  <c r="Q687" i="4" s="1"/>
  <c r="O686" i="4"/>
  <c r="M686" i="4"/>
  <c r="O685" i="4"/>
  <c r="M685" i="4"/>
  <c r="Q685" i="4" s="1"/>
  <c r="O684" i="4"/>
  <c r="M684" i="4"/>
  <c r="O683" i="4"/>
  <c r="M683" i="4"/>
  <c r="Q683" i="4" s="1"/>
  <c r="O682" i="4"/>
  <c r="M682" i="4"/>
  <c r="O681" i="4"/>
  <c r="M681" i="4"/>
  <c r="Q681" i="4" s="1"/>
  <c r="O680" i="4"/>
  <c r="M680" i="4"/>
  <c r="O679" i="4"/>
  <c r="M679" i="4"/>
  <c r="Q679" i="4" s="1"/>
  <c r="O678" i="4"/>
  <c r="M678" i="4"/>
  <c r="O677" i="4"/>
  <c r="M677" i="4"/>
  <c r="Q677" i="4" s="1"/>
  <c r="O676" i="4"/>
  <c r="M676" i="4"/>
  <c r="O675" i="4"/>
  <c r="M675" i="4"/>
  <c r="Q675" i="4" s="1"/>
  <c r="O674" i="4"/>
  <c r="M674" i="4"/>
  <c r="O673" i="4"/>
  <c r="M673" i="4"/>
  <c r="Q673" i="4" s="1"/>
  <c r="O672" i="4"/>
  <c r="M672" i="4"/>
  <c r="O671" i="4"/>
  <c r="M671" i="4"/>
  <c r="Q671" i="4" s="1"/>
  <c r="O670" i="4"/>
  <c r="M670" i="4"/>
  <c r="O669" i="4"/>
  <c r="M669" i="4"/>
  <c r="Q669" i="4" s="1"/>
  <c r="O668" i="4"/>
  <c r="M668" i="4"/>
  <c r="O667" i="4"/>
  <c r="M667" i="4"/>
  <c r="Q667" i="4" s="1"/>
  <c r="O666" i="4"/>
  <c r="M666" i="4"/>
  <c r="O665" i="4"/>
  <c r="M665" i="4"/>
  <c r="Q665" i="4" s="1"/>
  <c r="O664" i="4"/>
  <c r="M664" i="4"/>
  <c r="O663" i="4"/>
  <c r="M663" i="4"/>
  <c r="Q663" i="4" s="1"/>
  <c r="O662" i="4"/>
  <c r="M662" i="4"/>
  <c r="O661" i="4"/>
  <c r="M661" i="4"/>
  <c r="Q661" i="4" s="1"/>
  <c r="O660" i="4"/>
  <c r="M660" i="4"/>
  <c r="O659" i="4"/>
  <c r="M659" i="4"/>
  <c r="Q659" i="4" s="1"/>
  <c r="O658" i="4"/>
  <c r="M658" i="4"/>
  <c r="O657" i="4"/>
  <c r="M657" i="4"/>
  <c r="Q657" i="4" s="1"/>
  <c r="O656" i="4"/>
  <c r="M656" i="4"/>
  <c r="O655" i="4"/>
  <c r="M655" i="4"/>
  <c r="Q655" i="4" s="1"/>
  <c r="O654" i="4"/>
  <c r="M654" i="4"/>
  <c r="O653" i="4"/>
  <c r="M653" i="4"/>
  <c r="Q653" i="4" s="1"/>
  <c r="O652" i="4"/>
  <c r="M652" i="4"/>
  <c r="O651" i="4"/>
  <c r="M651" i="4"/>
  <c r="Q651" i="4" s="1"/>
  <c r="O650" i="4"/>
  <c r="M650" i="4"/>
  <c r="O649" i="4"/>
  <c r="M649" i="4"/>
  <c r="Q649" i="4" s="1"/>
  <c r="O648" i="4"/>
  <c r="M648" i="4"/>
  <c r="O647" i="4"/>
  <c r="M647" i="4"/>
  <c r="Q647" i="4" s="1"/>
  <c r="O646" i="4"/>
  <c r="M646" i="4"/>
  <c r="O645" i="4"/>
  <c r="M645" i="4"/>
  <c r="Q645" i="4" s="1"/>
  <c r="O644" i="4"/>
  <c r="M644" i="4"/>
  <c r="O643" i="4"/>
  <c r="M643" i="4"/>
  <c r="Q643" i="4" s="1"/>
  <c r="O642" i="4"/>
  <c r="M642" i="4"/>
  <c r="O641" i="4"/>
  <c r="M641" i="4"/>
  <c r="Q641" i="4" s="1"/>
  <c r="O640" i="4"/>
  <c r="M640" i="4"/>
  <c r="O639" i="4"/>
  <c r="M639" i="4"/>
  <c r="Q639" i="4" s="1"/>
  <c r="O638" i="4"/>
  <c r="M638" i="4"/>
  <c r="O637" i="4"/>
  <c r="M637" i="4"/>
  <c r="Q637" i="4" s="1"/>
  <c r="O636" i="4"/>
  <c r="M636" i="4"/>
  <c r="O635" i="4"/>
  <c r="M635" i="4"/>
  <c r="Q635" i="4" s="1"/>
  <c r="O634" i="4"/>
  <c r="M634" i="4"/>
  <c r="O633" i="4"/>
  <c r="M633" i="4"/>
  <c r="Q633" i="4" s="1"/>
  <c r="O632" i="4"/>
  <c r="M632" i="4"/>
  <c r="O631" i="4"/>
  <c r="M631" i="4"/>
  <c r="Q631" i="4" s="1"/>
  <c r="O630" i="4"/>
  <c r="M630" i="4"/>
  <c r="O629" i="4"/>
  <c r="M629" i="4"/>
  <c r="Q629" i="4" s="1"/>
  <c r="O628" i="4"/>
  <c r="M628" i="4"/>
  <c r="O627" i="4"/>
  <c r="M627" i="4"/>
  <c r="Q627" i="4" s="1"/>
  <c r="O626" i="4"/>
  <c r="M626" i="4"/>
  <c r="O625" i="4"/>
  <c r="M625" i="4"/>
  <c r="Q625" i="4" s="1"/>
  <c r="O624" i="4"/>
  <c r="M624" i="4"/>
  <c r="J624" i="4" s="1"/>
  <c r="I624" i="4" s="1"/>
  <c r="O623" i="4"/>
  <c r="M623" i="4"/>
  <c r="Q623" i="4" s="1"/>
  <c r="O622" i="4"/>
  <c r="M622" i="4"/>
  <c r="O621" i="4"/>
  <c r="M621" i="4"/>
  <c r="Q621" i="4" s="1"/>
  <c r="O620" i="4"/>
  <c r="M620" i="4"/>
  <c r="O619" i="4"/>
  <c r="M619" i="4"/>
  <c r="Q619" i="4" s="1"/>
  <c r="O618" i="4"/>
  <c r="M618" i="4"/>
  <c r="O617" i="4"/>
  <c r="M617" i="4"/>
  <c r="Q617" i="4" s="1"/>
  <c r="O616" i="4"/>
  <c r="M616" i="4"/>
  <c r="O615" i="4"/>
  <c r="M615" i="4"/>
  <c r="Q615" i="4" s="1"/>
  <c r="O614" i="4"/>
  <c r="M614" i="4"/>
  <c r="O613" i="4"/>
  <c r="M613" i="4"/>
  <c r="Q613" i="4" s="1"/>
  <c r="O612" i="4"/>
  <c r="M612" i="4"/>
  <c r="O611" i="4"/>
  <c r="M611" i="4"/>
  <c r="Q611" i="4" s="1"/>
  <c r="O610" i="4"/>
  <c r="M610" i="4"/>
  <c r="O609" i="4"/>
  <c r="M609" i="4"/>
  <c r="Q609" i="4" s="1"/>
  <c r="O608" i="4"/>
  <c r="M608" i="4"/>
  <c r="O607" i="4"/>
  <c r="M607" i="4"/>
  <c r="Q607" i="4" s="1"/>
  <c r="O606" i="4"/>
  <c r="M606" i="4"/>
  <c r="O605" i="4"/>
  <c r="M605" i="4"/>
  <c r="Q605" i="4" s="1"/>
  <c r="O604" i="4"/>
  <c r="M604" i="4"/>
  <c r="O603" i="4"/>
  <c r="M603" i="4"/>
  <c r="Q603" i="4" s="1"/>
  <c r="O602" i="4"/>
  <c r="M602" i="4"/>
  <c r="O601" i="4"/>
  <c r="M601" i="4"/>
  <c r="Q601" i="4" s="1"/>
  <c r="O600" i="4"/>
  <c r="M600" i="4"/>
  <c r="O599" i="4"/>
  <c r="M599" i="4"/>
  <c r="Q599" i="4" s="1"/>
  <c r="O598" i="4"/>
  <c r="M598" i="4"/>
  <c r="O597" i="4"/>
  <c r="M597" i="4"/>
  <c r="Q597" i="4" s="1"/>
  <c r="O596" i="4"/>
  <c r="M596" i="4"/>
  <c r="O595" i="4"/>
  <c r="M595" i="4"/>
  <c r="Q595" i="4" s="1"/>
  <c r="O594" i="4"/>
  <c r="M594" i="4"/>
  <c r="O593" i="4"/>
  <c r="M593" i="4"/>
  <c r="Q593" i="4" s="1"/>
  <c r="O592" i="4"/>
  <c r="M592" i="4"/>
  <c r="J592" i="4" s="1"/>
  <c r="I592" i="4" s="1"/>
  <c r="O591" i="4"/>
  <c r="M591" i="4"/>
  <c r="Q591" i="4" s="1"/>
  <c r="O590" i="4"/>
  <c r="M590" i="4"/>
  <c r="O589" i="4"/>
  <c r="M589" i="4"/>
  <c r="Q589" i="4" s="1"/>
  <c r="O588" i="4"/>
  <c r="M588" i="4"/>
  <c r="O587" i="4"/>
  <c r="M587" i="4"/>
  <c r="Q587" i="4" s="1"/>
  <c r="O586" i="4"/>
  <c r="M586" i="4"/>
  <c r="O585" i="4"/>
  <c r="M585" i="4"/>
  <c r="Q585" i="4" s="1"/>
  <c r="O584" i="4"/>
  <c r="M584" i="4"/>
  <c r="O583" i="4"/>
  <c r="M583" i="4"/>
  <c r="Q583" i="4" s="1"/>
  <c r="O582" i="4"/>
  <c r="M582" i="4"/>
  <c r="O581" i="4"/>
  <c r="M581" i="4"/>
  <c r="Q581" i="4" s="1"/>
  <c r="O580" i="4"/>
  <c r="M580" i="4"/>
  <c r="O579" i="4"/>
  <c r="M579" i="4"/>
  <c r="Q579" i="4" s="1"/>
  <c r="O578" i="4"/>
  <c r="M578" i="4"/>
  <c r="O577" i="4"/>
  <c r="M577" i="4"/>
  <c r="Q577" i="4" s="1"/>
  <c r="O576" i="4"/>
  <c r="M576" i="4"/>
  <c r="O575" i="4"/>
  <c r="M575" i="4"/>
  <c r="Q575" i="4" s="1"/>
  <c r="O574" i="4"/>
  <c r="M574" i="4"/>
  <c r="O573" i="4"/>
  <c r="M573" i="4"/>
  <c r="Q573" i="4" s="1"/>
  <c r="O572" i="4"/>
  <c r="M572" i="4"/>
  <c r="O571" i="4"/>
  <c r="M571" i="4"/>
  <c r="Q571" i="4" s="1"/>
  <c r="O570" i="4"/>
  <c r="M570" i="4"/>
  <c r="O569" i="4"/>
  <c r="M569" i="4"/>
  <c r="Q569" i="4" s="1"/>
  <c r="O568" i="4"/>
  <c r="M568" i="4"/>
  <c r="O567" i="4"/>
  <c r="M567" i="4"/>
  <c r="Q567" i="4" s="1"/>
  <c r="O566" i="4"/>
  <c r="M566" i="4"/>
  <c r="O565" i="4"/>
  <c r="M565" i="4"/>
  <c r="Q565" i="4" s="1"/>
  <c r="O564" i="4"/>
  <c r="M564" i="4"/>
  <c r="O563" i="4"/>
  <c r="M563" i="4"/>
  <c r="Q563" i="4" s="1"/>
  <c r="O562" i="4"/>
  <c r="M562" i="4"/>
  <c r="O561" i="4"/>
  <c r="M561" i="4"/>
  <c r="Q561" i="4" s="1"/>
  <c r="O560" i="4"/>
  <c r="M560" i="4"/>
  <c r="O559" i="4"/>
  <c r="M559" i="4"/>
  <c r="Q559" i="4" s="1"/>
  <c r="O558" i="4"/>
  <c r="M558" i="4"/>
  <c r="O557" i="4"/>
  <c r="M557" i="4"/>
  <c r="Q557" i="4" s="1"/>
  <c r="O556" i="4"/>
  <c r="M556" i="4"/>
  <c r="O555" i="4"/>
  <c r="M555" i="4"/>
  <c r="Q555" i="4" s="1"/>
  <c r="O554" i="4"/>
  <c r="M554" i="4"/>
  <c r="O553" i="4"/>
  <c r="M553" i="4"/>
  <c r="Q553" i="4" s="1"/>
  <c r="O552" i="4"/>
  <c r="M552" i="4"/>
  <c r="O551" i="4"/>
  <c r="M551" i="4"/>
  <c r="Q551" i="4" s="1"/>
  <c r="O550" i="4"/>
  <c r="M550" i="4"/>
  <c r="O549" i="4"/>
  <c r="M549" i="4"/>
  <c r="Q549" i="4" s="1"/>
  <c r="O548" i="4"/>
  <c r="M548" i="4"/>
  <c r="O547" i="4"/>
  <c r="M547" i="4"/>
  <c r="Q547" i="4" s="1"/>
  <c r="O546" i="4"/>
  <c r="M546" i="4"/>
  <c r="O545" i="4"/>
  <c r="M545" i="4"/>
  <c r="Q545" i="4" s="1"/>
  <c r="O544" i="4"/>
  <c r="M544" i="4"/>
  <c r="O543" i="4"/>
  <c r="M543" i="4"/>
  <c r="Q543" i="4" s="1"/>
  <c r="O542" i="4"/>
  <c r="M542" i="4"/>
  <c r="O541" i="4"/>
  <c r="M541" i="4"/>
  <c r="Q541" i="4" s="1"/>
  <c r="O540" i="4"/>
  <c r="M540" i="4"/>
  <c r="Q540" i="4" s="1"/>
  <c r="O539" i="4"/>
  <c r="M539" i="4"/>
  <c r="Q539" i="4" s="1"/>
  <c r="O538" i="4"/>
  <c r="M538" i="4"/>
  <c r="Q538" i="4" s="1"/>
  <c r="O537" i="4"/>
  <c r="M537" i="4"/>
  <c r="Q537" i="4" s="1"/>
  <c r="O536" i="4"/>
  <c r="M536" i="4"/>
  <c r="Q536" i="4" s="1"/>
  <c r="O535" i="4"/>
  <c r="M535" i="4"/>
  <c r="Q535" i="4" s="1"/>
  <c r="O534" i="4"/>
  <c r="M534" i="4"/>
  <c r="Q534" i="4" s="1"/>
  <c r="O533" i="4"/>
  <c r="M533" i="4"/>
  <c r="Q533" i="4" s="1"/>
  <c r="O532" i="4"/>
  <c r="M532" i="4"/>
  <c r="Q532" i="4" s="1"/>
  <c r="O531" i="4"/>
  <c r="M531" i="4"/>
  <c r="Q531" i="4" s="1"/>
  <c r="O530" i="4"/>
  <c r="M530" i="4"/>
  <c r="Q530" i="4" s="1"/>
  <c r="O529" i="4"/>
  <c r="M529" i="4"/>
  <c r="Q529" i="4" s="1"/>
  <c r="O528" i="4"/>
  <c r="M528" i="4"/>
  <c r="Q528" i="4" s="1"/>
  <c r="O527" i="4"/>
  <c r="M527" i="4"/>
  <c r="Q527" i="4" s="1"/>
  <c r="O526" i="4"/>
  <c r="M526" i="4"/>
  <c r="Q526" i="4" s="1"/>
  <c r="O525" i="4"/>
  <c r="M525" i="4"/>
  <c r="Q525" i="4" s="1"/>
  <c r="O524" i="4"/>
  <c r="M524" i="4"/>
  <c r="Q524" i="4" s="1"/>
  <c r="O523" i="4"/>
  <c r="M523" i="4"/>
  <c r="Q523" i="4" s="1"/>
  <c r="O522" i="4"/>
  <c r="M522" i="4"/>
  <c r="Q522" i="4" s="1"/>
  <c r="O521" i="4"/>
  <c r="M521" i="4"/>
  <c r="Q521" i="4" s="1"/>
  <c r="O520" i="4"/>
  <c r="M520" i="4"/>
  <c r="Q520" i="4" s="1"/>
  <c r="O519" i="4"/>
  <c r="M519" i="4"/>
  <c r="Q519" i="4" s="1"/>
  <c r="O518" i="4"/>
  <c r="M518" i="4"/>
  <c r="Q518" i="4" s="1"/>
  <c r="O517" i="4"/>
  <c r="M517" i="4"/>
  <c r="Q517" i="4" s="1"/>
  <c r="O516" i="4"/>
  <c r="M516" i="4"/>
  <c r="Q516" i="4" s="1"/>
  <c r="O515" i="4"/>
  <c r="M515" i="4"/>
  <c r="Q515" i="4" s="1"/>
  <c r="O514" i="4"/>
  <c r="M514" i="4"/>
  <c r="Q514" i="4" s="1"/>
  <c r="O513" i="4"/>
  <c r="M513" i="4"/>
  <c r="Q513" i="4" s="1"/>
  <c r="O512" i="4"/>
  <c r="M512" i="4"/>
  <c r="Q512" i="4" s="1"/>
  <c r="O511" i="4"/>
  <c r="M511" i="4"/>
  <c r="Q511" i="4" s="1"/>
  <c r="O510" i="4"/>
  <c r="M510" i="4"/>
  <c r="Q510" i="4" s="1"/>
  <c r="O509" i="4"/>
  <c r="M509" i="4"/>
  <c r="Q509" i="4" s="1"/>
  <c r="O508" i="4"/>
  <c r="M508" i="4"/>
  <c r="Q508" i="4" s="1"/>
  <c r="O507" i="4"/>
  <c r="M507" i="4"/>
  <c r="Q507" i="4" s="1"/>
  <c r="O506" i="4"/>
  <c r="M506" i="4"/>
  <c r="Q506" i="4" s="1"/>
  <c r="O505" i="4"/>
  <c r="M505" i="4"/>
  <c r="Q505" i="4" s="1"/>
  <c r="O504" i="4"/>
  <c r="M504" i="4"/>
  <c r="Q504" i="4" s="1"/>
  <c r="O503" i="4"/>
  <c r="M503" i="4"/>
  <c r="Q503" i="4" s="1"/>
  <c r="O502" i="4"/>
  <c r="M502" i="4"/>
  <c r="Q502" i="4" s="1"/>
  <c r="O501" i="4"/>
  <c r="M501" i="4"/>
  <c r="Q501" i="4" s="1"/>
  <c r="O500" i="4"/>
  <c r="M500" i="4"/>
  <c r="Q500" i="4" s="1"/>
  <c r="O499" i="4"/>
  <c r="M499" i="4"/>
  <c r="Q499" i="4" s="1"/>
  <c r="O498" i="4"/>
  <c r="M498" i="4"/>
  <c r="Q498" i="4" s="1"/>
  <c r="O497" i="4"/>
  <c r="M497" i="4"/>
  <c r="Q497" i="4" s="1"/>
  <c r="O496" i="4"/>
  <c r="M496" i="4"/>
  <c r="Q496" i="4" s="1"/>
  <c r="O495" i="4"/>
  <c r="M495" i="4"/>
  <c r="Q495" i="4" s="1"/>
  <c r="O494" i="4"/>
  <c r="M494" i="4"/>
  <c r="Q494" i="4" s="1"/>
  <c r="O493" i="4"/>
  <c r="M493" i="4"/>
  <c r="Q493" i="4" s="1"/>
  <c r="O492" i="4"/>
  <c r="M492" i="4"/>
  <c r="Q492" i="4" s="1"/>
  <c r="O491" i="4"/>
  <c r="M491" i="4"/>
  <c r="Q491" i="4" s="1"/>
  <c r="O490" i="4"/>
  <c r="M490" i="4"/>
  <c r="Q490" i="4" s="1"/>
  <c r="O489" i="4"/>
  <c r="M489" i="4"/>
  <c r="Q489" i="4" s="1"/>
  <c r="O488" i="4"/>
  <c r="M488" i="4"/>
  <c r="Q488" i="4" s="1"/>
  <c r="O487" i="4"/>
  <c r="M487" i="4"/>
  <c r="Q487" i="4" s="1"/>
  <c r="O486" i="4"/>
  <c r="M486" i="4"/>
  <c r="Q486" i="4" s="1"/>
  <c r="O485" i="4"/>
  <c r="M485" i="4"/>
  <c r="Q485" i="4" s="1"/>
  <c r="O484" i="4"/>
  <c r="M484" i="4"/>
  <c r="Q484" i="4" s="1"/>
  <c r="O483" i="4"/>
  <c r="M483" i="4"/>
  <c r="Q483" i="4" s="1"/>
  <c r="O482" i="4"/>
  <c r="M482" i="4"/>
  <c r="Q482" i="4" s="1"/>
  <c r="O481" i="4"/>
  <c r="M481" i="4"/>
  <c r="Q481" i="4" s="1"/>
  <c r="O480" i="4"/>
  <c r="M480" i="4"/>
  <c r="Q480" i="4" s="1"/>
  <c r="O479" i="4"/>
  <c r="M479" i="4"/>
  <c r="Q479" i="4" s="1"/>
  <c r="O478" i="4"/>
  <c r="M478" i="4"/>
  <c r="Q478" i="4" s="1"/>
  <c r="O477" i="4"/>
  <c r="M477" i="4"/>
  <c r="Q477" i="4" s="1"/>
  <c r="O476" i="4"/>
  <c r="M476" i="4"/>
  <c r="Q476" i="4" s="1"/>
  <c r="O475" i="4"/>
  <c r="M475" i="4"/>
  <c r="Q475" i="4" s="1"/>
  <c r="O474" i="4"/>
  <c r="M474" i="4"/>
  <c r="Q474" i="4" s="1"/>
  <c r="O473" i="4"/>
  <c r="M473" i="4"/>
  <c r="Q473" i="4" s="1"/>
  <c r="O472" i="4"/>
  <c r="M472" i="4"/>
  <c r="Q472" i="4" s="1"/>
  <c r="O471" i="4"/>
  <c r="M471" i="4"/>
  <c r="Q471" i="4" s="1"/>
  <c r="O470" i="4"/>
  <c r="M470" i="4"/>
  <c r="Q470" i="4" s="1"/>
  <c r="O469" i="4"/>
  <c r="M469" i="4"/>
  <c r="Q469" i="4" s="1"/>
  <c r="O468" i="4"/>
  <c r="M468" i="4"/>
  <c r="Q468" i="4" s="1"/>
  <c r="O467" i="4"/>
  <c r="M467" i="4"/>
  <c r="Q467" i="4" s="1"/>
  <c r="O466" i="4"/>
  <c r="M466" i="4"/>
  <c r="Q466" i="4" s="1"/>
  <c r="O465" i="4"/>
  <c r="M465" i="4"/>
  <c r="Q465" i="4" s="1"/>
  <c r="O464" i="4"/>
  <c r="M464" i="4"/>
  <c r="Q464" i="4" s="1"/>
  <c r="O463" i="4"/>
  <c r="M463" i="4"/>
  <c r="Q463" i="4" s="1"/>
  <c r="O462" i="4"/>
  <c r="M462" i="4"/>
  <c r="Q462" i="4" s="1"/>
  <c r="O461" i="4"/>
  <c r="M461" i="4"/>
  <c r="Q461" i="4" s="1"/>
  <c r="O460" i="4"/>
  <c r="M460" i="4"/>
  <c r="Q460" i="4" s="1"/>
  <c r="O459" i="4"/>
  <c r="M459" i="4"/>
  <c r="Q459" i="4" s="1"/>
  <c r="O458" i="4"/>
  <c r="M458" i="4"/>
  <c r="Q458" i="4" s="1"/>
  <c r="O457" i="4"/>
  <c r="M457" i="4"/>
  <c r="Q457" i="4" s="1"/>
  <c r="O456" i="4"/>
  <c r="M456" i="4"/>
  <c r="Q456" i="4" s="1"/>
  <c r="O455" i="4"/>
  <c r="M455" i="4"/>
  <c r="Q455" i="4" s="1"/>
  <c r="O454" i="4"/>
  <c r="M454" i="4"/>
  <c r="Q454" i="4" s="1"/>
  <c r="O453" i="4"/>
  <c r="M453" i="4"/>
  <c r="Q453" i="4" s="1"/>
  <c r="O452" i="4"/>
  <c r="M452" i="4"/>
  <c r="Q452" i="4" s="1"/>
  <c r="O451" i="4"/>
  <c r="M451" i="4"/>
  <c r="Q451" i="4" s="1"/>
  <c r="O450" i="4"/>
  <c r="M450" i="4"/>
  <c r="Q450" i="4" s="1"/>
  <c r="O449" i="4"/>
  <c r="M449" i="4"/>
  <c r="Q449" i="4" s="1"/>
  <c r="O448" i="4"/>
  <c r="M448" i="4"/>
  <c r="Q448" i="4" s="1"/>
  <c r="O447" i="4"/>
  <c r="M447" i="4"/>
  <c r="Q447" i="4" s="1"/>
  <c r="O446" i="4"/>
  <c r="M446" i="4"/>
  <c r="Q446" i="4" s="1"/>
  <c r="O445" i="4"/>
  <c r="M445" i="4"/>
  <c r="Q445" i="4" s="1"/>
  <c r="O444" i="4"/>
  <c r="M444" i="4"/>
  <c r="Q444" i="4" s="1"/>
  <c r="O443" i="4"/>
  <c r="M443" i="4"/>
  <c r="Q443" i="4" s="1"/>
  <c r="O442" i="4"/>
  <c r="M442" i="4"/>
  <c r="Q442" i="4" s="1"/>
  <c r="O441" i="4"/>
  <c r="M441" i="4"/>
  <c r="Q441" i="4" s="1"/>
  <c r="O440" i="4"/>
  <c r="M440" i="4"/>
  <c r="Q440" i="4" s="1"/>
  <c r="O439" i="4"/>
  <c r="M439" i="4"/>
  <c r="Q439" i="4" s="1"/>
  <c r="O438" i="4"/>
  <c r="M438" i="4"/>
  <c r="Q438" i="4" s="1"/>
  <c r="O437" i="4"/>
  <c r="M437" i="4"/>
  <c r="Q437" i="4" s="1"/>
  <c r="O436" i="4"/>
  <c r="M436" i="4"/>
  <c r="Q436" i="4" s="1"/>
  <c r="O435" i="4"/>
  <c r="M435" i="4"/>
  <c r="Q435" i="4" s="1"/>
  <c r="O434" i="4"/>
  <c r="M434" i="4"/>
  <c r="Q434" i="4" s="1"/>
  <c r="O433" i="4"/>
  <c r="M433" i="4"/>
  <c r="Q433" i="4" s="1"/>
  <c r="O432" i="4"/>
  <c r="M432" i="4"/>
  <c r="Q432" i="4" s="1"/>
  <c r="O431" i="4"/>
  <c r="M431" i="4"/>
  <c r="Q431" i="4" s="1"/>
  <c r="O430" i="4"/>
  <c r="M430" i="4"/>
  <c r="Q430" i="4" s="1"/>
  <c r="O429" i="4"/>
  <c r="M429" i="4"/>
  <c r="Q429" i="4" s="1"/>
  <c r="O428" i="4"/>
  <c r="M428" i="4"/>
  <c r="Q428" i="4" s="1"/>
  <c r="O427" i="4"/>
  <c r="M427" i="4"/>
  <c r="Q427" i="4" s="1"/>
  <c r="O426" i="4"/>
  <c r="M426" i="4"/>
  <c r="Q426" i="4" s="1"/>
  <c r="O425" i="4"/>
  <c r="M425" i="4"/>
  <c r="Q425" i="4" s="1"/>
  <c r="O424" i="4"/>
  <c r="M424" i="4"/>
  <c r="Q424" i="4" s="1"/>
  <c r="O423" i="4"/>
  <c r="M423" i="4"/>
  <c r="Q423" i="4" s="1"/>
  <c r="O422" i="4"/>
  <c r="M422" i="4"/>
  <c r="Q422" i="4" s="1"/>
  <c r="O421" i="4"/>
  <c r="M421" i="4"/>
  <c r="Q421" i="4" s="1"/>
  <c r="O420" i="4"/>
  <c r="M420" i="4"/>
  <c r="Q420" i="4" s="1"/>
  <c r="O419" i="4"/>
  <c r="M419" i="4"/>
  <c r="Q419" i="4" s="1"/>
  <c r="O418" i="4"/>
  <c r="M418" i="4"/>
  <c r="Q418" i="4" s="1"/>
  <c r="O417" i="4"/>
  <c r="M417" i="4"/>
  <c r="Q417" i="4" s="1"/>
  <c r="O416" i="4"/>
  <c r="M416" i="4"/>
  <c r="Q416" i="4" s="1"/>
  <c r="O415" i="4"/>
  <c r="M415" i="4"/>
  <c r="Q415" i="4" s="1"/>
  <c r="O414" i="4"/>
  <c r="M414" i="4"/>
  <c r="Q414" i="4" s="1"/>
  <c r="O413" i="4"/>
  <c r="M413" i="4"/>
  <c r="Q413" i="4" s="1"/>
  <c r="O412" i="4"/>
  <c r="M412" i="4"/>
  <c r="Q412" i="4" s="1"/>
  <c r="O411" i="4"/>
  <c r="M411" i="4"/>
  <c r="Q411" i="4" s="1"/>
  <c r="O410" i="4"/>
  <c r="M410" i="4"/>
  <c r="Q410" i="4" s="1"/>
  <c r="O409" i="4"/>
  <c r="M409" i="4"/>
  <c r="Q409" i="4" s="1"/>
  <c r="O408" i="4"/>
  <c r="M408" i="4"/>
  <c r="Q408" i="4" s="1"/>
  <c r="O407" i="4"/>
  <c r="M407" i="4"/>
  <c r="Q407" i="4" s="1"/>
  <c r="O406" i="4"/>
  <c r="M406" i="4"/>
  <c r="Q406" i="4" s="1"/>
  <c r="O405" i="4"/>
  <c r="M405" i="4"/>
  <c r="Q405" i="4" s="1"/>
  <c r="O404" i="4"/>
  <c r="M404" i="4"/>
  <c r="Q404" i="4" s="1"/>
  <c r="O403" i="4"/>
  <c r="M403" i="4"/>
  <c r="Q403" i="4" s="1"/>
  <c r="O402" i="4"/>
  <c r="M402" i="4"/>
  <c r="Q402" i="4" s="1"/>
  <c r="O401" i="4"/>
  <c r="M401" i="4"/>
  <c r="Q401" i="4" s="1"/>
  <c r="O400" i="4"/>
  <c r="M400" i="4"/>
  <c r="Q400" i="4" s="1"/>
  <c r="O399" i="4"/>
  <c r="M399" i="4"/>
  <c r="Q399" i="4" s="1"/>
  <c r="O398" i="4"/>
  <c r="M398" i="4"/>
  <c r="Q398" i="4" s="1"/>
  <c r="O397" i="4"/>
  <c r="M397" i="4"/>
  <c r="Q397" i="4" s="1"/>
  <c r="O396" i="4"/>
  <c r="M396" i="4"/>
  <c r="Q396" i="4" s="1"/>
  <c r="O395" i="4"/>
  <c r="M395" i="4"/>
  <c r="Q395" i="4" s="1"/>
  <c r="O394" i="4"/>
  <c r="M394" i="4"/>
  <c r="Q394" i="4" s="1"/>
  <c r="O393" i="4"/>
  <c r="M393" i="4"/>
  <c r="Q393" i="4" s="1"/>
  <c r="O392" i="4"/>
  <c r="M392" i="4"/>
  <c r="Q392" i="4" s="1"/>
  <c r="O391" i="4"/>
  <c r="M391" i="4"/>
  <c r="Q391" i="4" s="1"/>
  <c r="O390" i="4"/>
  <c r="M390" i="4"/>
  <c r="Q390" i="4" s="1"/>
  <c r="O389" i="4"/>
  <c r="M389" i="4"/>
  <c r="Q389" i="4" s="1"/>
  <c r="O388" i="4"/>
  <c r="M388" i="4"/>
  <c r="Q388" i="4" s="1"/>
  <c r="O387" i="4"/>
  <c r="M387" i="4"/>
  <c r="Q387" i="4" s="1"/>
  <c r="O386" i="4"/>
  <c r="M386" i="4"/>
  <c r="Q386" i="4" s="1"/>
  <c r="O385" i="4"/>
  <c r="M385" i="4"/>
  <c r="Q385" i="4" s="1"/>
  <c r="O384" i="4"/>
  <c r="M384" i="4"/>
  <c r="Q384" i="4" s="1"/>
  <c r="O383" i="4"/>
  <c r="M383" i="4"/>
  <c r="Q383" i="4" s="1"/>
  <c r="O382" i="4"/>
  <c r="M382" i="4"/>
  <c r="Q382" i="4" s="1"/>
  <c r="O381" i="4"/>
  <c r="M381" i="4"/>
  <c r="Q381" i="4" s="1"/>
  <c r="O380" i="4"/>
  <c r="M380" i="4"/>
  <c r="Q380" i="4" s="1"/>
  <c r="O379" i="4"/>
  <c r="M379" i="4"/>
  <c r="Q379" i="4" s="1"/>
  <c r="O378" i="4"/>
  <c r="M378" i="4"/>
  <c r="Q378" i="4" s="1"/>
  <c r="O377" i="4"/>
  <c r="M377" i="4"/>
  <c r="Q377" i="4" s="1"/>
  <c r="O376" i="4"/>
  <c r="M376" i="4"/>
  <c r="Q376" i="4" s="1"/>
  <c r="O375" i="4"/>
  <c r="M375" i="4"/>
  <c r="Q375" i="4" s="1"/>
  <c r="O374" i="4"/>
  <c r="M374" i="4"/>
  <c r="Q374" i="4" s="1"/>
  <c r="O373" i="4"/>
  <c r="M373" i="4"/>
  <c r="Q373" i="4" s="1"/>
  <c r="O372" i="4"/>
  <c r="M372" i="4"/>
  <c r="Q372" i="4" s="1"/>
  <c r="O371" i="4"/>
  <c r="M371" i="4"/>
  <c r="Q371" i="4" s="1"/>
  <c r="O370" i="4"/>
  <c r="M370" i="4"/>
  <c r="Q370" i="4" s="1"/>
  <c r="O369" i="4"/>
  <c r="M369" i="4"/>
  <c r="Q369" i="4" s="1"/>
  <c r="O368" i="4"/>
  <c r="M368" i="4"/>
  <c r="Q368" i="4" s="1"/>
  <c r="O367" i="4"/>
  <c r="M367" i="4"/>
  <c r="Q367" i="4" s="1"/>
  <c r="O366" i="4"/>
  <c r="M366" i="4"/>
  <c r="Q366" i="4" s="1"/>
  <c r="O365" i="4"/>
  <c r="M365" i="4"/>
  <c r="Q365" i="4" s="1"/>
  <c r="O364" i="4"/>
  <c r="M364" i="4"/>
  <c r="Q364" i="4" s="1"/>
  <c r="O363" i="4"/>
  <c r="M363" i="4"/>
  <c r="Q363" i="4" s="1"/>
  <c r="O362" i="4"/>
  <c r="M362" i="4"/>
  <c r="Q362" i="4" s="1"/>
  <c r="O361" i="4"/>
  <c r="M361" i="4"/>
  <c r="Q361" i="4" s="1"/>
  <c r="O360" i="4"/>
  <c r="M360" i="4"/>
  <c r="Q360" i="4" s="1"/>
  <c r="O359" i="4"/>
  <c r="M359" i="4"/>
  <c r="Q359" i="4" s="1"/>
  <c r="O358" i="4"/>
  <c r="M358" i="4"/>
  <c r="Q358" i="4" s="1"/>
  <c r="O357" i="4"/>
  <c r="M357" i="4"/>
  <c r="Q357" i="4" s="1"/>
  <c r="O356" i="4"/>
  <c r="M356" i="4"/>
  <c r="Q356" i="4" s="1"/>
  <c r="O355" i="4"/>
  <c r="M355" i="4"/>
  <c r="Q355" i="4" s="1"/>
  <c r="O354" i="4"/>
  <c r="M354" i="4"/>
  <c r="Q354" i="4" s="1"/>
  <c r="O353" i="4"/>
  <c r="M353" i="4"/>
  <c r="Q353" i="4" s="1"/>
  <c r="O352" i="4"/>
  <c r="M352" i="4"/>
  <c r="Q352" i="4" s="1"/>
  <c r="O351" i="4"/>
  <c r="M351" i="4"/>
  <c r="Q351" i="4" s="1"/>
  <c r="O350" i="4"/>
  <c r="M350" i="4"/>
  <c r="Q350" i="4" s="1"/>
  <c r="O349" i="4"/>
  <c r="M349" i="4"/>
  <c r="Q349" i="4" s="1"/>
  <c r="O348" i="4"/>
  <c r="M348" i="4"/>
  <c r="Q348" i="4" s="1"/>
  <c r="O347" i="4"/>
  <c r="M347" i="4"/>
  <c r="Q347" i="4" s="1"/>
  <c r="O346" i="4"/>
  <c r="M346" i="4"/>
  <c r="Q346" i="4" s="1"/>
  <c r="O345" i="4"/>
  <c r="M345" i="4"/>
  <c r="Q345" i="4" s="1"/>
  <c r="O344" i="4"/>
  <c r="M344" i="4"/>
  <c r="Q344" i="4" s="1"/>
  <c r="O343" i="4"/>
  <c r="M343" i="4"/>
  <c r="Q343" i="4" s="1"/>
  <c r="O342" i="4"/>
  <c r="M342" i="4"/>
  <c r="Q342" i="4" s="1"/>
  <c r="O341" i="4"/>
  <c r="M341" i="4"/>
  <c r="Q341" i="4" s="1"/>
  <c r="O340" i="4"/>
  <c r="M340" i="4"/>
  <c r="Q340" i="4" s="1"/>
  <c r="O339" i="4"/>
  <c r="M339" i="4"/>
  <c r="Q339" i="4" s="1"/>
  <c r="O338" i="4"/>
  <c r="M338" i="4"/>
  <c r="Q338" i="4" s="1"/>
  <c r="O337" i="4"/>
  <c r="M337" i="4"/>
  <c r="Q337" i="4" s="1"/>
  <c r="O336" i="4"/>
  <c r="M336" i="4"/>
  <c r="Q336" i="4" s="1"/>
  <c r="O335" i="4"/>
  <c r="M335" i="4"/>
  <c r="Q335" i="4" s="1"/>
  <c r="O334" i="4"/>
  <c r="M334" i="4"/>
  <c r="Q334" i="4" s="1"/>
  <c r="O333" i="4"/>
  <c r="M333" i="4"/>
  <c r="Q333" i="4" s="1"/>
  <c r="O332" i="4"/>
  <c r="M332" i="4"/>
  <c r="Q332" i="4" s="1"/>
  <c r="O331" i="4"/>
  <c r="M331" i="4"/>
  <c r="Q331" i="4" s="1"/>
  <c r="O330" i="4"/>
  <c r="M330" i="4"/>
  <c r="Q330" i="4" s="1"/>
  <c r="O329" i="4"/>
  <c r="M329" i="4"/>
  <c r="Q329" i="4" s="1"/>
  <c r="O328" i="4"/>
  <c r="M328" i="4"/>
  <c r="Q328" i="4" s="1"/>
  <c r="O327" i="4"/>
  <c r="M327" i="4"/>
  <c r="Q327" i="4" s="1"/>
  <c r="O326" i="4"/>
  <c r="M326" i="4"/>
  <c r="Q326" i="4" s="1"/>
  <c r="O325" i="4"/>
  <c r="M325" i="4"/>
  <c r="Q325" i="4" s="1"/>
  <c r="O324" i="4"/>
  <c r="M324" i="4"/>
  <c r="Q324" i="4" s="1"/>
  <c r="O323" i="4"/>
  <c r="M323" i="4"/>
  <c r="Q323" i="4" s="1"/>
  <c r="O322" i="4"/>
  <c r="M322" i="4"/>
  <c r="Q322" i="4" s="1"/>
  <c r="O321" i="4"/>
  <c r="M321" i="4"/>
  <c r="Q321" i="4" s="1"/>
  <c r="O320" i="4"/>
  <c r="M320" i="4"/>
  <c r="Q320" i="4" s="1"/>
  <c r="O319" i="4"/>
  <c r="M319" i="4"/>
  <c r="Q319" i="4" s="1"/>
  <c r="O318" i="4"/>
  <c r="M318" i="4"/>
  <c r="Q318" i="4" s="1"/>
  <c r="O317" i="4"/>
  <c r="M317" i="4"/>
  <c r="Q317" i="4" s="1"/>
  <c r="O316" i="4"/>
  <c r="M316" i="4"/>
  <c r="Q316" i="4" s="1"/>
  <c r="O315" i="4"/>
  <c r="M315" i="4"/>
  <c r="Q315" i="4" s="1"/>
  <c r="O314" i="4"/>
  <c r="M314" i="4"/>
  <c r="Q314" i="4" s="1"/>
  <c r="O313" i="4"/>
  <c r="M313" i="4"/>
  <c r="Q313" i="4" s="1"/>
  <c r="O312" i="4"/>
  <c r="M312" i="4"/>
  <c r="Q312" i="4" s="1"/>
  <c r="O311" i="4"/>
  <c r="M311" i="4"/>
  <c r="Q311" i="4" s="1"/>
  <c r="O310" i="4"/>
  <c r="M310" i="4"/>
  <c r="Q310" i="4" s="1"/>
  <c r="O309" i="4"/>
  <c r="M309" i="4"/>
  <c r="Q309" i="4" s="1"/>
  <c r="O308" i="4"/>
  <c r="M308" i="4"/>
  <c r="Q308" i="4" s="1"/>
  <c r="O307" i="4"/>
  <c r="M307" i="4"/>
  <c r="Q307" i="4" s="1"/>
  <c r="O306" i="4"/>
  <c r="M306" i="4"/>
  <c r="Q306" i="4" s="1"/>
  <c r="O305" i="4"/>
  <c r="M305" i="4"/>
  <c r="Q305" i="4" s="1"/>
  <c r="O304" i="4"/>
  <c r="M304" i="4"/>
  <c r="Q304" i="4" s="1"/>
  <c r="O303" i="4"/>
  <c r="M303" i="4"/>
  <c r="Q303" i="4" s="1"/>
  <c r="O302" i="4"/>
  <c r="M302" i="4"/>
  <c r="Q302" i="4" s="1"/>
  <c r="O301" i="4"/>
  <c r="M301" i="4"/>
  <c r="Q301" i="4" s="1"/>
  <c r="O300" i="4"/>
  <c r="M300" i="4"/>
  <c r="Q300" i="4" s="1"/>
  <c r="O299" i="4"/>
  <c r="M299" i="4"/>
  <c r="Q299" i="4" s="1"/>
  <c r="O298" i="4"/>
  <c r="M298" i="4"/>
  <c r="Q298" i="4" s="1"/>
  <c r="O297" i="4"/>
  <c r="M297" i="4"/>
  <c r="Q297" i="4" s="1"/>
  <c r="O296" i="4"/>
  <c r="M296" i="4"/>
  <c r="Q296" i="4" s="1"/>
  <c r="O295" i="4"/>
  <c r="M295" i="4"/>
  <c r="Q295" i="4" s="1"/>
  <c r="O294" i="4"/>
  <c r="M294" i="4"/>
  <c r="Q294" i="4" s="1"/>
  <c r="O293" i="4"/>
  <c r="M293" i="4"/>
  <c r="Q293" i="4" s="1"/>
  <c r="O292" i="4"/>
  <c r="M292" i="4"/>
  <c r="Q292" i="4" s="1"/>
  <c r="O291" i="4"/>
  <c r="M291" i="4"/>
  <c r="Q291" i="4" s="1"/>
  <c r="O290" i="4"/>
  <c r="M290" i="4"/>
  <c r="Q290" i="4" s="1"/>
  <c r="O289" i="4"/>
  <c r="M289" i="4"/>
  <c r="Q289" i="4" s="1"/>
  <c r="O288" i="4"/>
  <c r="M288" i="4"/>
  <c r="Q288" i="4" s="1"/>
  <c r="O287" i="4"/>
  <c r="M287" i="4"/>
  <c r="Q287" i="4" s="1"/>
  <c r="O286" i="4"/>
  <c r="M286" i="4"/>
  <c r="Q286" i="4" s="1"/>
  <c r="O285" i="4"/>
  <c r="M285" i="4"/>
  <c r="Q285" i="4" s="1"/>
  <c r="O284" i="4"/>
  <c r="M284" i="4"/>
  <c r="Q284" i="4" s="1"/>
  <c r="O283" i="4"/>
  <c r="M283" i="4"/>
  <c r="Q283" i="4" s="1"/>
  <c r="O282" i="4"/>
  <c r="M282" i="4"/>
  <c r="Q282" i="4" s="1"/>
  <c r="O281" i="4"/>
  <c r="M281" i="4"/>
  <c r="Q281" i="4" s="1"/>
  <c r="O280" i="4"/>
  <c r="M280" i="4"/>
  <c r="Q280" i="4" s="1"/>
  <c r="O279" i="4"/>
  <c r="M279" i="4"/>
  <c r="Q279" i="4" s="1"/>
  <c r="O278" i="4"/>
  <c r="M278" i="4"/>
  <c r="Q278" i="4" s="1"/>
  <c r="O277" i="4"/>
  <c r="M277" i="4"/>
  <c r="Q277" i="4" s="1"/>
  <c r="O276" i="4"/>
  <c r="M276" i="4"/>
  <c r="Q276" i="4" s="1"/>
  <c r="O275" i="4"/>
  <c r="M275" i="4"/>
  <c r="Q275" i="4" s="1"/>
  <c r="O274" i="4"/>
  <c r="M274" i="4"/>
  <c r="Q274" i="4" s="1"/>
  <c r="O273" i="4"/>
  <c r="M273" i="4"/>
  <c r="Q273" i="4" s="1"/>
  <c r="O272" i="4"/>
  <c r="M272" i="4"/>
  <c r="Q272" i="4" s="1"/>
  <c r="O271" i="4"/>
  <c r="M271" i="4"/>
  <c r="Q271" i="4" s="1"/>
  <c r="O270" i="4"/>
  <c r="M270" i="4"/>
  <c r="Q270" i="4" s="1"/>
  <c r="O269" i="4"/>
  <c r="M269" i="4"/>
  <c r="Q269" i="4" s="1"/>
  <c r="O268" i="4"/>
  <c r="M268" i="4"/>
  <c r="Q268" i="4" s="1"/>
  <c r="O267" i="4"/>
  <c r="M267" i="4"/>
  <c r="Q267" i="4" s="1"/>
  <c r="O266" i="4"/>
  <c r="M266" i="4"/>
  <c r="Q266" i="4" s="1"/>
  <c r="O265" i="4"/>
  <c r="M265" i="4"/>
  <c r="Q265" i="4" s="1"/>
  <c r="O264" i="4"/>
  <c r="M264" i="4"/>
  <c r="Q264" i="4" s="1"/>
  <c r="O263" i="4"/>
  <c r="M263" i="4"/>
  <c r="Q263" i="4" s="1"/>
  <c r="O262" i="4"/>
  <c r="M262" i="4"/>
  <c r="Q262" i="4" s="1"/>
  <c r="O261" i="4"/>
  <c r="M261" i="4"/>
  <c r="Q261" i="4" s="1"/>
  <c r="O260" i="4"/>
  <c r="M260" i="4"/>
  <c r="Q260" i="4" s="1"/>
  <c r="O259" i="4"/>
  <c r="M259" i="4"/>
  <c r="Q259" i="4" s="1"/>
  <c r="O258" i="4"/>
  <c r="M258" i="4"/>
  <c r="Q258" i="4" s="1"/>
  <c r="O257" i="4"/>
  <c r="M257" i="4"/>
  <c r="Q257" i="4" s="1"/>
  <c r="O256" i="4"/>
  <c r="M256" i="4"/>
  <c r="Q256" i="4" s="1"/>
  <c r="O255" i="4"/>
  <c r="M255" i="4"/>
  <c r="Q255" i="4" s="1"/>
  <c r="O254" i="4"/>
  <c r="M254" i="4"/>
  <c r="Q254" i="4" s="1"/>
  <c r="O253" i="4"/>
  <c r="M253" i="4"/>
  <c r="Q253" i="4" s="1"/>
  <c r="O252" i="4"/>
  <c r="M252" i="4"/>
  <c r="Q252" i="4" s="1"/>
  <c r="O251" i="4"/>
  <c r="M251" i="4"/>
  <c r="Q251" i="4" s="1"/>
  <c r="O250" i="4"/>
  <c r="M250" i="4"/>
  <c r="Q250" i="4" s="1"/>
  <c r="O249" i="4"/>
  <c r="M249" i="4"/>
  <c r="Q249" i="4" s="1"/>
  <c r="O248" i="4"/>
  <c r="M248" i="4"/>
  <c r="Q248" i="4" s="1"/>
  <c r="O247" i="4"/>
  <c r="M247" i="4"/>
  <c r="Q247" i="4" s="1"/>
  <c r="O246" i="4"/>
  <c r="M246" i="4"/>
  <c r="Q246" i="4" s="1"/>
  <c r="O245" i="4"/>
  <c r="M245" i="4"/>
  <c r="Q245" i="4" s="1"/>
  <c r="O244" i="4"/>
  <c r="M244" i="4"/>
  <c r="Q244" i="4" s="1"/>
  <c r="O243" i="4"/>
  <c r="M243" i="4"/>
  <c r="Q243" i="4" s="1"/>
  <c r="O242" i="4"/>
  <c r="M242" i="4"/>
  <c r="Q242" i="4" s="1"/>
  <c r="O241" i="4"/>
  <c r="M241" i="4"/>
  <c r="Q241" i="4" s="1"/>
  <c r="O240" i="4"/>
  <c r="M240" i="4"/>
  <c r="Q240" i="4" s="1"/>
  <c r="O239" i="4"/>
  <c r="M239" i="4"/>
  <c r="Q239" i="4" s="1"/>
  <c r="O238" i="4"/>
  <c r="M238" i="4"/>
  <c r="Q238" i="4" s="1"/>
  <c r="O237" i="4"/>
  <c r="M237" i="4"/>
  <c r="Q237" i="4" s="1"/>
  <c r="O236" i="4"/>
  <c r="M236" i="4"/>
  <c r="Q236" i="4" s="1"/>
  <c r="O235" i="4"/>
  <c r="M235" i="4"/>
  <c r="Q235" i="4" s="1"/>
  <c r="O234" i="4"/>
  <c r="M234" i="4"/>
  <c r="Q234" i="4" s="1"/>
  <c r="O233" i="4"/>
  <c r="M233" i="4"/>
  <c r="Q233" i="4" s="1"/>
  <c r="O232" i="4"/>
  <c r="M232" i="4"/>
  <c r="Q232" i="4" s="1"/>
  <c r="O231" i="4"/>
  <c r="M231" i="4"/>
  <c r="Q231" i="4" s="1"/>
  <c r="O230" i="4"/>
  <c r="M230" i="4"/>
  <c r="Q230" i="4" s="1"/>
  <c r="O229" i="4"/>
  <c r="M229" i="4"/>
  <c r="Q229" i="4" s="1"/>
  <c r="O228" i="4"/>
  <c r="M228" i="4"/>
  <c r="Q228" i="4" s="1"/>
  <c r="O227" i="4"/>
  <c r="M227" i="4"/>
  <c r="Q227" i="4" s="1"/>
  <c r="O226" i="4"/>
  <c r="M226" i="4"/>
  <c r="Q226" i="4" s="1"/>
  <c r="O225" i="4"/>
  <c r="M225" i="4"/>
  <c r="Q225" i="4" s="1"/>
  <c r="O224" i="4"/>
  <c r="M224" i="4"/>
  <c r="Q224" i="4" s="1"/>
  <c r="O223" i="4"/>
  <c r="M223" i="4"/>
  <c r="Q223" i="4" s="1"/>
  <c r="O222" i="4"/>
  <c r="M222" i="4"/>
  <c r="Q222" i="4" s="1"/>
  <c r="O221" i="4"/>
  <c r="M221" i="4"/>
  <c r="Q221" i="4" s="1"/>
  <c r="O220" i="4"/>
  <c r="M220" i="4"/>
  <c r="Q220" i="4" s="1"/>
  <c r="O219" i="4"/>
  <c r="M219" i="4"/>
  <c r="Q219" i="4" s="1"/>
  <c r="O218" i="4"/>
  <c r="M218" i="4"/>
  <c r="Q218" i="4" s="1"/>
  <c r="O217" i="4"/>
  <c r="M217" i="4"/>
  <c r="Q217" i="4" s="1"/>
  <c r="O216" i="4"/>
  <c r="M216" i="4"/>
  <c r="Q216" i="4" s="1"/>
  <c r="O215" i="4"/>
  <c r="M215" i="4"/>
  <c r="Q215" i="4" s="1"/>
  <c r="O214" i="4"/>
  <c r="M214" i="4"/>
  <c r="Q214" i="4" s="1"/>
  <c r="O213" i="4"/>
  <c r="M213" i="4"/>
  <c r="Q213" i="4" s="1"/>
  <c r="O212" i="4"/>
  <c r="M212" i="4"/>
  <c r="Q212" i="4" s="1"/>
  <c r="O211" i="4"/>
  <c r="M211" i="4"/>
  <c r="Q211" i="4" s="1"/>
  <c r="O210" i="4"/>
  <c r="M210" i="4"/>
  <c r="Q210" i="4" s="1"/>
  <c r="O209" i="4"/>
  <c r="M209" i="4"/>
  <c r="Q209" i="4" s="1"/>
  <c r="O208" i="4"/>
  <c r="M208" i="4"/>
  <c r="Q208" i="4" s="1"/>
  <c r="O207" i="4"/>
  <c r="M207" i="4"/>
  <c r="Q207" i="4" s="1"/>
  <c r="O206" i="4"/>
  <c r="M206" i="4"/>
  <c r="Q206" i="4" s="1"/>
  <c r="O205" i="4"/>
  <c r="M205" i="4"/>
  <c r="Q205" i="4" s="1"/>
  <c r="O204" i="4"/>
  <c r="M204" i="4"/>
  <c r="Q204" i="4" s="1"/>
  <c r="O203" i="4"/>
  <c r="M203" i="4"/>
  <c r="Q203" i="4" s="1"/>
  <c r="O202" i="4"/>
  <c r="M202" i="4"/>
  <c r="Q202" i="4" s="1"/>
  <c r="O201" i="4"/>
  <c r="M201" i="4"/>
  <c r="Q201" i="4" s="1"/>
  <c r="O200" i="4"/>
  <c r="M200" i="4"/>
  <c r="Q200" i="4" s="1"/>
  <c r="O199" i="4"/>
  <c r="M199" i="4"/>
  <c r="Q199" i="4" s="1"/>
  <c r="O198" i="4"/>
  <c r="M198" i="4"/>
  <c r="Q198" i="4" s="1"/>
  <c r="O197" i="4"/>
  <c r="M197" i="4"/>
  <c r="Q197" i="4" s="1"/>
  <c r="O196" i="4"/>
  <c r="M196" i="4"/>
  <c r="Q196" i="4" s="1"/>
  <c r="O195" i="4"/>
  <c r="M195" i="4"/>
  <c r="Q195" i="4" s="1"/>
  <c r="O194" i="4"/>
  <c r="M194" i="4"/>
  <c r="Q194" i="4" s="1"/>
  <c r="O193" i="4"/>
  <c r="M193" i="4"/>
  <c r="Q193" i="4" s="1"/>
  <c r="O192" i="4"/>
  <c r="M192" i="4"/>
  <c r="Q192" i="4" s="1"/>
  <c r="O191" i="4"/>
  <c r="M191" i="4"/>
  <c r="Q191" i="4" s="1"/>
  <c r="O190" i="4"/>
  <c r="M190" i="4"/>
  <c r="Q190" i="4" s="1"/>
  <c r="O189" i="4"/>
  <c r="M189" i="4"/>
  <c r="Q189" i="4" s="1"/>
  <c r="O188" i="4"/>
  <c r="M188" i="4"/>
  <c r="Q188" i="4" s="1"/>
  <c r="O187" i="4"/>
  <c r="M187" i="4"/>
  <c r="Q187" i="4" s="1"/>
  <c r="O186" i="4"/>
  <c r="M186" i="4"/>
  <c r="Q186" i="4" s="1"/>
  <c r="O185" i="4"/>
  <c r="M185" i="4"/>
  <c r="Q185" i="4" s="1"/>
  <c r="O184" i="4"/>
  <c r="M184" i="4"/>
  <c r="Q184" i="4" s="1"/>
  <c r="O183" i="4"/>
  <c r="M183" i="4"/>
  <c r="Q183" i="4" s="1"/>
  <c r="O182" i="4"/>
  <c r="M182" i="4"/>
  <c r="Q182" i="4" s="1"/>
  <c r="O181" i="4"/>
  <c r="M181" i="4"/>
  <c r="Q181" i="4" s="1"/>
  <c r="O180" i="4"/>
  <c r="M180" i="4"/>
  <c r="Q180" i="4" s="1"/>
  <c r="O179" i="4"/>
  <c r="M179" i="4"/>
  <c r="Q179" i="4" s="1"/>
  <c r="O178" i="4"/>
  <c r="M178" i="4"/>
  <c r="Q178" i="4" s="1"/>
  <c r="O177" i="4"/>
  <c r="M177" i="4"/>
  <c r="Q177" i="4" s="1"/>
  <c r="O176" i="4"/>
  <c r="M176" i="4"/>
  <c r="Q176" i="4" s="1"/>
  <c r="O175" i="4"/>
  <c r="M175" i="4"/>
  <c r="Q175" i="4" s="1"/>
  <c r="O174" i="4"/>
  <c r="M174" i="4"/>
  <c r="Q174" i="4" s="1"/>
  <c r="O173" i="4"/>
  <c r="M173" i="4"/>
  <c r="Q173" i="4" s="1"/>
  <c r="O172" i="4"/>
  <c r="M172" i="4"/>
  <c r="Q172" i="4" s="1"/>
  <c r="O171" i="4"/>
  <c r="M171" i="4"/>
  <c r="Q171" i="4" s="1"/>
  <c r="O170" i="4"/>
  <c r="M170" i="4"/>
  <c r="Q170" i="4" s="1"/>
  <c r="O169" i="4"/>
  <c r="M169" i="4"/>
  <c r="Q169" i="4" s="1"/>
  <c r="O168" i="4"/>
  <c r="M168" i="4"/>
  <c r="Q168" i="4" s="1"/>
  <c r="O167" i="4"/>
  <c r="M167" i="4"/>
  <c r="Q167" i="4" s="1"/>
  <c r="O166" i="4"/>
  <c r="M166" i="4"/>
  <c r="Q166" i="4" s="1"/>
  <c r="O165" i="4"/>
  <c r="M165" i="4"/>
  <c r="Q165" i="4" s="1"/>
  <c r="O164" i="4"/>
  <c r="M164" i="4"/>
  <c r="Q164" i="4" s="1"/>
  <c r="O163" i="4"/>
  <c r="M163" i="4"/>
  <c r="Q163" i="4" s="1"/>
  <c r="O162" i="4"/>
  <c r="M162" i="4"/>
  <c r="Q162" i="4" s="1"/>
  <c r="O161" i="4"/>
  <c r="M161" i="4"/>
  <c r="Q161" i="4" s="1"/>
  <c r="O160" i="4"/>
  <c r="M160" i="4"/>
  <c r="Q160" i="4" s="1"/>
  <c r="O159" i="4"/>
  <c r="M159" i="4"/>
  <c r="Q159" i="4" s="1"/>
  <c r="O158" i="4"/>
  <c r="M158" i="4"/>
  <c r="Q158" i="4" s="1"/>
  <c r="O157" i="4"/>
  <c r="M157" i="4"/>
  <c r="Q157" i="4" s="1"/>
  <c r="O156" i="4"/>
  <c r="M156" i="4"/>
  <c r="Q156" i="4" s="1"/>
  <c r="O155" i="4"/>
  <c r="M155" i="4"/>
  <c r="Q155" i="4" s="1"/>
  <c r="O154" i="4"/>
  <c r="M154" i="4"/>
  <c r="Q154" i="4" s="1"/>
  <c r="O153" i="4"/>
  <c r="M153" i="4"/>
  <c r="Q153" i="4" s="1"/>
  <c r="O152" i="4"/>
  <c r="M152" i="4"/>
  <c r="Q152" i="4" s="1"/>
  <c r="O151" i="4"/>
  <c r="M151" i="4"/>
  <c r="Q151" i="4" s="1"/>
  <c r="O150" i="4"/>
  <c r="M150" i="4"/>
  <c r="Q150" i="4" s="1"/>
  <c r="O149" i="4"/>
  <c r="M149" i="4"/>
  <c r="Q149" i="4" s="1"/>
  <c r="O148" i="4"/>
  <c r="M148" i="4"/>
  <c r="Q148" i="4" s="1"/>
  <c r="O147" i="4"/>
  <c r="M147" i="4"/>
  <c r="Q147" i="4" s="1"/>
  <c r="O146" i="4"/>
  <c r="M146" i="4"/>
  <c r="Q146" i="4" s="1"/>
  <c r="O145" i="4"/>
  <c r="M145" i="4"/>
  <c r="Q145" i="4" s="1"/>
  <c r="O144" i="4"/>
  <c r="M144" i="4"/>
  <c r="Q144" i="4" s="1"/>
  <c r="O143" i="4"/>
  <c r="M143" i="4"/>
  <c r="Q143" i="4" s="1"/>
  <c r="O142" i="4"/>
  <c r="M142" i="4"/>
  <c r="Q142" i="4" s="1"/>
  <c r="O141" i="4"/>
  <c r="M141" i="4"/>
  <c r="Q141" i="4" s="1"/>
  <c r="O140" i="4"/>
  <c r="M140" i="4"/>
  <c r="Q140" i="4" s="1"/>
  <c r="O139" i="4"/>
  <c r="M139" i="4"/>
  <c r="Q139" i="4" s="1"/>
  <c r="O138" i="4"/>
  <c r="M138" i="4"/>
  <c r="Q138" i="4" s="1"/>
  <c r="O137" i="4"/>
  <c r="M137" i="4"/>
  <c r="Q137" i="4" s="1"/>
  <c r="O136" i="4"/>
  <c r="M136" i="4"/>
  <c r="Q136" i="4" s="1"/>
  <c r="O135" i="4"/>
  <c r="M135" i="4"/>
  <c r="Q135" i="4" s="1"/>
  <c r="O134" i="4"/>
  <c r="M134" i="4"/>
  <c r="Q134" i="4" s="1"/>
  <c r="O133" i="4"/>
  <c r="M133" i="4"/>
  <c r="Q133" i="4" s="1"/>
  <c r="O132" i="4"/>
  <c r="M132" i="4"/>
  <c r="Q132" i="4" s="1"/>
  <c r="O131" i="4"/>
  <c r="M131" i="4"/>
  <c r="Q131" i="4" s="1"/>
  <c r="O130" i="4"/>
  <c r="M130" i="4"/>
  <c r="Q130" i="4" s="1"/>
  <c r="O129" i="4"/>
  <c r="M129" i="4"/>
  <c r="Q129" i="4" s="1"/>
  <c r="O128" i="4"/>
  <c r="M128" i="4"/>
  <c r="Q128" i="4" s="1"/>
  <c r="O127" i="4"/>
  <c r="M127" i="4"/>
  <c r="Q127" i="4" s="1"/>
  <c r="O126" i="4"/>
  <c r="M126" i="4"/>
  <c r="Q126" i="4" s="1"/>
  <c r="O125" i="4"/>
  <c r="M125" i="4"/>
  <c r="Q125" i="4" s="1"/>
  <c r="O124" i="4"/>
  <c r="M124" i="4"/>
  <c r="Q124" i="4" s="1"/>
  <c r="O123" i="4"/>
  <c r="M123" i="4"/>
  <c r="Q123" i="4" s="1"/>
  <c r="O122" i="4"/>
  <c r="M122" i="4"/>
  <c r="Q122" i="4" s="1"/>
  <c r="O121" i="4"/>
  <c r="M121" i="4"/>
  <c r="Q121" i="4" s="1"/>
  <c r="O120" i="4"/>
  <c r="M120" i="4"/>
  <c r="Q120" i="4" s="1"/>
  <c r="O119" i="4"/>
  <c r="M119" i="4"/>
  <c r="Q119" i="4" s="1"/>
  <c r="O118" i="4"/>
  <c r="M118" i="4"/>
  <c r="Q118" i="4" s="1"/>
  <c r="O117" i="4"/>
  <c r="M117" i="4"/>
  <c r="Q117" i="4" s="1"/>
  <c r="O116" i="4"/>
  <c r="M116" i="4"/>
  <c r="Q116" i="4" s="1"/>
  <c r="O115" i="4"/>
  <c r="M115" i="4"/>
  <c r="Q115" i="4" s="1"/>
  <c r="O114" i="4"/>
  <c r="M114" i="4"/>
  <c r="Q114" i="4" s="1"/>
  <c r="O113" i="4"/>
  <c r="M113" i="4"/>
  <c r="Q113" i="4" s="1"/>
  <c r="O112" i="4"/>
  <c r="M112" i="4"/>
  <c r="Q112" i="4" s="1"/>
  <c r="O111" i="4"/>
  <c r="M111" i="4"/>
  <c r="Q111" i="4" s="1"/>
  <c r="O110" i="4"/>
  <c r="M110" i="4"/>
  <c r="Q110" i="4" s="1"/>
  <c r="O109" i="4"/>
  <c r="M109" i="4"/>
  <c r="Q109" i="4" s="1"/>
  <c r="O108" i="4"/>
  <c r="M108" i="4"/>
  <c r="Q108" i="4" s="1"/>
  <c r="O107" i="4"/>
  <c r="M107" i="4"/>
  <c r="Q107" i="4" s="1"/>
  <c r="O106" i="4"/>
  <c r="M106" i="4"/>
  <c r="Q106" i="4" s="1"/>
  <c r="O105" i="4"/>
  <c r="M105" i="4"/>
  <c r="Q105" i="4" s="1"/>
  <c r="O104" i="4"/>
  <c r="M104" i="4"/>
  <c r="Q104" i="4" s="1"/>
  <c r="O103" i="4"/>
  <c r="M103" i="4"/>
  <c r="Q103" i="4" s="1"/>
  <c r="O102" i="4"/>
  <c r="M102" i="4"/>
  <c r="Q102" i="4" s="1"/>
  <c r="O101" i="4"/>
  <c r="M101" i="4"/>
  <c r="Q101" i="4" s="1"/>
  <c r="O100" i="4"/>
  <c r="M100" i="4"/>
  <c r="Q100" i="4" s="1"/>
  <c r="O99" i="4"/>
  <c r="M99" i="4"/>
  <c r="Q99" i="4" s="1"/>
  <c r="O98" i="4"/>
  <c r="M98" i="4"/>
  <c r="Q98" i="4" s="1"/>
  <c r="O97" i="4"/>
  <c r="M97" i="4"/>
  <c r="Q97" i="4" s="1"/>
  <c r="O96" i="4"/>
  <c r="M96" i="4"/>
  <c r="Q96" i="4" s="1"/>
  <c r="O95" i="4"/>
  <c r="M95" i="4"/>
  <c r="Q95" i="4" s="1"/>
  <c r="O94" i="4"/>
  <c r="M94" i="4"/>
  <c r="Q94" i="4" s="1"/>
  <c r="O93" i="4"/>
  <c r="M93" i="4"/>
  <c r="Q93" i="4" s="1"/>
  <c r="O92" i="4"/>
  <c r="M92" i="4"/>
  <c r="Q92" i="4" s="1"/>
  <c r="O91" i="4"/>
  <c r="M91" i="4"/>
  <c r="Q91" i="4" s="1"/>
  <c r="O90" i="4"/>
  <c r="M90" i="4"/>
  <c r="Q90" i="4" s="1"/>
  <c r="O89" i="4"/>
  <c r="M89" i="4"/>
  <c r="Q89" i="4" s="1"/>
  <c r="O88" i="4"/>
  <c r="M88" i="4"/>
  <c r="Q88" i="4" s="1"/>
  <c r="O87" i="4"/>
  <c r="M87" i="4"/>
  <c r="Q87" i="4" s="1"/>
  <c r="O86" i="4"/>
  <c r="M86" i="4"/>
  <c r="Q86" i="4" s="1"/>
  <c r="O85" i="4"/>
  <c r="M85" i="4"/>
  <c r="Q85" i="4" s="1"/>
  <c r="O84" i="4"/>
  <c r="M84" i="4"/>
  <c r="Q84" i="4" s="1"/>
  <c r="O83" i="4"/>
  <c r="M83" i="4"/>
  <c r="Q83" i="4" s="1"/>
  <c r="O82" i="4"/>
  <c r="M82" i="4"/>
  <c r="Q82" i="4" s="1"/>
  <c r="O81" i="4"/>
  <c r="M81" i="4"/>
  <c r="Q81" i="4" s="1"/>
  <c r="O80" i="4"/>
  <c r="M80" i="4"/>
  <c r="Q80" i="4" s="1"/>
  <c r="O79" i="4"/>
  <c r="M79" i="4"/>
  <c r="Q79" i="4" s="1"/>
  <c r="O78" i="4"/>
  <c r="M78" i="4"/>
  <c r="Q78" i="4" s="1"/>
  <c r="O77" i="4"/>
  <c r="M77" i="4"/>
  <c r="Q77" i="4" s="1"/>
  <c r="O76" i="4"/>
  <c r="M76" i="4"/>
  <c r="Q76" i="4" s="1"/>
  <c r="O75" i="4"/>
  <c r="M75" i="4"/>
  <c r="Q75" i="4" s="1"/>
  <c r="O74" i="4"/>
  <c r="M74" i="4"/>
  <c r="Q74" i="4" s="1"/>
  <c r="O73" i="4"/>
  <c r="M73" i="4"/>
  <c r="Q73" i="4" s="1"/>
  <c r="O72" i="4"/>
  <c r="M72" i="4"/>
  <c r="Q72" i="4" s="1"/>
  <c r="O71" i="4"/>
  <c r="M71" i="4"/>
  <c r="Q71" i="4" s="1"/>
  <c r="O70" i="4"/>
  <c r="M70" i="4"/>
  <c r="Q70" i="4" s="1"/>
  <c r="O69" i="4"/>
  <c r="M69" i="4"/>
  <c r="Q69" i="4" s="1"/>
  <c r="O68" i="4"/>
  <c r="M68" i="4"/>
  <c r="Q68" i="4" s="1"/>
  <c r="O67" i="4"/>
  <c r="M67" i="4"/>
  <c r="Q67" i="4" s="1"/>
  <c r="O66" i="4"/>
  <c r="M66" i="4"/>
  <c r="Q66" i="4" s="1"/>
  <c r="O65" i="4"/>
  <c r="M65" i="4"/>
  <c r="Q65" i="4" s="1"/>
  <c r="O64" i="4"/>
  <c r="M64" i="4"/>
  <c r="Q64" i="4" s="1"/>
  <c r="O63" i="4"/>
  <c r="M63" i="4"/>
  <c r="Q63" i="4" s="1"/>
  <c r="O62" i="4"/>
  <c r="M62" i="4"/>
  <c r="Q62" i="4" s="1"/>
  <c r="O61" i="4"/>
  <c r="M61" i="4"/>
  <c r="Q61" i="4" s="1"/>
  <c r="O60" i="4"/>
  <c r="M60" i="4"/>
  <c r="Q60" i="4" s="1"/>
  <c r="O59" i="4"/>
  <c r="M59" i="4"/>
  <c r="Q59" i="4" s="1"/>
  <c r="O58" i="4"/>
  <c r="M58" i="4"/>
  <c r="Q58" i="4" s="1"/>
  <c r="O57" i="4"/>
  <c r="M57" i="4"/>
  <c r="Q57" i="4" s="1"/>
  <c r="O56" i="4"/>
  <c r="M56" i="4"/>
  <c r="Q56" i="4" s="1"/>
  <c r="O55" i="4"/>
  <c r="M55" i="4"/>
  <c r="Q55" i="4" s="1"/>
  <c r="O54" i="4"/>
  <c r="M54" i="4"/>
  <c r="Q54" i="4" s="1"/>
  <c r="O53" i="4"/>
  <c r="M53" i="4"/>
  <c r="Q53" i="4" s="1"/>
  <c r="O52" i="4"/>
  <c r="M52" i="4"/>
  <c r="Q52" i="4" s="1"/>
  <c r="O51" i="4"/>
  <c r="M51" i="4"/>
  <c r="Q51" i="4" s="1"/>
  <c r="O50" i="4"/>
  <c r="M50" i="4"/>
  <c r="Q50" i="4" s="1"/>
  <c r="O49" i="4"/>
  <c r="M49" i="4"/>
  <c r="Q49" i="4" s="1"/>
  <c r="O48" i="4"/>
  <c r="M48" i="4"/>
  <c r="Q48" i="4" s="1"/>
  <c r="O47" i="4"/>
  <c r="M47" i="4"/>
  <c r="Q47" i="4" s="1"/>
  <c r="O46" i="4"/>
  <c r="M46" i="4"/>
  <c r="Q46" i="4" s="1"/>
  <c r="O45" i="4"/>
  <c r="M45" i="4"/>
  <c r="Q45" i="4" s="1"/>
  <c r="O44" i="4"/>
  <c r="M44" i="4"/>
  <c r="Q44" i="4" s="1"/>
  <c r="O43" i="4"/>
  <c r="M43" i="4"/>
  <c r="Q43" i="4" s="1"/>
  <c r="O42" i="4"/>
  <c r="M42" i="4"/>
  <c r="Q42" i="4" s="1"/>
  <c r="O41" i="4"/>
  <c r="M41" i="4"/>
  <c r="Q41" i="4" s="1"/>
  <c r="O40" i="4"/>
  <c r="M40" i="4"/>
  <c r="Q40" i="4" s="1"/>
  <c r="O39" i="4"/>
  <c r="M39" i="4"/>
  <c r="Q39" i="4" s="1"/>
  <c r="O38" i="4"/>
  <c r="M38" i="4"/>
  <c r="Q38" i="4" s="1"/>
  <c r="O37" i="4"/>
  <c r="M37" i="4"/>
  <c r="Q37" i="4" s="1"/>
  <c r="O36" i="4"/>
  <c r="M36" i="4"/>
  <c r="Q36" i="4" s="1"/>
  <c r="O35" i="4"/>
  <c r="M35" i="4"/>
  <c r="Q35" i="4" s="1"/>
  <c r="O34" i="4"/>
  <c r="M34" i="4"/>
  <c r="Q34" i="4" s="1"/>
  <c r="O33" i="4"/>
  <c r="M33" i="4"/>
  <c r="Q33" i="4" s="1"/>
  <c r="O32" i="4"/>
  <c r="M32" i="4"/>
  <c r="Q32" i="4" s="1"/>
  <c r="O31" i="4"/>
  <c r="M31" i="4"/>
  <c r="Q31" i="4" s="1"/>
  <c r="O30" i="4"/>
  <c r="M30" i="4"/>
  <c r="Q30" i="4" s="1"/>
  <c r="O29" i="4"/>
  <c r="M29" i="4"/>
  <c r="Q29" i="4" s="1"/>
  <c r="O28" i="4"/>
  <c r="M28" i="4"/>
  <c r="Q28" i="4" s="1"/>
  <c r="O27" i="4"/>
  <c r="M27" i="4"/>
  <c r="Q27" i="4" s="1"/>
  <c r="O26" i="4"/>
  <c r="M26" i="4"/>
  <c r="Q26" i="4" s="1"/>
  <c r="O25" i="4"/>
  <c r="M25" i="4"/>
  <c r="Q25" i="4" s="1"/>
  <c r="O24" i="4"/>
  <c r="M24" i="4"/>
  <c r="Q24" i="4" s="1"/>
  <c r="O23" i="4"/>
  <c r="M23" i="4"/>
  <c r="Q23" i="4" s="1"/>
  <c r="O22" i="4"/>
  <c r="M22" i="4"/>
  <c r="Q22" i="4" s="1"/>
  <c r="O21" i="4"/>
  <c r="M21" i="4"/>
  <c r="Q21" i="4" s="1"/>
  <c r="O20" i="4"/>
  <c r="M20" i="4"/>
  <c r="Q20" i="4" s="1"/>
  <c r="O19" i="4"/>
  <c r="M19" i="4"/>
  <c r="Q19" i="4" s="1"/>
  <c r="O18" i="4"/>
  <c r="M18" i="4"/>
  <c r="Q18" i="4" s="1"/>
  <c r="O17" i="4"/>
  <c r="M17" i="4"/>
  <c r="Q17" i="4" s="1"/>
  <c r="T17" i="4" s="1"/>
  <c r="O16" i="4"/>
  <c r="M16" i="4"/>
  <c r="Q16" i="4" s="1"/>
  <c r="T16" i="4" s="1"/>
  <c r="O15" i="4"/>
  <c r="M15" i="4"/>
  <c r="Q15" i="4" s="1"/>
  <c r="T15" i="4" s="1"/>
  <c r="O14" i="4"/>
  <c r="M14" i="4"/>
  <c r="Q14" i="4" s="1"/>
  <c r="T14" i="4" s="1"/>
  <c r="O13" i="4"/>
  <c r="M13" i="4"/>
  <c r="Q13" i="4" s="1"/>
  <c r="T13" i="4" s="1"/>
  <c r="O12" i="4"/>
  <c r="M12" i="4"/>
  <c r="Q12" i="4" s="1"/>
  <c r="T12" i="4" s="1"/>
  <c r="O11" i="4"/>
  <c r="M11" i="4"/>
  <c r="Q11" i="4" s="1"/>
  <c r="T11" i="4" s="1"/>
  <c r="O10" i="4"/>
  <c r="M10" i="4"/>
  <c r="Q10" i="4" s="1"/>
  <c r="T10" i="4" s="1"/>
  <c r="O9" i="4"/>
  <c r="M9" i="4"/>
  <c r="Q9" i="4" s="1"/>
  <c r="T9" i="4" s="1"/>
  <c r="O8" i="4"/>
  <c r="M8" i="4"/>
  <c r="Q8" i="4" s="1"/>
  <c r="T8" i="4" s="1"/>
  <c r="O7" i="4"/>
  <c r="M7" i="4"/>
  <c r="Q7" i="4" s="1"/>
  <c r="T7" i="4" s="1"/>
  <c r="O6" i="4"/>
  <c r="M6" i="4"/>
  <c r="Q6" i="4" s="1"/>
  <c r="T6" i="4" s="1"/>
  <c r="O5" i="4"/>
  <c r="M5" i="4"/>
  <c r="Q5" i="4" s="1"/>
  <c r="T5" i="4" s="1"/>
  <c r="Q4" i="4"/>
  <c r="T4" i="4" s="1"/>
  <c r="J82" i="6" l="1"/>
  <c r="I82" i="6" s="1"/>
  <c r="J98" i="6"/>
  <c r="I98" i="6" s="1"/>
  <c r="J414" i="6"/>
  <c r="I414" i="6" s="1"/>
  <c r="J422" i="6"/>
  <c r="I422" i="6" s="1"/>
  <c r="J612" i="6"/>
  <c r="I612" i="6" s="1"/>
  <c r="J620" i="6"/>
  <c r="I620" i="6" s="1"/>
  <c r="J740" i="6"/>
  <c r="I740" i="6" s="1"/>
  <c r="J748" i="6"/>
  <c r="I748" i="6" s="1"/>
  <c r="J942" i="4"/>
  <c r="I942" i="4" s="1"/>
  <c r="J198" i="6"/>
  <c r="I198" i="6" s="1"/>
  <c r="J230" i="6"/>
  <c r="I230" i="6" s="1"/>
  <c r="J272" i="6"/>
  <c r="I272" i="6" s="1"/>
  <c r="R272" i="6" s="1"/>
  <c r="U272" i="6" s="1"/>
  <c r="J276" i="6"/>
  <c r="I276" i="6" s="1"/>
  <c r="J278" i="6"/>
  <c r="I278" i="6" s="1"/>
  <c r="J358" i="6"/>
  <c r="I358" i="6" s="1"/>
  <c r="J366" i="6"/>
  <c r="I366" i="6" s="1"/>
  <c r="J446" i="6"/>
  <c r="I446" i="6" s="1"/>
  <c r="J454" i="6"/>
  <c r="I454" i="6" s="1"/>
  <c r="J494" i="6"/>
  <c r="I494" i="6" s="1"/>
  <c r="J502" i="6"/>
  <c r="I502" i="6" s="1"/>
  <c r="R502" i="6" s="1"/>
  <c r="U502" i="6" s="1"/>
  <c r="J506" i="6"/>
  <c r="I506" i="6" s="1"/>
  <c r="J508" i="6"/>
  <c r="I508" i="6" s="1"/>
  <c r="J644" i="6"/>
  <c r="I644" i="6" s="1"/>
  <c r="J652" i="6"/>
  <c r="I652" i="6" s="1"/>
  <c r="R652" i="6" s="1"/>
  <c r="U652" i="6" s="1"/>
  <c r="J772" i="6"/>
  <c r="I772" i="6" s="1"/>
  <c r="J780" i="6"/>
  <c r="I780" i="6" s="1"/>
  <c r="J288" i="6"/>
  <c r="I288" i="6" s="1"/>
  <c r="J292" i="6"/>
  <c r="I292" i="6" s="1"/>
  <c r="R292" i="6" s="1"/>
  <c r="U292" i="6" s="1"/>
  <c r="J294" i="6"/>
  <c r="I294" i="6" s="1"/>
  <c r="J328" i="6"/>
  <c r="I328" i="6" s="1"/>
  <c r="J332" i="6"/>
  <c r="I332" i="6" s="1"/>
  <c r="J334" i="6"/>
  <c r="I334" i="6" s="1"/>
  <c r="R334" i="6" s="1"/>
  <c r="U334" i="6" s="1"/>
  <c r="J406" i="6"/>
  <c r="I406" i="6" s="1"/>
  <c r="J534" i="6"/>
  <c r="I534" i="6" s="1"/>
  <c r="J538" i="6"/>
  <c r="I538" i="6" s="1"/>
  <c r="J540" i="6"/>
  <c r="I540" i="6" s="1"/>
  <c r="R540" i="6" s="1"/>
  <c r="U540" i="6" s="1"/>
  <c r="J558" i="6"/>
  <c r="I558" i="6" s="1"/>
  <c r="J566" i="6"/>
  <c r="I566" i="6" s="1"/>
  <c r="J570" i="6"/>
  <c r="I570" i="6" s="1"/>
  <c r="J572" i="6"/>
  <c r="I572" i="6" s="1"/>
  <c r="R572" i="6" s="1"/>
  <c r="U572" i="6" s="1"/>
  <c r="J574" i="6"/>
  <c r="I574" i="6" s="1"/>
  <c r="J582" i="6"/>
  <c r="I582" i="6" s="1"/>
  <c r="J586" i="6"/>
  <c r="I586" i="6" s="1"/>
  <c r="J588" i="6"/>
  <c r="I588" i="6" s="1"/>
  <c r="J590" i="6"/>
  <c r="I590" i="6" s="1"/>
  <c r="J598" i="6"/>
  <c r="I598" i="6" s="1"/>
  <c r="J604" i="6"/>
  <c r="I604" i="6" s="1"/>
  <c r="J732" i="6"/>
  <c r="I732" i="6" s="1"/>
  <c r="J1004" i="6"/>
  <c r="I1004" i="6" s="1"/>
  <c r="J560" i="4"/>
  <c r="I560" i="4" s="1"/>
  <c r="J576" i="4"/>
  <c r="I576" i="4" s="1"/>
  <c r="J584" i="4"/>
  <c r="I584" i="4" s="1"/>
  <c r="J588" i="4"/>
  <c r="I588" i="4" s="1"/>
  <c r="J114" i="6"/>
  <c r="I114" i="6" s="1"/>
  <c r="J240" i="6"/>
  <c r="I240" i="6" s="1"/>
  <c r="J244" i="6"/>
  <c r="I244" i="6" s="1"/>
  <c r="R244" i="6" s="1"/>
  <c r="U244" i="6" s="1"/>
  <c r="J246" i="6"/>
  <c r="I246" i="6" s="1"/>
  <c r="J304" i="6"/>
  <c r="I304" i="6" s="1"/>
  <c r="J308" i="6"/>
  <c r="I308" i="6" s="1"/>
  <c r="J312" i="6"/>
  <c r="I312" i="6" s="1"/>
  <c r="J316" i="6"/>
  <c r="I316" i="6" s="1"/>
  <c r="J318" i="6"/>
  <c r="I318" i="6" s="1"/>
  <c r="J398" i="6"/>
  <c r="I398" i="6" s="1"/>
  <c r="J430" i="6"/>
  <c r="I430" i="6" s="1"/>
  <c r="J462" i="6"/>
  <c r="I462" i="6" s="1"/>
  <c r="J550" i="6"/>
  <c r="I550" i="6" s="1"/>
  <c r="J554" i="6"/>
  <c r="I554" i="6" s="1"/>
  <c r="J556" i="6"/>
  <c r="I556" i="6" s="1"/>
  <c r="R556" i="6" s="1"/>
  <c r="U556" i="6" s="1"/>
  <c r="J628" i="6"/>
  <c r="I628" i="6" s="1"/>
  <c r="J660" i="6"/>
  <c r="I660" i="6" s="1"/>
  <c r="J692" i="6"/>
  <c r="I692" i="6" s="1"/>
  <c r="J724" i="6"/>
  <c r="I724" i="6" s="1"/>
  <c r="J756" i="6"/>
  <c r="I756" i="6" s="1"/>
  <c r="J788" i="6"/>
  <c r="I788" i="6" s="1"/>
  <c r="J820" i="6"/>
  <c r="I820" i="6" s="1"/>
  <c r="H41" i="7"/>
  <c r="F41" i="7" s="1"/>
  <c r="H40" i="7"/>
  <c r="F40" i="7" s="1"/>
  <c r="J194" i="6"/>
  <c r="I194" i="6" s="1"/>
  <c r="J518" i="6"/>
  <c r="I518" i="6" s="1"/>
  <c r="J522" i="6"/>
  <c r="I522" i="6" s="1"/>
  <c r="R522" i="6" s="1"/>
  <c r="U522" i="6" s="1"/>
  <c r="J524" i="6"/>
  <c r="I524" i="6" s="1"/>
  <c r="J840" i="6"/>
  <c r="I840" i="6" s="1"/>
  <c r="J848" i="6"/>
  <c r="I848" i="6" s="1"/>
  <c r="J856" i="6"/>
  <c r="I856" i="6" s="1"/>
  <c r="R856" i="6" s="1"/>
  <c r="U856" i="6" s="1"/>
  <c r="J864" i="6"/>
  <c r="I864" i="6" s="1"/>
  <c r="J872" i="6"/>
  <c r="I872" i="6" s="1"/>
  <c r="J880" i="6"/>
  <c r="I880" i="6" s="1"/>
  <c r="J888" i="6"/>
  <c r="I888" i="6" s="1"/>
  <c r="J896" i="6"/>
  <c r="I896" i="6" s="1"/>
  <c r="J904" i="6"/>
  <c r="I904" i="6" s="1"/>
  <c r="J912" i="6"/>
  <c r="I912" i="6" s="1"/>
  <c r="J920" i="6"/>
  <c r="I920" i="6" s="1"/>
  <c r="R920" i="6" s="1"/>
  <c r="U920" i="6" s="1"/>
  <c r="J928" i="6"/>
  <c r="I928" i="6" s="1"/>
  <c r="J944" i="6"/>
  <c r="I944" i="6" s="1"/>
  <c r="J956" i="6"/>
  <c r="I956" i="6" s="1"/>
  <c r="HT100" i="7"/>
  <c r="HT13" i="7" s="1"/>
  <c r="HD100" i="7"/>
  <c r="HD13" i="7" s="1"/>
  <c r="GN100" i="7"/>
  <c r="GN13" i="7" s="1"/>
  <c r="FX100" i="7"/>
  <c r="FX13" i="7" s="1"/>
  <c r="FH100" i="7"/>
  <c r="FH13" i="7" s="1"/>
  <c r="ER100" i="7"/>
  <c r="ER13" i="7" s="1"/>
  <c r="EB100" i="7"/>
  <c r="EB13" i="7" s="1"/>
  <c r="CF100" i="7"/>
  <c r="CF13" i="7" s="1"/>
  <c r="HP100" i="7"/>
  <c r="HP13" i="7" s="1"/>
  <c r="GJ100" i="7"/>
  <c r="GJ13" i="7" s="1"/>
  <c r="FD100" i="7"/>
  <c r="FD13" i="7" s="1"/>
  <c r="DX100" i="7"/>
  <c r="DX13" i="7" s="1"/>
  <c r="CR100" i="7"/>
  <c r="CR13" i="7" s="1"/>
  <c r="IB100" i="7"/>
  <c r="IB13" i="7" s="1"/>
  <c r="HL100" i="7"/>
  <c r="HL13" i="7" s="1"/>
  <c r="GV100" i="7"/>
  <c r="GV13" i="7" s="1"/>
  <c r="GF100" i="7"/>
  <c r="GF13" i="7" s="1"/>
  <c r="FP100" i="7"/>
  <c r="FP13" i="7" s="1"/>
  <c r="EZ100" i="7"/>
  <c r="EZ13" i="7" s="1"/>
  <c r="EJ100" i="7"/>
  <c r="EJ13" i="7" s="1"/>
  <c r="CN100" i="7"/>
  <c r="CN13" i="7" s="1"/>
  <c r="BX100" i="7"/>
  <c r="BX13" i="7" s="1"/>
  <c r="IF100" i="7"/>
  <c r="IF13" i="7" s="1"/>
  <c r="GZ100" i="7"/>
  <c r="GZ13" i="7" s="1"/>
  <c r="FT100" i="7"/>
  <c r="FT13" i="7" s="1"/>
  <c r="EN100" i="7"/>
  <c r="EN13" i="7" s="1"/>
  <c r="DH100" i="7"/>
  <c r="DH13" i="7" s="1"/>
  <c r="CB100" i="7"/>
  <c r="CB13" i="7" s="1"/>
  <c r="HV100" i="7"/>
  <c r="HV13" i="7" s="1"/>
  <c r="HF100" i="7"/>
  <c r="HF13" i="7" s="1"/>
  <c r="GP100" i="7"/>
  <c r="GP13" i="7" s="1"/>
  <c r="FZ100" i="7"/>
  <c r="FZ13" i="7" s="1"/>
  <c r="FJ100" i="7"/>
  <c r="FJ13" i="7" s="1"/>
  <c r="ET100" i="7"/>
  <c r="ET13" i="7" s="1"/>
  <c r="ED100" i="7"/>
  <c r="ED13" i="7" s="1"/>
  <c r="DN100" i="7"/>
  <c r="DN13" i="7" s="1"/>
  <c r="CX100" i="7"/>
  <c r="CX13" i="7" s="1"/>
  <c r="CH100" i="7"/>
  <c r="CH13" i="7" s="1"/>
  <c r="BR100" i="7"/>
  <c r="BR13" i="7" s="1"/>
  <c r="BV100" i="7"/>
  <c r="BV13" i="7" s="1"/>
  <c r="HJ100" i="7"/>
  <c r="HJ13" i="7" s="1"/>
  <c r="GD100" i="7"/>
  <c r="GD13" i="7" s="1"/>
  <c r="EX100" i="7"/>
  <c r="EX13" i="7" s="1"/>
  <c r="DR100" i="7"/>
  <c r="DR13" i="7" s="1"/>
  <c r="CL100" i="7"/>
  <c r="CL13" i="7" s="1"/>
  <c r="ID100" i="7"/>
  <c r="ID13" i="7" s="1"/>
  <c r="HN100" i="7"/>
  <c r="HN13" i="7" s="1"/>
  <c r="GX100" i="7"/>
  <c r="GX13" i="7" s="1"/>
  <c r="GH100" i="7"/>
  <c r="GH13" i="7" s="1"/>
  <c r="FR100" i="7"/>
  <c r="FR13" i="7" s="1"/>
  <c r="FB100" i="7"/>
  <c r="FB13" i="7" s="1"/>
  <c r="EL100" i="7"/>
  <c r="EL13" i="7" s="1"/>
  <c r="DV100" i="7"/>
  <c r="DV13" i="7" s="1"/>
  <c r="DF100" i="7"/>
  <c r="DF13" i="7" s="1"/>
  <c r="CP100" i="7"/>
  <c r="CP13" i="7" s="1"/>
  <c r="BZ100" i="7"/>
  <c r="BZ13" i="7" s="1"/>
  <c r="HZ100" i="7"/>
  <c r="HZ13" i="7" s="1"/>
  <c r="GT100" i="7"/>
  <c r="GT13" i="7" s="1"/>
  <c r="FN100" i="7"/>
  <c r="FN13" i="7" s="1"/>
  <c r="EH100" i="7"/>
  <c r="EH13" i="7" s="1"/>
  <c r="DB100" i="7"/>
  <c r="DB13" i="7" s="1"/>
  <c r="DT100" i="7"/>
  <c r="DT13" i="7" s="1"/>
  <c r="DL100" i="7"/>
  <c r="DL13" i="7" s="1"/>
  <c r="DD100" i="7"/>
  <c r="DD13" i="7" s="1"/>
  <c r="CV100" i="7"/>
  <c r="CV13" i="7" s="1"/>
  <c r="J36" i="4"/>
  <c r="I36" i="4" s="1"/>
  <c r="J68" i="4"/>
  <c r="I68" i="4" s="1"/>
  <c r="J100" i="4"/>
  <c r="I100" i="4" s="1"/>
  <c r="J132" i="4"/>
  <c r="I132" i="4" s="1"/>
  <c r="J166" i="4"/>
  <c r="I166" i="4" s="1"/>
  <c r="J200" i="4"/>
  <c r="I200" i="4" s="1"/>
  <c r="J232" i="4"/>
  <c r="I232" i="4" s="1"/>
  <c r="J266" i="4"/>
  <c r="I266" i="4" s="1"/>
  <c r="J302" i="4"/>
  <c r="I302" i="4" s="1"/>
  <c r="J334" i="4"/>
  <c r="I334" i="4" s="1"/>
  <c r="J366" i="4"/>
  <c r="I366" i="4" s="1"/>
  <c r="J402" i="4"/>
  <c r="I402" i="4" s="1"/>
  <c r="J434" i="4"/>
  <c r="I434" i="4" s="1"/>
  <c r="J466" i="4"/>
  <c r="I466" i="4" s="1"/>
  <c r="J498" i="4"/>
  <c r="I498" i="4" s="1"/>
  <c r="J530" i="4"/>
  <c r="I530" i="4" s="1"/>
  <c r="J756" i="4"/>
  <c r="I756" i="4" s="1"/>
  <c r="J792" i="4"/>
  <c r="I792" i="4" s="1"/>
  <c r="J824" i="4"/>
  <c r="I824" i="4" s="1"/>
  <c r="J966" i="4"/>
  <c r="I966" i="4" s="1"/>
  <c r="J66" i="6"/>
  <c r="I66" i="6" s="1"/>
  <c r="J134" i="6"/>
  <c r="I134" i="6" s="1"/>
  <c r="J52" i="4"/>
  <c r="I52" i="4" s="1"/>
  <c r="J84" i="4"/>
  <c r="I84" i="4" s="1"/>
  <c r="J116" i="4"/>
  <c r="I116" i="4" s="1"/>
  <c r="J150" i="4"/>
  <c r="I150" i="4" s="1"/>
  <c r="J182" i="4"/>
  <c r="I182" i="4" s="1"/>
  <c r="J216" i="4"/>
  <c r="I216" i="4" s="1"/>
  <c r="J248" i="4"/>
  <c r="I248" i="4" s="1"/>
  <c r="J282" i="4"/>
  <c r="I282" i="4" s="1"/>
  <c r="J318" i="4"/>
  <c r="I318" i="4" s="1"/>
  <c r="J350" i="4"/>
  <c r="I350" i="4" s="1"/>
  <c r="J386" i="4"/>
  <c r="I386" i="4" s="1"/>
  <c r="J418" i="4"/>
  <c r="I418" i="4" s="1"/>
  <c r="J450" i="4"/>
  <c r="I450" i="4" s="1"/>
  <c r="J482" i="4"/>
  <c r="I482" i="4" s="1"/>
  <c r="J514" i="4"/>
  <c r="I514" i="4" s="1"/>
  <c r="J544" i="4"/>
  <c r="I544" i="4" s="1"/>
  <c r="J552" i="4"/>
  <c r="I552" i="4" s="1"/>
  <c r="J556" i="4"/>
  <c r="I556" i="4" s="1"/>
  <c r="J608" i="4"/>
  <c r="I608" i="4" s="1"/>
  <c r="J616" i="4"/>
  <c r="I616" i="4" s="1"/>
  <c r="J620" i="4"/>
  <c r="I620" i="4" s="1"/>
  <c r="J934" i="4"/>
  <c r="I934" i="4" s="1"/>
  <c r="R934" i="4" s="1"/>
  <c r="U934" i="4" s="1"/>
  <c r="J938" i="4"/>
  <c r="I938" i="4" s="1"/>
  <c r="J986" i="4"/>
  <c r="I986" i="4" s="1"/>
  <c r="J58" i="6"/>
  <c r="I58" i="6" s="1"/>
  <c r="J74" i="6"/>
  <c r="I74" i="6" s="1"/>
  <c r="J90" i="6"/>
  <c r="I90" i="6" s="1"/>
  <c r="J106" i="6"/>
  <c r="I106" i="6" s="1"/>
  <c r="J122" i="6"/>
  <c r="I122" i="6" s="1"/>
  <c r="J146" i="6"/>
  <c r="I146" i="6" s="1"/>
  <c r="J150" i="6"/>
  <c r="I150" i="6" s="1"/>
  <c r="J178" i="6"/>
  <c r="I178" i="6" s="1"/>
  <c r="J182" i="6"/>
  <c r="I182" i="6" s="1"/>
  <c r="J210" i="6"/>
  <c r="I210" i="6" s="1"/>
  <c r="R210" i="6" s="1"/>
  <c r="U210" i="6" s="1"/>
  <c r="J214" i="6"/>
  <c r="I214" i="6" s="1"/>
  <c r="J236" i="6"/>
  <c r="I236" i="6" s="1"/>
  <c r="J238" i="6"/>
  <c r="I238" i="6" s="1"/>
  <c r="J252" i="6"/>
  <c r="I252" i="6" s="1"/>
  <c r="R252" i="6" s="1"/>
  <c r="U252" i="6" s="1"/>
  <c r="J254" i="6"/>
  <c r="I254" i="6" s="1"/>
  <c r="J268" i="6"/>
  <c r="I268" i="6" s="1"/>
  <c r="J270" i="6"/>
  <c r="I270" i="6" s="1"/>
  <c r="J284" i="6"/>
  <c r="I284" i="6" s="1"/>
  <c r="R284" i="6" s="1"/>
  <c r="U284" i="6" s="1"/>
  <c r="J286" i="6"/>
  <c r="I286" i="6" s="1"/>
  <c r="J300" i="6"/>
  <c r="I300" i="6" s="1"/>
  <c r="J302" i="6"/>
  <c r="I302" i="6" s="1"/>
  <c r="J844" i="6"/>
  <c r="I844" i="6" s="1"/>
  <c r="R844" i="6" s="1"/>
  <c r="U844" i="6" s="1"/>
  <c r="J846" i="6"/>
  <c r="I846" i="6" s="1"/>
  <c r="J876" i="6"/>
  <c r="I876" i="6" s="1"/>
  <c r="J878" i="6"/>
  <c r="I878" i="6" s="1"/>
  <c r="J908" i="6"/>
  <c r="I908" i="6" s="1"/>
  <c r="R908" i="6" s="1"/>
  <c r="U908" i="6" s="1"/>
  <c r="J910" i="6"/>
  <c r="I910" i="6" s="1"/>
  <c r="J936" i="6"/>
  <c r="I936" i="6" s="1"/>
  <c r="J940" i="6"/>
  <c r="I940" i="6" s="1"/>
  <c r="J942" i="6"/>
  <c r="I942" i="6" s="1"/>
  <c r="J964" i="6"/>
  <c r="I964" i="6" s="1"/>
  <c r="J980" i="6"/>
  <c r="I980" i="6" s="1"/>
  <c r="J996" i="6"/>
  <c r="I996" i="6" s="1"/>
  <c r="J310" i="6"/>
  <c r="I310" i="6" s="1"/>
  <c r="R310" i="6" s="1"/>
  <c r="U310" i="6" s="1"/>
  <c r="J324" i="6"/>
  <c r="I324" i="6" s="1"/>
  <c r="J326" i="6"/>
  <c r="I326" i="6" s="1"/>
  <c r="J340" i="6"/>
  <c r="I340" i="6" s="1"/>
  <c r="J342" i="6"/>
  <c r="I342" i="6" s="1"/>
  <c r="R342" i="6" s="1"/>
  <c r="U342" i="6" s="1"/>
  <c r="J354" i="6"/>
  <c r="I354" i="6" s="1"/>
  <c r="J362" i="6"/>
  <c r="I362" i="6" s="1"/>
  <c r="J370" i="6"/>
  <c r="I370" i="6" s="1"/>
  <c r="J378" i="6"/>
  <c r="I378" i="6" s="1"/>
  <c r="R378" i="6" s="1"/>
  <c r="U378" i="6" s="1"/>
  <c r="J386" i="6"/>
  <c r="I386" i="6" s="1"/>
  <c r="J394" i="6"/>
  <c r="I394" i="6" s="1"/>
  <c r="J402" i="6"/>
  <c r="I402" i="6" s="1"/>
  <c r="J410" i="6"/>
  <c r="I410" i="6" s="1"/>
  <c r="R410" i="6" s="1"/>
  <c r="U410" i="6" s="1"/>
  <c r="J418" i="6"/>
  <c r="I418" i="6" s="1"/>
  <c r="J426" i="6"/>
  <c r="I426" i="6" s="1"/>
  <c r="J434" i="6"/>
  <c r="I434" i="6" s="1"/>
  <c r="J442" i="6"/>
  <c r="I442" i="6" s="1"/>
  <c r="R442" i="6" s="1"/>
  <c r="U442" i="6" s="1"/>
  <c r="J450" i="6"/>
  <c r="I450" i="6" s="1"/>
  <c r="J458" i="6"/>
  <c r="I458" i="6" s="1"/>
  <c r="J466" i="6"/>
  <c r="I466" i="6" s="1"/>
  <c r="J474" i="6"/>
  <c r="I474" i="6" s="1"/>
  <c r="R474" i="6" s="1"/>
  <c r="U474" i="6" s="1"/>
  <c r="J482" i="6"/>
  <c r="I482" i="6" s="1"/>
  <c r="J490" i="6"/>
  <c r="I490" i="6" s="1"/>
  <c r="J498" i="6"/>
  <c r="I498" i="6" s="1"/>
  <c r="J500" i="6"/>
  <c r="I500" i="6" s="1"/>
  <c r="R500" i="6" s="1"/>
  <c r="U500" i="6" s="1"/>
  <c r="J514" i="6"/>
  <c r="I514" i="6" s="1"/>
  <c r="J516" i="6"/>
  <c r="I516" i="6" s="1"/>
  <c r="J530" i="6"/>
  <c r="I530" i="6" s="1"/>
  <c r="J532" i="6"/>
  <c r="I532" i="6" s="1"/>
  <c r="J546" i="6"/>
  <c r="I546" i="6" s="1"/>
  <c r="J548" i="6"/>
  <c r="I548" i="6" s="1"/>
  <c r="J562" i="6"/>
  <c r="I562" i="6" s="1"/>
  <c r="J564" i="6"/>
  <c r="I564" i="6" s="1"/>
  <c r="R564" i="6" s="1"/>
  <c r="U564" i="6" s="1"/>
  <c r="J578" i="6"/>
  <c r="I578" i="6" s="1"/>
  <c r="J580" i="6"/>
  <c r="I580" i="6" s="1"/>
  <c r="J594" i="6"/>
  <c r="I594" i="6" s="1"/>
  <c r="J596" i="6"/>
  <c r="I596" i="6" s="1"/>
  <c r="J608" i="6"/>
  <c r="I608" i="6" s="1"/>
  <c r="J616" i="6"/>
  <c r="I616" i="6" s="1"/>
  <c r="J624" i="6"/>
  <c r="I624" i="6" s="1"/>
  <c r="J632" i="6"/>
  <c r="I632" i="6" s="1"/>
  <c r="R632" i="6" s="1"/>
  <c r="U632" i="6" s="1"/>
  <c r="J640" i="6"/>
  <c r="I640" i="6" s="1"/>
  <c r="J648" i="6"/>
  <c r="I648" i="6" s="1"/>
  <c r="J656" i="6"/>
  <c r="I656" i="6" s="1"/>
  <c r="J664" i="6"/>
  <c r="I664" i="6" s="1"/>
  <c r="J672" i="6"/>
  <c r="I672" i="6" s="1"/>
  <c r="J680" i="6"/>
  <c r="I680" i="6" s="1"/>
  <c r="J688" i="6"/>
  <c r="I688" i="6" s="1"/>
  <c r="J696" i="6"/>
  <c r="I696" i="6" s="1"/>
  <c r="J704" i="6"/>
  <c r="I704" i="6" s="1"/>
  <c r="J712" i="6"/>
  <c r="I712" i="6" s="1"/>
  <c r="J720" i="6"/>
  <c r="I720" i="6" s="1"/>
  <c r="J728" i="6"/>
  <c r="I728" i="6" s="1"/>
  <c r="J736" i="6"/>
  <c r="I736" i="6" s="1"/>
  <c r="J744" i="6"/>
  <c r="I744" i="6" s="1"/>
  <c r="J752" i="6"/>
  <c r="I752" i="6" s="1"/>
  <c r="J760" i="6"/>
  <c r="I760" i="6" s="1"/>
  <c r="J768" i="6"/>
  <c r="I768" i="6" s="1"/>
  <c r="J776" i="6"/>
  <c r="I776" i="6" s="1"/>
  <c r="J784" i="6"/>
  <c r="I784" i="6" s="1"/>
  <c r="J792" i="6"/>
  <c r="I792" i="6" s="1"/>
  <c r="J800" i="6"/>
  <c r="I800" i="6" s="1"/>
  <c r="J808" i="6"/>
  <c r="I808" i="6" s="1"/>
  <c r="J816" i="6"/>
  <c r="I816" i="6" s="1"/>
  <c r="J824" i="6"/>
  <c r="I824" i="6" s="1"/>
  <c r="J832" i="6"/>
  <c r="I832" i="6" s="1"/>
  <c r="J860" i="6"/>
  <c r="I860" i="6" s="1"/>
  <c r="J862" i="6"/>
  <c r="I862" i="6" s="1"/>
  <c r="J892" i="6"/>
  <c r="I892" i="6" s="1"/>
  <c r="R892" i="6" s="1"/>
  <c r="U892" i="6" s="1"/>
  <c r="J894" i="6"/>
  <c r="I894" i="6" s="1"/>
  <c r="J924" i="6"/>
  <c r="I924" i="6" s="1"/>
  <c r="J926" i="6"/>
  <c r="I926" i="6" s="1"/>
  <c r="T18" i="4"/>
  <c r="T20" i="4"/>
  <c r="C20" i="4" s="1"/>
  <c r="B20" i="4" s="1"/>
  <c r="T23" i="4"/>
  <c r="C23" i="4" s="1"/>
  <c r="B23" i="4" s="1"/>
  <c r="T36" i="4"/>
  <c r="C36" i="4" s="1"/>
  <c r="B36" i="4" s="1"/>
  <c r="T37" i="4"/>
  <c r="C37" i="4" s="1"/>
  <c r="B37" i="4" s="1"/>
  <c r="T38" i="4"/>
  <c r="C38" i="4" s="1"/>
  <c r="B38" i="4" s="1"/>
  <c r="T39" i="4"/>
  <c r="C39" i="4" s="1"/>
  <c r="B39" i="4" s="1"/>
  <c r="T40" i="4"/>
  <c r="C40" i="4" s="1"/>
  <c r="B40" i="4" s="1"/>
  <c r="T41" i="4"/>
  <c r="C41" i="4" s="1"/>
  <c r="B41" i="4" s="1"/>
  <c r="T42" i="4"/>
  <c r="C42" i="4" s="1"/>
  <c r="B42" i="4" s="1"/>
  <c r="T43" i="4"/>
  <c r="C43" i="4" s="1"/>
  <c r="B43" i="4" s="1"/>
  <c r="J44" i="4"/>
  <c r="I44" i="4" s="1"/>
  <c r="T52" i="4"/>
  <c r="C52" i="4" s="1"/>
  <c r="B52" i="4" s="1"/>
  <c r="T53" i="4"/>
  <c r="C53" i="4" s="1"/>
  <c r="B53" i="4" s="1"/>
  <c r="T54" i="4"/>
  <c r="C54" i="4" s="1"/>
  <c r="B54" i="4" s="1"/>
  <c r="T55" i="4"/>
  <c r="C55" i="4" s="1"/>
  <c r="B55" i="4" s="1"/>
  <c r="T56" i="4"/>
  <c r="C56" i="4" s="1"/>
  <c r="B56" i="4" s="1"/>
  <c r="T57" i="4"/>
  <c r="C57" i="4" s="1"/>
  <c r="B57" i="4" s="1"/>
  <c r="T58" i="4"/>
  <c r="C58" i="4" s="1"/>
  <c r="B58" i="4" s="1"/>
  <c r="T59" i="4"/>
  <c r="C59" i="4" s="1"/>
  <c r="B59" i="4" s="1"/>
  <c r="J60" i="4"/>
  <c r="I60" i="4" s="1"/>
  <c r="T68" i="4"/>
  <c r="C68" i="4" s="1"/>
  <c r="B68" i="4" s="1"/>
  <c r="T69" i="4"/>
  <c r="C69" i="4" s="1"/>
  <c r="B69" i="4" s="1"/>
  <c r="T70" i="4"/>
  <c r="C70" i="4" s="1"/>
  <c r="B70" i="4" s="1"/>
  <c r="T71" i="4"/>
  <c r="C71" i="4" s="1"/>
  <c r="B71" i="4" s="1"/>
  <c r="T72" i="4"/>
  <c r="C72" i="4" s="1"/>
  <c r="B72" i="4" s="1"/>
  <c r="T73" i="4"/>
  <c r="C73" i="4" s="1"/>
  <c r="B73" i="4" s="1"/>
  <c r="T74" i="4"/>
  <c r="C74" i="4" s="1"/>
  <c r="B74" i="4" s="1"/>
  <c r="T75" i="4"/>
  <c r="C75" i="4" s="1"/>
  <c r="B75" i="4" s="1"/>
  <c r="J76" i="4"/>
  <c r="I76" i="4" s="1"/>
  <c r="T84" i="4"/>
  <c r="C84" i="4" s="1"/>
  <c r="B84" i="4" s="1"/>
  <c r="T85" i="4"/>
  <c r="C85" i="4" s="1"/>
  <c r="B85" i="4" s="1"/>
  <c r="T86" i="4"/>
  <c r="C86" i="4" s="1"/>
  <c r="B86" i="4" s="1"/>
  <c r="T87" i="4"/>
  <c r="C87" i="4" s="1"/>
  <c r="B87" i="4" s="1"/>
  <c r="T88" i="4"/>
  <c r="C88" i="4" s="1"/>
  <c r="B88" i="4" s="1"/>
  <c r="T89" i="4"/>
  <c r="C89" i="4" s="1"/>
  <c r="B89" i="4" s="1"/>
  <c r="T90" i="4"/>
  <c r="C90" i="4" s="1"/>
  <c r="B90" i="4" s="1"/>
  <c r="T91" i="4"/>
  <c r="C91" i="4" s="1"/>
  <c r="B91" i="4" s="1"/>
  <c r="J92" i="4"/>
  <c r="I92" i="4" s="1"/>
  <c r="T100" i="4"/>
  <c r="C100" i="4" s="1"/>
  <c r="B100" i="4" s="1"/>
  <c r="T101" i="4"/>
  <c r="C101" i="4" s="1"/>
  <c r="B101" i="4" s="1"/>
  <c r="T102" i="4"/>
  <c r="C102" i="4" s="1"/>
  <c r="B102" i="4" s="1"/>
  <c r="T103" i="4"/>
  <c r="C103" i="4" s="1"/>
  <c r="B103" i="4" s="1"/>
  <c r="T104" i="4"/>
  <c r="C104" i="4" s="1"/>
  <c r="B104" i="4" s="1"/>
  <c r="T105" i="4"/>
  <c r="C105" i="4" s="1"/>
  <c r="B105" i="4" s="1"/>
  <c r="T106" i="4"/>
  <c r="C106" i="4" s="1"/>
  <c r="B106" i="4" s="1"/>
  <c r="T107" i="4"/>
  <c r="C107" i="4" s="1"/>
  <c r="B107" i="4" s="1"/>
  <c r="J108" i="4"/>
  <c r="I108" i="4" s="1"/>
  <c r="T116" i="4"/>
  <c r="C116" i="4" s="1"/>
  <c r="B116" i="4" s="1"/>
  <c r="T117" i="4"/>
  <c r="C117" i="4" s="1"/>
  <c r="B117" i="4" s="1"/>
  <c r="T118" i="4"/>
  <c r="C118" i="4" s="1"/>
  <c r="B118" i="4" s="1"/>
  <c r="T119" i="4"/>
  <c r="C119" i="4" s="1"/>
  <c r="B119" i="4" s="1"/>
  <c r="T120" i="4"/>
  <c r="C120" i="4" s="1"/>
  <c r="B120" i="4" s="1"/>
  <c r="T121" i="4"/>
  <c r="C121" i="4" s="1"/>
  <c r="B121" i="4" s="1"/>
  <c r="T122" i="4"/>
  <c r="C122" i="4" s="1"/>
  <c r="B122" i="4" s="1"/>
  <c r="T123" i="4"/>
  <c r="C123" i="4" s="1"/>
  <c r="B123" i="4" s="1"/>
  <c r="J124" i="4"/>
  <c r="I124" i="4" s="1"/>
  <c r="T132" i="4"/>
  <c r="C132" i="4" s="1"/>
  <c r="B132" i="4" s="1"/>
  <c r="T133" i="4"/>
  <c r="C133" i="4" s="1"/>
  <c r="B133" i="4" s="1"/>
  <c r="T134" i="4"/>
  <c r="C134" i="4" s="1"/>
  <c r="B134" i="4" s="1"/>
  <c r="T135" i="4"/>
  <c r="C135" i="4" s="1"/>
  <c r="B135" i="4" s="1"/>
  <c r="T136" i="4"/>
  <c r="C136" i="4" s="1"/>
  <c r="B136" i="4" s="1"/>
  <c r="T137" i="4"/>
  <c r="C137" i="4" s="1"/>
  <c r="B137" i="4" s="1"/>
  <c r="T138" i="4"/>
  <c r="C138" i="4" s="1"/>
  <c r="B138" i="4" s="1"/>
  <c r="T139" i="4"/>
  <c r="C139" i="4" s="1"/>
  <c r="B139" i="4" s="1"/>
  <c r="J140" i="4"/>
  <c r="I140" i="4" s="1"/>
  <c r="T150" i="4"/>
  <c r="C150" i="4" s="1"/>
  <c r="B150" i="4" s="1"/>
  <c r="T151" i="4"/>
  <c r="C151" i="4" s="1"/>
  <c r="B151" i="4" s="1"/>
  <c r="T152" i="4"/>
  <c r="C152" i="4" s="1"/>
  <c r="B152" i="4" s="1"/>
  <c r="T153" i="4"/>
  <c r="C153" i="4" s="1"/>
  <c r="B153" i="4" s="1"/>
  <c r="T154" i="4"/>
  <c r="C154" i="4" s="1"/>
  <c r="B154" i="4" s="1"/>
  <c r="T155" i="4"/>
  <c r="C155" i="4" s="1"/>
  <c r="B155" i="4" s="1"/>
  <c r="T156" i="4"/>
  <c r="C156" i="4" s="1"/>
  <c r="B156" i="4" s="1"/>
  <c r="T157" i="4"/>
  <c r="C157" i="4" s="1"/>
  <c r="B157" i="4" s="1"/>
  <c r="J158" i="4"/>
  <c r="I158" i="4" s="1"/>
  <c r="T166" i="4"/>
  <c r="C166" i="4" s="1"/>
  <c r="B166" i="4" s="1"/>
  <c r="T167" i="4"/>
  <c r="C167" i="4" s="1"/>
  <c r="B167" i="4" s="1"/>
  <c r="T168" i="4"/>
  <c r="C168" i="4" s="1"/>
  <c r="B168" i="4" s="1"/>
  <c r="T169" i="4"/>
  <c r="C169" i="4" s="1"/>
  <c r="B169" i="4" s="1"/>
  <c r="T170" i="4"/>
  <c r="C170" i="4" s="1"/>
  <c r="B170" i="4" s="1"/>
  <c r="T171" i="4"/>
  <c r="C171" i="4" s="1"/>
  <c r="B171" i="4" s="1"/>
  <c r="T172" i="4"/>
  <c r="C172" i="4" s="1"/>
  <c r="B172" i="4" s="1"/>
  <c r="T173" i="4"/>
  <c r="C173" i="4" s="1"/>
  <c r="B173" i="4" s="1"/>
  <c r="J174" i="4"/>
  <c r="I174" i="4" s="1"/>
  <c r="T182" i="4"/>
  <c r="C182" i="4" s="1"/>
  <c r="B182" i="4" s="1"/>
  <c r="T183" i="4"/>
  <c r="C183" i="4" s="1"/>
  <c r="B183" i="4" s="1"/>
  <c r="T184" i="4"/>
  <c r="C184" i="4" s="1"/>
  <c r="B184" i="4" s="1"/>
  <c r="T185" i="4"/>
  <c r="C185" i="4" s="1"/>
  <c r="B185" i="4" s="1"/>
  <c r="T186" i="4"/>
  <c r="C186" i="4" s="1"/>
  <c r="B186" i="4" s="1"/>
  <c r="T187" i="4"/>
  <c r="C187" i="4" s="1"/>
  <c r="B187" i="4" s="1"/>
  <c r="T188" i="4"/>
  <c r="C188" i="4" s="1"/>
  <c r="B188" i="4" s="1"/>
  <c r="T189" i="4"/>
  <c r="C189" i="4" s="1"/>
  <c r="B189" i="4" s="1"/>
  <c r="T190" i="4"/>
  <c r="C190" i="4" s="1"/>
  <c r="B190" i="4" s="1"/>
  <c r="T191" i="4"/>
  <c r="C191" i="4" s="1"/>
  <c r="B191" i="4" s="1"/>
  <c r="J192" i="4"/>
  <c r="I192" i="4" s="1"/>
  <c r="T200" i="4"/>
  <c r="C200" i="4" s="1"/>
  <c r="B200" i="4" s="1"/>
  <c r="T201" i="4"/>
  <c r="C201" i="4" s="1"/>
  <c r="B201" i="4" s="1"/>
  <c r="T202" i="4"/>
  <c r="C202" i="4" s="1"/>
  <c r="B202" i="4" s="1"/>
  <c r="T203" i="4"/>
  <c r="C203" i="4" s="1"/>
  <c r="B203" i="4" s="1"/>
  <c r="T204" i="4"/>
  <c r="C204" i="4" s="1"/>
  <c r="B204" i="4" s="1"/>
  <c r="T205" i="4"/>
  <c r="C205" i="4" s="1"/>
  <c r="B205" i="4" s="1"/>
  <c r="T206" i="4"/>
  <c r="C206" i="4" s="1"/>
  <c r="B206" i="4" s="1"/>
  <c r="T207" i="4"/>
  <c r="C207" i="4" s="1"/>
  <c r="B207" i="4" s="1"/>
  <c r="J208" i="4"/>
  <c r="I208" i="4" s="1"/>
  <c r="T216" i="4"/>
  <c r="C216" i="4" s="1"/>
  <c r="B216" i="4" s="1"/>
  <c r="T217" i="4"/>
  <c r="C217" i="4" s="1"/>
  <c r="B217" i="4" s="1"/>
  <c r="T218" i="4"/>
  <c r="C218" i="4" s="1"/>
  <c r="B218" i="4" s="1"/>
  <c r="T219" i="4"/>
  <c r="C219" i="4" s="1"/>
  <c r="B219" i="4" s="1"/>
  <c r="T220" i="4"/>
  <c r="C220" i="4" s="1"/>
  <c r="B220" i="4" s="1"/>
  <c r="T221" i="4"/>
  <c r="C221" i="4" s="1"/>
  <c r="B221" i="4" s="1"/>
  <c r="T222" i="4"/>
  <c r="C222" i="4" s="1"/>
  <c r="B222" i="4" s="1"/>
  <c r="T223" i="4"/>
  <c r="C223" i="4" s="1"/>
  <c r="B223" i="4" s="1"/>
  <c r="J224" i="4"/>
  <c r="I224" i="4" s="1"/>
  <c r="T232" i="4"/>
  <c r="C232" i="4" s="1"/>
  <c r="B232" i="4" s="1"/>
  <c r="T233" i="4"/>
  <c r="C233" i="4" s="1"/>
  <c r="B233" i="4" s="1"/>
  <c r="T234" i="4"/>
  <c r="C234" i="4" s="1"/>
  <c r="B234" i="4" s="1"/>
  <c r="T235" i="4"/>
  <c r="C235" i="4" s="1"/>
  <c r="B235" i="4" s="1"/>
  <c r="T236" i="4"/>
  <c r="C236" i="4" s="1"/>
  <c r="B236" i="4" s="1"/>
  <c r="T237" i="4"/>
  <c r="C237" i="4" s="1"/>
  <c r="B237" i="4" s="1"/>
  <c r="T238" i="4"/>
  <c r="C238" i="4" s="1"/>
  <c r="B238" i="4" s="1"/>
  <c r="T239" i="4"/>
  <c r="C239" i="4" s="1"/>
  <c r="B239" i="4" s="1"/>
  <c r="J240" i="4"/>
  <c r="I240" i="4" s="1"/>
  <c r="T248" i="4"/>
  <c r="C248" i="4" s="1"/>
  <c r="B248" i="4" s="1"/>
  <c r="T249" i="4"/>
  <c r="C249" i="4" s="1"/>
  <c r="B249" i="4" s="1"/>
  <c r="T250" i="4"/>
  <c r="C250" i="4" s="1"/>
  <c r="B250" i="4" s="1"/>
  <c r="T251" i="4"/>
  <c r="C251" i="4" s="1"/>
  <c r="B251" i="4" s="1"/>
  <c r="T252" i="4"/>
  <c r="C252" i="4" s="1"/>
  <c r="B252" i="4" s="1"/>
  <c r="T253" i="4"/>
  <c r="C253" i="4" s="1"/>
  <c r="B253" i="4" s="1"/>
  <c r="T254" i="4"/>
  <c r="C254" i="4" s="1"/>
  <c r="B254" i="4" s="1"/>
  <c r="T255" i="4"/>
  <c r="C255" i="4" s="1"/>
  <c r="B255" i="4" s="1"/>
  <c r="T256" i="4"/>
  <c r="C256" i="4" s="1"/>
  <c r="B256" i="4" s="1"/>
  <c r="T257" i="4"/>
  <c r="C257" i="4" s="1"/>
  <c r="B257" i="4" s="1"/>
  <c r="J258" i="4"/>
  <c r="I258" i="4" s="1"/>
  <c r="T266" i="4"/>
  <c r="C266" i="4" s="1"/>
  <c r="B266" i="4" s="1"/>
  <c r="T267" i="4"/>
  <c r="C267" i="4" s="1"/>
  <c r="B267" i="4" s="1"/>
  <c r="T268" i="4"/>
  <c r="C268" i="4" s="1"/>
  <c r="B268" i="4" s="1"/>
  <c r="T269" i="4"/>
  <c r="C269" i="4" s="1"/>
  <c r="B269" i="4" s="1"/>
  <c r="T270" i="4"/>
  <c r="C270" i="4" s="1"/>
  <c r="B270" i="4" s="1"/>
  <c r="T271" i="4"/>
  <c r="C271" i="4" s="1"/>
  <c r="B271" i="4" s="1"/>
  <c r="T272" i="4"/>
  <c r="C272" i="4" s="1"/>
  <c r="B272" i="4" s="1"/>
  <c r="T273" i="4"/>
  <c r="C273" i="4" s="1"/>
  <c r="B273" i="4" s="1"/>
  <c r="J274" i="4"/>
  <c r="I274" i="4" s="1"/>
  <c r="T282" i="4"/>
  <c r="C282" i="4" s="1"/>
  <c r="B282" i="4" s="1"/>
  <c r="T283" i="4"/>
  <c r="C283" i="4" s="1"/>
  <c r="B283" i="4" s="1"/>
  <c r="T284" i="4"/>
  <c r="C284" i="4" s="1"/>
  <c r="B284" i="4" s="1"/>
  <c r="T285" i="4"/>
  <c r="C285" i="4" s="1"/>
  <c r="B285" i="4" s="1"/>
  <c r="T286" i="4"/>
  <c r="C286" i="4" s="1"/>
  <c r="B286" i="4" s="1"/>
  <c r="T287" i="4"/>
  <c r="C287" i="4" s="1"/>
  <c r="B287" i="4" s="1"/>
  <c r="T288" i="4"/>
  <c r="C288" i="4" s="1"/>
  <c r="B288" i="4" s="1"/>
  <c r="T289" i="4"/>
  <c r="C289" i="4" s="1"/>
  <c r="B289" i="4" s="1"/>
  <c r="J290" i="4"/>
  <c r="I290" i="4" s="1"/>
  <c r="T302" i="4"/>
  <c r="C302" i="4" s="1"/>
  <c r="B302" i="4" s="1"/>
  <c r="T303" i="4"/>
  <c r="C303" i="4" s="1"/>
  <c r="B303" i="4" s="1"/>
  <c r="T304" i="4"/>
  <c r="C304" i="4" s="1"/>
  <c r="B304" i="4" s="1"/>
  <c r="T305" i="4"/>
  <c r="C305" i="4" s="1"/>
  <c r="B305" i="4" s="1"/>
  <c r="T306" i="4"/>
  <c r="C306" i="4" s="1"/>
  <c r="B306" i="4" s="1"/>
  <c r="T307" i="4"/>
  <c r="C307" i="4" s="1"/>
  <c r="B307" i="4" s="1"/>
  <c r="T308" i="4"/>
  <c r="C308" i="4" s="1"/>
  <c r="B308" i="4" s="1"/>
  <c r="T309" i="4"/>
  <c r="C309" i="4" s="1"/>
  <c r="B309" i="4" s="1"/>
  <c r="J310" i="4"/>
  <c r="I310" i="4" s="1"/>
  <c r="T318" i="4"/>
  <c r="C318" i="4" s="1"/>
  <c r="B318" i="4" s="1"/>
  <c r="T319" i="4"/>
  <c r="C319" i="4" s="1"/>
  <c r="B319" i="4" s="1"/>
  <c r="T320" i="4"/>
  <c r="C320" i="4" s="1"/>
  <c r="B320" i="4" s="1"/>
  <c r="T321" i="4"/>
  <c r="C321" i="4" s="1"/>
  <c r="B321" i="4" s="1"/>
  <c r="T322" i="4"/>
  <c r="C322" i="4" s="1"/>
  <c r="B322" i="4" s="1"/>
  <c r="T323" i="4"/>
  <c r="C323" i="4" s="1"/>
  <c r="B323" i="4" s="1"/>
  <c r="T324" i="4"/>
  <c r="C324" i="4" s="1"/>
  <c r="B324" i="4" s="1"/>
  <c r="T325" i="4"/>
  <c r="C325" i="4" s="1"/>
  <c r="B325" i="4" s="1"/>
  <c r="J326" i="4"/>
  <c r="I326" i="4" s="1"/>
  <c r="T334" i="4"/>
  <c r="C334" i="4" s="1"/>
  <c r="B334" i="4" s="1"/>
  <c r="T335" i="4"/>
  <c r="C335" i="4" s="1"/>
  <c r="B335" i="4" s="1"/>
  <c r="T336" i="4"/>
  <c r="C336" i="4" s="1"/>
  <c r="B336" i="4" s="1"/>
  <c r="T337" i="4"/>
  <c r="C337" i="4" s="1"/>
  <c r="B337" i="4" s="1"/>
  <c r="T338" i="4"/>
  <c r="C338" i="4" s="1"/>
  <c r="B338" i="4" s="1"/>
  <c r="T339" i="4"/>
  <c r="C339" i="4" s="1"/>
  <c r="B339" i="4" s="1"/>
  <c r="T340" i="4"/>
  <c r="C340" i="4" s="1"/>
  <c r="B340" i="4" s="1"/>
  <c r="T341" i="4"/>
  <c r="C341" i="4" s="1"/>
  <c r="B341" i="4" s="1"/>
  <c r="J342" i="4"/>
  <c r="I342" i="4" s="1"/>
  <c r="T350" i="4"/>
  <c r="C350" i="4" s="1"/>
  <c r="B350" i="4" s="1"/>
  <c r="T351" i="4"/>
  <c r="C351" i="4" s="1"/>
  <c r="B351" i="4" s="1"/>
  <c r="T352" i="4"/>
  <c r="C352" i="4" s="1"/>
  <c r="B352" i="4" s="1"/>
  <c r="T353" i="4"/>
  <c r="C353" i="4" s="1"/>
  <c r="B353" i="4" s="1"/>
  <c r="T354" i="4"/>
  <c r="C354" i="4" s="1"/>
  <c r="B354" i="4" s="1"/>
  <c r="T355" i="4"/>
  <c r="C355" i="4" s="1"/>
  <c r="B355" i="4" s="1"/>
  <c r="T356" i="4"/>
  <c r="C356" i="4" s="1"/>
  <c r="B356" i="4" s="1"/>
  <c r="T357" i="4"/>
  <c r="C357" i="4" s="1"/>
  <c r="B357" i="4" s="1"/>
  <c r="J358" i="4"/>
  <c r="I358" i="4" s="1"/>
  <c r="T366" i="4"/>
  <c r="C366" i="4" s="1"/>
  <c r="B366" i="4" s="1"/>
  <c r="T367" i="4"/>
  <c r="C367" i="4" s="1"/>
  <c r="B367" i="4" s="1"/>
  <c r="T368" i="4"/>
  <c r="C368" i="4" s="1"/>
  <c r="B368" i="4" s="1"/>
  <c r="T369" i="4"/>
  <c r="C369" i="4" s="1"/>
  <c r="B369" i="4" s="1"/>
  <c r="T370" i="4"/>
  <c r="C370" i="4" s="1"/>
  <c r="B370" i="4" s="1"/>
  <c r="T371" i="4"/>
  <c r="C371" i="4" s="1"/>
  <c r="B371" i="4" s="1"/>
  <c r="T372" i="4"/>
  <c r="C372" i="4" s="1"/>
  <c r="B372" i="4" s="1"/>
  <c r="T373" i="4"/>
  <c r="C373" i="4" s="1"/>
  <c r="B373" i="4" s="1"/>
  <c r="J374" i="4"/>
  <c r="I374" i="4" s="1"/>
  <c r="T386" i="4"/>
  <c r="C386" i="4" s="1"/>
  <c r="B386" i="4" s="1"/>
  <c r="T387" i="4"/>
  <c r="C387" i="4" s="1"/>
  <c r="B387" i="4" s="1"/>
  <c r="T388" i="4"/>
  <c r="C388" i="4" s="1"/>
  <c r="B388" i="4" s="1"/>
  <c r="T389" i="4"/>
  <c r="C389" i="4" s="1"/>
  <c r="B389" i="4" s="1"/>
  <c r="T390" i="4"/>
  <c r="C390" i="4" s="1"/>
  <c r="B390" i="4" s="1"/>
  <c r="T391" i="4"/>
  <c r="C391" i="4" s="1"/>
  <c r="B391" i="4" s="1"/>
  <c r="T392" i="4"/>
  <c r="C392" i="4" s="1"/>
  <c r="B392" i="4" s="1"/>
  <c r="T393" i="4"/>
  <c r="C393" i="4" s="1"/>
  <c r="B393" i="4" s="1"/>
  <c r="J394" i="4"/>
  <c r="I394" i="4" s="1"/>
  <c r="T402" i="4"/>
  <c r="C402" i="4" s="1"/>
  <c r="B402" i="4" s="1"/>
  <c r="T403" i="4"/>
  <c r="C403" i="4" s="1"/>
  <c r="B403" i="4" s="1"/>
  <c r="T404" i="4"/>
  <c r="C404" i="4" s="1"/>
  <c r="B404" i="4" s="1"/>
  <c r="T405" i="4"/>
  <c r="C405" i="4" s="1"/>
  <c r="B405" i="4" s="1"/>
  <c r="T406" i="4"/>
  <c r="C406" i="4" s="1"/>
  <c r="B406" i="4" s="1"/>
  <c r="T407" i="4"/>
  <c r="C407" i="4" s="1"/>
  <c r="B407" i="4" s="1"/>
  <c r="T408" i="4"/>
  <c r="C408" i="4" s="1"/>
  <c r="B408" i="4" s="1"/>
  <c r="T409" i="4"/>
  <c r="C409" i="4" s="1"/>
  <c r="B409" i="4" s="1"/>
  <c r="J410" i="4"/>
  <c r="I410" i="4" s="1"/>
  <c r="T418" i="4"/>
  <c r="C418" i="4" s="1"/>
  <c r="B418" i="4" s="1"/>
  <c r="T419" i="4"/>
  <c r="C419" i="4" s="1"/>
  <c r="B419" i="4" s="1"/>
  <c r="T420" i="4"/>
  <c r="C420" i="4" s="1"/>
  <c r="B420" i="4" s="1"/>
  <c r="T421" i="4"/>
  <c r="C421" i="4" s="1"/>
  <c r="B421" i="4" s="1"/>
  <c r="T422" i="4"/>
  <c r="C422" i="4" s="1"/>
  <c r="B422" i="4" s="1"/>
  <c r="T423" i="4"/>
  <c r="C423" i="4" s="1"/>
  <c r="B423" i="4" s="1"/>
  <c r="T424" i="4"/>
  <c r="C424" i="4" s="1"/>
  <c r="B424" i="4" s="1"/>
  <c r="T425" i="4"/>
  <c r="C425" i="4" s="1"/>
  <c r="B425" i="4" s="1"/>
  <c r="J426" i="4"/>
  <c r="I426" i="4" s="1"/>
  <c r="T434" i="4"/>
  <c r="C434" i="4" s="1"/>
  <c r="B434" i="4" s="1"/>
  <c r="T435" i="4"/>
  <c r="C435" i="4" s="1"/>
  <c r="B435" i="4" s="1"/>
  <c r="T436" i="4"/>
  <c r="C436" i="4" s="1"/>
  <c r="B436" i="4" s="1"/>
  <c r="T437" i="4"/>
  <c r="C437" i="4" s="1"/>
  <c r="B437" i="4" s="1"/>
  <c r="T438" i="4"/>
  <c r="C438" i="4" s="1"/>
  <c r="B438" i="4" s="1"/>
  <c r="T439" i="4"/>
  <c r="C439" i="4" s="1"/>
  <c r="B439" i="4" s="1"/>
  <c r="T440" i="4"/>
  <c r="C440" i="4" s="1"/>
  <c r="B440" i="4" s="1"/>
  <c r="T441" i="4"/>
  <c r="C441" i="4" s="1"/>
  <c r="B441" i="4" s="1"/>
  <c r="J442" i="4"/>
  <c r="I442" i="4" s="1"/>
  <c r="T450" i="4"/>
  <c r="C450" i="4" s="1"/>
  <c r="B450" i="4" s="1"/>
  <c r="T451" i="4"/>
  <c r="C451" i="4" s="1"/>
  <c r="B451" i="4" s="1"/>
  <c r="T452" i="4"/>
  <c r="C452" i="4" s="1"/>
  <c r="B452" i="4" s="1"/>
  <c r="T453" i="4"/>
  <c r="C453" i="4" s="1"/>
  <c r="B453" i="4" s="1"/>
  <c r="T454" i="4"/>
  <c r="C454" i="4" s="1"/>
  <c r="B454" i="4" s="1"/>
  <c r="T455" i="4"/>
  <c r="C455" i="4" s="1"/>
  <c r="B455" i="4" s="1"/>
  <c r="T456" i="4"/>
  <c r="C456" i="4" s="1"/>
  <c r="B456" i="4" s="1"/>
  <c r="T457" i="4"/>
  <c r="C457" i="4" s="1"/>
  <c r="B457" i="4" s="1"/>
  <c r="J458" i="4"/>
  <c r="I458" i="4" s="1"/>
  <c r="T466" i="4"/>
  <c r="C466" i="4" s="1"/>
  <c r="B466" i="4" s="1"/>
  <c r="T467" i="4"/>
  <c r="C467" i="4" s="1"/>
  <c r="B467" i="4" s="1"/>
  <c r="T468" i="4"/>
  <c r="C468" i="4" s="1"/>
  <c r="B468" i="4" s="1"/>
  <c r="T469" i="4"/>
  <c r="C469" i="4" s="1"/>
  <c r="B469" i="4" s="1"/>
  <c r="T470" i="4"/>
  <c r="C470" i="4" s="1"/>
  <c r="B470" i="4" s="1"/>
  <c r="T471" i="4"/>
  <c r="C471" i="4" s="1"/>
  <c r="B471" i="4" s="1"/>
  <c r="T472" i="4"/>
  <c r="C472" i="4" s="1"/>
  <c r="B472" i="4" s="1"/>
  <c r="T473" i="4"/>
  <c r="C473" i="4" s="1"/>
  <c r="B473" i="4" s="1"/>
  <c r="J474" i="4"/>
  <c r="I474" i="4" s="1"/>
  <c r="T482" i="4"/>
  <c r="C482" i="4" s="1"/>
  <c r="B482" i="4" s="1"/>
  <c r="T483" i="4"/>
  <c r="C483" i="4" s="1"/>
  <c r="B483" i="4" s="1"/>
  <c r="T484" i="4"/>
  <c r="C484" i="4" s="1"/>
  <c r="B484" i="4" s="1"/>
  <c r="T485" i="4"/>
  <c r="C485" i="4" s="1"/>
  <c r="B485" i="4" s="1"/>
  <c r="T486" i="4"/>
  <c r="C486" i="4" s="1"/>
  <c r="B486" i="4" s="1"/>
  <c r="T487" i="4"/>
  <c r="C487" i="4" s="1"/>
  <c r="B487" i="4" s="1"/>
  <c r="T488" i="4"/>
  <c r="C488" i="4" s="1"/>
  <c r="B488" i="4" s="1"/>
  <c r="T489" i="4"/>
  <c r="C489" i="4" s="1"/>
  <c r="B489" i="4" s="1"/>
  <c r="J490" i="4"/>
  <c r="I490" i="4" s="1"/>
  <c r="T498" i="4"/>
  <c r="C498" i="4" s="1"/>
  <c r="B498" i="4" s="1"/>
  <c r="T499" i="4"/>
  <c r="C499" i="4" s="1"/>
  <c r="B499" i="4" s="1"/>
  <c r="T500" i="4"/>
  <c r="C500" i="4" s="1"/>
  <c r="B500" i="4" s="1"/>
  <c r="T501" i="4"/>
  <c r="C501" i="4" s="1"/>
  <c r="B501" i="4" s="1"/>
  <c r="T502" i="4"/>
  <c r="C502" i="4" s="1"/>
  <c r="B502" i="4" s="1"/>
  <c r="T503" i="4"/>
  <c r="C503" i="4" s="1"/>
  <c r="B503" i="4" s="1"/>
  <c r="T504" i="4"/>
  <c r="C504" i="4" s="1"/>
  <c r="B504" i="4" s="1"/>
  <c r="T505" i="4"/>
  <c r="C505" i="4" s="1"/>
  <c r="B505" i="4" s="1"/>
  <c r="J506" i="4"/>
  <c r="I506" i="4" s="1"/>
  <c r="T514" i="4"/>
  <c r="C514" i="4" s="1"/>
  <c r="B514" i="4" s="1"/>
  <c r="T515" i="4"/>
  <c r="C515" i="4" s="1"/>
  <c r="B515" i="4" s="1"/>
  <c r="T516" i="4"/>
  <c r="C516" i="4" s="1"/>
  <c r="B516" i="4" s="1"/>
  <c r="T517" i="4"/>
  <c r="C517" i="4" s="1"/>
  <c r="B517" i="4" s="1"/>
  <c r="T518" i="4"/>
  <c r="C518" i="4" s="1"/>
  <c r="B518" i="4" s="1"/>
  <c r="T519" i="4"/>
  <c r="C519" i="4" s="1"/>
  <c r="B519" i="4" s="1"/>
  <c r="T520" i="4"/>
  <c r="C520" i="4" s="1"/>
  <c r="B520" i="4" s="1"/>
  <c r="T521" i="4"/>
  <c r="C521" i="4" s="1"/>
  <c r="B521" i="4" s="1"/>
  <c r="J522" i="4"/>
  <c r="I522" i="4" s="1"/>
  <c r="T530" i="4"/>
  <c r="C530" i="4" s="1"/>
  <c r="B530" i="4" s="1"/>
  <c r="T531" i="4"/>
  <c r="C531" i="4" s="1"/>
  <c r="B531" i="4" s="1"/>
  <c r="T532" i="4"/>
  <c r="C532" i="4" s="1"/>
  <c r="B532" i="4" s="1"/>
  <c r="T533" i="4"/>
  <c r="C533" i="4" s="1"/>
  <c r="B533" i="4" s="1"/>
  <c r="T534" i="4"/>
  <c r="C534" i="4" s="1"/>
  <c r="B534" i="4" s="1"/>
  <c r="T535" i="4"/>
  <c r="C535" i="4" s="1"/>
  <c r="B535" i="4" s="1"/>
  <c r="T536" i="4"/>
  <c r="C536" i="4" s="1"/>
  <c r="B536" i="4" s="1"/>
  <c r="T537" i="4"/>
  <c r="C537" i="4" s="1"/>
  <c r="B537" i="4" s="1"/>
  <c r="T538" i="4"/>
  <c r="C538" i="4" s="1"/>
  <c r="B538" i="4" s="1"/>
  <c r="T539" i="4"/>
  <c r="C539" i="4" s="1"/>
  <c r="B539" i="4" s="1"/>
  <c r="T540" i="4"/>
  <c r="C540" i="4" s="1"/>
  <c r="B540" i="4" s="1"/>
  <c r="T541" i="4"/>
  <c r="C541" i="4" s="1"/>
  <c r="B541" i="4" s="1"/>
  <c r="J542" i="4"/>
  <c r="I542" i="4" s="1"/>
  <c r="T543" i="4"/>
  <c r="C543" i="4" s="1"/>
  <c r="B543" i="4" s="1"/>
  <c r="T561" i="4"/>
  <c r="C561" i="4" s="1"/>
  <c r="B561" i="4" s="1"/>
  <c r="T563" i="4"/>
  <c r="C563" i="4" s="1"/>
  <c r="B563" i="4" s="1"/>
  <c r="T565" i="4"/>
  <c r="C565" i="4" s="1"/>
  <c r="B565" i="4" s="1"/>
  <c r="T567" i="4"/>
  <c r="C567" i="4" s="1"/>
  <c r="B567" i="4" s="1"/>
  <c r="J568" i="4"/>
  <c r="I568" i="4" s="1"/>
  <c r="C569" i="4"/>
  <c r="B569" i="4" s="1"/>
  <c r="T569" i="4"/>
  <c r="T571" i="4"/>
  <c r="C571" i="4" s="1"/>
  <c r="B571" i="4" s="1"/>
  <c r="J572" i="4"/>
  <c r="I572" i="4" s="1"/>
  <c r="T573" i="4"/>
  <c r="C573" i="4" s="1"/>
  <c r="B573" i="4" s="1"/>
  <c r="T575" i="4"/>
  <c r="C575" i="4" s="1"/>
  <c r="B575" i="4" s="1"/>
  <c r="T593" i="4"/>
  <c r="C593" i="4" s="1"/>
  <c r="B593" i="4" s="1"/>
  <c r="T595" i="4"/>
  <c r="C595" i="4" s="1"/>
  <c r="B595" i="4" s="1"/>
  <c r="T597" i="4"/>
  <c r="C597" i="4" s="1"/>
  <c r="B597" i="4" s="1"/>
  <c r="T599" i="4"/>
  <c r="C599" i="4" s="1"/>
  <c r="B599" i="4" s="1"/>
  <c r="J600" i="4"/>
  <c r="I600" i="4" s="1"/>
  <c r="T601" i="4"/>
  <c r="C601" i="4" s="1"/>
  <c r="B601" i="4" s="1"/>
  <c r="T603" i="4"/>
  <c r="C603" i="4" s="1"/>
  <c r="B603" i="4" s="1"/>
  <c r="J604" i="4"/>
  <c r="I604" i="4" s="1"/>
  <c r="T605" i="4"/>
  <c r="C605" i="4" s="1"/>
  <c r="B605" i="4" s="1"/>
  <c r="T607" i="4"/>
  <c r="C607" i="4" s="1"/>
  <c r="B607" i="4" s="1"/>
  <c r="T625" i="4"/>
  <c r="C625" i="4" s="1"/>
  <c r="B625" i="4" s="1"/>
  <c r="T627" i="4"/>
  <c r="C627" i="4" s="1"/>
  <c r="B627" i="4" s="1"/>
  <c r="T629" i="4"/>
  <c r="C629" i="4" s="1"/>
  <c r="B629" i="4" s="1"/>
  <c r="T631" i="4"/>
  <c r="C631" i="4" s="1"/>
  <c r="B631" i="4" s="1"/>
  <c r="J632" i="4"/>
  <c r="I632" i="4" s="1"/>
  <c r="T633" i="4"/>
  <c r="C633" i="4" s="1"/>
  <c r="B633" i="4" s="1"/>
  <c r="T635" i="4"/>
  <c r="C635" i="4" s="1"/>
  <c r="B635" i="4" s="1"/>
  <c r="J636" i="4"/>
  <c r="I636" i="4" s="1"/>
  <c r="T637" i="4"/>
  <c r="C637" i="4" s="1"/>
  <c r="B637" i="4" s="1"/>
  <c r="T639" i="4"/>
  <c r="C639" i="4" s="1"/>
  <c r="B639" i="4" s="1"/>
  <c r="J640" i="4"/>
  <c r="I640" i="4" s="1"/>
  <c r="C641" i="4"/>
  <c r="B641" i="4" s="1"/>
  <c r="T641" i="4"/>
  <c r="T643" i="4"/>
  <c r="C643" i="4" s="1"/>
  <c r="B643" i="4" s="1"/>
  <c r="J644" i="4"/>
  <c r="I644" i="4" s="1"/>
  <c r="T645" i="4"/>
  <c r="C645" i="4" s="1"/>
  <c r="B645" i="4" s="1"/>
  <c r="T647" i="4"/>
  <c r="C647" i="4" s="1"/>
  <c r="B647" i="4" s="1"/>
  <c r="J648" i="4"/>
  <c r="I648" i="4" s="1"/>
  <c r="C649" i="4"/>
  <c r="B649" i="4" s="1"/>
  <c r="T649" i="4"/>
  <c r="T651" i="4"/>
  <c r="C651" i="4" s="1"/>
  <c r="B651" i="4" s="1"/>
  <c r="J652" i="4"/>
  <c r="I652" i="4" s="1"/>
  <c r="T653" i="4"/>
  <c r="C653" i="4" s="1"/>
  <c r="B653" i="4" s="1"/>
  <c r="T655" i="4"/>
  <c r="C655" i="4" s="1"/>
  <c r="B655" i="4" s="1"/>
  <c r="J656" i="4"/>
  <c r="I656" i="4" s="1"/>
  <c r="T657" i="4"/>
  <c r="C657" i="4" s="1"/>
  <c r="B657" i="4" s="1"/>
  <c r="T659" i="4"/>
  <c r="C659" i="4" s="1"/>
  <c r="B659" i="4" s="1"/>
  <c r="J660" i="4"/>
  <c r="I660" i="4" s="1"/>
  <c r="T661" i="4"/>
  <c r="C661" i="4" s="1"/>
  <c r="B661" i="4" s="1"/>
  <c r="T663" i="4"/>
  <c r="C663" i="4" s="1"/>
  <c r="B663" i="4" s="1"/>
  <c r="J664" i="4"/>
  <c r="I664" i="4" s="1"/>
  <c r="T665" i="4"/>
  <c r="C665" i="4" s="1"/>
  <c r="B665" i="4" s="1"/>
  <c r="T667" i="4"/>
  <c r="C667" i="4" s="1"/>
  <c r="B667" i="4" s="1"/>
  <c r="C669" i="4"/>
  <c r="B669" i="4" s="1"/>
  <c r="T669" i="4"/>
  <c r="J670" i="4"/>
  <c r="I670" i="4" s="1"/>
  <c r="T671" i="4"/>
  <c r="C671" i="4" s="1"/>
  <c r="B671" i="4" s="1"/>
  <c r="J672" i="4"/>
  <c r="I672" i="4" s="1"/>
  <c r="T673" i="4"/>
  <c r="C673" i="4" s="1"/>
  <c r="B673" i="4" s="1"/>
  <c r="J674" i="4"/>
  <c r="I674" i="4" s="1"/>
  <c r="T675" i="4"/>
  <c r="C675" i="4" s="1"/>
  <c r="B675" i="4" s="1"/>
  <c r="T677" i="4"/>
  <c r="C677" i="4" s="1"/>
  <c r="B677" i="4" s="1"/>
  <c r="J678" i="4"/>
  <c r="I678" i="4" s="1"/>
  <c r="T679" i="4"/>
  <c r="C679" i="4" s="1"/>
  <c r="B679" i="4" s="1"/>
  <c r="J680" i="4"/>
  <c r="I680" i="4" s="1"/>
  <c r="T681" i="4"/>
  <c r="C681" i="4" s="1"/>
  <c r="B681" i="4" s="1"/>
  <c r="J682" i="4"/>
  <c r="I682" i="4" s="1"/>
  <c r="T683" i="4"/>
  <c r="C683" i="4" s="1"/>
  <c r="B683" i="4" s="1"/>
  <c r="C685" i="4"/>
  <c r="B685" i="4" s="1"/>
  <c r="T685" i="4"/>
  <c r="J686" i="4"/>
  <c r="I686" i="4" s="1"/>
  <c r="T687" i="4"/>
  <c r="C687" i="4" s="1"/>
  <c r="B687" i="4" s="1"/>
  <c r="J688" i="4"/>
  <c r="I688" i="4" s="1"/>
  <c r="T689" i="4"/>
  <c r="C689" i="4" s="1"/>
  <c r="B689" i="4" s="1"/>
  <c r="J690" i="4"/>
  <c r="I690" i="4" s="1"/>
  <c r="T691" i="4"/>
  <c r="C691" i="4" s="1"/>
  <c r="B691" i="4" s="1"/>
  <c r="T693" i="4"/>
  <c r="C693" i="4" s="1"/>
  <c r="B693" i="4" s="1"/>
  <c r="J694" i="4"/>
  <c r="I694" i="4" s="1"/>
  <c r="T695" i="4"/>
  <c r="C695" i="4" s="1"/>
  <c r="B695" i="4" s="1"/>
  <c r="J696" i="4"/>
  <c r="I696" i="4" s="1"/>
  <c r="T697" i="4"/>
  <c r="C697" i="4" s="1"/>
  <c r="B697" i="4" s="1"/>
  <c r="J698" i="4"/>
  <c r="I698" i="4" s="1"/>
  <c r="T699" i="4"/>
  <c r="C699" i="4" s="1"/>
  <c r="B699" i="4" s="1"/>
  <c r="J700" i="4"/>
  <c r="I700" i="4" s="1"/>
  <c r="T701" i="4"/>
  <c r="C701" i="4" s="1"/>
  <c r="B701" i="4" s="1"/>
  <c r="J702" i="4"/>
  <c r="I702" i="4" s="1"/>
  <c r="T703" i="4"/>
  <c r="C703" i="4" s="1"/>
  <c r="B703" i="4" s="1"/>
  <c r="J704" i="4"/>
  <c r="I704" i="4" s="1"/>
  <c r="T705" i="4"/>
  <c r="C705" i="4" s="1"/>
  <c r="B705" i="4" s="1"/>
  <c r="J706" i="4"/>
  <c r="I706" i="4" s="1"/>
  <c r="T707" i="4"/>
  <c r="C707" i="4" s="1"/>
  <c r="B707" i="4" s="1"/>
  <c r="J708" i="4"/>
  <c r="I708" i="4" s="1"/>
  <c r="T709" i="4"/>
  <c r="C709" i="4" s="1"/>
  <c r="B709" i="4" s="1"/>
  <c r="J710" i="4"/>
  <c r="I710" i="4" s="1"/>
  <c r="T711" i="4"/>
  <c r="C711" i="4" s="1"/>
  <c r="B711" i="4" s="1"/>
  <c r="J712" i="4"/>
  <c r="I712" i="4" s="1"/>
  <c r="T713" i="4"/>
  <c r="C713" i="4" s="1"/>
  <c r="B713" i="4" s="1"/>
  <c r="J714" i="4"/>
  <c r="I714" i="4" s="1"/>
  <c r="T715" i="4"/>
  <c r="C715" i="4" s="1"/>
  <c r="B715" i="4" s="1"/>
  <c r="J716" i="4"/>
  <c r="I716" i="4" s="1"/>
  <c r="T717" i="4"/>
  <c r="C717" i="4" s="1"/>
  <c r="B717" i="4" s="1"/>
  <c r="J718" i="4"/>
  <c r="I718" i="4" s="1"/>
  <c r="T719" i="4"/>
  <c r="C719" i="4" s="1"/>
  <c r="B719" i="4" s="1"/>
  <c r="J720" i="4"/>
  <c r="I720" i="4" s="1"/>
  <c r="T721" i="4"/>
  <c r="C721" i="4" s="1"/>
  <c r="B721" i="4" s="1"/>
  <c r="T723" i="4"/>
  <c r="C723" i="4" s="1"/>
  <c r="B723" i="4" s="1"/>
  <c r="T725" i="4"/>
  <c r="C725" i="4" s="1"/>
  <c r="B725" i="4" s="1"/>
  <c r="T727" i="4"/>
  <c r="C727" i="4" s="1"/>
  <c r="B727" i="4" s="1"/>
  <c r="T729" i="4"/>
  <c r="C729" i="4" s="1"/>
  <c r="B729" i="4" s="1"/>
  <c r="T731" i="4"/>
  <c r="C731" i="4" s="1"/>
  <c r="B731" i="4" s="1"/>
  <c r="T733" i="4"/>
  <c r="C733" i="4" s="1"/>
  <c r="B733" i="4" s="1"/>
  <c r="T734" i="4"/>
  <c r="C734" i="4" s="1"/>
  <c r="B734" i="4" s="1"/>
  <c r="T735" i="4"/>
  <c r="C735" i="4" s="1"/>
  <c r="B735" i="4" s="1"/>
  <c r="T736" i="4"/>
  <c r="C736" i="4" s="1"/>
  <c r="B736" i="4" s="1"/>
  <c r="T737" i="4"/>
  <c r="C737" i="4" s="1"/>
  <c r="B737" i="4" s="1"/>
  <c r="T738" i="4"/>
  <c r="C738" i="4" s="1"/>
  <c r="B738" i="4" s="1"/>
  <c r="T739" i="4"/>
  <c r="C739" i="4" s="1"/>
  <c r="B739" i="4" s="1"/>
  <c r="J740" i="4"/>
  <c r="I740" i="4" s="1"/>
  <c r="T756" i="4"/>
  <c r="C756" i="4" s="1"/>
  <c r="B756" i="4" s="1"/>
  <c r="T757" i="4"/>
  <c r="C757" i="4" s="1"/>
  <c r="B757" i="4" s="1"/>
  <c r="T758" i="4"/>
  <c r="C758" i="4" s="1"/>
  <c r="B758" i="4" s="1"/>
  <c r="T759" i="4"/>
  <c r="C759" i="4" s="1"/>
  <c r="B759" i="4" s="1"/>
  <c r="C760" i="4"/>
  <c r="B760" i="4" s="1"/>
  <c r="T760" i="4"/>
  <c r="T761" i="4"/>
  <c r="C761" i="4" s="1"/>
  <c r="B761" i="4" s="1"/>
  <c r="C762" i="4"/>
  <c r="B762" i="4" s="1"/>
  <c r="T762" i="4"/>
  <c r="T763" i="4"/>
  <c r="C763" i="4" s="1"/>
  <c r="B763" i="4" s="1"/>
  <c r="J764" i="4"/>
  <c r="I764" i="4" s="1"/>
  <c r="T772" i="4"/>
  <c r="C772" i="4" s="1"/>
  <c r="B772" i="4" s="1"/>
  <c r="T773" i="4"/>
  <c r="C773" i="4" s="1"/>
  <c r="B773" i="4" s="1"/>
  <c r="T774" i="4"/>
  <c r="C774" i="4" s="1"/>
  <c r="B774" i="4" s="1"/>
  <c r="T775" i="4"/>
  <c r="C775" i="4" s="1"/>
  <c r="B775" i="4" s="1"/>
  <c r="T776" i="4"/>
  <c r="C776" i="4" s="1"/>
  <c r="B776" i="4" s="1"/>
  <c r="T777" i="4"/>
  <c r="C777" i="4" s="1"/>
  <c r="B777" i="4" s="1"/>
  <c r="T778" i="4"/>
  <c r="C778" i="4" s="1"/>
  <c r="B778" i="4" s="1"/>
  <c r="T779" i="4"/>
  <c r="C779" i="4" s="1"/>
  <c r="B779" i="4" s="1"/>
  <c r="J780" i="4"/>
  <c r="I780" i="4" s="1"/>
  <c r="T792" i="4"/>
  <c r="C792" i="4" s="1"/>
  <c r="B792" i="4" s="1"/>
  <c r="T793" i="4"/>
  <c r="C793" i="4" s="1"/>
  <c r="B793" i="4" s="1"/>
  <c r="T794" i="4"/>
  <c r="C794" i="4" s="1"/>
  <c r="B794" i="4" s="1"/>
  <c r="C795" i="4"/>
  <c r="B795" i="4" s="1"/>
  <c r="T795" i="4"/>
  <c r="T796" i="4"/>
  <c r="C796" i="4" s="1"/>
  <c r="B796" i="4" s="1"/>
  <c r="C797" i="4"/>
  <c r="B797" i="4" s="1"/>
  <c r="T797" i="4"/>
  <c r="T798" i="4"/>
  <c r="C798" i="4" s="1"/>
  <c r="B798" i="4" s="1"/>
  <c r="T799" i="4"/>
  <c r="C799" i="4" s="1"/>
  <c r="B799" i="4" s="1"/>
  <c r="J800" i="4"/>
  <c r="I800" i="4" s="1"/>
  <c r="T808" i="4"/>
  <c r="C808" i="4" s="1"/>
  <c r="B808" i="4" s="1"/>
  <c r="T809" i="4"/>
  <c r="C809" i="4" s="1"/>
  <c r="B809" i="4" s="1"/>
  <c r="T810" i="4"/>
  <c r="C810" i="4" s="1"/>
  <c r="B810" i="4" s="1"/>
  <c r="T811" i="4"/>
  <c r="C811" i="4" s="1"/>
  <c r="B811" i="4" s="1"/>
  <c r="T812" i="4"/>
  <c r="C812" i="4" s="1"/>
  <c r="B812" i="4" s="1"/>
  <c r="T813" i="4"/>
  <c r="C813" i="4" s="1"/>
  <c r="B813" i="4" s="1"/>
  <c r="T814" i="4"/>
  <c r="C814" i="4" s="1"/>
  <c r="B814" i="4" s="1"/>
  <c r="T815" i="4"/>
  <c r="C815" i="4" s="1"/>
  <c r="B815" i="4" s="1"/>
  <c r="J816" i="4"/>
  <c r="I816" i="4" s="1"/>
  <c r="T824" i="4"/>
  <c r="C824" i="4" s="1"/>
  <c r="B824" i="4" s="1"/>
  <c r="T825" i="4"/>
  <c r="C825" i="4" s="1"/>
  <c r="B825" i="4" s="1"/>
  <c r="T826" i="4"/>
  <c r="C826" i="4" s="1"/>
  <c r="B826" i="4" s="1"/>
  <c r="T827" i="4"/>
  <c r="C827" i="4" s="1"/>
  <c r="B827" i="4" s="1"/>
  <c r="C828" i="4"/>
  <c r="B828" i="4" s="1"/>
  <c r="T828" i="4"/>
  <c r="T829" i="4"/>
  <c r="C829" i="4" s="1"/>
  <c r="B829" i="4" s="1"/>
  <c r="C830" i="4"/>
  <c r="B830" i="4" s="1"/>
  <c r="T830" i="4"/>
  <c r="T831" i="4"/>
  <c r="C831" i="4" s="1"/>
  <c r="B831" i="4" s="1"/>
  <c r="J832" i="4"/>
  <c r="I832" i="4" s="1"/>
  <c r="T943" i="4"/>
  <c r="C943" i="4" s="1"/>
  <c r="B943" i="4" s="1"/>
  <c r="T945" i="4"/>
  <c r="C945" i="4" s="1"/>
  <c r="B945" i="4" s="1"/>
  <c r="T947" i="4"/>
  <c r="C947" i="4" s="1"/>
  <c r="B947" i="4" s="1"/>
  <c r="T949" i="4"/>
  <c r="C949" i="4" s="1"/>
  <c r="B949" i="4" s="1"/>
  <c r="T951" i="4"/>
  <c r="C951" i="4" s="1"/>
  <c r="B951" i="4" s="1"/>
  <c r="T953" i="4"/>
  <c r="C953" i="4" s="1"/>
  <c r="B953" i="4" s="1"/>
  <c r="T954" i="4"/>
  <c r="C954" i="4" s="1"/>
  <c r="B954" i="4" s="1"/>
  <c r="T955" i="4"/>
  <c r="C955" i="4" s="1"/>
  <c r="B955" i="4" s="1"/>
  <c r="T956" i="4"/>
  <c r="C956" i="4" s="1"/>
  <c r="B956" i="4" s="1"/>
  <c r="T957" i="4"/>
  <c r="C957" i="4" s="1"/>
  <c r="B957" i="4" s="1"/>
  <c r="J958" i="4"/>
  <c r="I958" i="4" s="1"/>
  <c r="T966" i="4"/>
  <c r="C966" i="4" s="1"/>
  <c r="B966" i="4" s="1"/>
  <c r="T967" i="4"/>
  <c r="C967" i="4" s="1"/>
  <c r="B967" i="4" s="1"/>
  <c r="T968" i="4"/>
  <c r="C968" i="4" s="1"/>
  <c r="B968" i="4" s="1"/>
  <c r="T969" i="4"/>
  <c r="C969" i="4" s="1"/>
  <c r="B969" i="4" s="1"/>
  <c r="C970" i="4"/>
  <c r="B970" i="4" s="1"/>
  <c r="T970" i="4"/>
  <c r="T971" i="4"/>
  <c r="C971" i="4" s="1"/>
  <c r="B971" i="4" s="1"/>
  <c r="C972" i="4"/>
  <c r="B972" i="4" s="1"/>
  <c r="T972" i="4"/>
  <c r="T973" i="4"/>
  <c r="C973" i="4" s="1"/>
  <c r="B973" i="4" s="1"/>
  <c r="J974" i="4"/>
  <c r="I974" i="4" s="1"/>
  <c r="T986" i="4"/>
  <c r="C986" i="4" s="1"/>
  <c r="B986" i="4" s="1"/>
  <c r="T987" i="4"/>
  <c r="C987" i="4" s="1"/>
  <c r="B987" i="4" s="1"/>
  <c r="T988" i="4"/>
  <c r="C988" i="4" s="1"/>
  <c r="B988" i="4" s="1"/>
  <c r="T989" i="4"/>
  <c r="C989" i="4" s="1"/>
  <c r="B989" i="4" s="1"/>
  <c r="T990" i="4"/>
  <c r="C990" i="4" s="1"/>
  <c r="B990" i="4" s="1"/>
  <c r="T991" i="4"/>
  <c r="C991" i="4" s="1"/>
  <c r="B991" i="4" s="1"/>
  <c r="T992" i="4"/>
  <c r="C992" i="4" s="1"/>
  <c r="B992" i="4" s="1"/>
  <c r="T993" i="4"/>
  <c r="C993" i="4" s="1"/>
  <c r="B993" i="4" s="1"/>
  <c r="J994" i="4"/>
  <c r="I994" i="4" s="1"/>
  <c r="T1004" i="4"/>
  <c r="C1004" i="4" s="1"/>
  <c r="B1004" i="4" s="1"/>
  <c r="J54" i="6"/>
  <c r="I54" i="6" s="1"/>
  <c r="T58" i="6"/>
  <c r="C58" i="6" s="1"/>
  <c r="B58" i="6" s="1"/>
  <c r="T60" i="6"/>
  <c r="C60" i="6" s="1"/>
  <c r="B60" i="6" s="1"/>
  <c r="J62" i="6"/>
  <c r="I62" i="6" s="1"/>
  <c r="T66" i="6"/>
  <c r="C66" i="6" s="1"/>
  <c r="B66" i="6" s="1"/>
  <c r="T68" i="6"/>
  <c r="C68" i="6" s="1"/>
  <c r="B68" i="6" s="1"/>
  <c r="J70" i="6"/>
  <c r="I70" i="6" s="1"/>
  <c r="T74" i="6"/>
  <c r="C74" i="6" s="1"/>
  <c r="B74" i="6" s="1"/>
  <c r="T76" i="6"/>
  <c r="C76" i="6" s="1"/>
  <c r="B76" i="6" s="1"/>
  <c r="J78" i="6"/>
  <c r="I78" i="6" s="1"/>
  <c r="C82" i="6"/>
  <c r="B82" i="6" s="1"/>
  <c r="T82" i="6"/>
  <c r="T84" i="6"/>
  <c r="C84" i="6" s="1"/>
  <c r="B84" i="6" s="1"/>
  <c r="J86" i="6"/>
  <c r="I86" i="6" s="1"/>
  <c r="T90" i="6"/>
  <c r="C90" i="6" s="1"/>
  <c r="B90" i="6" s="1"/>
  <c r="T92" i="6"/>
  <c r="C92" i="6" s="1"/>
  <c r="B92" i="6" s="1"/>
  <c r="J94" i="6"/>
  <c r="I94" i="6" s="1"/>
  <c r="C98" i="6"/>
  <c r="B98" i="6" s="1"/>
  <c r="T98" i="6"/>
  <c r="T100" i="6"/>
  <c r="C100" i="6" s="1"/>
  <c r="B100" i="6" s="1"/>
  <c r="J102" i="6"/>
  <c r="I102" i="6" s="1"/>
  <c r="T106" i="6"/>
  <c r="C106" i="6" s="1"/>
  <c r="B106" i="6" s="1"/>
  <c r="T108" i="6"/>
  <c r="C108" i="6" s="1"/>
  <c r="B108" i="6" s="1"/>
  <c r="J110" i="6"/>
  <c r="I110" i="6" s="1"/>
  <c r="T114" i="6"/>
  <c r="C114" i="6" s="1"/>
  <c r="B114" i="6" s="1"/>
  <c r="T116" i="6"/>
  <c r="C116" i="6" s="1"/>
  <c r="B116" i="6" s="1"/>
  <c r="J118" i="6"/>
  <c r="I118" i="6" s="1"/>
  <c r="T122" i="6"/>
  <c r="C122" i="6" s="1"/>
  <c r="B122" i="6" s="1"/>
  <c r="T124" i="6"/>
  <c r="C124" i="6" s="1"/>
  <c r="B124" i="6" s="1"/>
  <c r="J126" i="6"/>
  <c r="I126" i="6" s="1"/>
  <c r="T134" i="6"/>
  <c r="C134" i="6" s="1"/>
  <c r="B134" i="6" s="1"/>
  <c r="T136" i="6"/>
  <c r="C136" i="6" s="1"/>
  <c r="B136" i="6" s="1"/>
  <c r="J138" i="6"/>
  <c r="I138" i="6" s="1"/>
  <c r="T140" i="6"/>
  <c r="C140" i="6" s="1"/>
  <c r="B140" i="6" s="1"/>
  <c r="J142" i="6"/>
  <c r="I142" i="6" s="1"/>
  <c r="T150" i="6"/>
  <c r="C150" i="6" s="1"/>
  <c r="B150" i="6" s="1"/>
  <c r="T152" i="6"/>
  <c r="C152" i="6" s="1"/>
  <c r="B152" i="6" s="1"/>
  <c r="J154" i="6"/>
  <c r="I154" i="6" s="1"/>
  <c r="T156" i="6"/>
  <c r="C156" i="6" s="1"/>
  <c r="B156" i="6" s="1"/>
  <c r="J158" i="6"/>
  <c r="I158" i="6" s="1"/>
  <c r="C166" i="6"/>
  <c r="B166" i="6" s="1"/>
  <c r="T166" i="6"/>
  <c r="T168" i="6"/>
  <c r="C168" i="6" s="1"/>
  <c r="B168" i="6" s="1"/>
  <c r="J170" i="6"/>
  <c r="I170" i="6" s="1"/>
  <c r="R170" i="6" s="1"/>
  <c r="U170" i="6" s="1"/>
  <c r="T172" i="6"/>
  <c r="C172" i="6" s="1"/>
  <c r="B172" i="6" s="1"/>
  <c r="J174" i="6"/>
  <c r="I174" i="6" s="1"/>
  <c r="T182" i="6"/>
  <c r="C182" i="6" s="1"/>
  <c r="B182" i="6" s="1"/>
  <c r="T184" i="6"/>
  <c r="C184" i="6" s="1"/>
  <c r="B184" i="6" s="1"/>
  <c r="J186" i="6"/>
  <c r="I186" i="6" s="1"/>
  <c r="T188" i="6"/>
  <c r="C188" i="6" s="1"/>
  <c r="B188" i="6" s="1"/>
  <c r="J190" i="6"/>
  <c r="I190" i="6" s="1"/>
  <c r="C198" i="6"/>
  <c r="B198" i="6" s="1"/>
  <c r="T198" i="6"/>
  <c r="T200" i="6"/>
  <c r="C200" i="6" s="1"/>
  <c r="B200" i="6" s="1"/>
  <c r="J202" i="6"/>
  <c r="I202" i="6" s="1"/>
  <c r="T204" i="6"/>
  <c r="C204" i="6" s="1"/>
  <c r="B204" i="6" s="1"/>
  <c r="J206" i="6"/>
  <c r="I206" i="6" s="1"/>
  <c r="T214" i="6"/>
  <c r="C214" i="6" s="1"/>
  <c r="B214" i="6" s="1"/>
  <c r="T216" i="6"/>
  <c r="C216" i="6" s="1"/>
  <c r="B216" i="6" s="1"/>
  <c r="J218" i="6"/>
  <c r="I218" i="6" s="1"/>
  <c r="R218" i="6" s="1"/>
  <c r="U218" i="6" s="1"/>
  <c r="T220" i="6"/>
  <c r="C220" i="6" s="1"/>
  <c r="B220" i="6" s="1"/>
  <c r="J222" i="6"/>
  <c r="I222" i="6" s="1"/>
  <c r="T232" i="6"/>
  <c r="C232" i="6" s="1"/>
  <c r="B232" i="6" s="1"/>
  <c r="J234" i="6"/>
  <c r="I234" i="6" s="1"/>
  <c r="T235" i="6"/>
  <c r="C235" i="6" s="1"/>
  <c r="B235" i="6" s="1"/>
  <c r="T241" i="6"/>
  <c r="C241" i="6" s="1"/>
  <c r="B241" i="6" s="1"/>
  <c r="J242" i="6"/>
  <c r="I242" i="6" s="1"/>
  <c r="T243" i="6"/>
  <c r="C243" i="6" s="1"/>
  <c r="B243" i="6" s="1"/>
  <c r="T249" i="6"/>
  <c r="C249" i="6" s="1"/>
  <c r="B249" i="6" s="1"/>
  <c r="J250" i="6"/>
  <c r="I250" i="6" s="1"/>
  <c r="T251" i="6"/>
  <c r="C251" i="6" s="1"/>
  <c r="B251" i="6" s="1"/>
  <c r="T257" i="6"/>
  <c r="C257" i="6" s="1"/>
  <c r="B257" i="6" s="1"/>
  <c r="J258" i="6"/>
  <c r="I258" i="6" s="1"/>
  <c r="T259" i="6"/>
  <c r="C259" i="6" s="1"/>
  <c r="B259" i="6" s="1"/>
  <c r="C265" i="6"/>
  <c r="B265" i="6" s="1"/>
  <c r="T265" i="6"/>
  <c r="J266" i="6"/>
  <c r="I266" i="6" s="1"/>
  <c r="T267" i="6"/>
  <c r="C267" i="6" s="1"/>
  <c r="B267" i="6" s="1"/>
  <c r="T273" i="6"/>
  <c r="C273" i="6" s="1"/>
  <c r="B273" i="6" s="1"/>
  <c r="J274" i="6"/>
  <c r="I274" i="6" s="1"/>
  <c r="T275" i="6"/>
  <c r="C275" i="6" s="1"/>
  <c r="B275" i="6" s="1"/>
  <c r="C281" i="6"/>
  <c r="B281" i="6" s="1"/>
  <c r="T281" i="6"/>
  <c r="J282" i="6"/>
  <c r="I282" i="6" s="1"/>
  <c r="T283" i="6"/>
  <c r="C283" i="6" s="1"/>
  <c r="B283" i="6" s="1"/>
  <c r="T289" i="6"/>
  <c r="C289" i="6" s="1"/>
  <c r="B289" i="6" s="1"/>
  <c r="J290" i="6"/>
  <c r="I290" i="6" s="1"/>
  <c r="T291" i="6"/>
  <c r="C291" i="6" s="1"/>
  <c r="B291" i="6" s="1"/>
  <c r="T297" i="6"/>
  <c r="C297" i="6" s="1"/>
  <c r="B297" i="6" s="1"/>
  <c r="J298" i="6"/>
  <c r="I298" i="6" s="1"/>
  <c r="T299" i="6"/>
  <c r="C299" i="6" s="1"/>
  <c r="B299" i="6" s="1"/>
  <c r="T305" i="6"/>
  <c r="C305" i="6" s="1"/>
  <c r="B305" i="6" s="1"/>
  <c r="J306" i="6"/>
  <c r="I306" i="6" s="1"/>
  <c r="T307" i="6"/>
  <c r="C307" i="6" s="1"/>
  <c r="B307" i="6" s="1"/>
  <c r="T313" i="6"/>
  <c r="C313" i="6" s="1"/>
  <c r="B313" i="6" s="1"/>
  <c r="J314" i="6"/>
  <c r="I314" i="6" s="1"/>
  <c r="R314" i="6" s="1"/>
  <c r="U314" i="6" s="1"/>
  <c r="T315" i="6"/>
  <c r="C315" i="6" s="1"/>
  <c r="B315" i="6" s="1"/>
  <c r="T321" i="6"/>
  <c r="C321" i="6" s="1"/>
  <c r="B321" i="6" s="1"/>
  <c r="J322" i="6"/>
  <c r="I322" i="6" s="1"/>
  <c r="T323" i="6"/>
  <c r="C323" i="6" s="1"/>
  <c r="B323" i="6" s="1"/>
  <c r="T329" i="6"/>
  <c r="C329" i="6" s="1"/>
  <c r="B329" i="6" s="1"/>
  <c r="J330" i="6"/>
  <c r="I330" i="6" s="1"/>
  <c r="T331" i="6"/>
  <c r="C331" i="6" s="1"/>
  <c r="B331" i="6" s="1"/>
  <c r="T337" i="6"/>
  <c r="C337" i="6" s="1"/>
  <c r="B337" i="6" s="1"/>
  <c r="J338" i="6"/>
  <c r="I338" i="6" s="1"/>
  <c r="T339" i="6"/>
  <c r="C339" i="6" s="1"/>
  <c r="B339" i="6" s="1"/>
  <c r="C345" i="6"/>
  <c r="B345" i="6" s="1"/>
  <c r="T345" i="6"/>
  <c r="J346" i="6"/>
  <c r="I346" i="6" s="1"/>
  <c r="T347" i="6"/>
  <c r="C347" i="6" s="1"/>
  <c r="B347" i="6" s="1"/>
  <c r="T350" i="6"/>
  <c r="C350" i="6" s="1"/>
  <c r="B350" i="6" s="1"/>
  <c r="T351" i="6"/>
  <c r="C351" i="6" s="1"/>
  <c r="B351" i="6" s="1"/>
  <c r="J352" i="6"/>
  <c r="I352" i="6" s="1"/>
  <c r="T354" i="6"/>
  <c r="C354" i="6" s="1"/>
  <c r="B354" i="6" s="1"/>
  <c r="T355" i="6"/>
  <c r="C355" i="6" s="1"/>
  <c r="B355" i="6" s="1"/>
  <c r="J356" i="6"/>
  <c r="I356" i="6" s="1"/>
  <c r="T358" i="6"/>
  <c r="C358" i="6" s="1"/>
  <c r="B358" i="6" s="1"/>
  <c r="T359" i="6"/>
  <c r="C359" i="6" s="1"/>
  <c r="B359" i="6" s="1"/>
  <c r="J360" i="6"/>
  <c r="I360" i="6" s="1"/>
  <c r="T362" i="6"/>
  <c r="C362" i="6" s="1"/>
  <c r="B362" i="6" s="1"/>
  <c r="T363" i="6"/>
  <c r="C363" i="6" s="1"/>
  <c r="B363" i="6" s="1"/>
  <c r="J364" i="6"/>
  <c r="I364" i="6" s="1"/>
  <c r="T366" i="6"/>
  <c r="C366" i="6" s="1"/>
  <c r="B366" i="6" s="1"/>
  <c r="T367" i="6"/>
  <c r="C367" i="6" s="1"/>
  <c r="B367" i="6" s="1"/>
  <c r="J368" i="6"/>
  <c r="I368" i="6" s="1"/>
  <c r="T370" i="6"/>
  <c r="C370" i="6" s="1"/>
  <c r="B370" i="6" s="1"/>
  <c r="T371" i="6"/>
  <c r="C371" i="6" s="1"/>
  <c r="B371" i="6" s="1"/>
  <c r="J372" i="6"/>
  <c r="I372" i="6" s="1"/>
  <c r="T374" i="6"/>
  <c r="C374" i="6" s="1"/>
  <c r="B374" i="6" s="1"/>
  <c r="T375" i="6"/>
  <c r="C375" i="6" s="1"/>
  <c r="B375" i="6" s="1"/>
  <c r="J376" i="6"/>
  <c r="I376" i="6" s="1"/>
  <c r="T378" i="6"/>
  <c r="C378" i="6" s="1"/>
  <c r="B378" i="6" s="1"/>
  <c r="T379" i="6"/>
  <c r="C379" i="6" s="1"/>
  <c r="B379" i="6" s="1"/>
  <c r="J380" i="6"/>
  <c r="I380" i="6" s="1"/>
  <c r="T382" i="6"/>
  <c r="C382" i="6" s="1"/>
  <c r="B382" i="6" s="1"/>
  <c r="T383" i="6"/>
  <c r="C383" i="6" s="1"/>
  <c r="B383" i="6" s="1"/>
  <c r="J384" i="6"/>
  <c r="I384" i="6" s="1"/>
  <c r="T386" i="6"/>
  <c r="C386" i="6" s="1"/>
  <c r="B386" i="6" s="1"/>
  <c r="T387" i="6"/>
  <c r="C387" i="6" s="1"/>
  <c r="B387" i="6" s="1"/>
  <c r="J388" i="6"/>
  <c r="I388" i="6" s="1"/>
  <c r="T390" i="6"/>
  <c r="C390" i="6" s="1"/>
  <c r="B390" i="6" s="1"/>
  <c r="T391" i="6"/>
  <c r="C391" i="6" s="1"/>
  <c r="B391" i="6" s="1"/>
  <c r="J392" i="6"/>
  <c r="I392" i="6" s="1"/>
  <c r="T394" i="6"/>
  <c r="C394" i="6" s="1"/>
  <c r="B394" i="6" s="1"/>
  <c r="T395" i="6"/>
  <c r="C395" i="6" s="1"/>
  <c r="B395" i="6" s="1"/>
  <c r="J396" i="6"/>
  <c r="I396" i="6" s="1"/>
  <c r="T398" i="6"/>
  <c r="C398" i="6" s="1"/>
  <c r="B398" i="6" s="1"/>
  <c r="T399" i="6"/>
  <c r="C399" i="6" s="1"/>
  <c r="B399" i="6" s="1"/>
  <c r="J400" i="6"/>
  <c r="I400" i="6" s="1"/>
  <c r="T402" i="6"/>
  <c r="C402" i="6" s="1"/>
  <c r="B402" i="6" s="1"/>
  <c r="T403" i="6"/>
  <c r="C403" i="6" s="1"/>
  <c r="B403" i="6" s="1"/>
  <c r="J404" i="6"/>
  <c r="I404" i="6" s="1"/>
  <c r="T406" i="6"/>
  <c r="C406" i="6" s="1"/>
  <c r="B406" i="6" s="1"/>
  <c r="T407" i="6"/>
  <c r="C407" i="6" s="1"/>
  <c r="B407" i="6" s="1"/>
  <c r="J408" i="6"/>
  <c r="I408" i="6" s="1"/>
  <c r="T410" i="6"/>
  <c r="C410" i="6" s="1"/>
  <c r="B410" i="6" s="1"/>
  <c r="T411" i="6"/>
  <c r="C411" i="6" s="1"/>
  <c r="B411" i="6" s="1"/>
  <c r="J412" i="6"/>
  <c r="I412" i="6" s="1"/>
  <c r="T414" i="6"/>
  <c r="C414" i="6" s="1"/>
  <c r="B414" i="6" s="1"/>
  <c r="T415" i="6"/>
  <c r="C415" i="6" s="1"/>
  <c r="B415" i="6" s="1"/>
  <c r="J416" i="6"/>
  <c r="I416" i="6" s="1"/>
  <c r="T418" i="6"/>
  <c r="C418" i="6" s="1"/>
  <c r="B418" i="6" s="1"/>
  <c r="T419" i="6"/>
  <c r="C419" i="6" s="1"/>
  <c r="B419" i="6" s="1"/>
  <c r="J420" i="6"/>
  <c r="I420" i="6" s="1"/>
  <c r="T422" i="6"/>
  <c r="C422" i="6" s="1"/>
  <c r="B422" i="6" s="1"/>
  <c r="T423" i="6"/>
  <c r="C423" i="6" s="1"/>
  <c r="B423" i="6" s="1"/>
  <c r="J424" i="6"/>
  <c r="I424" i="6" s="1"/>
  <c r="T426" i="6"/>
  <c r="C426" i="6" s="1"/>
  <c r="B426" i="6" s="1"/>
  <c r="T427" i="6"/>
  <c r="C427" i="6" s="1"/>
  <c r="B427" i="6" s="1"/>
  <c r="J428" i="6"/>
  <c r="I428" i="6" s="1"/>
  <c r="T430" i="6"/>
  <c r="C430" i="6" s="1"/>
  <c r="B430" i="6" s="1"/>
  <c r="T431" i="6"/>
  <c r="C431" i="6" s="1"/>
  <c r="B431" i="6" s="1"/>
  <c r="J432" i="6"/>
  <c r="I432" i="6" s="1"/>
  <c r="T434" i="6"/>
  <c r="C434" i="6" s="1"/>
  <c r="B434" i="6" s="1"/>
  <c r="T435" i="6"/>
  <c r="C435" i="6" s="1"/>
  <c r="B435" i="6" s="1"/>
  <c r="J436" i="6"/>
  <c r="I436" i="6" s="1"/>
  <c r="T438" i="6"/>
  <c r="C438" i="6" s="1"/>
  <c r="B438" i="6" s="1"/>
  <c r="T439" i="6"/>
  <c r="C439" i="6" s="1"/>
  <c r="B439" i="6" s="1"/>
  <c r="J440" i="6"/>
  <c r="I440" i="6" s="1"/>
  <c r="T442" i="6"/>
  <c r="C442" i="6" s="1"/>
  <c r="B442" i="6" s="1"/>
  <c r="T443" i="6"/>
  <c r="C443" i="6" s="1"/>
  <c r="B443" i="6" s="1"/>
  <c r="J444" i="6"/>
  <c r="I444" i="6" s="1"/>
  <c r="T446" i="6"/>
  <c r="C446" i="6" s="1"/>
  <c r="B446" i="6" s="1"/>
  <c r="T447" i="6"/>
  <c r="C447" i="6" s="1"/>
  <c r="B447" i="6" s="1"/>
  <c r="J448" i="6"/>
  <c r="I448" i="6" s="1"/>
  <c r="T450" i="6"/>
  <c r="C450" i="6" s="1"/>
  <c r="B450" i="6" s="1"/>
  <c r="T451" i="6"/>
  <c r="C451" i="6" s="1"/>
  <c r="B451" i="6" s="1"/>
  <c r="J452" i="6"/>
  <c r="I452" i="6" s="1"/>
  <c r="T454" i="6"/>
  <c r="C454" i="6" s="1"/>
  <c r="B454" i="6" s="1"/>
  <c r="T455" i="6"/>
  <c r="C455" i="6" s="1"/>
  <c r="B455" i="6" s="1"/>
  <c r="J456" i="6"/>
  <c r="I456" i="6" s="1"/>
  <c r="T458" i="6"/>
  <c r="C458" i="6" s="1"/>
  <c r="B458" i="6" s="1"/>
  <c r="T459" i="6"/>
  <c r="C459" i="6" s="1"/>
  <c r="B459" i="6" s="1"/>
  <c r="J460" i="6"/>
  <c r="I460" i="6" s="1"/>
  <c r="T462" i="6"/>
  <c r="C462" i="6" s="1"/>
  <c r="B462" i="6" s="1"/>
  <c r="T463" i="6"/>
  <c r="C463" i="6" s="1"/>
  <c r="B463" i="6" s="1"/>
  <c r="J464" i="6"/>
  <c r="I464" i="6" s="1"/>
  <c r="T466" i="6"/>
  <c r="C466" i="6" s="1"/>
  <c r="B466" i="6" s="1"/>
  <c r="T467" i="6"/>
  <c r="C467" i="6" s="1"/>
  <c r="B467" i="6" s="1"/>
  <c r="J468" i="6"/>
  <c r="I468" i="6" s="1"/>
  <c r="T470" i="6"/>
  <c r="C470" i="6" s="1"/>
  <c r="B470" i="6" s="1"/>
  <c r="T471" i="6"/>
  <c r="C471" i="6" s="1"/>
  <c r="B471" i="6" s="1"/>
  <c r="J472" i="6"/>
  <c r="I472" i="6" s="1"/>
  <c r="T474" i="6"/>
  <c r="C474" i="6" s="1"/>
  <c r="B474" i="6" s="1"/>
  <c r="T475" i="6"/>
  <c r="C475" i="6" s="1"/>
  <c r="B475" i="6" s="1"/>
  <c r="J476" i="6"/>
  <c r="I476" i="6" s="1"/>
  <c r="T478" i="6"/>
  <c r="C478" i="6" s="1"/>
  <c r="B478" i="6" s="1"/>
  <c r="T479" i="6"/>
  <c r="C479" i="6" s="1"/>
  <c r="B479" i="6" s="1"/>
  <c r="J480" i="6"/>
  <c r="I480" i="6" s="1"/>
  <c r="T482" i="6"/>
  <c r="C482" i="6" s="1"/>
  <c r="B482" i="6" s="1"/>
  <c r="T483" i="6"/>
  <c r="C483" i="6" s="1"/>
  <c r="B483" i="6" s="1"/>
  <c r="J484" i="6"/>
  <c r="I484" i="6" s="1"/>
  <c r="T486" i="6"/>
  <c r="C486" i="6" s="1"/>
  <c r="B486" i="6" s="1"/>
  <c r="T487" i="6"/>
  <c r="C487" i="6" s="1"/>
  <c r="B487" i="6" s="1"/>
  <c r="J488" i="6"/>
  <c r="I488" i="6" s="1"/>
  <c r="T490" i="6"/>
  <c r="C490" i="6" s="1"/>
  <c r="B490" i="6" s="1"/>
  <c r="T491" i="6"/>
  <c r="C491" i="6" s="1"/>
  <c r="B491" i="6" s="1"/>
  <c r="J492" i="6"/>
  <c r="I492" i="6" s="1"/>
  <c r="T495" i="6"/>
  <c r="C495" i="6" s="1"/>
  <c r="B495" i="6" s="1"/>
  <c r="J496" i="6"/>
  <c r="I496" i="6" s="1"/>
  <c r="T497" i="6"/>
  <c r="C497" i="6" s="1"/>
  <c r="B497" i="6" s="1"/>
  <c r="T503" i="6"/>
  <c r="C503" i="6" s="1"/>
  <c r="B503" i="6" s="1"/>
  <c r="J504" i="6"/>
  <c r="I504" i="6" s="1"/>
  <c r="T505" i="6"/>
  <c r="C505" i="6" s="1"/>
  <c r="B505" i="6" s="1"/>
  <c r="T511" i="6"/>
  <c r="C511" i="6" s="1"/>
  <c r="B511" i="6" s="1"/>
  <c r="J512" i="6"/>
  <c r="I512" i="6" s="1"/>
  <c r="T513" i="6"/>
  <c r="C513" i="6" s="1"/>
  <c r="B513" i="6" s="1"/>
  <c r="T519" i="6"/>
  <c r="C519" i="6" s="1"/>
  <c r="B519" i="6" s="1"/>
  <c r="J520" i="6"/>
  <c r="I520" i="6" s="1"/>
  <c r="T521" i="6"/>
  <c r="C521" i="6" s="1"/>
  <c r="B521" i="6" s="1"/>
  <c r="T527" i="6"/>
  <c r="C527" i="6" s="1"/>
  <c r="B527" i="6" s="1"/>
  <c r="J528" i="6"/>
  <c r="I528" i="6" s="1"/>
  <c r="T529" i="6"/>
  <c r="C529" i="6" s="1"/>
  <c r="B529" i="6" s="1"/>
  <c r="T535" i="6"/>
  <c r="C535" i="6" s="1"/>
  <c r="B535" i="6" s="1"/>
  <c r="J536" i="6"/>
  <c r="I536" i="6" s="1"/>
  <c r="T537" i="6"/>
  <c r="C537" i="6" s="1"/>
  <c r="B537" i="6" s="1"/>
  <c r="T543" i="6"/>
  <c r="C543" i="6" s="1"/>
  <c r="B543" i="6" s="1"/>
  <c r="J544" i="6"/>
  <c r="I544" i="6" s="1"/>
  <c r="T545" i="6"/>
  <c r="C545" i="6" s="1"/>
  <c r="B545" i="6" s="1"/>
  <c r="C551" i="6"/>
  <c r="B551" i="6" s="1"/>
  <c r="T551" i="6"/>
  <c r="J552" i="6"/>
  <c r="I552" i="6" s="1"/>
  <c r="T553" i="6"/>
  <c r="C553" i="6" s="1"/>
  <c r="B553" i="6" s="1"/>
  <c r="T559" i="6"/>
  <c r="C559" i="6" s="1"/>
  <c r="B559" i="6" s="1"/>
  <c r="J560" i="6"/>
  <c r="I560" i="6" s="1"/>
  <c r="T561" i="6"/>
  <c r="C561" i="6" s="1"/>
  <c r="B561" i="6" s="1"/>
  <c r="T567" i="6"/>
  <c r="C567" i="6" s="1"/>
  <c r="B567" i="6" s="1"/>
  <c r="J568" i="6"/>
  <c r="I568" i="6" s="1"/>
  <c r="T569" i="6"/>
  <c r="C569" i="6" s="1"/>
  <c r="B569" i="6" s="1"/>
  <c r="T575" i="6"/>
  <c r="C575" i="6" s="1"/>
  <c r="B575" i="6" s="1"/>
  <c r="J576" i="6"/>
  <c r="I576" i="6" s="1"/>
  <c r="T577" i="6"/>
  <c r="C577" i="6" s="1"/>
  <c r="B577" i="6" s="1"/>
  <c r="T583" i="6"/>
  <c r="C583" i="6" s="1"/>
  <c r="B583" i="6" s="1"/>
  <c r="J584" i="6"/>
  <c r="I584" i="6" s="1"/>
  <c r="T585" i="6"/>
  <c r="C585" i="6" s="1"/>
  <c r="B585" i="6" s="1"/>
  <c r="T591" i="6"/>
  <c r="C591" i="6" s="1"/>
  <c r="B591" i="6" s="1"/>
  <c r="J592" i="6"/>
  <c r="I592" i="6" s="1"/>
  <c r="T593" i="6"/>
  <c r="C593" i="6" s="1"/>
  <c r="B593" i="6" s="1"/>
  <c r="T599" i="6"/>
  <c r="C599" i="6" s="1"/>
  <c r="B599" i="6" s="1"/>
  <c r="J600" i="6"/>
  <c r="I600" i="6" s="1"/>
  <c r="T601" i="6"/>
  <c r="C601" i="6" s="1"/>
  <c r="B601" i="6" s="1"/>
  <c r="J602" i="6"/>
  <c r="I602" i="6" s="1"/>
  <c r="T604" i="6"/>
  <c r="C604" i="6" s="1"/>
  <c r="B604" i="6" s="1"/>
  <c r="T605" i="6"/>
  <c r="C605" i="6" s="1"/>
  <c r="B605" i="6" s="1"/>
  <c r="J606" i="6"/>
  <c r="I606" i="6" s="1"/>
  <c r="T608" i="6"/>
  <c r="C608" i="6" s="1"/>
  <c r="B608" i="6" s="1"/>
  <c r="T609" i="6"/>
  <c r="C609" i="6" s="1"/>
  <c r="B609" i="6" s="1"/>
  <c r="J610" i="6"/>
  <c r="I610" i="6" s="1"/>
  <c r="T612" i="6"/>
  <c r="C612" i="6" s="1"/>
  <c r="B612" i="6" s="1"/>
  <c r="T613" i="6"/>
  <c r="C613" i="6" s="1"/>
  <c r="B613" i="6" s="1"/>
  <c r="J614" i="6"/>
  <c r="I614" i="6" s="1"/>
  <c r="T616" i="6"/>
  <c r="C616" i="6" s="1"/>
  <c r="B616" i="6" s="1"/>
  <c r="T617" i="6"/>
  <c r="C617" i="6" s="1"/>
  <c r="B617" i="6" s="1"/>
  <c r="J618" i="6"/>
  <c r="I618" i="6" s="1"/>
  <c r="T620" i="6"/>
  <c r="C620" i="6" s="1"/>
  <c r="B620" i="6" s="1"/>
  <c r="T621" i="6"/>
  <c r="C621" i="6" s="1"/>
  <c r="B621" i="6" s="1"/>
  <c r="J622" i="6"/>
  <c r="I622" i="6" s="1"/>
  <c r="T624" i="6"/>
  <c r="C624" i="6" s="1"/>
  <c r="B624" i="6" s="1"/>
  <c r="T625" i="6"/>
  <c r="C625" i="6" s="1"/>
  <c r="B625" i="6" s="1"/>
  <c r="J626" i="6"/>
  <c r="I626" i="6" s="1"/>
  <c r="T628" i="6"/>
  <c r="C628" i="6" s="1"/>
  <c r="B628" i="6" s="1"/>
  <c r="T629" i="6"/>
  <c r="C629" i="6" s="1"/>
  <c r="B629" i="6" s="1"/>
  <c r="J630" i="6"/>
  <c r="I630" i="6" s="1"/>
  <c r="T632" i="6"/>
  <c r="C632" i="6" s="1"/>
  <c r="B632" i="6" s="1"/>
  <c r="T633" i="6"/>
  <c r="C633" i="6" s="1"/>
  <c r="B633" i="6" s="1"/>
  <c r="J634" i="6"/>
  <c r="I634" i="6" s="1"/>
  <c r="T636" i="6"/>
  <c r="C636" i="6" s="1"/>
  <c r="B636" i="6" s="1"/>
  <c r="T637" i="6"/>
  <c r="C637" i="6" s="1"/>
  <c r="B637" i="6" s="1"/>
  <c r="J638" i="6"/>
  <c r="I638" i="6" s="1"/>
  <c r="T640" i="6"/>
  <c r="C640" i="6" s="1"/>
  <c r="B640" i="6" s="1"/>
  <c r="T641" i="6"/>
  <c r="C641" i="6" s="1"/>
  <c r="B641" i="6" s="1"/>
  <c r="J642" i="6"/>
  <c r="I642" i="6" s="1"/>
  <c r="T644" i="6"/>
  <c r="C644" i="6" s="1"/>
  <c r="B644" i="6" s="1"/>
  <c r="T645" i="6"/>
  <c r="C645" i="6" s="1"/>
  <c r="B645" i="6" s="1"/>
  <c r="J646" i="6"/>
  <c r="I646" i="6" s="1"/>
  <c r="T648" i="6"/>
  <c r="C648" i="6" s="1"/>
  <c r="B648" i="6" s="1"/>
  <c r="T649" i="6"/>
  <c r="C649" i="6" s="1"/>
  <c r="B649" i="6" s="1"/>
  <c r="J650" i="6"/>
  <c r="I650" i="6" s="1"/>
  <c r="T652" i="6"/>
  <c r="C652" i="6" s="1"/>
  <c r="B652" i="6" s="1"/>
  <c r="T653" i="6"/>
  <c r="C653" i="6" s="1"/>
  <c r="B653" i="6" s="1"/>
  <c r="J654" i="6"/>
  <c r="I654" i="6" s="1"/>
  <c r="T656" i="6"/>
  <c r="C656" i="6" s="1"/>
  <c r="B656" i="6" s="1"/>
  <c r="T657" i="6"/>
  <c r="C657" i="6" s="1"/>
  <c r="B657" i="6" s="1"/>
  <c r="J658" i="6"/>
  <c r="I658" i="6" s="1"/>
  <c r="T660" i="6"/>
  <c r="C660" i="6" s="1"/>
  <c r="B660" i="6" s="1"/>
  <c r="T661" i="6"/>
  <c r="C661" i="6" s="1"/>
  <c r="B661" i="6" s="1"/>
  <c r="J662" i="6"/>
  <c r="I662" i="6" s="1"/>
  <c r="T664" i="6"/>
  <c r="C664" i="6" s="1"/>
  <c r="B664" i="6" s="1"/>
  <c r="T665" i="6"/>
  <c r="C665" i="6" s="1"/>
  <c r="B665" i="6" s="1"/>
  <c r="J666" i="6"/>
  <c r="I666" i="6" s="1"/>
  <c r="T668" i="6"/>
  <c r="C668" i="6" s="1"/>
  <c r="B668" i="6" s="1"/>
  <c r="T669" i="6"/>
  <c r="C669" i="6" s="1"/>
  <c r="B669" i="6" s="1"/>
  <c r="J670" i="6"/>
  <c r="I670" i="6" s="1"/>
  <c r="T672" i="6"/>
  <c r="C672" i="6" s="1"/>
  <c r="B672" i="6" s="1"/>
  <c r="T673" i="6"/>
  <c r="C673" i="6" s="1"/>
  <c r="B673" i="6" s="1"/>
  <c r="J674" i="6"/>
  <c r="I674" i="6" s="1"/>
  <c r="T676" i="6"/>
  <c r="C676" i="6" s="1"/>
  <c r="B676" i="6" s="1"/>
  <c r="T677" i="6"/>
  <c r="C677" i="6" s="1"/>
  <c r="B677" i="6" s="1"/>
  <c r="J678" i="6"/>
  <c r="I678" i="6" s="1"/>
  <c r="T680" i="6"/>
  <c r="C680" i="6" s="1"/>
  <c r="B680" i="6" s="1"/>
  <c r="T681" i="6"/>
  <c r="C681" i="6" s="1"/>
  <c r="B681" i="6" s="1"/>
  <c r="J682" i="6"/>
  <c r="I682" i="6" s="1"/>
  <c r="T684" i="6"/>
  <c r="C684" i="6" s="1"/>
  <c r="B684" i="6" s="1"/>
  <c r="T685" i="6"/>
  <c r="C685" i="6" s="1"/>
  <c r="B685" i="6" s="1"/>
  <c r="J686" i="6"/>
  <c r="I686" i="6" s="1"/>
  <c r="T688" i="6"/>
  <c r="C688" i="6" s="1"/>
  <c r="B688" i="6" s="1"/>
  <c r="T689" i="6"/>
  <c r="C689" i="6" s="1"/>
  <c r="B689" i="6" s="1"/>
  <c r="J690" i="6"/>
  <c r="I690" i="6" s="1"/>
  <c r="T692" i="6"/>
  <c r="C692" i="6" s="1"/>
  <c r="B692" i="6" s="1"/>
  <c r="T693" i="6"/>
  <c r="C693" i="6" s="1"/>
  <c r="B693" i="6" s="1"/>
  <c r="J694" i="6"/>
  <c r="I694" i="6" s="1"/>
  <c r="T696" i="6"/>
  <c r="C696" i="6" s="1"/>
  <c r="B696" i="6" s="1"/>
  <c r="T697" i="6"/>
  <c r="C697" i="6" s="1"/>
  <c r="B697" i="6" s="1"/>
  <c r="J698" i="6"/>
  <c r="I698" i="6" s="1"/>
  <c r="T700" i="6"/>
  <c r="C700" i="6" s="1"/>
  <c r="B700" i="6" s="1"/>
  <c r="T701" i="6"/>
  <c r="C701" i="6" s="1"/>
  <c r="B701" i="6" s="1"/>
  <c r="J702" i="6"/>
  <c r="I702" i="6" s="1"/>
  <c r="T704" i="6"/>
  <c r="C704" i="6" s="1"/>
  <c r="B704" i="6" s="1"/>
  <c r="T705" i="6"/>
  <c r="C705" i="6" s="1"/>
  <c r="B705" i="6" s="1"/>
  <c r="J706" i="6"/>
  <c r="I706" i="6" s="1"/>
  <c r="T708" i="6"/>
  <c r="C708" i="6" s="1"/>
  <c r="B708" i="6" s="1"/>
  <c r="T709" i="6"/>
  <c r="C709" i="6" s="1"/>
  <c r="B709" i="6" s="1"/>
  <c r="J710" i="6"/>
  <c r="I710" i="6" s="1"/>
  <c r="T712" i="6"/>
  <c r="C712" i="6" s="1"/>
  <c r="B712" i="6" s="1"/>
  <c r="T713" i="6"/>
  <c r="C713" i="6" s="1"/>
  <c r="B713" i="6" s="1"/>
  <c r="J714" i="6"/>
  <c r="I714" i="6" s="1"/>
  <c r="T716" i="6"/>
  <c r="C716" i="6" s="1"/>
  <c r="B716" i="6" s="1"/>
  <c r="T717" i="6"/>
  <c r="C717" i="6" s="1"/>
  <c r="B717" i="6" s="1"/>
  <c r="J718" i="6"/>
  <c r="I718" i="6" s="1"/>
  <c r="T720" i="6"/>
  <c r="C720" i="6" s="1"/>
  <c r="B720" i="6" s="1"/>
  <c r="T721" i="6"/>
  <c r="C721" i="6" s="1"/>
  <c r="B721" i="6" s="1"/>
  <c r="J722" i="6"/>
  <c r="I722" i="6" s="1"/>
  <c r="T724" i="6"/>
  <c r="C724" i="6" s="1"/>
  <c r="B724" i="6" s="1"/>
  <c r="T725" i="6"/>
  <c r="C725" i="6" s="1"/>
  <c r="B725" i="6" s="1"/>
  <c r="J726" i="6"/>
  <c r="I726" i="6" s="1"/>
  <c r="T728" i="6"/>
  <c r="C728" i="6" s="1"/>
  <c r="B728" i="6" s="1"/>
  <c r="T729" i="6"/>
  <c r="C729" i="6" s="1"/>
  <c r="B729" i="6" s="1"/>
  <c r="J730" i="6"/>
  <c r="I730" i="6" s="1"/>
  <c r="T732" i="6"/>
  <c r="C732" i="6" s="1"/>
  <c r="B732" i="6" s="1"/>
  <c r="T733" i="6"/>
  <c r="C733" i="6" s="1"/>
  <c r="B733" i="6" s="1"/>
  <c r="J734" i="6"/>
  <c r="I734" i="6" s="1"/>
  <c r="T736" i="6"/>
  <c r="C736" i="6" s="1"/>
  <c r="B736" i="6" s="1"/>
  <c r="T737" i="6"/>
  <c r="C737" i="6" s="1"/>
  <c r="B737" i="6" s="1"/>
  <c r="J738" i="6"/>
  <c r="I738" i="6" s="1"/>
  <c r="T740" i="6"/>
  <c r="C740" i="6" s="1"/>
  <c r="B740" i="6" s="1"/>
  <c r="T741" i="6"/>
  <c r="C741" i="6" s="1"/>
  <c r="B741" i="6" s="1"/>
  <c r="J742" i="6"/>
  <c r="I742" i="6" s="1"/>
  <c r="T744" i="6"/>
  <c r="C744" i="6" s="1"/>
  <c r="B744" i="6" s="1"/>
  <c r="T745" i="6"/>
  <c r="C745" i="6" s="1"/>
  <c r="B745" i="6" s="1"/>
  <c r="J746" i="6"/>
  <c r="I746" i="6" s="1"/>
  <c r="T748" i="6"/>
  <c r="C748" i="6" s="1"/>
  <c r="B748" i="6" s="1"/>
  <c r="T749" i="6"/>
  <c r="C749" i="6" s="1"/>
  <c r="B749" i="6" s="1"/>
  <c r="J750" i="6"/>
  <c r="I750" i="6" s="1"/>
  <c r="T752" i="6"/>
  <c r="C752" i="6" s="1"/>
  <c r="B752" i="6" s="1"/>
  <c r="T753" i="6"/>
  <c r="C753" i="6" s="1"/>
  <c r="B753" i="6" s="1"/>
  <c r="J754" i="6"/>
  <c r="I754" i="6" s="1"/>
  <c r="T756" i="6"/>
  <c r="C756" i="6" s="1"/>
  <c r="B756" i="6" s="1"/>
  <c r="T757" i="6"/>
  <c r="C757" i="6" s="1"/>
  <c r="B757" i="6" s="1"/>
  <c r="J758" i="6"/>
  <c r="I758" i="6" s="1"/>
  <c r="T760" i="6"/>
  <c r="C760" i="6" s="1"/>
  <c r="B760" i="6" s="1"/>
  <c r="T761" i="6"/>
  <c r="C761" i="6" s="1"/>
  <c r="B761" i="6" s="1"/>
  <c r="J762" i="6"/>
  <c r="I762" i="6" s="1"/>
  <c r="T764" i="6"/>
  <c r="C764" i="6" s="1"/>
  <c r="B764" i="6" s="1"/>
  <c r="T765" i="6"/>
  <c r="C765" i="6" s="1"/>
  <c r="B765" i="6" s="1"/>
  <c r="J766" i="6"/>
  <c r="I766" i="6" s="1"/>
  <c r="T768" i="6"/>
  <c r="C768" i="6" s="1"/>
  <c r="B768" i="6" s="1"/>
  <c r="T769" i="6"/>
  <c r="C769" i="6" s="1"/>
  <c r="B769" i="6" s="1"/>
  <c r="J770" i="6"/>
  <c r="I770" i="6" s="1"/>
  <c r="T772" i="6"/>
  <c r="C772" i="6" s="1"/>
  <c r="B772" i="6" s="1"/>
  <c r="T773" i="6"/>
  <c r="C773" i="6" s="1"/>
  <c r="B773" i="6" s="1"/>
  <c r="J774" i="6"/>
  <c r="I774" i="6" s="1"/>
  <c r="T776" i="6"/>
  <c r="C776" i="6" s="1"/>
  <c r="B776" i="6" s="1"/>
  <c r="T777" i="6"/>
  <c r="C777" i="6" s="1"/>
  <c r="B777" i="6" s="1"/>
  <c r="J778" i="6"/>
  <c r="I778" i="6" s="1"/>
  <c r="T780" i="6"/>
  <c r="C780" i="6" s="1"/>
  <c r="B780" i="6" s="1"/>
  <c r="T781" i="6"/>
  <c r="C781" i="6" s="1"/>
  <c r="B781" i="6" s="1"/>
  <c r="J782" i="6"/>
  <c r="I782" i="6" s="1"/>
  <c r="T784" i="6"/>
  <c r="C784" i="6" s="1"/>
  <c r="B784" i="6" s="1"/>
  <c r="T785" i="6"/>
  <c r="C785" i="6" s="1"/>
  <c r="B785" i="6" s="1"/>
  <c r="J786" i="6"/>
  <c r="I786" i="6" s="1"/>
  <c r="T788" i="6"/>
  <c r="C788" i="6" s="1"/>
  <c r="B788" i="6" s="1"/>
  <c r="T789" i="6"/>
  <c r="C789" i="6" s="1"/>
  <c r="B789" i="6" s="1"/>
  <c r="J790" i="6"/>
  <c r="I790" i="6" s="1"/>
  <c r="T792" i="6"/>
  <c r="C792" i="6" s="1"/>
  <c r="B792" i="6" s="1"/>
  <c r="T793" i="6"/>
  <c r="C793" i="6" s="1"/>
  <c r="B793" i="6" s="1"/>
  <c r="J794" i="6"/>
  <c r="I794" i="6" s="1"/>
  <c r="T796" i="6"/>
  <c r="C796" i="6" s="1"/>
  <c r="B796" i="6" s="1"/>
  <c r="T797" i="6"/>
  <c r="C797" i="6" s="1"/>
  <c r="B797" i="6" s="1"/>
  <c r="J798" i="6"/>
  <c r="I798" i="6" s="1"/>
  <c r="T800" i="6"/>
  <c r="C800" i="6" s="1"/>
  <c r="B800" i="6" s="1"/>
  <c r="T801" i="6"/>
  <c r="C801" i="6" s="1"/>
  <c r="B801" i="6" s="1"/>
  <c r="J802" i="6"/>
  <c r="I802" i="6" s="1"/>
  <c r="T804" i="6"/>
  <c r="C804" i="6" s="1"/>
  <c r="B804" i="6" s="1"/>
  <c r="T805" i="6"/>
  <c r="C805" i="6" s="1"/>
  <c r="B805" i="6" s="1"/>
  <c r="J806" i="6"/>
  <c r="I806" i="6" s="1"/>
  <c r="T808" i="6"/>
  <c r="C808" i="6" s="1"/>
  <c r="B808" i="6" s="1"/>
  <c r="T809" i="6"/>
  <c r="C809" i="6" s="1"/>
  <c r="B809" i="6" s="1"/>
  <c r="J810" i="6"/>
  <c r="I810" i="6" s="1"/>
  <c r="T812" i="6"/>
  <c r="C812" i="6" s="1"/>
  <c r="B812" i="6" s="1"/>
  <c r="T813" i="6"/>
  <c r="C813" i="6" s="1"/>
  <c r="B813" i="6" s="1"/>
  <c r="J814" i="6"/>
  <c r="I814" i="6" s="1"/>
  <c r="T816" i="6"/>
  <c r="C816" i="6" s="1"/>
  <c r="B816" i="6" s="1"/>
  <c r="T817" i="6"/>
  <c r="C817" i="6" s="1"/>
  <c r="B817" i="6" s="1"/>
  <c r="J818" i="6"/>
  <c r="I818" i="6" s="1"/>
  <c r="T820" i="6"/>
  <c r="C820" i="6" s="1"/>
  <c r="B820" i="6" s="1"/>
  <c r="T821" i="6"/>
  <c r="C821" i="6" s="1"/>
  <c r="B821" i="6" s="1"/>
  <c r="J822" i="6"/>
  <c r="I822" i="6" s="1"/>
  <c r="T824" i="6"/>
  <c r="C824" i="6" s="1"/>
  <c r="B824" i="6" s="1"/>
  <c r="T825" i="6"/>
  <c r="C825" i="6" s="1"/>
  <c r="B825" i="6" s="1"/>
  <c r="J826" i="6"/>
  <c r="I826" i="6" s="1"/>
  <c r="T828" i="6"/>
  <c r="C828" i="6" s="1"/>
  <c r="B828" i="6" s="1"/>
  <c r="T829" i="6"/>
  <c r="C829" i="6" s="1"/>
  <c r="B829" i="6" s="1"/>
  <c r="J830" i="6"/>
  <c r="I830" i="6" s="1"/>
  <c r="T832" i="6"/>
  <c r="C832" i="6" s="1"/>
  <c r="B832" i="6" s="1"/>
  <c r="T833" i="6"/>
  <c r="C833" i="6" s="1"/>
  <c r="B833" i="6" s="1"/>
  <c r="T835" i="6"/>
  <c r="C835" i="6" s="1"/>
  <c r="B835" i="6" s="1"/>
  <c r="J836" i="6"/>
  <c r="I836" i="6" s="1"/>
  <c r="T837" i="6"/>
  <c r="C837" i="6" s="1"/>
  <c r="B837" i="6" s="1"/>
  <c r="J838" i="6"/>
  <c r="I838" i="6" s="1"/>
  <c r="T839" i="6"/>
  <c r="C839" i="6" s="1"/>
  <c r="B839" i="6" s="1"/>
  <c r="T849" i="6"/>
  <c r="C849" i="6" s="1"/>
  <c r="B849" i="6" s="1"/>
  <c r="T851" i="6"/>
  <c r="C851" i="6" s="1"/>
  <c r="B851" i="6" s="1"/>
  <c r="J852" i="6"/>
  <c r="I852" i="6" s="1"/>
  <c r="T853" i="6"/>
  <c r="C853" i="6" s="1"/>
  <c r="B853" i="6" s="1"/>
  <c r="J854" i="6"/>
  <c r="I854" i="6" s="1"/>
  <c r="T855" i="6"/>
  <c r="C855" i="6" s="1"/>
  <c r="B855" i="6" s="1"/>
  <c r="T865" i="6"/>
  <c r="C865" i="6" s="1"/>
  <c r="B865" i="6" s="1"/>
  <c r="T867" i="6"/>
  <c r="C867" i="6" s="1"/>
  <c r="B867" i="6" s="1"/>
  <c r="J868" i="6"/>
  <c r="I868" i="6" s="1"/>
  <c r="T869" i="6"/>
  <c r="C869" i="6" s="1"/>
  <c r="B869" i="6" s="1"/>
  <c r="J870" i="6"/>
  <c r="I870" i="6" s="1"/>
  <c r="T871" i="6"/>
  <c r="C871" i="6" s="1"/>
  <c r="B871" i="6" s="1"/>
  <c r="T881" i="6"/>
  <c r="C881" i="6" s="1"/>
  <c r="B881" i="6" s="1"/>
  <c r="T883" i="6"/>
  <c r="C883" i="6" s="1"/>
  <c r="B883" i="6" s="1"/>
  <c r="J884" i="6"/>
  <c r="I884" i="6" s="1"/>
  <c r="T885" i="6"/>
  <c r="C885" i="6" s="1"/>
  <c r="B885" i="6" s="1"/>
  <c r="J886" i="6"/>
  <c r="I886" i="6" s="1"/>
  <c r="T887" i="6"/>
  <c r="C887" i="6" s="1"/>
  <c r="B887" i="6" s="1"/>
  <c r="T897" i="6"/>
  <c r="C897" i="6" s="1"/>
  <c r="B897" i="6" s="1"/>
  <c r="T899" i="6"/>
  <c r="C899" i="6" s="1"/>
  <c r="B899" i="6" s="1"/>
  <c r="J900" i="6"/>
  <c r="I900" i="6" s="1"/>
  <c r="T901" i="6"/>
  <c r="C901" i="6" s="1"/>
  <c r="B901" i="6" s="1"/>
  <c r="J902" i="6"/>
  <c r="I902" i="6" s="1"/>
  <c r="T903" i="6"/>
  <c r="C903" i="6" s="1"/>
  <c r="B903" i="6" s="1"/>
  <c r="T913" i="6"/>
  <c r="C913" i="6" s="1"/>
  <c r="B913" i="6" s="1"/>
  <c r="T915" i="6"/>
  <c r="C915" i="6" s="1"/>
  <c r="B915" i="6" s="1"/>
  <c r="J916" i="6"/>
  <c r="I916" i="6" s="1"/>
  <c r="T917" i="6"/>
  <c r="C917" i="6" s="1"/>
  <c r="B917" i="6" s="1"/>
  <c r="J918" i="6"/>
  <c r="I918" i="6" s="1"/>
  <c r="T919" i="6"/>
  <c r="C919" i="6" s="1"/>
  <c r="B919" i="6" s="1"/>
  <c r="T929" i="6"/>
  <c r="C929" i="6" s="1"/>
  <c r="B929" i="6" s="1"/>
  <c r="T931" i="6"/>
  <c r="C931" i="6" s="1"/>
  <c r="B931" i="6" s="1"/>
  <c r="J932" i="6"/>
  <c r="I932" i="6" s="1"/>
  <c r="T933" i="6"/>
  <c r="C933" i="6" s="1"/>
  <c r="B933" i="6" s="1"/>
  <c r="J934" i="6"/>
  <c r="I934" i="6" s="1"/>
  <c r="T935" i="6"/>
  <c r="C935" i="6" s="1"/>
  <c r="B935" i="6" s="1"/>
  <c r="T945" i="6"/>
  <c r="C945" i="6" s="1"/>
  <c r="B945" i="6" s="1"/>
  <c r="T947" i="6"/>
  <c r="C947" i="6" s="1"/>
  <c r="B947" i="6" s="1"/>
  <c r="J948" i="6"/>
  <c r="I948" i="6" s="1"/>
  <c r="T949" i="6"/>
  <c r="C949" i="6" s="1"/>
  <c r="B949" i="6" s="1"/>
  <c r="J950" i="6"/>
  <c r="I950" i="6" s="1"/>
  <c r="T951" i="6"/>
  <c r="C951" i="6" s="1"/>
  <c r="B951" i="6" s="1"/>
  <c r="J952" i="6"/>
  <c r="I952" i="6" s="1"/>
  <c r="T956" i="6"/>
  <c r="C956" i="6" s="1"/>
  <c r="B956" i="6" s="1"/>
  <c r="C957" i="6"/>
  <c r="B957" i="6" s="1"/>
  <c r="T957" i="6"/>
  <c r="T958" i="6"/>
  <c r="C958" i="6" s="1"/>
  <c r="B958" i="6" s="1"/>
  <c r="C959" i="6"/>
  <c r="B959" i="6" s="1"/>
  <c r="T959" i="6"/>
  <c r="J960" i="6"/>
  <c r="I960" i="6" s="1"/>
  <c r="T964" i="6"/>
  <c r="C964" i="6" s="1"/>
  <c r="B964" i="6" s="1"/>
  <c r="T965" i="6"/>
  <c r="C965" i="6" s="1"/>
  <c r="B965" i="6" s="1"/>
  <c r="T966" i="6"/>
  <c r="C966" i="6" s="1"/>
  <c r="B966" i="6" s="1"/>
  <c r="T967" i="6"/>
  <c r="C967" i="6" s="1"/>
  <c r="B967" i="6" s="1"/>
  <c r="J968" i="6"/>
  <c r="I968" i="6" s="1"/>
  <c r="C972" i="6"/>
  <c r="B972" i="6" s="1"/>
  <c r="T972" i="6"/>
  <c r="T973" i="6"/>
  <c r="C973" i="6" s="1"/>
  <c r="B973" i="6" s="1"/>
  <c r="T974" i="6"/>
  <c r="C974" i="6" s="1"/>
  <c r="B974" i="6" s="1"/>
  <c r="T975" i="6"/>
  <c r="C975" i="6" s="1"/>
  <c r="B975" i="6" s="1"/>
  <c r="J976" i="6"/>
  <c r="I976" i="6" s="1"/>
  <c r="T980" i="6"/>
  <c r="C980" i="6" s="1"/>
  <c r="B980" i="6" s="1"/>
  <c r="T981" i="6"/>
  <c r="C981" i="6" s="1"/>
  <c r="B981" i="6" s="1"/>
  <c r="T982" i="6"/>
  <c r="C982" i="6" s="1"/>
  <c r="B982" i="6" s="1"/>
  <c r="T983" i="6"/>
  <c r="C983" i="6" s="1"/>
  <c r="B983" i="6" s="1"/>
  <c r="J984" i="6"/>
  <c r="I984" i="6" s="1"/>
  <c r="T988" i="6"/>
  <c r="C988" i="6" s="1"/>
  <c r="B988" i="6" s="1"/>
  <c r="C989" i="6"/>
  <c r="B989" i="6" s="1"/>
  <c r="T989" i="6"/>
  <c r="T990" i="6"/>
  <c r="C990" i="6" s="1"/>
  <c r="B990" i="6" s="1"/>
  <c r="C991" i="6"/>
  <c r="B991" i="6" s="1"/>
  <c r="T991" i="6"/>
  <c r="J992" i="6"/>
  <c r="I992" i="6" s="1"/>
  <c r="T996" i="6"/>
  <c r="C996" i="6" s="1"/>
  <c r="B996" i="6" s="1"/>
  <c r="T997" i="6"/>
  <c r="C997" i="6" s="1"/>
  <c r="B997" i="6" s="1"/>
  <c r="T998" i="6"/>
  <c r="C998" i="6" s="1"/>
  <c r="B998" i="6" s="1"/>
  <c r="T999" i="6"/>
  <c r="C999" i="6" s="1"/>
  <c r="B999" i="6" s="1"/>
  <c r="J1000" i="6"/>
  <c r="I1000" i="6" s="1"/>
  <c r="C1004" i="6"/>
  <c r="B1004" i="6" s="1"/>
  <c r="T1004" i="6"/>
  <c r="T19" i="4"/>
  <c r="T21" i="4"/>
  <c r="C21" i="4" s="1"/>
  <c r="B21" i="4" s="1"/>
  <c r="T22" i="4"/>
  <c r="C22" i="4" s="1"/>
  <c r="B22" i="4" s="1"/>
  <c r="T24" i="4"/>
  <c r="C24" i="4" s="1"/>
  <c r="B24" i="4" s="1"/>
  <c r="T25" i="4"/>
  <c r="C25" i="4" s="1"/>
  <c r="B25" i="4" s="1"/>
  <c r="T26" i="4"/>
  <c r="C26" i="4" s="1"/>
  <c r="B26" i="4" s="1"/>
  <c r="T27" i="4"/>
  <c r="C27" i="4" s="1"/>
  <c r="B27" i="4" s="1"/>
  <c r="T28" i="4"/>
  <c r="C28" i="4" s="1"/>
  <c r="B28" i="4" s="1"/>
  <c r="T29" i="4"/>
  <c r="C29" i="4" s="1"/>
  <c r="B29" i="4" s="1"/>
  <c r="T30" i="4"/>
  <c r="C30" i="4" s="1"/>
  <c r="B30" i="4" s="1"/>
  <c r="T31" i="4"/>
  <c r="C31" i="4" s="1"/>
  <c r="B31" i="4" s="1"/>
  <c r="T32" i="4"/>
  <c r="C32" i="4" s="1"/>
  <c r="B32" i="4" s="1"/>
  <c r="T33" i="4"/>
  <c r="C33" i="4" s="1"/>
  <c r="B33" i="4" s="1"/>
  <c r="T34" i="4"/>
  <c r="C34" i="4" s="1"/>
  <c r="B34" i="4" s="1"/>
  <c r="T35" i="4"/>
  <c r="C35" i="4" s="1"/>
  <c r="B35" i="4" s="1"/>
  <c r="T44" i="4"/>
  <c r="C44" i="4" s="1"/>
  <c r="B44" i="4" s="1"/>
  <c r="T45" i="4"/>
  <c r="C45" i="4" s="1"/>
  <c r="B45" i="4" s="1"/>
  <c r="T46" i="4"/>
  <c r="C46" i="4" s="1"/>
  <c r="B46" i="4" s="1"/>
  <c r="C47" i="4"/>
  <c r="B47" i="4" s="1"/>
  <c r="T47" i="4"/>
  <c r="T48" i="4"/>
  <c r="C48" i="4" s="1"/>
  <c r="B48" i="4" s="1"/>
  <c r="T49" i="4"/>
  <c r="C49" i="4" s="1"/>
  <c r="B49" i="4" s="1"/>
  <c r="T50" i="4"/>
  <c r="C50" i="4" s="1"/>
  <c r="B50" i="4" s="1"/>
  <c r="T51" i="4"/>
  <c r="C51" i="4" s="1"/>
  <c r="B51" i="4" s="1"/>
  <c r="T60" i="4"/>
  <c r="C60" i="4" s="1"/>
  <c r="B60" i="4" s="1"/>
  <c r="C61" i="4"/>
  <c r="B61" i="4" s="1"/>
  <c r="T61" i="4"/>
  <c r="T62" i="4"/>
  <c r="C62" i="4" s="1"/>
  <c r="B62" i="4" s="1"/>
  <c r="C63" i="4"/>
  <c r="B63" i="4" s="1"/>
  <c r="T63" i="4"/>
  <c r="T64" i="4"/>
  <c r="C64" i="4" s="1"/>
  <c r="B64" i="4" s="1"/>
  <c r="T65" i="4"/>
  <c r="C65" i="4" s="1"/>
  <c r="B65" i="4" s="1"/>
  <c r="T66" i="4"/>
  <c r="C66" i="4" s="1"/>
  <c r="B66" i="4" s="1"/>
  <c r="T67" i="4"/>
  <c r="C67" i="4" s="1"/>
  <c r="B67" i="4" s="1"/>
  <c r="T76" i="4"/>
  <c r="C76" i="4" s="1"/>
  <c r="B76" i="4" s="1"/>
  <c r="C77" i="4"/>
  <c r="B77" i="4" s="1"/>
  <c r="T77" i="4"/>
  <c r="T78" i="4"/>
  <c r="C78" i="4" s="1"/>
  <c r="B78" i="4" s="1"/>
  <c r="C79" i="4"/>
  <c r="B79" i="4" s="1"/>
  <c r="T79" i="4"/>
  <c r="T80" i="4"/>
  <c r="C80" i="4" s="1"/>
  <c r="B80" i="4" s="1"/>
  <c r="T81" i="4"/>
  <c r="C81" i="4" s="1"/>
  <c r="B81" i="4" s="1"/>
  <c r="T82" i="4"/>
  <c r="C82" i="4" s="1"/>
  <c r="B82" i="4" s="1"/>
  <c r="T83" i="4"/>
  <c r="C83" i="4" s="1"/>
  <c r="B83" i="4" s="1"/>
  <c r="T92" i="4"/>
  <c r="C92" i="4" s="1"/>
  <c r="B92" i="4" s="1"/>
  <c r="C93" i="4"/>
  <c r="B93" i="4" s="1"/>
  <c r="T93" i="4"/>
  <c r="T94" i="4"/>
  <c r="C94" i="4" s="1"/>
  <c r="B94" i="4" s="1"/>
  <c r="C95" i="4"/>
  <c r="B95" i="4" s="1"/>
  <c r="T95" i="4"/>
  <c r="T96" i="4"/>
  <c r="C96" i="4" s="1"/>
  <c r="B96" i="4" s="1"/>
  <c r="T97" i="4"/>
  <c r="C97" i="4" s="1"/>
  <c r="B97" i="4" s="1"/>
  <c r="T98" i="4"/>
  <c r="C98" i="4" s="1"/>
  <c r="B98" i="4" s="1"/>
  <c r="T99" i="4"/>
  <c r="C99" i="4" s="1"/>
  <c r="B99" i="4" s="1"/>
  <c r="T108" i="4"/>
  <c r="C108" i="4" s="1"/>
  <c r="B108" i="4" s="1"/>
  <c r="C109" i="4"/>
  <c r="B109" i="4" s="1"/>
  <c r="T109" i="4"/>
  <c r="T110" i="4"/>
  <c r="C110" i="4" s="1"/>
  <c r="B110" i="4" s="1"/>
  <c r="C111" i="4"/>
  <c r="B111" i="4" s="1"/>
  <c r="T111" i="4"/>
  <c r="T112" i="4"/>
  <c r="C112" i="4" s="1"/>
  <c r="B112" i="4" s="1"/>
  <c r="T113" i="4"/>
  <c r="C113" i="4" s="1"/>
  <c r="B113" i="4" s="1"/>
  <c r="T114" i="4"/>
  <c r="C114" i="4" s="1"/>
  <c r="B114" i="4" s="1"/>
  <c r="T115" i="4"/>
  <c r="C115" i="4" s="1"/>
  <c r="B115" i="4" s="1"/>
  <c r="T124" i="4"/>
  <c r="C124" i="4" s="1"/>
  <c r="B124" i="4" s="1"/>
  <c r="C125" i="4"/>
  <c r="B125" i="4" s="1"/>
  <c r="T125" i="4"/>
  <c r="T126" i="4"/>
  <c r="C126" i="4" s="1"/>
  <c r="B126" i="4" s="1"/>
  <c r="C127" i="4"/>
  <c r="B127" i="4" s="1"/>
  <c r="T127" i="4"/>
  <c r="T128" i="4"/>
  <c r="C128" i="4" s="1"/>
  <c r="B128" i="4" s="1"/>
  <c r="T129" i="4"/>
  <c r="C129" i="4" s="1"/>
  <c r="B129" i="4" s="1"/>
  <c r="T130" i="4"/>
  <c r="C130" i="4" s="1"/>
  <c r="B130" i="4" s="1"/>
  <c r="T131" i="4"/>
  <c r="C131" i="4" s="1"/>
  <c r="B131" i="4" s="1"/>
  <c r="T140" i="4"/>
  <c r="C140" i="4" s="1"/>
  <c r="B140" i="4" s="1"/>
  <c r="C141" i="4"/>
  <c r="B141" i="4" s="1"/>
  <c r="T141" i="4"/>
  <c r="T142" i="4"/>
  <c r="C142" i="4" s="1"/>
  <c r="B142" i="4" s="1"/>
  <c r="C143" i="4"/>
  <c r="B143" i="4" s="1"/>
  <c r="T143" i="4"/>
  <c r="T144" i="4"/>
  <c r="C144" i="4" s="1"/>
  <c r="B144" i="4" s="1"/>
  <c r="T145" i="4"/>
  <c r="C145" i="4" s="1"/>
  <c r="B145" i="4" s="1"/>
  <c r="T146" i="4"/>
  <c r="C146" i="4" s="1"/>
  <c r="B146" i="4" s="1"/>
  <c r="T147" i="4"/>
  <c r="C147" i="4" s="1"/>
  <c r="B147" i="4" s="1"/>
  <c r="T148" i="4"/>
  <c r="C148" i="4" s="1"/>
  <c r="B148" i="4" s="1"/>
  <c r="C149" i="4"/>
  <c r="B149" i="4" s="1"/>
  <c r="T149" i="4"/>
  <c r="T158" i="4"/>
  <c r="C158" i="4" s="1"/>
  <c r="B158" i="4" s="1"/>
  <c r="C159" i="4"/>
  <c r="B159" i="4" s="1"/>
  <c r="T159" i="4"/>
  <c r="T160" i="4"/>
  <c r="C160" i="4" s="1"/>
  <c r="B160" i="4" s="1"/>
  <c r="T161" i="4"/>
  <c r="C161" i="4" s="1"/>
  <c r="B161" i="4" s="1"/>
  <c r="T162" i="4"/>
  <c r="C162" i="4" s="1"/>
  <c r="B162" i="4" s="1"/>
  <c r="T163" i="4"/>
  <c r="C163" i="4" s="1"/>
  <c r="B163" i="4" s="1"/>
  <c r="T164" i="4"/>
  <c r="C164" i="4" s="1"/>
  <c r="B164" i="4" s="1"/>
  <c r="C165" i="4"/>
  <c r="B165" i="4" s="1"/>
  <c r="T165" i="4"/>
  <c r="T174" i="4"/>
  <c r="C174" i="4" s="1"/>
  <c r="B174" i="4" s="1"/>
  <c r="C175" i="4"/>
  <c r="B175" i="4" s="1"/>
  <c r="T175" i="4"/>
  <c r="T176" i="4"/>
  <c r="C176" i="4" s="1"/>
  <c r="B176" i="4" s="1"/>
  <c r="T177" i="4"/>
  <c r="C177" i="4" s="1"/>
  <c r="B177" i="4" s="1"/>
  <c r="T178" i="4"/>
  <c r="C178" i="4" s="1"/>
  <c r="B178" i="4" s="1"/>
  <c r="T179" i="4"/>
  <c r="C179" i="4" s="1"/>
  <c r="B179" i="4" s="1"/>
  <c r="T180" i="4"/>
  <c r="C180" i="4" s="1"/>
  <c r="B180" i="4" s="1"/>
  <c r="C181" i="4"/>
  <c r="B181" i="4" s="1"/>
  <c r="T181" i="4"/>
  <c r="T192" i="4"/>
  <c r="C192" i="4" s="1"/>
  <c r="B192" i="4" s="1"/>
  <c r="C193" i="4"/>
  <c r="B193" i="4" s="1"/>
  <c r="T193" i="4"/>
  <c r="T194" i="4"/>
  <c r="C194" i="4" s="1"/>
  <c r="B194" i="4" s="1"/>
  <c r="T195" i="4"/>
  <c r="C195" i="4" s="1"/>
  <c r="B195" i="4" s="1"/>
  <c r="T196" i="4"/>
  <c r="C196" i="4" s="1"/>
  <c r="B196" i="4" s="1"/>
  <c r="T197" i="4"/>
  <c r="C197" i="4" s="1"/>
  <c r="B197" i="4" s="1"/>
  <c r="T198" i="4"/>
  <c r="C198" i="4" s="1"/>
  <c r="B198" i="4" s="1"/>
  <c r="C199" i="4"/>
  <c r="B199" i="4" s="1"/>
  <c r="T199" i="4"/>
  <c r="T208" i="4"/>
  <c r="C208" i="4" s="1"/>
  <c r="B208" i="4" s="1"/>
  <c r="C209" i="4"/>
  <c r="B209" i="4" s="1"/>
  <c r="T209" i="4"/>
  <c r="T210" i="4"/>
  <c r="C210" i="4" s="1"/>
  <c r="B210" i="4" s="1"/>
  <c r="T211" i="4"/>
  <c r="C211" i="4" s="1"/>
  <c r="B211" i="4" s="1"/>
  <c r="T212" i="4"/>
  <c r="C212" i="4" s="1"/>
  <c r="B212" i="4" s="1"/>
  <c r="T213" i="4"/>
  <c r="C213" i="4" s="1"/>
  <c r="B213" i="4" s="1"/>
  <c r="T214" i="4"/>
  <c r="C214" i="4" s="1"/>
  <c r="B214" i="4" s="1"/>
  <c r="C215" i="4"/>
  <c r="B215" i="4" s="1"/>
  <c r="T215" i="4"/>
  <c r="T224" i="4"/>
  <c r="C224" i="4" s="1"/>
  <c r="B224" i="4" s="1"/>
  <c r="C225" i="4"/>
  <c r="B225" i="4" s="1"/>
  <c r="T225" i="4"/>
  <c r="T226" i="4"/>
  <c r="C226" i="4" s="1"/>
  <c r="B226" i="4" s="1"/>
  <c r="T227" i="4"/>
  <c r="C227" i="4" s="1"/>
  <c r="B227" i="4" s="1"/>
  <c r="T228" i="4"/>
  <c r="C228" i="4" s="1"/>
  <c r="B228" i="4" s="1"/>
  <c r="T229" i="4"/>
  <c r="C229" i="4" s="1"/>
  <c r="B229" i="4" s="1"/>
  <c r="T230" i="4"/>
  <c r="C230" i="4" s="1"/>
  <c r="B230" i="4" s="1"/>
  <c r="C231" i="4"/>
  <c r="B231" i="4" s="1"/>
  <c r="T231" i="4"/>
  <c r="T240" i="4"/>
  <c r="C240" i="4" s="1"/>
  <c r="B240" i="4" s="1"/>
  <c r="C241" i="4"/>
  <c r="B241" i="4" s="1"/>
  <c r="T241" i="4"/>
  <c r="T242" i="4"/>
  <c r="C242" i="4" s="1"/>
  <c r="B242" i="4" s="1"/>
  <c r="T243" i="4"/>
  <c r="C243" i="4" s="1"/>
  <c r="B243" i="4" s="1"/>
  <c r="T244" i="4"/>
  <c r="C244" i="4" s="1"/>
  <c r="B244" i="4" s="1"/>
  <c r="T245" i="4"/>
  <c r="C245" i="4" s="1"/>
  <c r="B245" i="4" s="1"/>
  <c r="T246" i="4"/>
  <c r="C246" i="4" s="1"/>
  <c r="B246" i="4" s="1"/>
  <c r="C247" i="4"/>
  <c r="B247" i="4" s="1"/>
  <c r="T247" i="4"/>
  <c r="T258" i="4"/>
  <c r="C258" i="4" s="1"/>
  <c r="B258" i="4" s="1"/>
  <c r="C259" i="4"/>
  <c r="B259" i="4" s="1"/>
  <c r="T259" i="4"/>
  <c r="T260" i="4"/>
  <c r="C260" i="4" s="1"/>
  <c r="B260" i="4" s="1"/>
  <c r="T261" i="4"/>
  <c r="C261" i="4" s="1"/>
  <c r="B261" i="4" s="1"/>
  <c r="T262" i="4"/>
  <c r="C262" i="4" s="1"/>
  <c r="B262" i="4" s="1"/>
  <c r="T263" i="4"/>
  <c r="C263" i="4" s="1"/>
  <c r="B263" i="4" s="1"/>
  <c r="T264" i="4"/>
  <c r="C264" i="4" s="1"/>
  <c r="B264" i="4" s="1"/>
  <c r="C265" i="4"/>
  <c r="B265" i="4" s="1"/>
  <c r="T265" i="4"/>
  <c r="T274" i="4"/>
  <c r="C274" i="4" s="1"/>
  <c r="B274" i="4" s="1"/>
  <c r="C275" i="4"/>
  <c r="B275" i="4" s="1"/>
  <c r="T275" i="4"/>
  <c r="T276" i="4"/>
  <c r="C276" i="4" s="1"/>
  <c r="B276" i="4" s="1"/>
  <c r="T277" i="4"/>
  <c r="C277" i="4" s="1"/>
  <c r="B277" i="4" s="1"/>
  <c r="T278" i="4"/>
  <c r="C278" i="4" s="1"/>
  <c r="B278" i="4" s="1"/>
  <c r="T279" i="4"/>
  <c r="C279" i="4" s="1"/>
  <c r="B279" i="4" s="1"/>
  <c r="T280" i="4"/>
  <c r="C280" i="4" s="1"/>
  <c r="B280" i="4" s="1"/>
  <c r="C281" i="4"/>
  <c r="B281" i="4" s="1"/>
  <c r="T281" i="4"/>
  <c r="T290" i="4"/>
  <c r="C290" i="4" s="1"/>
  <c r="B290" i="4" s="1"/>
  <c r="C291" i="4"/>
  <c r="B291" i="4" s="1"/>
  <c r="T291" i="4"/>
  <c r="T292" i="4"/>
  <c r="C292" i="4" s="1"/>
  <c r="B292" i="4" s="1"/>
  <c r="T293" i="4"/>
  <c r="C293" i="4" s="1"/>
  <c r="B293" i="4" s="1"/>
  <c r="T294" i="4"/>
  <c r="C294" i="4" s="1"/>
  <c r="B294" i="4" s="1"/>
  <c r="T295" i="4"/>
  <c r="C295" i="4" s="1"/>
  <c r="B295" i="4" s="1"/>
  <c r="T296" i="4"/>
  <c r="C296" i="4" s="1"/>
  <c r="B296" i="4" s="1"/>
  <c r="C297" i="4"/>
  <c r="B297" i="4" s="1"/>
  <c r="T297" i="4"/>
  <c r="T298" i="4"/>
  <c r="C298" i="4" s="1"/>
  <c r="B298" i="4" s="1"/>
  <c r="C299" i="4"/>
  <c r="B299" i="4" s="1"/>
  <c r="T299" i="4"/>
  <c r="T300" i="4"/>
  <c r="C300" i="4" s="1"/>
  <c r="B300" i="4" s="1"/>
  <c r="T301" i="4"/>
  <c r="C301" i="4" s="1"/>
  <c r="B301" i="4" s="1"/>
  <c r="T310" i="4"/>
  <c r="C310" i="4" s="1"/>
  <c r="B310" i="4" s="1"/>
  <c r="T311" i="4"/>
  <c r="C311" i="4" s="1"/>
  <c r="B311" i="4" s="1"/>
  <c r="T312" i="4"/>
  <c r="C312" i="4" s="1"/>
  <c r="B312" i="4" s="1"/>
  <c r="C313" i="4"/>
  <c r="B313" i="4" s="1"/>
  <c r="T313" i="4"/>
  <c r="T314" i="4"/>
  <c r="C314" i="4" s="1"/>
  <c r="B314" i="4" s="1"/>
  <c r="C315" i="4"/>
  <c r="B315" i="4" s="1"/>
  <c r="T315" i="4"/>
  <c r="T316" i="4"/>
  <c r="C316" i="4" s="1"/>
  <c r="B316" i="4" s="1"/>
  <c r="T317" i="4"/>
  <c r="C317" i="4" s="1"/>
  <c r="B317" i="4" s="1"/>
  <c r="T326" i="4"/>
  <c r="C326" i="4" s="1"/>
  <c r="B326" i="4" s="1"/>
  <c r="T327" i="4"/>
  <c r="C327" i="4" s="1"/>
  <c r="B327" i="4" s="1"/>
  <c r="T328" i="4"/>
  <c r="C328" i="4" s="1"/>
  <c r="B328" i="4" s="1"/>
  <c r="C329" i="4"/>
  <c r="B329" i="4" s="1"/>
  <c r="T329" i="4"/>
  <c r="T330" i="4"/>
  <c r="C330" i="4" s="1"/>
  <c r="B330" i="4" s="1"/>
  <c r="C331" i="4"/>
  <c r="B331" i="4" s="1"/>
  <c r="T331" i="4"/>
  <c r="T332" i="4"/>
  <c r="C332" i="4" s="1"/>
  <c r="B332" i="4" s="1"/>
  <c r="T333" i="4"/>
  <c r="C333" i="4" s="1"/>
  <c r="B333" i="4" s="1"/>
  <c r="T342" i="4"/>
  <c r="C342" i="4" s="1"/>
  <c r="B342" i="4" s="1"/>
  <c r="T343" i="4"/>
  <c r="C343" i="4" s="1"/>
  <c r="B343" i="4" s="1"/>
  <c r="T344" i="4"/>
  <c r="C344" i="4" s="1"/>
  <c r="B344" i="4" s="1"/>
  <c r="C345" i="4"/>
  <c r="B345" i="4" s="1"/>
  <c r="T345" i="4"/>
  <c r="T346" i="4"/>
  <c r="C346" i="4" s="1"/>
  <c r="B346" i="4" s="1"/>
  <c r="C347" i="4"/>
  <c r="B347" i="4" s="1"/>
  <c r="T347" i="4"/>
  <c r="T348" i="4"/>
  <c r="C348" i="4" s="1"/>
  <c r="B348" i="4" s="1"/>
  <c r="C349" i="4"/>
  <c r="B349" i="4" s="1"/>
  <c r="T349" i="4"/>
  <c r="T358" i="4"/>
  <c r="C358" i="4" s="1"/>
  <c r="B358" i="4" s="1"/>
  <c r="C359" i="4"/>
  <c r="B359" i="4" s="1"/>
  <c r="T359" i="4"/>
  <c r="T360" i="4"/>
  <c r="C360" i="4" s="1"/>
  <c r="B360" i="4" s="1"/>
  <c r="C361" i="4"/>
  <c r="B361" i="4" s="1"/>
  <c r="T361" i="4"/>
  <c r="T362" i="4"/>
  <c r="C362" i="4" s="1"/>
  <c r="B362" i="4" s="1"/>
  <c r="C363" i="4"/>
  <c r="B363" i="4" s="1"/>
  <c r="T363" i="4"/>
  <c r="T364" i="4"/>
  <c r="C364" i="4" s="1"/>
  <c r="B364" i="4" s="1"/>
  <c r="C365" i="4"/>
  <c r="B365" i="4" s="1"/>
  <c r="T365" i="4"/>
  <c r="T374" i="4"/>
  <c r="C374" i="4" s="1"/>
  <c r="B374" i="4" s="1"/>
  <c r="C375" i="4"/>
  <c r="B375" i="4" s="1"/>
  <c r="T375" i="4"/>
  <c r="T376" i="4"/>
  <c r="C376" i="4" s="1"/>
  <c r="B376" i="4" s="1"/>
  <c r="C377" i="4"/>
  <c r="B377" i="4" s="1"/>
  <c r="T377" i="4"/>
  <c r="T378" i="4"/>
  <c r="C378" i="4" s="1"/>
  <c r="B378" i="4" s="1"/>
  <c r="C379" i="4"/>
  <c r="B379" i="4" s="1"/>
  <c r="T379" i="4"/>
  <c r="T380" i="4"/>
  <c r="C380" i="4" s="1"/>
  <c r="B380" i="4" s="1"/>
  <c r="C381" i="4"/>
  <c r="B381" i="4" s="1"/>
  <c r="T381" i="4"/>
  <c r="T382" i="4"/>
  <c r="C382" i="4" s="1"/>
  <c r="B382" i="4" s="1"/>
  <c r="C383" i="4"/>
  <c r="B383" i="4" s="1"/>
  <c r="T383" i="4"/>
  <c r="T384" i="4"/>
  <c r="C384" i="4" s="1"/>
  <c r="B384" i="4" s="1"/>
  <c r="C385" i="4"/>
  <c r="B385" i="4" s="1"/>
  <c r="T385" i="4"/>
  <c r="T394" i="4"/>
  <c r="C394" i="4" s="1"/>
  <c r="B394" i="4" s="1"/>
  <c r="C395" i="4"/>
  <c r="B395" i="4" s="1"/>
  <c r="T395" i="4"/>
  <c r="T396" i="4"/>
  <c r="C396" i="4" s="1"/>
  <c r="B396" i="4" s="1"/>
  <c r="C397" i="4"/>
  <c r="B397" i="4" s="1"/>
  <c r="T397" i="4"/>
  <c r="T398" i="4"/>
  <c r="C398" i="4" s="1"/>
  <c r="B398" i="4" s="1"/>
  <c r="C399" i="4"/>
  <c r="B399" i="4" s="1"/>
  <c r="T399" i="4"/>
  <c r="T400" i="4"/>
  <c r="C400" i="4" s="1"/>
  <c r="B400" i="4" s="1"/>
  <c r="C401" i="4"/>
  <c r="B401" i="4" s="1"/>
  <c r="T401" i="4"/>
  <c r="T410" i="4"/>
  <c r="C410" i="4" s="1"/>
  <c r="B410" i="4" s="1"/>
  <c r="C411" i="4"/>
  <c r="B411" i="4" s="1"/>
  <c r="T411" i="4"/>
  <c r="T412" i="4"/>
  <c r="C412" i="4" s="1"/>
  <c r="B412" i="4" s="1"/>
  <c r="C413" i="4"/>
  <c r="B413" i="4" s="1"/>
  <c r="T413" i="4"/>
  <c r="T414" i="4"/>
  <c r="C414" i="4" s="1"/>
  <c r="B414" i="4" s="1"/>
  <c r="C415" i="4"/>
  <c r="B415" i="4" s="1"/>
  <c r="T415" i="4"/>
  <c r="T416" i="4"/>
  <c r="C416" i="4" s="1"/>
  <c r="B416" i="4" s="1"/>
  <c r="C417" i="4"/>
  <c r="B417" i="4" s="1"/>
  <c r="T417" i="4"/>
  <c r="T426" i="4"/>
  <c r="C426" i="4" s="1"/>
  <c r="B426" i="4" s="1"/>
  <c r="C427" i="4"/>
  <c r="B427" i="4" s="1"/>
  <c r="T427" i="4"/>
  <c r="T428" i="4"/>
  <c r="C428" i="4" s="1"/>
  <c r="B428" i="4" s="1"/>
  <c r="C429" i="4"/>
  <c r="B429" i="4" s="1"/>
  <c r="T429" i="4"/>
  <c r="T430" i="4"/>
  <c r="C430" i="4" s="1"/>
  <c r="B430" i="4" s="1"/>
  <c r="C431" i="4"/>
  <c r="B431" i="4" s="1"/>
  <c r="T431" i="4"/>
  <c r="T432" i="4"/>
  <c r="C432" i="4" s="1"/>
  <c r="B432" i="4" s="1"/>
  <c r="C433" i="4"/>
  <c r="B433" i="4" s="1"/>
  <c r="T433" i="4"/>
  <c r="T442" i="4"/>
  <c r="C442" i="4" s="1"/>
  <c r="B442" i="4" s="1"/>
  <c r="C443" i="4"/>
  <c r="B443" i="4" s="1"/>
  <c r="T443" i="4"/>
  <c r="T444" i="4"/>
  <c r="C444" i="4" s="1"/>
  <c r="B444" i="4" s="1"/>
  <c r="C445" i="4"/>
  <c r="B445" i="4" s="1"/>
  <c r="T445" i="4"/>
  <c r="T446" i="4"/>
  <c r="C446" i="4" s="1"/>
  <c r="B446" i="4" s="1"/>
  <c r="C447" i="4"/>
  <c r="B447" i="4" s="1"/>
  <c r="T447" i="4"/>
  <c r="T448" i="4"/>
  <c r="C448" i="4" s="1"/>
  <c r="B448" i="4" s="1"/>
  <c r="C449" i="4"/>
  <c r="B449" i="4" s="1"/>
  <c r="T449" i="4"/>
  <c r="T458" i="4"/>
  <c r="C458" i="4" s="1"/>
  <c r="B458" i="4" s="1"/>
  <c r="C459" i="4"/>
  <c r="B459" i="4" s="1"/>
  <c r="T459" i="4"/>
  <c r="T460" i="4"/>
  <c r="C460" i="4" s="1"/>
  <c r="B460" i="4" s="1"/>
  <c r="C461" i="4"/>
  <c r="B461" i="4" s="1"/>
  <c r="T461" i="4"/>
  <c r="T462" i="4"/>
  <c r="C462" i="4" s="1"/>
  <c r="B462" i="4" s="1"/>
  <c r="C463" i="4"/>
  <c r="B463" i="4" s="1"/>
  <c r="T463" i="4"/>
  <c r="T464" i="4"/>
  <c r="C464" i="4" s="1"/>
  <c r="B464" i="4" s="1"/>
  <c r="C465" i="4"/>
  <c r="B465" i="4" s="1"/>
  <c r="T465" i="4"/>
  <c r="T474" i="4"/>
  <c r="C474" i="4" s="1"/>
  <c r="B474" i="4" s="1"/>
  <c r="C475" i="4"/>
  <c r="B475" i="4" s="1"/>
  <c r="T475" i="4"/>
  <c r="T476" i="4"/>
  <c r="C476" i="4" s="1"/>
  <c r="B476" i="4" s="1"/>
  <c r="C477" i="4"/>
  <c r="B477" i="4" s="1"/>
  <c r="T477" i="4"/>
  <c r="T478" i="4"/>
  <c r="C478" i="4" s="1"/>
  <c r="B478" i="4" s="1"/>
  <c r="C479" i="4"/>
  <c r="B479" i="4" s="1"/>
  <c r="T479" i="4"/>
  <c r="T480" i="4"/>
  <c r="C480" i="4" s="1"/>
  <c r="B480" i="4" s="1"/>
  <c r="C481" i="4"/>
  <c r="B481" i="4" s="1"/>
  <c r="T481" i="4"/>
  <c r="T490" i="4"/>
  <c r="C490" i="4" s="1"/>
  <c r="B490" i="4" s="1"/>
  <c r="C491" i="4"/>
  <c r="B491" i="4" s="1"/>
  <c r="T491" i="4"/>
  <c r="T492" i="4"/>
  <c r="C492" i="4" s="1"/>
  <c r="B492" i="4" s="1"/>
  <c r="C493" i="4"/>
  <c r="B493" i="4" s="1"/>
  <c r="T493" i="4"/>
  <c r="T494" i="4"/>
  <c r="C494" i="4" s="1"/>
  <c r="B494" i="4" s="1"/>
  <c r="C495" i="4"/>
  <c r="B495" i="4" s="1"/>
  <c r="T495" i="4"/>
  <c r="T496" i="4"/>
  <c r="C496" i="4" s="1"/>
  <c r="B496" i="4" s="1"/>
  <c r="C497" i="4"/>
  <c r="B497" i="4" s="1"/>
  <c r="T497" i="4"/>
  <c r="T506" i="4"/>
  <c r="C506" i="4" s="1"/>
  <c r="B506" i="4" s="1"/>
  <c r="C507" i="4"/>
  <c r="B507" i="4" s="1"/>
  <c r="T507" i="4"/>
  <c r="T508" i="4"/>
  <c r="C508" i="4" s="1"/>
  <c r="B508" i="4" s="1"/>
  <c r="C509" i="4"/>
  <c r="B509" i="4" s="1"/>
  <c r="T509" i="4"/>
  <c r="T510" i="4"/>
  <c r="C510" i="4" s="1"/>
  <c r="B510" i="4" s="1"/>
  <c r="C511" i="4"/>
  <c r="B511" i="4" s="1"/>
  <c r="T511" i="4"/>
  <c r="T512" i="4"/>
  <c r="C512" i="4" s="1"/>
  <c r="B512" i="4" s="1"/>
  <c r="C513" i="4"/>
  <c r="B513" i="4" s="1"/>
  <c r="T513" i="4"/>
  <c r="T522" i="4"/>
  <c r="C522" i="4" s="1"/>
  <c r="B522" i="4" s="1"/>
  <c r="C523" i="4"/>
  <c r="B523" i="4" s="1"/>
  <c r="T523" i="4"/>
  <c r="T524" i="4"/>
  <c r="C524" i="4" s="1"/>
  <c r="B524" i="4" s="1"/>
  <c r="C525" i="4"/>
  <c r="B525" i="4" s="1"/>
  <c r="T525" i="4"/>
  <c r="T526" i="4"/>
  <c r="C526" i="4" s="1"/>
  <c r="B526" i="4" s="1"/>
  <c r="C527" i="4"/>
  <c r="B527" i="4" s="1"/>
  <c r="T527" i="4"/>
  <c r="T528" i="4"/>
  <c r="C528" i="4" s="1"/>
  <c r="B528" i="4" s="1"/>
  <c r="C529" i="4"/>
  <c r="B529" i="4" s="1"/>
  <c r="T529" i="4"/>
  <c r="T545" i="4"/>
  <c r="C545" i="4" s="1"/>
  <c r="B545" i="4" s="1"/>
  <c r="C547" i="4"/>
  <c r="B547" i="4" s="1"/>
  <c r="T547" i="4"/>
  <c r="T549" i="4"/>
  <c r="C549" i="4" s="1"/>
  <c r="B549" i="4" s="1"/>
  <c r="C551" i="4"/>
  <c r="B551" i="4" s="1"/>
  <c r="T551" i="4"/>
  <c r="T553" i="4"/>
  <c r="C553" i="4" s="1"/>
  <c r="B553" i="4" s="1"/>
  <c r="C555" i="4"/>
  <c r="B555" i="4" s="1"/>
  <c r="T555" i="4"/>
  <c r="T557" i="4"/>
  <c r="C557" i="4" s="1"/>
  <c r="B557" i="4" s="1"/>
  <c r="C559" i="4"/>
  <c r="B559" i="4" s="1"/>
  <c r="T559" i="4"/>
  <c r="T577" i="4"/>
  <c r="C577" i="4" s="1"/>
  <c r="B577" i="4" s="1"/>
  <c r="C579" i="4"/>
  <c r="B579" i="4" s="1"/>
  <c r="T579" i="4"/>
  <c r="T581" i="4"/>
  <c r="C581" i="4" s="1"/>
  <c r="B581" i="4" s="1"/>
  <c r="C583" i="4"/>
  <c r="B583" i="4" s="1"/>
  <c r="T583" i="4"/>
  <c r="T585" i="4"/>
  <c r="C585" i="4" s="1"/>
  <c r="B585" i="4" s="1"/>
  <c r="C587" i="4"/>
  <c r="B587" i="4" s="1"/>
  <c r="T587" i="4"/>
  <c r="T589" i="4"/>
  <c r="C589" i="4" s="1"/>
  <c r="B589" i="4" s="1"/>
  <c r="C591" i="4"/>
  <c r="B591" i="4" s="1"/>
  <c r="T591" i="4"/>
  <c r="T609" i="4"/>
  <c r="C609" i="4" s="1"/>
  <c r="B609" i="4" s="1"/>
  <c r="C611" i="4"/>
  <c r="B611" i="4" s="1"/>
  <c r="T611" i="4"/>
  <c r="T613" i="4"/>
  <c r="C613" i="4" s="1"/>
  <c r="B613" i="4" s="1"/>
  <c r="C615" i="4"/>
  <c r="B615" i="4" s="1"/>
  <c r="T615" i="4"/>
  <c r="T617" i="4"/>
  <c r="C617" i="4" s="1"/>
  <c r="B617" i="4" s="1"/>
  <c r="C619" i="4"/>
  <c r="B619" i="4" s="1"/>
  <c r="T619" i="4"/>
  <c r="T621" i="4"/>
  <c r="C621" i="4" s="1"/>
  <c r="B621" i="4" s="1"/>
  <c r="C623" i="4"/>
  <c r="B623" i="4" s="1"/>
  <c r="T623" i="4"/>
  <c r="T740" i="4"/>
  <c r="C740" i="4" s="1"/>
  <c r="B740" i="4" s="1"/>
  <c r="C741" i="4"/>
  <c r="B741" i="4" s="1"/>
  <c r="T741" i="4"/>
  <c r="T742" i="4"/>
  <c r="C742" i="4" s="1"/>
  <c r="B742" i="4" s="1"/>
  <c r="C743" i="4"/>
  <c r="B743" i="4" s="1"/>
  <c r="T743" i="4"/>
  <c r="T744" i="4"/>
  <c r="C744" i="4" s="1"/>
  <c r="B744" i="4" s="1"/>
  <c r="C745" i="4"/>
  <c r="B745" i="4" s="1"/>
  <c r="T745" i="4"/>
  <c r="T746" i="4"/>
  <c r="C746" i="4" s="1"/>
  <c r="B746" i="4" s="1"/>
  <c r="C747" i="4"/>
  <c r="B747" i="4" s="1"/>
  <c r="T747" i="4"/>
  <c r="T748" i="4"/>
  <c r="C748" i="4" s="1"/>
  <c r="B748" i="4" s="1"/>
  <c r="C749" i="4"/>
  <c r="B749" i="4" s="1"/>
  <c r="T749" i="4"/>
  <c r="T750" i="4"/>
  <c r="C750" i="4" s="1"/>
  <c r="B750" i="4" s="1"/>
  <c r="C751" i="4"/>
  <c r="B751" i="4" s="1"/>
  <c r="T751" i="4"/>
  <c r="T752" i="4"/>
  <c r="C752" i="4" s="1"/>
  <c r="B752" i="4" s="1"/>
  <c r="C753" i="4"/>
  <c r="B753" i="4" s="1"/>
  <c r="T753" i="4"/>
  <c r="T754" i="4"/>
  <c r="C754" i="4" s="1"/>
  <c r="B754" i="4" s="1"/>
  <c r="C755" i="4"/>
  <c r="B755" i="4" s="1"/>
  <c r="T755" i="4"/>
  <c r="T764" i="4"/>
  <c r="C764" i="4" s="1"/>
  <c r="B764" i="4" s="1"/>
  <c r="C765" i="4"/>
  <c r="B765" i="4" s="1"/>
  <c r="T765" i="4"/>
  <c r="T766" i="4"/>
  <c r="C766" i="4" s="1"/>
  <c r="B766" i="4" s="1"/>
  <c r="C767" i="4"/>
  <c r="B767" i="4" s="1"/>
  <c r="T767" i="4"/>
  <c r="T768" i="4"/>
  <c r="C768" i="4" s="1"/>
  <c r="B768" i="4" s="1"/>
  <c r="C769" i="4"/>
  <c r="B769" i="4" s="1"/>
  <c r="T769" i="4"/>
  <c r="T770" i="4"/>
  <c r="C770" i="4" s="1"/>
  <c r="B770" i="4" s="1"/>
  <c r="C771" i="4"/>
  <c r="B771" i="4" s="1"/>
  <c r="T771" i="4"/>
  <c r="T780" i="4"/>
  <c r="C780" i="4" s="1"/>
  <c r="B780" i="4" s="1"/>
  <c r="C781" i="4"/>
  <c r="B781" i="4" s="1"/>
  <c r="T781" i="4"/>
  <c r="T782" i="4"/>
  <c r="C782" i="4" s="1"/>
  <c r="B782" i="4" s="1"/>
  <c r="C783" i="4"/>
  <c r="B783" i="4" s="1"/>
  <c r="T783" i="4"/>
  <c r="T784" i="4"/>
  <c r="C784" i="4" s="1"/>
  <c r="B784" i="4" s="1"/>
  <c r="C785" i="4"/>
  <c r="B785" i="4" s="1"/>
  <c r="T785" i="4"/>
  <c r="T786" i="4"/>
  <c r="C786" i="4" s="1"/>
  <c r="B786" i="4" s="1"/>
  <c r="C787" i="4"/>
  <c r="B787" i="4" s="1"/>
  <c r="T787" i="4"/>
  <c r="T788" i="4"/>
  <c r="C788" i="4" s="1"/>
  <c r="B788" i="4" s="1"/>
  <c r="C789" i="4"/>
  <c r="B789" i="4" s="1"/>
  <c r="T789" i="4"/>
  <c r="T790" i="4"/>
  <c r="C790" i="4" s="1"/>
  <c r="B790" i="4" s="1"/>
  <c r="C791" i="4"/>
  <c r="B791" i="4" s="1"/>
  <c r="T791" i="4"/>
  <c r="T800" i="4"/>
  <c r="C800" i="4" s="1"/>
  <c r="B800" i="4" s="1"/>
  <c r="C801" i="4"/>
  <c r="B801" i="4" s="1"/>
  <c r="T801" i="4"/>
  <c r="T802" i="4"/>
  <c r="C802" i="4" s="1"/>
  <c r="B802" i="4" s="1"/>
  <c r="C803" i="4"/>
  <c r="B803" i="4" s="1"/>
  <c r="T803" i="4"/>
  <c r="T804" i="4"/>
  <c r="C804" i="4" s="1"/>
  <c r="B804" i="4" s="1"/>
  <c r="C805" i="4"/>
  <c r="B805" i="4" s="1"/>
  <c r="T805" i="4"/>
  <c r="T806" i="4"/>
  <c r="C806" i="4" s="1"/>
  <c r="B806" i="4" s="1"/>
  <c r="C807" i="4"/>
  <c r="B807" i="4" s="1"/>
  <c r="T807" i="4"/>
  <c r="T816" i="4"/>
  <c r="C816" i="4" s="1"/>
  <c r="B816" i="4" s="1"/>
  <c r="C817" i="4"/>
  <c r="B817" i="4" s="1"/>
  <c r="T817" i="4"/>
  <c r="T818" i="4"/>
  <c r="C818" i="4" s="1"/>
  <c r="B818" i="4" s="1"/>
  <c r="C819" i="4"/>
  <c r="B819" i="4" s="1"/>
  <c r="T819" i="4"/>
  <c r="T820" i="4"/>
  <c r="C820" i="4" s="1"/>
  <c r="B820" i="4" s="1"/>
  <c r="C821" i="4"/>
  <c r="B821" i="4" s="1"/>
  <c r="T821" i="4"/>
  <c r="T822" i="4"/>
  <c r="C822" i="4" s="1"/>
  <c r="B822" i="4" s="1"/>
  <c r="C823" i="4"/>
  <c r="B823" i="4" s="1"/>
  <c r="T823" i="4"/>
  <c r="T832" i="4"/>
  <c r="C832" i="4" s="1"/>
  <c r="B832" i="4" s="1"/>
  <c r="C833" i="4"/>
  <c r="B833" i="4" s="1"/>
  <c r="T833" i="4"/>
  <c r="T834" i="4"/>
  <c r="C834" i="4" s="1"/>
  <c r="B834" i="4" s="1"/>
  <c r="T835" i="4"/>
  <c r="C835" i="4" s="1"/>
  <c r="B835" i="4" s="1"/>
  <c r="T837" i="4"/>
  <c r="C837" i="4" s="1"/>
  <c r="B837" i="4" s="1"/>
  <c r="T839" i="4"/>
  <c r="C839" i="4" s="1"/>
  <c r="B839" i="4" s="1"/>
  <c r="T841" i="4"/>
  <c r="C841" i="4" s="1"/>
  <c r="B841" i="4" s="1"/>
  <c r="C843" i="4"/>
  <c r="B843" i="4" s="1"/>
  <c r="T843" i="4"/>
  <c r="T845" i="4"/>
  <c r="C845" i="4" s="1"/>
  <c r="B845" i="4" s="1"/>
  <c r="T847" i="4"/>
  <c r="C847" i="4" s="1"/>
  <c r="B847" i="4" s="1"/>
  <c r="T849" i="4"/>
  <c r="C849" i="4" s="1"/>
  <c r="B849" i="4" s="1"/>
  <c r="T851" i="4"/>
  <c r="C851" i="4" s="1"/>
  <c r="B851" i="4" s="1"/>
  <c r="T853" i="4"/>
  <c r="C853" i="4" s="1"/>
  <c r="B853" i="4" s="1"/>
  <c r="T855" i="4"/>
  <c r="C855" i="4" s="1"/>
  <c r="B855" i="4" s="1"/>
  <c r="T857" i="4"/>
  <c r="C857" i="4" s="1"/>
  <c r="B857" i="4" s="1"/>
  <c r="C859" i="4"/>
  <c r="B859" i="4" s="1"/>
  <c r="T859" i="4"/>
  <c r="T861" i="4"/>
  <c r="C861" i="4" s="1"/>
  <c r="B861" i="4" s="1"/>
  <c r="T863" i="4"/>
  <c r="C863" i="4" s="1"/>
  <c r="B863" i="4" s="1"/>
  <c r="T865" i="4"/>
  <c r="C865" i="4" s="1"/>
  <c r="B865" i="4" s="1"/>
  <c r="T867" i="4"/>
  <c r="C867" i="4" s="1"/>
  <c r="B867" i="4" s="1"/>
  <c r="T869" i="4"/>
  <c r="C869" i="4" s="1"/>
  <c r="B869" i="4" s="1"/>
  <c r="T871" i="4"/>
  <c r="C871" i="4" s="1"/>
  <c r="B871" i="4" s="1"/>
  <c r="T873" i="4"/>
  <c r="C873" i="4" s="1"/>
  <c r="B873" i="4" s="1"/>
  <c r="C875" i="4"/>
  <c r="B875" i="4" s="1"/>
  <c r="T875" i="4"/>
  <c r="T877" i="4"/>
  <c r="C877" i="4" s="1"/>
  <c r="B877" i="4" s="1"/>
  <c r="T879" i="4"/>
  <c r="C879" i="4" s="1"/>
  <c r="B879" i="4" s="1"/>
  <c r="T881" i="4"/>
  <c r="C881" i="4" s="1"/>
  <c r="B881" i="4" s="1"/>
  <c r="T883" i="4"/>
  <c r="C883" i="4" s="1"/>
  <c r="B883" i="4" s="1"/>
  <c r="T885" i="4"/>
  <c r="C885" i="4" s="1"/>
  <c r="B885" i="4" s="1"/>
  <c r="T887" i="4"/>
  <c r="C887" i="4" s="1"/>
  <c r="B887" i="4" s="1"/>
  <c r="T889" i="4"/>
  <c r="C889" i="4" s="1"/>
  <c r="B889" i="4" s="1"/>
  <c r="C891" i="4"/>
  <c r="B891" i="4" s="1"/>
  <c r="T891" i="4"/>
  <c r="T893" i="4"/>
  <c r="C893" i="4" s="1"/>
  <c r="B893" i="4" s="1"/>
  <c r="T895" i="4"/>
  <c r="C895" i="4" s="1"/>
  <c r="B895" i="4" s="1"/>
  <c r="T897" i="4"/>
  <c r="C897" i="4" s="1"/>
  <c r="B897" i="4" s="1"/>
  <c r="T899" i="4"/>
  <c r="C899" i="4" s="1"/>
  <c r="B899" i="4" s="1"/>
  <c r="T901" i="4"/>
  <c r="C901" i="4" s="1"/>
  <c r="B901" i="4" s="1"/>
  <c r="T903" i="4"/>
  <c r="C903" i="4" s="1"/>
  <c r="B903" i="4" s="1"/>
  <c r="T905" i="4"/>
  <c r="C905" i="4" s="1"/>
  <c r="B905" i="4" s="1"/>
  <c r="C907" i="4"/>
  <c r="B907" i="4" s="1"/>
  <c r="T907" i="4"/>
  <c r="T909" i="4"/>
  <c r="C909" i="4" s="1"/>
  <c r="B909" i="4" s="1"/>
  <c r="T911" i="4"/>
  <c r="C911" i="4" s="1"/>
  <c r="B911" i="4" s="1"/>
  <c r="T913" i="4"/>
  <c r="C913" i="4" s="1"/>
  <c r="B913" i="4" s="1"/>
  <c r="C915" i="4"/>
  <c r="B915" i="4" s="1"/>
  <c r="T915" i="4"/>
  <c r="T917" i="4"/>
  <c r="C917" i="4" s="1"/>
  <c r="B917" i="4" s="1"/>
  <c r="T919" i="4"/>
  <c r="C919" i="4" s="1"/>
  <c r="B919" i="4" s="1"/>
  <c r="T921" i="4"/>
  <c r="C921" i="4" s="1"/>
  <c r="B921" i="4" s="1"/>
  <c r="C923" i="4"/>
  <c r="B923" i="4" s="1"/>
  <c r="T923" i="4"/>
  <c r="T925" i="4"/>
  <c r="C925" i="4" s="1"/>
  <c r="B925" i="4" s="1"/>
  <c r="T927" i="4"/>
  <c r="C927" i="4" s="1"/>
  <c r="B927" i="4" s="1"/>
  <c r="T929" i="4"/>
  <c r="C929" i="4" s="1"/>
  <c r="B929" i="4" s="1"/>
  <c r="C931" i="4"/>
  <c r="B931" i="4" s="1"/>
  <c r="T931" i="4"/>
  <c r="T933" i="4"/>
  <c r="C933" i="4" s="1"/>
  <c r="B933" i="4" s="1"/>
  <c r="T935" i="4"/>
  <c r="C935" i="4" s="1"/>
  <c r="B935" i="4" s="1"/>
  <c r="T937" i="4"/>
  <c r="C937" i="4" s="1"/>
  <c r="B937" i="4" s="1"/>
  <c r="C939" i="4"/>
  <c r="B939" i="4" s="1"/>
  <c r="T939" i="4"/>
  <c r="T941" i="4"/>
  <c r="C941" i="4" s="1"/>
  <c r="B941" i="4" s="1"/>
  <c r="T958" i="4"/>
  <c r="C958" i="4" s="1"/>
  <c r="B958" i="4" s="1"/>
  <c r="T959" i="4"/>
  <c r="C959" i="4" s="1"/>
  <c r="B959" i="4" s="1"/>
  <c r="C960" i="4"/>
  <c r="B960" i="4" s="1"/>
  <c r="T960" i="4"/>
  <c r="T961" i="4"/>
  <c r="C961" i="4" s="1"/>
  <c r="B961" i="4" s="1"/>
  <c r="T962" i="4"/>
  <c r="C962" i="4" s="1"/>
  <c r="B962" i="4" s="1"/>
  <c r="T963" i="4"/>
  <c r="C963" i="4" s="1"/>
  <c r="B963" i="4" s="1"/>
  <c r="C964" i="4"/>
  <c r="B964" i="4" s="1"/>
  <c r="T964" i="4"/>
  <c r="T965" i="4"/>
  <c r="C965" i="4" s="1"/>
  <c r="B965" i="4" s="1"/>
  <c r="T974" i="4"/>
  <c r="C974" i="4" s="1"/>
  <c r="B974" i="4" s="1"/>
  <c r="T975" i="4"/>
  <c r="C975" i="4" s="1"/>
  <c r="B975" i="4" s="1"/>
  <c r="C976" i="4"/>
  <c r="B976" i="4" s="1"/>
  <c r="T976" i="4"/>
  <c r="T977" i="4"/>
  <c r="C977" i="4" s="1"/>
  <c r="B977" i="4" s="1"/>
  <c r="T978" i="4"/>
  <c r="C978" i="4" s="1"/>
  <c r="B978" i="4" s="1"/>
  <c r="T979" i="4"/>
  <c r="C979" i="4" s="1"/>
  <c r="B979" i="4" s="1"/>
  <c r="C980" i="4"/>
  <c r="B980" i="4" s="1"/>
  <c r="T980" i="4"/>
  <c r="T981" i="4"/>
  <c r="C981" i="4" s="1"/>
  <c r="B981" i="4" s="1"/>
  <c r="T982" i="4"/>
  <c r="C982" i="4" s="1"/>
  <c r="B982" i="4" s="1"/>
  <c r="T983" i="4"/>
  <c r="C983" i="4" s="1"/>
  <c r="B983" i="4" s="1"/>
  <c r="C984" i="4"/>
  <c r="B984" i="4" s="1"/>
  <c r="T984" i="4"/>
  <c r="T985" i="4"/>
  <c r="C985" i="4" s="1"/>
  <c r="B985" i="4" s="1"/>
  <c r="T994" i="4"/>
  <c r="C994" i="4" s="1"/>
  <c r="B994" i="4" s="1"/>
  <c r="T995" i="4"/>
  <c r="C995" i="4" s="1"/>
  <c r="B995" i="4" s="1"/>
  <c r="C996" i="4"/>
  <c r="B996" i="4" s="1"/>
  <c r="T996" i="4"/>
  <c r="T997" i="4"/>
  <c r="C997" i="4" s="1"/>
  <c r="B997" i="4" s="1"/>
  <c r="T998" i="4"/>
  <c r="C998" i="4" s="1"/>
  <c r="B998" i="4" s="1"/>
  <c r="T999" i="4"/>
  <c r="C999" i="4" s="1"/>
  <c r="B999" i="4" s="1"/>
  <c r="C1000" i="4"/>
  <c r="B1000" i="4" s="1"/>
  <c r="T1000" i="4"/>
  <c r="T1001" i="4"/>
  <c r="C1001" i="4" s="1"/>
  <c r="B1001" i="4" s="1"/>
  <c r="T1002" i="4"/>
  <c r="C1002" i="4" s="1"/>
  <c r="B1002" i="4" s="1"/>
  <c r="T1003" i="4"/>
  <c r="C1003" i="4" s="1"/>
  <c r="B1003" i="4" s="1"/>
  <c r="C56" i="6"/>
  <c r="B56" i="6" s="1"/>
  <c r="T56" i="6"/>
  <c r="T62" i="6"/>
  <c r="C62" i="6" s="1"/>
  <c r="B62" i="6" s="1"/>
  <c r="T64" i="6"/>
  <c r="C64" i="6" s="1"/>
  <c r="B64" i="6" s="1"/>
  <c r="T70" i="6"/>
  <c r="C70" i="6" s="1"/>
  <c r="B70" i="6" s="1"/>
  <c r="C72" i="6"/>
  <c r="B72" i="6" s="1"/>
  <c r="T72" i="6"/>
  <c r="T78" i="6"/>
  <c r="C78" i="6" s="1"/>
  <c r="B78" i="6" s="1"/>
  <c r="T80" i="6"/>
  <c r="C80" i="6" s="1"/>
  <c r="B80" i="6" s="1"/>
  <c r="T86" i="6"/>
  <c r="C86" i="6" s="1"/>
  <c r="B86" i="6" s="1"/>
  <c r="C88" i="6"/>
  <c r="B88" i="6" s="1"/>
  <c r="T88" i="6"/>
  <c r="T94" i="6"/>
  <c r="C94" i="6" s="1"/>
  <c r="B94" i="6" s="1"/>
  <c r="T96" i="6"/>
  <c r="C96" i="6" s="1"/>
  <c r="B96" i="6" s="1"/>
  <c r="T102" i="6"/>
  <c r="C102" i="6" s="1"/>
  <c r="B102" i="6" s="1"/>
  <c r="C104" i="6"/>
  <c r="B104" i="6" s="1"/>
  <c r="T104" i="6"/>
  <c r="T110" i="6"/>
  <c r="C110" i="6" s="1"/>
  <c r="B110" i="6" s="1"/>
  <c r="T112" i="6"/>
  <c r="C112" i="6" s="1"/>
  <c r="B112" i="6" s="1"/>
  <c r="T118" i="6"/>
  <c r="C118" i="6" s="1"/>
  <c r="B118" i="6" s="1"/>
  <c r="C120" i="6"/>
  <c r="B120" i="6" s="1"/>
  <c r="T120" i="6"/>
  <c r="T126" i="6"/>
  <c r="C126" i="6" s="1"/>
  <c r="B126" i="6" s="1"/>
  <c r="T128" i="6"/>
  <c r="C128" i="6" s="1"/>
  <c r="B128" i="6" s="1"/>
  <c r="T132" i="6"/>
  <c r="C132" i="6" s="1"/>
  <c r="B132" i="6" s="1"/>
  <c r="T142" i="6"/>
  <c r="C142" i="6" s="1"/>
  <c r="B142" i="6" s="1"/>
  <c r="T144" i="6"/>
  <c r="C144" i="6" s="1"/>
  <c r="B144" i="6" s="1"/>
  <c r="T148" i="6"/>
  <c r="C148" i="6" s="1"/>
  <c r="B148" i="6" s="1"/>
  <c r="T158" i="6"/>
  <c r="C158" i="6" s="1"/>
  <c r="B158" i="6" s="1"/>
  <c r="T160" i="6"/>
  <c r="C160" i="6" s="1"/>
  <c r="B160" i="6" s="1"/>
  <c r="T164" i="6"/>
  <c r="C164" i="6" s="1"/>
  <c r="B164" i="6" s="1"/>
  <c r="T174" i="6"/>
  <c r="C174" i="6" s="1"/>
  <c r="B174" i="6" s="1"/>
  <c r="T176" i="6"/>
  <c r="C176" i="6" s="1"/>
  <c r="B176" i="6" s="1"/>
  <c r="T180" i="6"/>
  <c r="C180" i="6" s="1"/>
  <c r="B180" i="6" s="1"/>
  <c r="T190" i="6"/>
  <c r="C190" i="6" s="1"/>
  <c r="B190" i="6" s="1"/>
  <c r="T192" i="6"/>
  <c r="C192" i="6" s="1"/>
  <c r="B192" i="6" s="1"/>
  <c r="T196" i="6"/>
  <c r="C196" i="6" s="1"/>
  <c r="B196" i="6" s="1"/>
  <c r="T206" i="6"/>
  <c r="C206" i="6" s="1"/>
  <c r="B206" i="6" s="1"/>
  <c r="T208" i="6"/>
  <c r="C208" i="6" s="1"/>
  <c r="B208" i="6" s="1"/>
  <c r="T212" i="6"/>
  <c r="C212" i="6" s="1"/>
  <c r="B212" i="6" s="1"/>
  <c r="T222" i="6"/>
  <c r="C222" i="6" s="1"/>
  <c r="B222" i="6" s="1"/>
  <c r="T224" i="6"/>
  <c r="C224" i="6" s="1"/>
  <c r="B224" i="6" s="1"/>
  <c r="T228" i="6"/>
  <c r="C228" i="6" s="1"/>
  <c r="B228" i="6" s="1"/>
  <c r="T237" i="6"/>
  <c r="C237" i="6" s="1"/>
  <c r="B237" i="6" s="1"/>
  <c r="T239" i="6"/>
  <c r="C239" i="6" s="1"/>
  <c r="B239" i="6" s="1"/>
  <c r="T245" i="6"/>
  <c r="C245" i="6" s="1"/>
  <c r="B245" i="6" s="1"/>
  <c r="T247" i="6"/>
  <c r="C247" i="6" s="1"/>
  <c r="B247" i="6" s="1"/>
  <c r="T253" i="6"/>
  <c r="C253" i="6" s="1"/>
  <c r="B253" i="6" s="1"/>
  <c r="T255" i="6"/>
  <c r="C255" i="6" s="1"/>
  <c r="B255" i="6" s="1"/>
  <c r="T261" i="6"/>
  <c r="C261" i="6" s="1"/>
  <c r="B261" i="6" s="1"/>
  <c r="T263" i="6"/>
  <c r="C263" i="6" s="1"/>
  <c r="B263" i="6" s="1"/>
  <c r="T269" i="6"/>
  <c r="C269" i="6" s="1"/>
  <c r="B269" i="6" s="1"/>
  <c r="T271" i="6"/>
  <c r="C271" i="6" s="1"/>
  <c r="B271" i="6" s="1"/>
  <c r="T277" i="6"/>
  <c r="C277" i="6" s="1"/>
  <c r="B277" i="6" s="1"/>
  <c r="T279" i="6"/>
  <c r="C279" i="6" s="1"/>
  <c r="B279" i="6" s="1"/>
  <c r="T285" i="6"/>
  <c r="C285" i="6" s="1"/>
  <c r="B285" i="6" s="1"/>
  <c r="T287" i="6"/>
  <c r="C287" i="6" s="1"/>
  <c r="B287" i="6" s="1"/>
  <c r="T293" i="6"/>
  <c r="C293" i="6" s="1"/>
  <c r="B293" i="6" s="1"/>
  <c r="T295" i="6"/>
  <c r="C295" i="6" s="1"/>
  <c r="B295" i="6" s="1"/>
  <c r="T301" i="6"/>
  <c r="C301" i="6" s="1"/>
  <c r="B301" i="6" s="1"/>
  <c r="T303" i="6"/>
  <c r="C303" i="6" s="1"/>
  <c r="B303" i="6" s="1"/>
  <c r="T309" i="6"/>
  <c r="C309" i="6" s="1"/>
  <c r="B309" i="6" s="1"/>
  <c r="T311" i="6"/>
  <c r="C311" i="6" s="1"/>
  <c r="B311" i="6" s="1"/>
  <c r="T317" i="6"/>
  <c r="C317" i="6" s="1"/>
  <c r="B317" i="6" s="1"/>
  <c r="T319" i="6"/>
  <c r="C319" i="6" s="1"/>
  <c r="B319" i="6" s="1"/>
  <c r="T325" i="6"/>
  <c r="C325" i="6" s="1"/>
  <c r="B325" i="6" s="1"/>
  <c r="T327" i="6"/>
  <c r="C327" i="6" s="1"/>
  <c r="B327" i="6" s="1"/>
  <c r="T333" i="6"/>
  <c r="C333" i="6" s="1"/>
  <c r="B333" i="6" s="1"/>
  <c r="T335" i="6"/>
  <c r="C335" i="6" s="1"/>
  <c r="B335" i="6" s="1"/>
  <c r="T341" i="6"/>
  <c r="C341" i="6" s="1"/>
  <c r="B341" i="6" s="1"/>
  <c r="T343" i="6"/>
  <c r="C343" i="6" s="1"/>
  <c r="B343" i="6" s="1"/>
  <c r="T349" i="6"/>
  <c r="C349" i="6" s="1"/>
  <c r="B349" i="6" s="1"/>
  <c r="T352" i="6"/>
  <c r="C352" i="6" s="1"/>
  <c r="B352" i="6" s="1"/>
  <c r="T353" i="6"/>
  <c r="C353" i="6" s="1"/>
  <c r="B353" i="6" s="1"/>
  <c r="T356" i="6"/>
  <c r="C356" i="6" s="1"/>
  <c r="B356" i="6" s="1"/>
  <c r="T357" i="6"/>
  <c r="C357" i="6" s="1"/>
  <c r="B357" i="6" s="1"/>
  <c r="T360" i="6"/>
  <c r="C360" i="6" s="1"/>
  <c r="B360" i="6" s="1"/>
  <c r="T361" i="6"/>
  <c r="C361" i="6" s="1"/>
  <c r="B361" i="6" s="1"/>
  <c r="T364" i="6"/>
  <c r="C364" i="6" s="1"/>
  <c r="B364" i="6" s="1"/>
  <c r="T365" i="6"/>
  <c r="C365" i="6" s="1"/>
  <c r="B365" i="6" s="1"/>
  <c r="T368" i="6"/>
  <c r="C368" i="6" s="1"/>
  <c r="B368" i="6" s="1"/>
  <c r="T369" i="6"/>
  <c r="C369" i="6" s="1"/>
  <c r="B369" i="6" s="1"/>
  <c r="T372" i="6"/>
  <c r="C372" i="6" s="1"/>
  <c r="B372" i="6" s="1"/>
  <c r="T373" i="6"/>
  <c r="C373" i="6" s="1"/>
  <c r="B373" i="6" s="1"/>
  <c r="T376" i="6"/>
  <c r="C376" i="6" s="1"/>
  <c r="B376" i="6" s="1"/>
  <c r="T377" i="6"/>
  <c r="C377" i="6" s="1"/>
  <c r="B377" i="6" s="1"/>
  <c r="T380" i="6"/>
  <c r="C380" i="6" s="1"/>
  <c r="B380" i="6" s="1"/>
  <c r="T381" i="6"/>
  <c r="C381" i="6" s="1"/>
  <c r="B381" i="6" s="1"/>
  <c r="T384" i="6"/>
  <c r="C384" i="6" s="1"/>
  <c r="B384" i="6" s="1"/>
  <c r="T385" i="6"/>
  <c r="C385" i="6" s="1"/>
  <c r="B385" i="6" s="1"/>
  <c r="T388" i="6"/>
  <c r="C388" i="6" s="1"/>
  <c r="B388" i="6" s="1"/>
  <c r="T389" i="6"/>
  <c r="C389" i="6" s="1"/>
  <c r="B389" i="6" s="1"/>
  <c r="T392" i="6"/>
  <c r="C392" i="6" s="1"/>
  <c r="B392" i="6" s="1"/>
  <c r="T393" i="6"/>
  <c r="C393" i="6" s="1"/>
  <c r="B393" i="6" s="1"/>
  <c r="T396" i="6"/>
  <c r="C396" i="6" s="1"/>
  <c r="B396" i="6" s="1"/>
  <c r="T397" i="6"/>
  <c r="C397" i="6" s="1"/>
  <c r="B397" i="6" s="1"/>
  <c r="T400" i="6"/>
  <c r="C400" i="6" s="1"/>
  <c r="B400" i="6" s="1"/>
  <c r="T401" i="6"/>
  <c r="C401" i="6" s="1"/>
  <c r="B401" i="6" s="1"/>
  <c r="T404" i="6"/>
  <c r="C404" i="6" s="1"/>
  <c r="B404" i="6" s="1"/>
  <c r="T405" i="6"/>
  <c r="C405" i="6" s="1"/>
  <c r="B405" i="6" s="1"/>
  <c r="T408" i="6"/>
  <c r="C408" i="6" s="1"/>
  <c r="B408" i="6" s="1"/>
  <c r="T409" i="6"/>
  <c r="C409" i="6" s="1"/>
  <c r="B409" i="6" s="1"/>
  <c r="T412" i="6"/>
  <c r="C412" i="6" s="1"/>
  <c r="B412" i="6" s="1"/>
  <c r="T413" i="6"/>
  <c r="C413" i="6" s="1"/>
  <c r="B413" i="6" s="1"/>
  <c r="T416" i="6"/>
  <c r="C416" i="6" s="1"/>
  <c r="B416" i="6" s="1"/>
  <c r="T417" i="6"/>
  <c r="C417" i="6" s="1"/>
  <c r="B417" i="6" s="1"/>
  <c r="T420" i="6"/>
  <c r="C420" i="6" s="1"/>
  <c r="B420" i="6" s="1"/>
  <c r="T421" i="6"/>
  <c r="C421" i="6" s="1"/>
  <c r="B421" i="6" s="1"/>
  <c r="T424" i="6"/>
  <c r="C424" i="6" s="1"/>
  <c r="B424" i="6" s="1"/>
  <c r="T425" i="6"/>
  <c r="C425" i="6" s="1"/>
  <c r="B425" i="6" s="1"/>
  <c r="T428" i="6"/>
  <c r="C428" i="6" s="1"/>
  <c r="B428" i="6" s="1"/>
  <c r="T429" i="6"/>
  <c r="C429" i="6" s="1"/>
  <c r="B429" i="6" s="1"/>
  <c r="T432" i="6"/>
  <c r="C432" i="6" s="1"/>
  <c r="B432" i="6" s="1"/>
  <c r="T433" i="6"/>
  <c r="C433" i="6" s="1"/>
  <c r="B433" i="6" s="1"/>
  <c r="T436" i="6"/>
  <c r="C436" i="6" s="1"/>
  <c r="B436" i="6" s="1"/>
  <c r="T437" i="6"/>
  <c r="C437" i="6" s="1"/>
  <c r="B437" i="6" s="1"/>
  <c r="T440" i="6"/>
  <c r="C440" i="6" s="1"/>
  <c r="B440" i="6" s="1"/>
  <c r="T441" i="6"/>
  <c r="C441" i="6" s="1"/>
  <c r="B441" i="6" s="1"/>
  <c r="T444" i="6"/>
  <c r="C444" i="6" s="1"/>
  <c r="B444" i="6" s="1"/>
  <c r="T445" i="6"/>
  <c r="C445" i="6" s="1"/>
  <c r="B445" i="6" s="1"/>
  <c r="T448" i="6"/>
  <c r="C448" i="6" s="1"/>
  <c r="B448" i="6" s="1"/>
  <c r="T449" i="6"/>
  <c r="C449" i="6" s="1"/>
  <c r="B449" i="6" s="1"/>
  <c r="T452" i="6"/>
  <c r="C452" i="6" s="1"/>
  <c r="B452" i="6" s="1"/>
  <c r="T453" i="6"/>
  <c r="C453" i="6" s="1"/>
  <c r="B453" i="6" s="1"/>
  <c r="T456" i="6"/>
  <c r="C456" i="6" s="1"/>
  <c r="B456" i="6" s="1"/>
  <c r="T457" i="6"/>
  <c r="C457" i="6" s="1"/>
  <c r="B457" i="6" s="1"/>
  <c r="T460" i="6"/>
  <c r="C460" i="6" s="1"/>
  <c r="B460" i="6" s="1"/>
  <c r="T461" i="6"/>
  <c r="C461" i="6" s="1"/>
  <c r="B461" i="6" s="1"/>
  <c r="T464" i="6"/>
  <c r="C464" i="6" s="1"/>
  <c r="B464" i="6" s="1"/>
  <c r="T465" i="6"/>
  <c r="C465" i="6" s="1"/>
  <c r="B465" i="6" s="1"/>
  <c r="T468" i="6"/>
  <c r="C468" i="6" s="1"/>
  <c r="B468" i="6" s="1"/>
  <c r="T469" i="6"/>
  <c r="C469" i="6" s="1"/>
  <c r="B469" i="6" s="1"/>
  <c r="T472" i="6"/>
  <c r="C472" i="6" s="1"/>
  <c r="B472" i="6" s="1"/>
  <c r="T473" i="6"/>
  <c r="C473" i="6" s="1"/>
  <c r="B473" i="6" s="1"/>
  <c r="T476" i="6"/>
  <c r="C476" i="6" s="1"/>
  <c r="B476" i="6" s="1"/>
  <c r="T477" i="6"/>
  <c r="C477" i="6" s="1"/>
  <c r="B477" i="6" s="1"/>
  <c r="T480" i="6"/>
  <c r="C480" i="6" s="1"/>
  <c r="B480" i="6" s="1"/>
  <c r="T481" i="6"/>
  <c r="C481" i="6" s="1"/>
  <c r="B481" i="6" s="1"/>
  <c r="T484" i="6"/>
  <c r="C484" i="6" s="1"/>
  <c r="B484" i="6" s="1"/>
  <c r="T485" i="6"/>
  <c r="C485" i="6" s="1"/>
  <c r="B485" i="6" s="1"/>
  <c r="T488" i="6"/>
  <c r="C488" i="6" s="1"/>
  <c r="B488" i="6" s="1"/>
  <c r="T489" i="6"/>
  <c r="C489" i="6" s="1"/>
  <c r="B489" i="6" s="1"/>
  <c r="T492" i="6"/>
  <c r="C492" i="6" s="1"/>
  <c r="B492" i="6" s="1"/>
  <c r="T493" i="6"/>
  <c r="C493" i="6" s="1"/>
  <c r="B493" i="6" s="1"/>
  <c r="T499" i="6"/>
  <c r="C499" i="6" s="1"/>
  <c r="B499" i="6" s="1"/>
  <c r="T501" i="6"/>
  <c r="C501" i="6" s="1"/>
  <c r="B501" i="6" s="1"/>
  <c r="T507" i="6"/>
  <c r="C507" i="6" s="1"/>
  <c r="B507" i="6" s="1"/>
  <c r="T509" i="6"/>
  <c r="C509" i="6" s="1"/>
  <c r="B509" i="6" s="1"/>
  <c r="T515" i="6"/>
  <c r="C515" i="6" s="1"/>
  <c r="B515" i="6" s="1"/>
  <c r="T517" i="6"/>
  <c r="C517" i="6" s="1"/>
  <c r="B517" i="6" s="1"/>
  <c r="T523" i="6"/>
  <c r="C523" i="6" s="1"/>
  <c r="B523" i="6" s="1"/>
  <c r="T525" i="6"/>
  <c r="C525" i="6" s="1"/>
  <c r="B525" i="6" s="1"/>
  <c r="T531" i="6"/>
  <c r="C531" i="6" s="1"/>
  <c r="B531" i="6" s="1"/>
  <c r="T533" i="6"/>
  <c r="C533" i="6" s="1"/>
  <c r="B533" i="6" s="1"/>
  <c r="T539" i="6"/>
  <c r="C539" i="6" s="1"/>
  <c r="B539" i="6" s="1"/>
  <c r="T541" i="6"/>
  <c r="C541" i="6" s="1"/>
  <c r="B541" i="6" s="1"/>
  <c r="T547" i="6"/>
  <c r="C547" i="6" s="1"/>
  <c r="B547" i="6" s="1"/>
  <c r="T549" i="6"/>
  <c r="C549" i="6" s="1"/>
  <c r="B549" i="6" s="1"/>
  <c r="T555" i="6"/>
  <c r="C555" i="6" s="1"/>
  <c r="B555" i="6" s="1"/>
  <c r="T557" i="6"/>
  <c r="C557" i="6" s="1"/>
  <c r="B557" i="6" s="1"/>
  <c r="T563" i="6"/>
  <c r="C563" i="6" s="1"/>
  <c r="B563" i="6" s="1"/>
  <c r="T565" i="6"/>
  <c r="C565" i="6" s="1"/>
  <c r="B565" i="6" s="1"/>
  <c r="T571" i="6"/>
  <c r="C571" i="6" s="1"/>
  <c r="B571" i="6" s="1"/>
  <c r="T573" i="6"/>
  <c r="C573" i="6" s="1"/>
  <c r="B573" i="6" s="1"/>
  <c r="T579" i="6"/>
  <c r="C579" i="6" s="1"/>
  <c r="B579" i="6" s="1"/>
  <c r="T581" i="6"/>
  <c r="C581" i="6" s="1"/>
  <c r="B581" i="6" s="1"/>
  <c r="T587" i="6"/>
  <c r="C587" i="6" s="1"/>
  <c r="B587" i="6" s="1"/>
  <c r="T589" i="6"/>
  <c r="C589" i="6" s="1"/>
  <c r="B589" i="6" s="1"/>
  <c r="C595" i="6"/>
  <c r="B595" i="6" s="1"/>
  <c r="T595" i="6"/>
  <c r="C597" i="6"/>
  <c r="B597" i="6" s="1"/>
  <c r="T597" i="6"/>
  <c r="C602" i="6"/>
  <c r="B602" i="6" s="1"/>
  <c r="T602" i="6"/>
  <c r="C603" i="6"/>
  <c r="B603" i="6" s="1"/>
  <c r="T603" i="6"/>
  <c r="C606" i="6"/>
  <c r="B606" i="6" s="1"/>
  <c r="T606" i="6"/>
  <c r="C607" i="6"/>
  <c r="B607" i="6" s="1"/>
  <c r="T607" i="6"/>
  <c r="C610" i="6"/>
  <c r="B610" i="6" s="1"/>
  <c r="T610" i="6"/>
  <c r="C611" i="6"/>
  <c r="B611" i="6" s="1"/>
  <c r="T611" i="6"/>
  <c r="C614" i="6"/>
  <c r="B614" i="6" s="1"/>
  <c r="T614" i="6"/>
  <c r="C615" i="6"/>
  <c r="B615" i="6" s="1"/>
  <c r="T615" i="6"/>
  <c r="C618" i="6"/>
  <c r="B618" i="6" s="1"/>
  <c r="T618" i="6"/>
  <c r="C619" i="6"/>
  <c r="B619" i="6" s="1"/>
  <c r="T619" i="6"/>
  <c r="C622" i="6"/>
  <c r="B622" i="6" s="1"/>
  <c r="T622" i="6"/>
  <c r="C623" i="6"/>
  <c r="B623" i="6" s="1"/>
  <c r="T623" i="6"/>
  <c r="C626" i="6"/>
  <c r="B626" i="6" s="1"/>
  <c r="T626" i="6"/>
  <c r="C627" i="6"/>
  <c r="B627" i="6" s="1"/>
  <c r="T627" i="6"/>
  <c r="C630" i="6"/>
  <c r="B630" i="6" s="1"/>
  <c r="T630" i="6"/>
  <c r="C631" i="6"/>
  <c r="B631" i="6" s="1"/>
  <c r="T631" i="6"/>
  <c r="C634" i="6"/>
  <c r="B634" i="6" s="1"/>
  <c r="T634" i="6"/>
  <c r="C635" i="6"/>
  <c r="B635" i="6" s="1"/>
  <c r="T635" i="6"/>
  <c r="C638" i="6"/>
  <c r="B638" i="6" s="1"/>
  <c r="T638" i="6"/>
  <c r="C639" i="6"/>
  <c r="B639" i="6" s="1"/>
  <c r="T639" i="6"/>
  <c r="C642" i="6"/>
  <c r="B642" i="6" s="1"/>
  <c r="T642" i="6"/>
  <c r="C643" i="6"/>
  <c r="B643" i="6" s="1"/>
  <c r="T643" i="6"/>
  <c r="C646" i="6"/>
  <c r="B646" i="6" s="1"/>
  <c r="T646" i="6"/>
  <c r="C647" i="6"/>
  <c r="B647" i="6" s="1"/>
  <c r="T647" i="6"/>
  <c r="C650" i="6"/>
  <c r="B650" i="6" s="1"/>
  <c r="T650" i="6"/>
  <c r="C651" i="6"/>
  <c r="B651" i="6" s="1"/>
  <c r="T651" i="6"/>
  <c r="C654" i="6"/>
  <c r="B654" i="6" s="1"/>
  <c r="T654" i="6"/>
  <c r="C655" i="6"/>
  <c r="B655" i="6" s="1"/>
  <c r="T655" i="6"/>
  <c r="C658" i="6"/>
  <c r="B658" i="6" s="1"/>
  <c r="T658" i="6"/>
  <c r="C659" i="6"/>
  <c r="B659" i="6" s="1"/>
  <c r="T659" i="6"/>
  <c r="C662" i="6"/>
  <c r="B662" i="6" s="1"/>
  <c r="T662" i="6"/>
  <c r="C663" i="6"/>
  <c r="B663" i="6" s="1"/>
  <c r="T663" i="6"/>
  <c r="C666" i="6"/>
  <c r="B666" i="6" s="1"/>
  <c r="T666" i="6"/>
  <c r="C667" i="6"/>
  <c r="B667" i="6" s="1"/>
  <c r="T667" i="6"/>
  <c r="C670" i="6"/>
  <c r="B670" i="6" s="1"/>
  <c r="T670" i="6"/>
  <c r="C671" i="6"/>
  <c r="B671" i="6" s="1"/>
  <c r="T671" i="6"/>
  <c r="C674" i="6"/>
  <c r="B674" i="6" s="1"/>
  <c r="T674" i="6"/>
  <c r="C675" i="6"/>
  <c r="B675" i="6" s="1"/>
  <c r="T675" i="6"/>
  <c r="C678" i="6"/>
  <c r="B678" i="6" s="1"/>
  <c r="T678" i="6"/>
  <c r="C679" i="6"/>
  <c r="B679" i="6" s="1"/>
  <c r="T679" i="6"/>
  <c r="C682" i="6"/>
  <c r="B682" i="6" s="1"/>
  <c r="T682" i="6"/>
  <c r="C683" i="6"/>
  <c r="B683" i="6" s="1"/>
  <c r="T683" i="6"/>
  <c r="C686" i="6"/>
  <c r="B686" i="6" s="1"/>
  <c r="T686" i="6"/>
  <c r="C687" i="6"/>
  <c r="B687" i="6" s="1"/>
  <c r="T687" i="6"/>
  <c r="C690" i="6"/>
  <c r="B690" i="6" s="1"/>
  <c r="T690" i="6"/>
  <c r="C691" i="6"/>
  <c r="B691" i="6" s="1"/>
  <c r="T691" i="6"/>
  <c r="C694" i="6"/>
  <c r="B694" i="6" s="1"/>
  <c r="T694" i="6"/>
  <c r="C695" i="6"/>
  <c r="B695" i="6" s="1"/>
  <c r="T695" i="6"/>
  <c r="C698" i="6"/>
  <c r="B698" i="6" s="1"/>
  <c r="T698" i="6"/>
  <c r="C699" i="6"/>
  <c r="B699" i="6" s="1"/>
  <c r="T699" i="6"/>
  <c r="C702" i="6"/>
  <c r="B702" i="6" s="1"/>
  <c r="T702" i="6"/>
  <c r="C703" i="6"/>
  <c r="B703" i="6" s="1"/>
  <c r="T703" i="6"/>
  <c r="C706" i="6"/>
  <c r="B706" i="6" s="1"/>
  <c r="T706" i="6"/>
  <c r="C707" i="6"/>
  <c r="B707" i="6" s="1"/>
  <c r="T707" i="6"/>
  <c r="C710" i="6"/>
  <c r="B710" i="6" s="1"/>
  <c r="T710" i="6"/>
  <c r="C711" i="6"/>
  <c r="B711" i="6" s="1"/>
  <c r="T711" i="6"/>
  <c r="C714" i="6"/>
  <c r="B714" i="6" s="1"/>
  <c r="T714" i="6"/>
  <c r="C715" i="6"/>
  <c r="B715" i="6" s="1"/>
  <c r="T715" i="6"/>
  <c r="C718" i="6"/>
  <c r="B718" i="6" s="1"/>
  <c r="T718" i="6"/>
  <c r="C719" i="6"/>
  <c r="B719" i="6" s="1"/>
  <c r="T719" i="6"/>
  <c r="C722" i="6"/>
  <c r="B722" i="6" s="1"/>
  <c r="T722" i="6"/>
  <c r="C723" i="6"/>
  <c r="B723" i="6" s="1"/>
  <c r="T723" i="6"/>
  <c r="C726" i="6"/>
  <c r="B726" i="6" s="1"/>
  <c r="T726" i="6"/>
  <c r="C727" i="6"/>
  <c r="B727" i="6" s="1"/>
  <c r="T727" i="6"/>
  <c r="C730" i="6"/>
  <c r="B730" i="6" s="1"/>
  <c r="T730" i="6"/>
  <c r="C731" i="6"/>
  <c r="B731" i="6" s="1"/>
  <c r="T731" i="6"/>
  <c r="C734" i="6"/>
  <c r="B734" i="6" s="1"/>
  <c r="T734" i="6"/>
  <c r="C735" i="6"/>
  <c r="B735" i="6" s="1"/>
  <c r="T735" i="6"/>
  <c r="C738" i="6"/>
  <c r="B738" i="6" s="1"/>
  <c r="T738" i="6"/>
  <c r="C739" i="6"/>
  <c r="B739" i="6" s="1"/>
  <c r="T739" i="6"/>
  <c r="C742" i="6"/>
  <c r="B742" i="6" s="1"/>
  <c r="T742" i="6"/>
  <c r="C743" i="6"/>
  <c r="B743" i="6" s="1"/>
  <c r="T743" i="6"/>
  <c r="C746" i="6"/>
  <c r="B746" i="6" s="1"/>
  <c r="T746" i="6"/>
  <c r="C747" i="6"/>
  <c r="B747" i="6" s="1"/>
  <c r="T747" i="6"/>
  <c r="C750" i="6"/>
  <c r="B750" i="6" s="1"/>
  <c r="T750" i="6"/>
  <c r="C751" i="6"/>
  <c r="B751" i="6" s="1"/>
  <c r="T751" i="6"/>
  <c r="C754" i="6"/>
  <c r="B754" i="6" s="1"/>
  <c r="T754" i="6"/>
  <c r="C755" i="6"/>
  <c r="B755" i="6" s="1"/>
  <c r="T755" i="6"/>
  <c r="C758" i="6"/>
  <c r="B758" i="6" s="1"/>
  <c r="T758" i="6"/>
  <c r="C759" i="6"/>
  <c r="B759" i="6" s="1"/>
  <c r="T759" i="6"/>
  <c r="C762" i="6"/>
  <c r="B762" i="6" s="1"/>
  <c r="T762" i="6"/>
  <c r="C763" i="6"/>
  <c r="B763" i="6" s="1"/>
  <c r="T763" i="6"/>
  <c r="C766" i="6"/>
  <c r="B766" i="6" s="1"/>
  <c r="T766" i="6"/>
  <c r="C767" i="6"/>
  <c r="B767" i="6" s="1"/>
  <c r="T767" i="6"/>
  <c r="C770" i="6"/>
  <c r="B770" i="6" s="1"/>
  <c r="T770" i="6"/>
  <c r="C771" i="6"/>
  <c r="B771" i="6" s="1"/>
  <c r="T771" i="6"/>
  <c r="C774" i="6"/>
  <c r="B774" i="6" s="1"/>
  <c r="T774" i="6"/>
  <c r="C775" i="6"/>
  <c r="B775" i="6" s="1"/>
  <c r="T775" i="6"/>
  <c r="C778" i="6"/>
  <c r="B778" i="6" s="1"/>
  <c r="T778" i="6"/>
  <c r="C779" i="6"/>
  <c r="B779" i="6" s="1"/>
  <c r="T779" i="6"/>
  <c r="C782" i="6"/>
  <c r="B782" i="6" s="1"/>
  <c r="T782" i="6"/>
  <c r="C783" i="6"/>
  <c r="B783" i="6" s="1"/>
  <c r="T783" i="6"/>
  <c r="C786" i="6"/>
  <c r="B786" i="6" s="1"/>
  <c r="T786" i="6"/>
  <c r="C787" i="6"/>
  <c r="B787" i="6" s="1"/>
  <c r="T787" i="6"/>
  <c r="C790" i="6"/>
  <c r="B790" i="6" s="1"/>
  <c r="T790" i="6"/>
  <c r="C791" i="6"/>
  <c r="B791" i="6" s="1"/>
  <c r="T791" i="6"/>
  <c r="C794" i="6"/>
  <c r="B794" i="6" s="1"/>
  <c r="T794" i="6"/>
  <c r="C795" i="6"/>
  <c r="B795" i="6" s="1"/>
  <c r="T795" i="6"/>
  <c r="C798" i="6"/>
  <c r="B798" i="6" s="1"/>
  <c r="T798" i="6"/>
  <c r="C799" i="6"/>
  <c r="B799" i="6" s="1"/>
  <c r="T799" i="6"/>
  <c r="C802" i="6"/>
  <c r="B802" i="6" s="1"/>
  <c r="T802" i="6"/>
  <c r="C803" i="6"/>
  <c r="B803" i="6" s="1"/>
  <c r="T803" i="6"/>
  <c r="C806" i="6"/>
  <c r="B806" i="6" s="1"/>
  <c r="T806" i="6"/>
  <c r="C807" i="6"/>
  <c r="B807" i="6" s="1"/>
  <c r="T807" i="6"/>
  <c r="C810" i="6"/>
  <c r="B810" i="6" s="1"/>
  <c r="T810" i="6"/>
  <c r="C811" i="6"/>
  <c r="B811" i="6" s="1"/>
  <c r="T811" i="6"/>
  <c r="C814" i="6"/>
  <c r="B814" i="6" s="1"/>
  <c r="T814" i="6"/>
  <c r="C815" i="6"/>
  <c r="B815" i="6" s="1"/>
  <c r="T815" i="6"/>
  <c r="C818" i="6"/>
  <c r="B818" i="6" s="1"/>
  <c r="T818" i="6"/>
  <c r="C819" i="6"/>
  <c r="B819" i="6" s="1"/>
  <c r="T819" i="6"/>
  <c r="C822" i="6"/>
  <c r="B822" i="6" s="1"/>
  <c r="T822" i="6"/>
  <c r="C823" i="6"/>
  <c r="B823" i="6" s="1"/>
  <c r="T823" i="6"/>
  <c r="C826" i="6"/>
  <c r="B826" i="6" s="1"/>
  <c r="T826" i="6"/>
  <c r="C827" i="6"/>
  <c r="B827" i="6" s="1"/>
  <c r="T827" i="6"/>
  <c r="C830" i="6"/>
  <c r="B830" i="6" s="1"/>
  <c r="T830" i="6"/>
  <c r="C831" i="6"/>
  <c r="B831" i="6" s="1"/>
  <c r="T831" i="6"/>
  <c r="C841" i="6"/>
  <c r="B841" i="6" s="1"/>
  <c r="T841" i="6"/>
  <c r="C843" i="6"/>
  <c r="B843" i="6" s="1"/>
  <c r="T843" i="6"/>
  <c r="C845" i="6"/>
  <c r="B845" i="6" s="1"/>
  <c r="T845" i="6"/>
  <c r="C847" i="6"/>
  <c r="B847" i="6" s="1"/>
  <c r="T847" i="6"/>
  <c r="C857" i="6"/>
  <c r="B857" i="6" s="1"/>
  <c r="T857" i="6"/>
  <c r="C859" i="6"/>
  <c r="B859" i="6" s="1"/>
  <c r="T859" i="6"/>
  <c r="C861" i="6"/>
  <c r="B861" i="6" s="1"/>
  <c r="T861" i="6"/>
  <c r="C863" i="6"/>
  <c r="B863" i="6" s="1"/>
  <c r="T863" i="6"/>
  <c r="C873" i="6"/>
  <c r="B873" i="6" s="1"/>
  <c r="T873" i="6"/>
  <c r="C875" i="6"/>
  <c r="B875" i="6" s="1"/>
  <c r="T875" i="6"/>
  <c r="C877" i="6"/>
  <c r="B877" i="6" s="1"/>
  <c r="T877" i="6"/>
  <c r="C879" i="6"/>
  <c r="B879" i="6" s="1"/>
  <c r="T879" i="6"/>
  <c r="C889" i="6"/>
  <c r="B889" i="6" s="1"/>
  <c r="T889" i="6"/>
  <c r="C891" i="6"/>
  <c r="B891" i="6" s="1"/>
  <c r="T891" i="6"/>
  <c r="C893" i="6"/>
  <c r="B893" i="6" s="1"/>
  <c r="T893" i="6"/>
  <c r="C895" i="6"/>
  <c r="B895" i="6" s="1"/>
  <c r="T895" i="6"/>
  <c r="C905" i="6"/>
  <c r="B905" i="6" s="1"/>
  <c r="T905" i="6"/>
  <c r="C907" i="6"/>
  <c r="B907" i="6" s="1"/>
  <c r="T907" i="6"/>
  <c r="C909" i="6"/>
  <c r="B909" i="6" s="1"/>
  <c r="T909" i="6"/>
  <c r="C911" i="6"/>
  <c r="B911" i="6" s="1"/>
  <c r="T911" i="6"/>
  <c r="C921" i="6"/>
  <c r="B921" i="6" s="1"/>
  <c r="T921" i="6"/>
  <c r="C923" i="6"/>
  <c r="B923" i="6" s="1"/>
  <c r="T923" i="6"/>
  <c r="C925" i="6"/>
  <c r="B925" i="6" s="1"/>
  <c r="T925" i="6"/>
  <c r="C927" i="6"/>
  <c r="B927" i="6" s="1"/>
  <c r="T927" i="6"/>
  <c r="C937" i="6"/>
  <c r="B937" i="6" s="1"/>
  <c r="T937" i="6"/>
  <c r="C939" i="6"/>
  <c r="B939" i="6" s="1"/>
  <c r="T939" i="6"/>
  <c r="C941" i="6"/>
  <c r="B941" i="6" s="1"/>
  <c r="T941" i="6"/>
  <c r="C943" i="6"/>
  <c r="B943" i="6" s="1"/>
  <c r="T943" i="6"/>
  <c r="C952" i="6"/>
  <c r="B952" i="6" s="1"/>
  <c r="T952" i="6"/>
  <c r="C953" i="6"/>
  <c r="B953" i="6" s="1"/>
  <c r="T953" i="6"/>
  <c r="C954" i="6"/>
  <c r="B954" i="6" s="1"/>
  <c r="T954" i="6"/>
  <c r="C955" i="6"/>
  <c r="B955" i="6" s="1"/>
  <c r="T955" i="6"/>
  <c r="C960" i="6"/>
  <c r="B960" i="6" s="1"/>
  <c r="T960" i="6"/>
  <c r="C961" i="6"/>
  <c r="B961" i="6" s="1"/>
  <c r="T961" i="6"/>
  <c r="C962" i="6"/>
  <c r="B962" i="6" s="1"/>
  <c r="T962" i="6"/>
  <c r="C963" i="6"/>
  <c r="B963" i="6" s="1"/>
  <c r="T963" i="6"/>
  <c r="C968" i="6"/>
  <c r="B968" i="6" s="1"/>
  <c r="T968" i="6"/>
  <c r="C969" i="6"/>
  <c r="B969" i="6" s="1"/>
  <c r="T969" i="6"/>
  <c r="C970" i="6"/>
  <c r="B970" i="6" s="1"/>
  <c r="T970" i="6"/>
  <c r="C971" i="6"/>
  <c r="B971" i="6" s="1"/>
  <c r="T971" i="6"/>
  <c r="C976" i="6"/>
  <c r="B976" i="6" s="1"/>
  <c r="T976" i="6"/>
  <c r="C977" i="6"/>
  <c r="B977" i="6" s="1"/>
  <c r="T977" i="6"/>
  <c r="C978" i="6"/>
  <c r="B978" i="6" s="1"/>
  <c r="T978" i="6"/>
  <c r="C979" i="6"/>
  <c r="B979" i="6" s="1"/>
  <c r="T979" i="6"/>
  <c r="C984" i="6"/>
  <c r="B984" i="6" s="1"/>
  <c r="T984" i="6"/>
  <c r="C985" i="6"/>
  <c r="B985" i="6" s="1"/>
  <c r="T985" i="6"/>
  <c r="C986" i="6"/>
  <c r="B986" i="6" s="1"/>
  <c r="T986" i="6"/>
  <c r="C987" i="6"/>
  <c r="B987" i="6" s="1"/>
  <c r="T987" i="6"/>
  <c r="C992" i="6"/>
  <c r="B992" i="6" s="1"/>
  <c r="T992" i="6"/>
  <c r="C993" i="6"/>
  <c r="B993" i="6" s="1"/>
  <c r="T993" i="6"/>
  <c r="C994" i="6"/>
  <c r="B994" i="6" s="1"/>
  <c r="T994" i="6"/>
  <c r="C995" i="6"/>
  <c r="B995" i="6" s="1"/>
  <c r="T995" i="6"/>
  <c r="C1000" i="6"/>
  <c r="B1000" i="6" s="1"/>
  <c r="T1000" i="6"/>
  <c r="C1001" i="6"/>
  <c r="B1001" i="6" s="1"/>
  <c r="T1001" i="6"/>
  <c r="C1002" i="6"/>
  <c r="B1002" i="6" s="1"/>
  <c r="T1002" i="6"/>
  <c r="C1003" i="6"/>
  <c r="B1003" i="6" s="1"/>
  <c r="T1003" i="6"/>
  <c r="T54" i="6"/>
  <c r="T52" i="6"/>
  <c r="J50" i="6"/>
  <c r="I50" i="6" s="1"/>
  <c r="T50" i="6"/>
  <c r="T48" i="6"/>
  <c r="T46" i="6"/>
  <c r="J46" i="6"/>
  <c r="I46" i="6" s="1"/>
  <c r="R46" i="6" s="1"/>
  <c r="U46" i="6" s="1"/>
  <c r="T44" i="6"/>
  <c r="J30" i="6"/>
  <c r="I30" i="6" s="1"/>
  <c r="J42" i="6"/>
  <c r="I42" i="6" s="1"/>
  <c r="T42" i="6"/>
  <c r="J38" i="6"/>
  <c r="I38" i="6" s="1"/>
  <c r="T40" i="6"/>
  <c r="T38" i="6"/>
  <c r="J34" i="6"/>
  <c r="I34" i="6" s="1"/>
  <c r="T34" i="6"/>
  <c r="T36" i="6"/>
  <c r="T32" i="6"/>
  <c r="T30" i="6"/>
  <c r="T28" i="6"/>
  <c r="J22" i="6"/>
  <c r="I22" i="6" s="1"/>
  <c r="J16" i="6"/>
  <c r="I16" i="6" s="1"/>
  <c r="Q230" i="6"/>
  <c r="N230" i="6"/>
  <c r="J28" i="4"/>
  <c r="I28" i="4" s="1"/>
  <c r="N34" i="6"/>
  <c r="N42" i="6"/>
  <c r="N50" i="6"/>
  <c r="N58" i="6"/>
  <c r="N66" i="6"/>
  <c r="N74" i="6"/>
  <c r="N82" i="6"/>
  <c r="N90" i="6"/>
  <c r="N98" i="6"/>
  <c r="N106" i="6"/>
  <c r="N114" i="6"/>
  <c r="N122" i="6"/>
  <c r="N134" i="6"/>
  <c r="N142" i="6"/>
  <c r="N150" i="6"/>
  <c r="N158" i="6"/>
  <c r="N166" i="6"/>
  <c r="N174" i="6"/>
  <c r="N182" i="6"/>
  <c r="N190" i="6"/>
  <c r="N198" i="6"/>
  <c r="N206" i="6"/>
  <c r="N214" i="6"/>
  <c r="N222" i="6"/>
  <c r="N664" i="6"/>
  <c r="N666" i="6"/>
  <c r="N668" i="6"/>
  <c r="N670" i="6"/>
  <c r="N672" i="6"/>
  <c r="N674" i="6"/>
  <c r="N676" i="6"/>
  <c r="N678" i="6"/>
  <c r="N680" i="6"/>
  <c r="N682" i="6"/>
  <c r="N684" i="6"/>
  <c r="N686" i="6"/>
  <c r="N688" i="6"/>
  <c r="N690" i="6"/>
  <c r="N692" i="6"/>
  <c r="N694" i="6"/>
  <c r="N696" i="6"/>
  <c r="N698" i="6"/>
  <c r="N700" i="6"/>
  <c r="N702" i="6"/>
  <c r="N704" i="6"/>
  <c r="N706" i="6"/>
  <c r="N708" i="6"/>
  <c r="N710" i="6"/>
  <c r="N712" i="6"/>
  <c r="N714" i="6"/>
  <c r="N716" i="6"/>
  <c r="N718" i="6"/>
  <c r="N720" i="6"/>
  <c r="N722" i="6"/>
  <c r="N724" i="6"/>
  <c r="N726" i="6"/>
  <c r="N728" i="6"/>
  <c r="N730" i="6"/>
  <c r="N732" i="6"/>
  <c r="N734" i="6"/>
  <c r="N736" i="6"/>
  <c r="N738" i="6"/>
  <c r="N740" i="6"/>
  <c r="N742" i="6"/>
  <c r="N744" i="6"/>
  <c r="N746" i="6"/>
  <c r="N748" i="6"/>
  <c r="N750" i="6"/>
  <c r="N752" i="6"/>
  <c r="N754" i="6"/>
  <c r="N756" i="6"/>
  <c r="N758" i="6"/>
  <c r="N760" i="6"/>
  <c r="N762" i="6"/>
  <c r="N764" i="6"/>
  <c r="N766" i="6"/>
  <c r="N768" i="6"/>
  <c r="N770" i="6"/>
  <c r="N772" i="6"/>
  <c r="N774" i="6"/>
  <c r="N776" i="6"/>
  <c r="N778" i="6"/>
  <c r="N780" i="6"/>
  <c r="N782" i="6"/>
  <c r="N784" i="6"/>
  <c r="N786" i="6"/>
  <c r="N788" i="6"/>
  <c r="N790" i="6"/>
  <c r="N792" i="6"/>
  <c r="N794" i="6"/>
  <c r="N796" i="6"/>
  <c r="N798" i="6"/>
  <c r="N800" i="6"/>
  <c r="N802" i="6"/>
  <c r="N804" i="6"/>
  <c r="N806" i="6"/>
  <c r="N808" i="6"/>
  <c r="N810" i="6"/>
  <c r="N812" i="6"/>
  <c r="N814" i="6"/>
  <c r="N816" i="6"/>
  <c r="N818" i="6"/>
  <c r="N820" i="6"/>
  <c r="N822" i="6"/>
  <c r="N824" i="6"/>
  <c r="N826" i="6"/>
  <c r="N828" i="6"/>
  <c r="N830" i="6"/>
  <c r="N832" i="6"/>
  <c r="Q236" i="6"/>
  <c r="N236" i="6"/>
  <c r="K236" i="6" s="1"/>
  <c r="Q240" i="6"/>
  <c r="N240" i="6"/>
  <c r="K240" i="6" s="1"/>
  <c r="Q244" i="6"/>
  <c r="N244" i="6"/>
  <c r="K244" i="6" s="1"/>
  <c r="Q248" i="6"/>
  <c r="N248" i="6"/>
  <c r="K248" i="6" s="1"/>
  <c r="Q252" i="6"/>
  <c r="N252" i="6"/>
  <c r="K252" i="6" s="1"/>
  <c r="Q256" i="6"/>
  <c r="N256" i="6"/>
  <c r="K256" i="6" s="1"/>
  <c r="Q260" i="6"/>
  <c r="N260" i="6"/>
  <c r="K260" i="6" s="1"/>
  <c r="Q264" i="6"/>
  <c r="N264" i="6"/>
  <c r="K264" i="6" s="1"/>
  <c r="Q268" i="6"/>
  <c r="N268" i="6"/>
  <c r="K268" i="6" s="1"/>
  <c r="Q272" i="6"/>
  <c r="N272" i="6"/>
  <c r="K272" i="6" s="1"/>
  <c r="Q276" i="6"/>
  <c r="N276" i="6"/>
  <c r="K276" i="6" s="1"/>
  <c r="Q280" i="6"/>
  <c r="N280" i="6"/>
  <c r="K280" i="6" s="1"/>
  <c r="Q284" i="6"/>
  <c r="N284" i="6"/>
  <c r="K284" i="6" s="1"/>
  <c r="Q288" i="6"/>
  <c r="N288" i="6"/>
  <c r="K288" i="6" s="1"/>
  <c r="Q292" i="6"/>
  <c r="N292" i="6"/>
  <c r="K292" i="6" s="1"/>
  <c r="Q296" i="6"/>
  <c r="N296" i="6"/>
  <c r="K296" i="6" s="1"/>
  <c r="Q300" i="6"/>
  <c r="N300" i="6"/>
  <c r="K300" i="6" s="1"/>
  <c r="Q304" i="6"/>
  <c r="N304" i="6"/>
  <c r="K304" i="6" s="1"/>
  <c r="Q308" i="6"/>
  <c r="N308" i="6"/>
  <c r="K308" i="6" s="1"/>
  <c r="Q312" i="6"/>
  <c r="N312" i="6"/>
  <c r="K312" i="6" s="1"/>
  <c r="Q316" i="6"/>
  <c r="N316" i="6"/>
  <c r="K316" i="6" s="1"/>
  <c r="Q320" i="6"/>
  <c r="N320" i="6"/>
  <c r="K320" i="6" s="1"/>
  <c r="Q324" i="6"/>
  <c r="N324" i="6"/>
  <c r="K324" i="6" s="1"/>
  <c r="Q328" i="6"/>
  <c r="N328" i="6"/>
  <c r="K328" i="6" s="1"/>
  <c r="Q332" i="6"/>
  <c r="N332" i="6"/>
  <c r="K332" i="6" s="1"/>
  <c r="Q336" i="6"/>
  <c r="N336" i="6"/>
  <c r="K336" i="6" s="1"/>
  <c r="Q340" i="6"/>
  <c r="N340" i="6"/>
  <c r="K340" i="6" s="1"/>
  <c r="Q344" i="6"/>
  <c r="N344" i="6"/>
  <c r="K344" i="6" s="1"/>
  <c r="Q348" i="6"/>
  <c r="N348" i="6"/>
  <c r="K348" i="6" s="1"/>
  <c r="J722" i="4"/>
  <c r="I722" i="4" s="1"/>
  <c r="J726" i="4"/>
  <c r="I726" i="4" s="1"/>
  <c r="J728" i="4"/>
  <c r="I728" i="4" s="1"/>
  <c r="J730" i="4"/>
  <c r="I730" i="4" s="1"/>
  <c r="J736" i="4"/>
  <c r="I736" i="4" s="1"/>
  <c r="J752" i="4"/>
  <c r="I752" i="4" s="1"/>
  <c r="J760" i="4"/>
  <c r="I760" i="4" s="1"/>
  <c r="J768" i="4"/>
  <c r="I768" i="4" s="1"/>
  <c r="J776" i="4"/>
  <c r="I776" i="4" s="1"/>
  <c r="J784" i="4"/>
  <c r="I784" i="4" s="1"/>
  <c r="J796" i="4"/>
  <c r="I796" i="4" s="1"/>
  <c r="J804" i="4"/>
  <c r="I804" i="4" s="1"/>
  <c r="J812" i="4"/>
  <c r="I812" i="4" s="1"/>
  <c r="J820" i="4"/>
  <c r="I820" i="4" s="1"/>
  <c r="J828" i="4"/>
  <c r="I828" i="4" s="1"/>
  <c r="J838" i="4"/>
  <c r="I838" i="4" s="1"/>
  <c r="J842" i="4"/>
  <c r="I842" i="4" s="1"/>
  <c r="J846" i="4"/>
  <c r="I846" i="4" s="1"/>
  <c r="J850" i="4"/>
  <c r="I850" i="4" s="1"/>
  <c r="J854" i="4"/>
  <c r="I854" i="4" s="1"/>
  <c r="J858" i="4"/>
  <c r="I858" i="4" s="1"/>
  <c r="J862" i="4"/>
  <c r="I862" i="4" s="1"/>
  <c r="J866" i="4"/>
  <c r="I866" i="4" s="1"/>
  <c r="J870" i="4"/>
  <c r="I870" i="4" s="1"/>
  <c r="J874" i="4"/>
  <c r="I874" i="4" s="1"/>
  <c r="J878" i="4"/>
  <c r="I878" i="4" s="1"/>
  <c r="J882" i="4"/>
  <c r="I882" i="4" s="1"/>
  <c r="J886" i="4"/>
  <c r="I886" i="4" s="1"/>
  <c r="J890" i="4"/>
  <c r="I890" i="4" s="1"/>
  <c r="J894" i="4"/>
  <c r="I894" i="4" s="1"/>
  <c r="J898" i="4"/>
  <c r="I898" i="4" s="1"/>
  <c r="J902" i="4"/>
  <c r="I902" i="4" s="1"/>
  <c r="J906" i="4"/>
  <c r="I906" i="4" s="1"/>
  <c r="J910" i="4"/>
  <c r="I910" i="4" s="1"/>
  <c r="J914" i="4"/>
  <c r="I914" i="4" s="1"/>
  <c r="J918" i="4"/>
  <c r="I918" i="4" s="1"/>
  <c r="J922" i="4"/>
  <c r="I922" i="4" s="1"/>
  <c r="J926" i="4"/>
  <c r="I926" i="4" s="1"/>
  <c r="J930" i="4"/>
  <c r="I930" i="4" s="1"/>
  <c r="R930" i="4" s="1"/>
  <c r="U930" i="4" s="1"/>
  <c r="J946" i="4"/>
  <c r="I946" i="4" s="1"/>
  <c r="J950" i="4"/>
  <c r="I950" i="4" s="1"/>
  <c r="J954" i="4"/>
  <c r="I954" i="4" s="1"/>
  <c r="J962" i="4"/>
  <c r="I962" i="4" s="1"/>
  <c r="J970" i="4"/>
  <c r="I970" i="4" s="1"/>
  <c r="J982" i="4"/>
  <c r="I982" i="4" s="1"/>
  <c r="J990" i="4"/>
  <c r="I990" i="4" s="1"/>
  <c r="J1002" i="4"/>
  <c r="I1002" i="4" s="1"/>
  <c r="J18" i="6"/>
  <c r="I18" i="6" s="1"/>
  <c r="N30" i="6"/>
  <c r="K30" i="6" s="1"/>
  <c r="N38" i="6"/>
  <c r="K38" i="6" s="1"/>
  <c r="N46" i="6"/>
  <c r="K46" i="6" s="1"/>
  <c r="N54" i="6"/>
  <c r="K54" i="6" s="1"/>
  <c r="R54" i="6" s="1"/>
  <c r="U54" i="6" s="1"/>
  <c r="N62" i="6"/>
  <c r="K62" i="6" s="1"/>
  <c r="N70" i="6"/>
  <c r="K70" i="6" s="1"/>
  <c r="N78" i="6"/>
  <c r="K78" i="6" s="1"/>
  <c r="N86" i="6"/>
  <c r="K86" i="6" s="1"/>
  <c r="N94" i="6"/>
  <c r="K94" i="6" s="1"/>
  <c r="N102" i="6"/>
  <c r="K102" i="6" s="1"/>
  <c r="N110" i="6"/>
  <c r="K110" i="6" s="1"/>
  <c r="R110" i="6" s="1"/>
  <c r="U110" i="6" s="1"/>
  <c r="N118" i="6"/>
  <c r="K118" i="6" s="1"/>
  <c r="N126" i="6"/>
  <c r="K126" i="6" s="1"/>
  <c r="Q130" i="6"/>
  <c r="N130" i="6"/>
  <c r="K130" i="6" s="1"/>
  <c r="R130" i="6" s="1"/>
  <c r="U130" i="6" s="1"/>
  <c r="Q138" i="6"/>
  <c r="N138" i="6"/>
  <c r="K138" i="6" s="1"/>
  <c r="Q146" i="6"/>
  <c r="N146" i="6"/>
  <c r="K146" i="6" s="1"/>
  <c r="R146" i="6" s="1"/>
  <c r="U146" i="6" s="1"/>
  <c r="Q154" i="6"/>
  <c r="N154" i="6"/>
  <c r="K154" i="6" s="1"/>
  <c r="Q162" i="6"/>
  <c r="N162" i="6"/>
  <c r="K162" i="6" s="1"/>
  <c r="R162" i="6" s="1"/>
  <c r="U162" i="6" s="1"/>
  <c r="Q170" i="6"/>
  <c r="N170" i="6"/>
  <c r="K170" i="6" s="1"/>
  <c r="Q178" i="6"/>
  <c r="N178" i="6"/>
  <c r="K178" i="6" s="1"/>
  <c r="R178" i="6" s="1"/>
  <c r="U178" i="6" s="1"/>
  <c r="Q186" i="6"/>
  <c r="N186" i="6"/>
  <c r="K186" i="6" s="1"/>
  <c r="Q194" i="6"/>
  <c r="N194" i="6"/>
  <c r="K194" i="6" s="1"/>
  <c r="R194" i="6" s="1"/>
  <c r="U194" i="6" s="1"/>
  <c r="Q202" i="6"/>
  <c r="N202" i="6"/>
  <c r="K202" i="6" s="1"/>
  <c r="R202" i="6" s="1"/>
  <c r="U202" i="6" s="1"/>
  <c r="Q210" i="6"/>
  <c r="N210" i="6"/>
  <c r="K210" i="6" s="1"/>
  <c r="Q218" i="6"/>
  <c r="N218" i="6"/>
  <c r="K218" i="6" s="1"/>
  <c r="Q226" i="6"/>
  <c r="N226" i="6"/>
  <c r="K226" i="6" s="1"/>
  <c r="R226" i="6" s="1"/>
  <c r="U226" i="6" s="1"/>
  <c r="Q234" i="6"/>
  <c r="N234" i="6"/>
  <c r="K234" i="6" s="1"/>
  <c r="Q238" i="6"/>
  <c r="N238" i="6"/>
  <c r="K238" i="6" s="1"/>
  <c r="R238" i="6" s="1"/>
  <c r="U238" i="6" s="1"/>
  <c r="Q242" i="6"/>
  <c r="N242" i="6"/>
  <c r="K242" i="6" s="1"/>
  <c r="Q246" i="6"/>
  <c r="N246" i="6"/>
  <c r="K246" i="6" s="1"/>
  <c r="R246" i="6" s="1"/>
  <c r="U246" i="6" s="1"/>
  <c r="Q250" i="6"/>
  <c r="N250" i="6"/>
  <c r="K250" i="6" s="1"/>
  <c r="Q254" i="6"/>
  <c r="N254" i="6"/>
  <c r="K254" i="6" s="1"/>
  <c r="R254" i="6" s="1"/>
  <c r="U254" i="6" s="1"/>
  <c r="Q258" i="6"/>
  <c r="N258" i="6"/>
  <c r="K258" i="6" s="1"/>
  <c r="Q262" i="6"/>
  <c r="N262" i="6"/>
  <c r="K262" i="6" s="1"/>
  <c r="R262" i="6" s="1"/>
  <c r="U262" i="6" s="1"/>
  <c r="Q266" i="6"/>
  <c r="N266" i="6"/>
  <c r="K266" i="6" s="1"/>
  <c r="Q270" i="6"/>
  <c r="N270" i="6"/>
  <c r="K270" i="6" s="1"/>
  <c r="R270" i="6" s="1"/>
  <c r="U270" i="6" s="1"/>
  <c r="Q274" i="6"/>
  <c r="N274" i="6"/>
  <c r="K274" i="6" s="1"/>
  <c r="Q278" i="6"/>
  <c r="N278" i="6"/>
  <c r="K278" i="6" s="1"/>
  <c r="R278" i="6" s="1"/>
  <c r="U278" i="6" s="1"/>
  <c r="Q282" i="6"/>
  <c r="N282" i="6"/>
  <c r="K282" i="6" s="1"/>
  <c r="Q286" i="6"/>
  <c r="N286" i="6"/>
  <c r="K286" i="6" s="1"/>
  <c r="R286" i="6" s="1"/>
  <c r="U286" i="6" s="1"/>
  <c r="Q290" i="6"/>
  <c r="N290" i="6"/>
  <c r="K290" i="6" s="1"/>
  <c r="Q294" i="6"/>
  <c r="N294" i="6"/>
  <c r="K294" i="6" s="1"/>
  <c r="Q298" i="6"/>
  <c r="N298" i="6"/>
  <c r="K298" i="6" s="1"/>
  <c r="Q302" i="6"/>
  <c r="N302" i="6"/>
  <c r="K302" i="6" s="1"/>
  <c r="R302" i="6" s="1"/>
  <c r="U302" i="6" s="1"/>
  <c r="Q306" i="6"/>
  <c r="N306" i="6"/>
  <c r="K306" i="6" s="1"/>
  <c r="Q310" i="6"/>
  <c r="N310" i="6"/>
  <c r="K310" i="6" s="1"/>
  <c r="Q314" i="6"/>
  <c r="N314" i="6"/>
  <c r="K314" i="6" s="1"/>
  <c r="Q318" i="6"/>
  <c r="N318" i="6"/>
  <c r="K318" i="6" s="1"/>
  <c r="R318" i="6" s="1"/>
  <c r="U318" i="6" s="1"/>
  <c r="Q322" i="6"/>
  <c r="N322" i="6"/>
  <c r="K322" i="6" s="1"/>
  <c r="Q326" i="6"/>
  <c r="N326" i="6"/>
  <c r="K326" i="6" s="1"/>
  <c r="R326" i="6" s="1"/>
  <c r="U326" i="6" s="1"/>
  <c r="Q330" i="6"/>
  <c r="N330" i="6"/>
  <c r="K330" i="6" s="1"/>
  <c r="Q334" i="6"/>
  <c r="N334" i="6"/>
  <c r="K334" i="6" s="1"/>
  <c r="Q338" i="6"/>
  <c r="N338" i="6"/>
  <c r="K338" i="6" s="1"/>
  <c r="Q342" i="6"/>
  <c r="N342" i="6"/>
  <c r="K342" i="6" s="1"/>
  <c r="Q346" i="6"/>
  <c r="N346" i="6"/>
  <c r="K346" i="6" s="1"/>
  <c r="J32" i="4"/>
  <c r="I32" i="4" s="1"/>
  <c r="J40" i="4"/>
  <c r="I40" i="4" s="1"/>
  <c r="J48" i="4"/>
  <c r="I48" i="4" s="1"/>
  <c r="J56" i="4"/>
  <c r="I56" i="4" s="1"/>
  <c r="J64" i="4"/>
  <c r="I64" i="4" s="1"/>
  <c r="J72" i="4"/>
  <c r="I72" i="4" s="1"/>
  <c r="J80" i="4"/>
  <c r="I80" i="4" s="1"/>
  <c r="J88" i="4"/>
  <c r="I88" i="4" s="1"/>
  <c r="J96" i="4"/>
  <c r="I96" i="4" s="1"/>
  <c r="J104" i="4"/>
  <c r="I104" i="4" s="1"/>
  <c r="J112" i="4"/>
  <c r="I112" i="4" s="1"/>
  <c r="J120" i="4"/>
  <c r="I120" i="4" s="1"/>
  <c r="J128" i="4"/>
  <c r="I128" i="4" s="1"/>
  <c r="J136" i="4"/>
  <c r="I136" i="4" s="1"/>
  <c r="J146" i="4"/>
  <c r="I146" i="4" s="1"/>
  <c r="J154" i="4"/>
  <c r="I154" i="4" s="1"/>
  <c r="J162" i="4"/>
  <c r="I162" i="4" s="1"/>
  <c r="J170" i="4"/>
  <c r="I170" i="4" s="1"/>
  <c r="J178" i="4"/>
  <c r="I178" i="4" s="1"/>
  <c r="J188" i="4"/>
  <c r="I188" i="4" s="1"/>
  <c r="J196" i="4"/>
  <c r="I196" i="4" s="1"/>
  <c r="J204" i="4"/>
  <c r="I204" i="4" s="1"/>
  <c r="J212" i="4"/>
  <c r="I212" i="4" s="1"/>
  <c r="J220" i="4"/>
  <c r="I220" i="4" s="1"/>
  <c r="J228" i="4"/>
  <c r="I228" i="4" s="1"/>
  <c r="J236" i="4"/>
  <c r="I236" i="4" s="1"/>
  <c r="J244" i="4"/>
  <c r="I244" i="4" s="1"/>
  <c r="J252" i="4"/>
  <c r="I252" i="4" s="1"/>
  <c r="J262" i="4"/>
  <c r="I262" i="4" s="1"/>
  <c r="J270" i="4"/>
  <c r="I270" i="4" s="1"/>
  <c r="J278" i="4"/>
  <c r="I278" i="4" s="1"/>
  <c r="J286" i="4"/>
  <c r="I286" i="4" s="1"/>
  <c r="J294" i="4"/>
  <c r="I294" i="4" s="1"/>
  <c r="J306" i="4"/>
  <c r="I306" i="4" s="1"/>
  <c r="J314" i="4"/>
  <c r="I314" i="4" s="1"/>
  <c r="J322" i="4"/>
  <c r="I322" i="4" s="1"/>
  <c r="J330" i="4"/>
  <c r="I330" i="4" s="1"/>
  <c r="J338" i="4"/>
  <c r="I338" i="4" s="1"/>
  <c r="J346" i="4"/>
  <c r="I346" i="4" s="1"/>
  <c r="J354" i="4"/>
  <c r="I354" i="4" s="1"/>
  <c r="J362" i="4"/>
  <c r="I362" i="4" s="1"/>
  <c r="J370" i="4"/>
  <c r="I370" i="4" s="1"/>
  <c r="J382" i="4"/>
  <c r="I382" i="4" s="1"/>
  <c r="J390" i="4"/>
  <c r="I390" i="4" s="1"/>
  <c r="J398" i="4"/>
  <c r="I398" i="4" s="1"/>
  <c r="J406" i="4"/>
  <c r="I406" i="4" s="1"/>
  <c r="J414" i="4"/>
  <c r="I414" i="4" s="1"/>
  <c r="J422" i="4"/>
  <c r="I422" i="4" s="1"/>
  <c r="J430" i="4"/>
  <c r="I430" i="4" s="1"/>
  <c r="J438" i="4"/>
  <c r="I438" i="4" s="1"/>
  <c r="J446" i="4"/>
  <c r="I446" i="4" s="1"/>
  <c r="J454" i="4"/>
  <c r="I454" i="4" s="1"/>
  <c r="J462" i="4"/>
  <c r="I462" i="4" s="1"/>
  <c r="J470" i="4"/>
  <c r="I470" i="4" s="1"/>
  <c r="J478" i="4"/>
  <c r="I478" i="4" s="1"/>
  <c r="J486" i="4"/>
  <c r="I486" i="4" s="1"/>
  <c r="J494" i="4"/>
  <c r="I494" i="4" s="1"/>
  <c r="J502" i="4"/>
  <c r="I502" i="4" s="1"/>
  <c r="J510" i="4"/>
  <c r="I510" i="4" s="1"/>
  <c r="J518" i="4"/>
  <c r="I518" i="4" s="1"/>
  <c r="J526" i="4"/>
  <c r="I526" i="4" s="1"/>
  <c r="J540" i="4"/>
  <c r="I540" i="4" s="1"/>
  <c r="J548" i="4"/>
  <c r="I548" i="4" s="1"/>
  <c r="J564" i="4"/>
  <c r="I564" i="4" s="1"/>
  <c r="J580" i="4"/>
  <c r="I580" i="4" s="1"/>
  <c r="J596" i="4"/>
  <c r="I596" i="4" s="1"/>
  <c r="J612" i="4"/>
  <c r="I612" i="4" s="1"/>
  <c r="J628" i="4"/>
  <c r="I628" i="4" s="1"/>
  <c r="L244" i="6"/>
  <c r="S244" i="6" s="1"/>
  <c r="V244" i="6" s="1"/>
  <c r="L252" i="6"/>
  <c r="S252" i="6" s="1"/>
  <c r="V252" i="6" s="1"/>
  <c r="L260" i="6"/>
  <c r="S260" i="6" s="1"/>
  <c r="V260" i="6" s="1"/>
  <c r="L276" i="6"/>
  <c r="S276" i="6" s="1"/>
  <c r="V276" i="6" s="1"/>
  <c r="L284" i="6"/>
  <c r="S284" i="6" s="1"/>
  <c r="V284" i="6" s="1"/>
  <c r="L292" i="6"/>
  <c r="S292" i="6" s="1"/>
  <c r="V292" i="6" s="1"/>
  <c r="L308" i="6"/>
  <c r="S308" i="6" s="1"/>
  <c r="V308" i="6" s="1"/>
  <c r="L316" i="6"/>
  <c r="S316" i="6" s="1"/>
  <c r="V316" i="6" s="1"/>
  <c r="L324" i="6"/>
  <c r="S324" i="6" s="1"/>
  <c r="V324" i="6" s="1"/>
  <c r="L340" i="6"/>
  <c r="S340" i="6" s="1"/>
  <c r="V340" i="6" s="1"/>
  <c r="L348" i="6"/>
  <c r="S348" i="6" s="1"/>
  <c r="V348" i="6" s="1"/>
  <c r="Q494" i="6"/>
  <c r="N494" i="6"/>
  <c r="K494" i="6" s="1"/>
  <c r="Q498" i="6"/>
  <c r="N498" i="6"/>
  <c r="K498" i="6" s="1"/>
  <c r="Q502" i="6"/>
  <c r="N502" i="6"/>
  <c r="K502" i="6" s="1"/>
  <c r="Q506" i="6"/>
  <c r="N506" i="6"/>
  <c r="K506" i="6" s="1"/>
  <c r="Q510" i="6"/>
  <c r="N510" i="6"/>
  <c r="K510" i="6" s="1"/>
  <c r="Q514" i="6"/>
  <c r="N514" i="6"/>
  <c r="K514" i="6" s="1"/>
  <c r="Q518" i="6"/>
  <c r="N518" i="6"/>
  <c r="K518" i="6" s="1"/>
  <c r="Q522" i="6"/>
  <c r="N522" i="6"/>
  <c r="K522" i="6" s="1"/>
  <c r="Q526" i="6"/>
  <c r="N526" i="6"/>
  <c r="K526" i="6" s="1"/>
  <c r="Q530" i="6"/>
  <c r="N530" i="6"/>
  <c r="K530" i="6" s="1"/>
  <c r="Q534" i="6"/>
  <c r="N534" i="6"/>
  <c r="K534" i="6" s="1"/>
  <c r="Q538" i="6"/>
  <c r="N538" i="6"/>
  <c r="K538" i="6" s="1"/>
  <c r="Q542" i="6"/>
  <c r="N542" i="6"/>
  <c r="K542" i="6" s="1"/>
  <c r="Q546" i="6"/>
  <c r="N546" i="6"/>
  <c r="K546" i="6" s="1"/>
  <c r="Q550" i="6"/>
  <c r="N550" i="6"/>
  <c r="K550" i="6" s="1"/>
  <c r="Q554" i="6"/>
  <c r="N554" i="6"/>
  <c r="K554" i="6" s="1"/>
  <c r="Q558" i="6"/>
  <c r="N558" i="6"/>
  <c r="K558" i="6" s="1"/>
  <c r="Q562" i="6"/>
  <c r="N562" i="6"/>
  <c r="K562" i="6" s="1"/>
  <c r="Q566" i="6"/>
  <c r="N566" i="6"/>
  <c r="K566" i="6" s="1"/>
  <c r="Q570" i="6"/>
  <c r="N570" i="6"/>
  <c r="K570" i="6" s="1"/>
  <c r="Q574" i="6"/>
  <c r="N574" i="6"/>
  <c r="K574" i="6" s="1"/>
  <c r="Q578" i="6"/>
  <c r="N578" i="6"/>
  <c r="K578" i="6" s="1"/>
  <c r="Q582" i="6"/>
  <c r="N582" i="6"/>
  <c r="K582" i="6" s="1"/>
  <c r="Q586" i="6"/>
  <c r="N586" i="6"/>
  <c r="K586" i="6" s="1"/>
  <c r="Q590" i="6"/>
  <c r="N590" i="6"/>
  <c r="K590" i="6" s="1"/>
  <c r="Q594" i="6"/>
  <c r="N594" i="6"/>
  <c r="K594" i="6" s="1"/>
  <c r="Q598" i="6"/>
  <c r="N598" i="6"/>
  <c r="K598" i="6" s="1"/>
  <c r="N350" i="6"/>
  <c r="K350" i="6" s="1"/>
  <c r="R350" i="6" s="1"/>
  <c r="U350" i="6" s="1"/>
  <c r="N352" i="6"/>
  <c r="K352" i="6" s="1"/>
  <c r="N354" i="6"/>
  <c r="K354" i="6" s="1"/>
  <c r="N356" i="6"/>
  <c r="K356" i="6" s="1"/>
  <c r="N358" i="6"/>
  <c r="K358" i="6" s="1"/>
  <c r="N360" i="6"/>
  <c r="K360" i="6" s="1"/>
  <c r="N362" i="6"/>
  <c r="K362" i="6" s="1"/>
  <c r="N364" i="6"/>
  <c r="K364" i="6" s="1"/>
  <c r="N366" i="6"/>
  <c r="K366" i="6" s="1"/>
  <c r="N368" i="6"/>
  <c r="K368" i="6" s="1"/>
  <c r="N370" i="6"/>
  <c r="K370" i="6" s="1"/>
  <c r="N372" i="6"/>
  <c r="K372" i="6" s="1"/>
  <c r="N374" i="6"/>
  <c r="K374" i="6" s="1"/>
  <c r="N376" i="6"/>
  <c r="K376" i="6" s="1"/>
  <c r="N378" i="6"/>
  <c r="K378" i="6" s="1"/>
  <c r="N380" i="6"/>
  <c r="K380" i="6" s="1"/>
  <c r="N382" i="6"/>
  <c r="K382" i="6" s="1"/>
  <c r="R382" i="6" s="1"/>
  <c r="U382" i="6" s="1"/>
  <c r="N384" i="6"/>
  <c r="K384" i="6" s="1"/>
  <c r="N386" i="6"/>
  <c r="K386" i="6" s="1"/>
  <c r="N388" i="6"/>
  <c r="K388" i="6" s="1"/>
  <c r="N390" i="6"/>
  <c r="K390" i="6" s="1"/>
  <c r="R390" i="6" s="1"/>
  <c r="U390" i="6" s="1"/>
  <c r="N392" i="6"/>
  <c r="K392" i="6" s="1"/>
  <c r="N394" i="6"/>
  <c r="K394" i="6" s="1"/>
  <c r="R394" i="6" s="1"/>
  <c r="U394" i="6" s="1"/>
  <c r="N396" i="6"/>
  <c r="K396" i="6" s="1"/>
  <c r="N398" i="6"/>
  <c r="K398" i="6" s="1"/>
  <c r="R398" i="6" s="1"/>
  <c r="U398" i="6" s="1"/>
  <c r="N400" i="6"/>
  <c r="K400" i="6" s="1"/>
  <c r="N402" i="6"/>
  <c r="K402" i="6" s="1"/>
  <c r="N404" i="6"/>
  <c r="K404" i="6" s="1"/>
  <c r="N406" i="6"/>
  <c r="K406" i="6" s="1"/>
  <c r="R406" i="6" s="1"/>
  <c r="U406" i="6" s="1"/>
  <c r="N408" i="6"/>
  <c r="K408" i="6" s="1"/>
  <c r="N410" i="6"/>
  <c r="K410" i="6" s="1"/>
  <c r="N412" i="6"/>
  <c r="K412" i="6" s="1"/>
  <c r="N414" i="6"/>
  <c r="K414" i="6" s="1"/>
  <c r="R414" i="6" s="1"/>
  <c r="U414" i="6" s="1"/>
  <c r="N416" i="6"/>
  <c r="K416" i="6" s="1"/>
  <c r="N418" i="6"/>
  <c r="K418" i="6" s="1"/>
  <c r="R418" i="6" s="1"/>
  <c r="U418" i="6" s="1"/>
  <c r="N420" i="6"/>
  <c r="K420" i="6" s="1"/>
  <c r="N422" i="6"/>
  <c r="K422" i="6" s="1"/>
  <c r="R422" i="6" s="1"/>
  <c r="U422" i="6" s="1"/>
  <c r="N424" i="6"/>
  <c r="K424" i="6" s="1"/>
  <c r="N426" i="6"/>
  <c r="K426" i="6" s="1"/>
  <c r="N428" i="6"/>
  <c r="K428" i="6" s="1"/>
  <c r="N430" i="6"/>
  <c r="K430" i="6" s="1"/>
  <c r="R430" i="6" s="1"/>
  <c r="U430" i="6" s="1"/>
  <c r="N432" i="6"/>
  <c r="K432" i="6" s="1"/>
  <c r="N434" i="6"/>
  <c r="K434" i="6" s="1"/>
  <c r="N436" i="6"/>
  <c r="K436" i="6" s="1"/>
  <c r="N438" i="6"/>
  <c r="K438" i="6" s="1"/>
  <c r="R438" i="6" s="1"/>
  <c r="U438" i="6" s="1"/>
  <c r="N440" i="6"/>
  <c r="K440" i="6" s="1"/>
  <c r="R440" i="6" s="1"/>
  <c r="U440" i="6" s="1"/>
  <c r="N442" i="6"/>
  <c r="K442" i="6" s="1"/>
  <c r="N444" i="6"/>
  <c r="K444" i="6" s="1"/>
  <c r="N446" i="6"/>
  <c r="K446" i="6" s="1"/>
  <c r="N448" i="6"/>
  <c r="K448" i="6" s="1"/>
  <c r="N450" i="6"/>
  <c r="K450" i="6" s="1"/>
  <c r="N452" i="6"/>
  <c r="K452" i="6" s="1"/>
  <c r="N454" i="6"/>
  <c r="K454" i="6" s="1"/>
  <c r="N456" i="6"/>
  <c r="K456" i="6" s="1"/>
  <c r="N458" i="6"/>
  <c r="K458" i="6" s="1"/>
  <c r="N460" i="6"/>
  <c r="K460" i="6" s="1"/>
  <c r="N462" i="6"/>
  <c r="K462" i="6" s="1"/>
  <c r="N464" i="6"/>
  <c r="K464" i="6" s="1"/>
  <c r="N466" i="6"/>
  <c r="K466" i="6" s="1"/>
  <c r="N468" i="6"/>
  <c r="K468" i="6" s="1"/>
  <c r="N470" i="6"/>
  <c r="K470" i="6" s="1"/>
  <c r="R470" i="6" s="1"/>
  <c r="U470" i="6" s="1"/>
  <c r="N472" i="6"/>
  <c r="K472" i="6" s="1"/>
  <c r="N474" i="6"/>
  <c r="K474" i="6" s="1"/>
  <c r="N476" i="6"/>
  <c r="K476" i="6" s="1"/>
  <c r="N478" i="6"/>
  <c r="K478" i="6" s="1"/>
  <c r="R478" i="6" s="1"/>
  <c r="U478" i="6" s="1"/>
  <c r="N480" i="6"/>
  <c r="K480" i="6" s="1"/>
  <c r="N482" i="6"/>
  <c r="K482" i="6" s="1"/>
  <c r="N484" i="6"/>
  <c r="K484" i="6" s="1"/>
  <c r="N486" i="6"/>
  <c r="K486" i="6" s="1"/>
  <c r="R486" i="6" s="1"/>
  <c r="U486" i="6" s="1"/>
  <c r="N488" i="6"/>
  <c r="K488" i="6" s="1"/>
  <c r="N490" i="6"/>
  <c r="K490" i="6" s="1"/>
  <c r="N492" i="6"/>
  <c r="K492" i="6" s="1"/>
  <c r="Q496" i="6"/>
  <c r="N496" i="6"/>
  <c r="K496" i="6" s="1"/>
  <c r="Q500" i="6"/>
  <c r="N500" i="6"/>
  <c r="K500" i="6" s="1"/>
  <c r="Q504" i="6"/>
  <c r="N504" i="6"/>
  <c r="K504" i="6" s="1"/>
  <c r="Q508" i="6"/>
  <c r="N508" i="6"/>
  <c r="K508" i="6" s="1"/>
  <c r="Q512" i="6"/>
  <c r="N512" i="6"/>
  <c r="K512" i="6" s="1"/>
  <c r="Q516" i="6"/>
  <c r="N516" i="6"/>
  <c r="K516" i="6" s="1"/>
  <c r="Q520" i="6"/>
  <c r="N520" i="6"/>
  <c r="K520" i="6" s="1"/>
  <c r="Q524" i="6"/>
  <c r="N524" i="6"/>
  <c r="K524" i="6" s="1"/>
  <c r="Q528" i="6"/>
  <c r="N528" i="6"/>
  <c r="K528" i="6" s="1"/>
  <c r="Q532" i="6"/>
  <c r="N532" i="6"/>
  <c r="K532" i="6" s="1"/>
  <c r="Q536" i="6"/>
  <c r="N536" i="6"/>
  <c r="K536" i="6" s="1"/>
  <c r="Q540" i="6"/>
  <c r="N540" i="6"/>
  <c r="K540" i="6" s="1"/>
  <c r="Q544" i="6"/>
  <c r="N544" i="6"/>
  <c r="K544" i="6" s="1"/>
  <c r="Q548" i="6"/>
  <c r="N548" i="6"/>
  <c r="K548" i="6" s="1"/>
  <c r="Q552" i="6"/>
  <c r="N552" i="6"/>
  <c r="K552" i="6" s="1"/>
  <c r="Q556" i="6"/>
  <c r="N556" i="6"/>
  <c r="K556" i="6" s="1"/>
  <c r="Q560" i="6"/>
  <c r="N560" i="6"/>
  <c r="K560" i="6" s="1"/>
  <c r="Q564" i="6"/>
  <c r="N564" i="6"/>
  <c r="K564" i="6" s="1"/>
  <c r="Q568" i="6"/>
  <c r="N568" i="6"/>
  <c r="K568" i="6" s="1"/>
  <c r="Q572" i="6"/>
  <c r="N572" i="6"/>
  <c r="K572" i="6" s="1"/>
  <c r="Q576" i="6"/>
  <c r="N576" i="6"/>
  <c r="K576" i="6" s="1"/>
  <c r="Q580" i="6"/>
  <c r="N580" i="6"/>
  <c r="K580" i="6" s="1"/>
  <c r="Q584" i="6"/>
  <c r="N584" i="6"/>
  <c r="K584" i="6" s="1"/>
  <c r="Q588" i="6"/>
  <c r="N588" i="6"/>
  <c r="K588" i="6" s="1"/>
  <c r="Q592" i="6"/>
  <c r="N592" i="6"/>
  <c r="K592" i="6" s="1"/>
  <c r="Q596" i="6"/>
  <c r="N596" i="6"/>
  <c r="K596" i="6" s="1"/>
  <c r="Q600" i="6"/>
  <c r="N600" i="6"/>
  <c r="K600" i="6" s="1"/>
  <c r="L498" i="6"/>
  <c r="S498" i="6" s="1"/>
  <c r="V498" i="6" s="1"/>
  <c r="L514" i="6"/>
  <c r="S514" i="6" s="1"/>
  <c r="V514" i="6" s="1"/>
  <c r="L522" i="6"/>
  <c r="S522" i="6" s="1"/>
  <c r="V522" i="6" s="1"/>
  <c r="L530" i="6"/>
  <c r="S530" i="6" s="1"/>
  <c r="V530" i="6" s="1"/>
  <c r="L546" i="6"/>
  <c r="S546" i="6" s="1"/>
  <c r="V546" i="6" s="1"/>
  <c r="L554" i="6"/>
  <c r="S554" i="6" s="1"/>
  <c r="V554" i="6" s="1"/>
  <c r="L562" i="6"/>
  <c r="S562" i="6" s="1"/>
  <c r="V562" i="6" s="1"/>
  <c r="L578" i="6"/>
  <c r="S578" i="6" s="1"/>
  <c r="V578" i="6" s="1"/>
  <c r="L586" i="6"/>
  <c r="S586" i="6" s="1"/>
  <c r="V586" i="6" s="1"/>
  <c r="L594" i="6"/>
  <c r="S594" i="6" s="1"/>
  <c r="V594" i="6" s="1"/>
  <c r="N602" i="6"/>
  <c r="K602" i="6" s="1"/>
  <c r="N604" i="6"/>
  <c r="K604" i="6" s="1"/>
  <c r="N606" i="6"/>
  <c r="K606" i="6" s="1"/>
  <c r="N608" i="6"/>
  <c r="K608" i="6" s="1"/>
  <c r="N610" i="6"/>
  <c r="K610" i="6" s="1"/>
  <c r="N612" i="6"/>
  <c r="K612" i="6" s="1"/>
  <c r="N614" i="6"/>
  <c r="K614" i="6" s="1"/>
  <c r="N616" i="6"/>
  <c r="K616" i="6" s="1"/>
  <c r="N618" i="6"/>
  <c r="K618" i="6" s="1"/>
  <c r="N620" i="6"/>
  <c r="K620" i="6" s="1"/>
  <c r="N622" i="6"/>
  <c r="K622" i="6" s="1"/>
  <c r="N624" i="6"/>
  <c r="K624" i="6" s="1"/>
  <c r="N626" i="6"/>
  <c r="K626" i="6" s="1"/>
  <c r="N628" i="6"/>
  <c r="K628" i="6" s="1"/>
  <c r="N630" i="6"/>
  <c r="K630" i="6" s="1"/>
  <c r="N632" i="6"/>
  <c r="K632" i="6" s="1"/>
  <c r="N634" i="6"/>
  <c r="K634" i="6" s="1"/>
  <c r="N636" i="6"/>
  <c r="K636" i="6" s="1"/>
  <c r="N638" i="6"/>
  <c r="K638" i="6" s="1"/>
  <c r="N640" i="6"/>
  <c r="K640" i="6" s="1"/>
  <c r="R640" i="6" s="1"/>
  <c r="U640" i="6" s="1"/>
  <c r="N642" i="6"/>
  <c r="K642" i="6" s="1"/>
  <c r="N644" i="6"/>
  <c r="K644" i="6" s="1"/>
  <c r="N646" i="6"/>
  <c r="K646" i="6" s="1"/>
  <c r="N648" i="6"/>
  <c r="K648" i="6" s="1"/>
  <c r="N650" i="6"/>
  <c r="K650" i="6" s="1"/>
  <c r="N652" i="6"/>
  <c r="K652" i="6" s="1"/>
  <c r="N654" i="6"/>
  <c r="K654" i="6" s="1"/>
  <c r="N656" i="6"/>
  <c r="K656" i="6" s="1"/>
  <c r="N658" i="6"/>
  <c r="K658" i="6" s="1"/>
  <c r="N660" i="6"/>
  <c r="K660" i="6" s="1"/>
  <c r="N662" i="6"/>
  <c r="J834" i="6"/>
  <c r="I834" i="6" s="1"/>
  <c r="J842" i="6"/>
  <c r="I842" i="6" s="1"/>
  <c r="J850" i="6"/>
  <c r="I850" i="6" s="1"/>
  <c r="J858" i="6"/>
  <c r="I858" i="6" s="1"/>
  <c r="J866" i="6"/>
  <c r="I866" i="6" s="1"/>
  <c r="J874" i="6"/>
  <c r="I874" i="6" s="1"/>
  <c r="J882" i="6"/>
  <c r="I882" i="6" s="1"/>
  <c r="R882" i="6" s="1"/>
  <c r="U882" i="6" s="1"/>
  <c r="J890" i="6"/>
  <c r="I890" i="6" s="1"/>
  <c r="J898" i="6"/>
  <c r="I898" i="6" s="1"/>
  <c r="J906" i="6"/>
  <c r="I906" i="6" s="1"/>
  <c r="J914" i="6"/>
  <c r="I914" i="6" s="1"/>
  <c r="J922" i="6"/>
  <c r="I922" i="6" s="1"/>
  <c r="R922" i="6" s="1"/>
  <c r="U922" i="6" s="1"/>
  <c r="J930" i="6"/>
  <c r="I930" i="6" s="1"/>
  <c r="J938" i="6"/>
  <c r="I938" i="6" s="1"/>
  <c r="J946" i="6"/>
  <c r="I946" i="6" s="1"/>
  <c r="R946" i="6" s="1"/>
  <c r="U946" i="6" s="1"/>
  <c r="J954" i="6"/>
  <c r="I954" i="6" s="1"/>
  <c r="R954" i="6" s="1"/>
  <c r="U954" i="6" s="1"/>
  <c r="J958" i="6"/>
  <c r="I958" i="6" s="1"/>
  <c r="J962" i="6"/>
  <c r="I962" i="6" s="1"/>
  <c r="J966" i="6"/>
  <c r="I966" i="6" s="1"/>
  <c r="J970" i="6"/>
  <c r="I970" i="6" s="1"/>
  <c r="J974" i="6"/>
  <c r="I974" i="6" s="1"/>
  <c r="J978" i="6"/>
  <c r="I978" i="6" s="1"/>
  <c r="J982" i="6"/>
  <c r="I982" i="6" s="1"/>
  <c r="J986" i="6"/>
  <c r="I986" i="6" s="1"/>
  <c r="J990" i="6"/>
  <c r="I990" i="6" s="1"/>
  <c r="J994" i="6"/>
  <c r="I994" i="6" s="1"/>
  <c r="J998" i="6"/>
  <c r="I998" i="6" s="1"/>
  <c r="J1002" i="6"/>
  <c r="I1002" i="6" s="1"/>
  <c r="N1004" i="6"/>
  <c r="K1004" i="6" s="1"/>
  <c r="IT3" i="7"/>
  <c r="IT4" i="7" s="1"/>
  <c r="Q836" i="6"/>
  <c r="N836" i="6"/>
  <c r="K836" i="6" s="1"/>
  <c r="Q840" i="6"/>
  <c r="N840" i="6"/>
  <c r="K840" i="6" s="1"/>
  <c r="Q844" i="6"/>
  <c r="N844" i="6"/>
  <c r="K844" i="6" s="1"/>
  <c r="Q848" i="6"/>
  <c r="N848" i="6"/>
  <c r="K848" i="6" s="1"/>
  <c r="Q852" i="6"/>
  <c r="N852" i="6"/>
  <c r="K852" i="6" s="1"/>
  <c r="Q856" i="6"/>
  <c r="N856" i="6"/>
  <c r="K856" i="6" s="1"/>
  <c r="Q860" i="6"/>
  <c r="N860" i="6"/>
  <c r="K860" i="6" s="1"/>
  <c r="Q864" i="6"/>
  <c r="N864" i="6"/>
  <c r="K864" i="6" s="1"/>
  <c r="Q868" i="6"/>
  <c r="N868" i="6"/>
  <c r="K868" i="6" s="1"/>
  <c r="Q872" i="6"/>
  <c r="N872" i="6"/>
  <c r="K872" i="6" s="1"/>
  <c r="Q876" i="6"/>
  <c r="N876" i="6"/>
  <c r="K876" i="6" s="1"/>
  <c r="Q880" i="6"/>
  <c r="N880" i="6"/>
  <c r="K880" i="6" s="1"/>
  <c r="Q884" i="6"/>
  <c r="N884" i="6"/>
  <c r="K884" i="6" s="1"/>
  <c r="Q888" i="6"/>
  <c r="N888" i="6"/>
  <c r="K888" i="6" s="1"/>
  <c r="Q892" i="6"/>
  <c r="N892" i="6"/>
  <c r="K892" i="6" s="1"/>
  <c r="Q896" i="6"/>
  <c r="N896" i="6"/>
  <c r="K896" i="6" s="1"/>
  <c r="Q900" i="6"/>
  <c r="N900" i="6"/>
  <c r="K900" i="6" s="1"/>
  <c r="Q904" i="6"/>
  <c r="N904" i="6"/>
  <c r="K904" i="6" s="1"/>
  <c r="Q908" i="6"/>
  <c r="N908" i="6"/>
  <c r="K908" i="6" s="1"/>
  <c r="Q912" i="6"/>
  <c r="N912" i="6"/>
  <c r="K912" i="6" s="1"/>
  <c r="Q916" i="6"/>
  <c r="N916" i="6"/>
  <c r="K916" i="6" s="1"/>
  <c r="Q920" i="6"/>
  <c r="N920" i="6"/>
  <c r="K920" i="6" s="1"/>
  <c r="Q924" i="6"/>
  <c r="N924" i="6"/>
  <c r="K924" i="6" s="1"/>
  <c r="Q928" i="6"/>
  <c r="N928" i="6"/>
  <c r="K928" i="6" s="1"/>
  <c r="Q932" i="6"/>
  <c r="N932" i="6"/>
  <c r="K932" i="6" s="1"/>
  <c r="Q936" i="6"/>
  <c r="N936" i="6"/>
  <c r="K936" i="6" s="1"/>
  <c r="Q940" i="6"/>
  <c r="N940" i="6"/>
  <c r="K940" i="6" s="1"/>
  <c r="Q944" i="6"/>
  <c r="N944" i="6"/>
  <c r="K944" i="6" s="1"/>
  <c r="Q948" i="6"/>
  <c r="N948" i="6"/>
  <c r="K948" i="6" s="1"/>
  <c r="J14" i="6"/>
  <c r="I14" i="6" s="1"/>
  <c r="N16" i="6"/>
  <c r="K16" i="6" s="1"/>
  <c r="N18" i="6"/>
  <c r="K18" i="6" s="1"/>
  <c r="R18" i="6" s="1"/>
  <c r="J28" i="6"/>
  <c r="I28" i="6" s="1"/>
  <c r="J32" i="6"/>
  <c r="I32" i="6" s="1"/>
  <c r="J36" i="6"/>
  <c r="I36" i="6" s="1"/>
  <c r="J40" i="6"/>
  <c r="I40" i="6" s="1"/>
  <c r="J44" i="6"/>
  <c r="I44" i="6" s="1"/>
  <c r="J48" i="6"/>
  <c r="I48" i="6" s="1"/>
  <c r="J52" i="6"/>
  <c r="I52" i="6" s="1"/>
  <c r="J56" i="6"/>
  <c r="I56" i="6" s="1"/>
  <c r="J60" i="6"/>
  <c r="I60" i="6" s="1"/>
  <c r="J64" i="6"/>
  <c r="I64" i="6" s="1"/>
  <c r="J68" i="6"/>
  <c r="I68" i="6" s="1"/>
  <c r="J72" i="6"/>
  <c r="I72" i="6" s="1"/>
  <c r="J76" i="6"/>
  <c r="I76" i="6" s="1"/>
  <c r="J80" i="6"/>
  <c r="I80" i="6" s="1"/>
  <c r="J84" i="6"/>
  <c r="I84" i="6" s="1"/>
  <c r="J88" i="6"/>
  <c r="I88" i="6" s="1"/>
  <c r="J92" i="6"/>
  <c r="I92" i="6" s="1"/>
  <c r="J96" i="6"/>
  <c r="I96" i="6" s="1"/>
  <c r="J100" i="6"/>
  <c r="I100" i="6" s="1"/>
  <c r="J104" i="6"/>
  <c r="I104" i="6" s="1"/>
  <c r="J108" i="6"/>
  <c r="I108" i="6" s="1"/>
  <c r="J112" i="6"/>
  <c r="I112" i="6" s="1"/>
  <c r="J116" i="6"/>
  <c r="I116" i="6" s="1"/>
  <c r="J120" i="6"/>
  <c r="I120" i="6" s="1"/>
  <c r="J124" i="6"/>
  <c r="I124" i="6" s="1"/>
  <c r="J128" i="6"/>
  <c r="I128" i="6" s="1"/>
  <c r="J132" i="6"/>
  <c r="I132" i="6" s="1"/>
  <c r="J136" i="6"/>
  <c r="I136" i="6" s="1"/>
  <c r="J140" i="6"/>
  <c r="I140" i="6" s="1"/>
  <c r="J144" i="6"/>
  <c r="I144" i="6" s="1"/>
  <c r="J148" i="6"/>
  <c r="I148" i="6" s="1"/>
  <c r="J152" i="6"/>
  <c r="I152" i="6" s="1"/>
  <c r="J156" i="6"/>
  <c r="I156" i="6" s="1"/>
  <c r="J160" i="6"/>
  <c r="I160" i="6" s="1"/>
  <c r="J164" i="6"/>
  <c r="I164" i="6" s="1"/>
  <c r="J168" i="6"/>
  <c r="I168" i="6" s="1"/>
  <c r="J172" i="6"/>
  <c r="I172" i="6" s="1"/>
  <c r="J176" i="6"/>
  <c r="I176" i="6" s="1"/>
  <c r="J180" i="6"/>
  <c r="I180" i="6" s="1"/>
  <c r="J184" i="6"/>
  <c r="I184" i="6" s="1"/>
  <c r="J188" i="6"/>
  <c r="I188" i="6" s="1"/>
  <c r="J192" i="6"/>
  <c r="I192" i="6" s="1"/>
  <c r="J196" i="6"/>
  <c r="I196" i="6" s="1"/>
  <c r="J200" i="6"/>
  <c r="I200" i="6" s="1"/>
  <c r="J204" i="6"/>
  <c r="I204" i="6" s="1"/>
  <c r="J208" i="6"/>
  <c r="I208" i="6" s="1"/>
  <c r="J212" i="6"/>
  <c r="I212" i="6" s="1"/>
  <c r="J216" i="6"/>
  <c r="I216" i="6" s="1"/>
  <c r="J220" i="6"/>
  <c r="I220" i="6" s="1"/>
  <c r="J224" i="6"/>
  <c r="I224" i="6" s="1"/>
  <c r="J228" i="6"/>
  <c r="I228" i="6" s="1"/>
  <c r="J232" i="6"/>
  <c r="I232" i="6" s="1"/>
  <c r="Q834" i="6"/>
  <c r="N834" i="6"/>
  <c r="K834" i="6" s="1"/>
  <c r="Q838" i="6"/>
  <c r="N838" i="6"/>
  <c r="K838" i="6" s="1"/>
  <c r="Q842" i="6"/>
  <c r="N842" i="6"/>
  <c r="K842" i="6" s="1"/>
  <c r="Q846" i="6"/>
  <c r="N846" i="6"/>
  <c r="K846" i="6" s="1"/>
  <c r="Q850" i="6"/>
  <c r="N850" i="6"/>
  <c r="K850" i="6" s="1"/>
  <c r="Q854" i="6"/>
  <c r="N854" i="6"/>
  <c r="K854" i="6" s="1"/>
  <c r="Q858" i="6"/>
  <c r="N858" i="6"/>
  <c r="K858" i="6" s="1"/>
  <c r="Q862" i="6"/>
  <c r="N862" i="6"/>
  <c r="K862" i="6" s="1"/>
  <c r="Q866" i="6"/>
  <c r="N866" i="6"/>
  <c r="K866" i="6" s="1"/>
  <c r="Q870" i="6"/>
  <c r="N870" i="6"/>
  <c r="K870" i="6" s="1"/>
  <c r="Q874" i="6"/>
  <c r="N874" i="6"/>
  <c r="K874" i="6" s="1"/>
  <c r="Q878" i="6"/>
  <c r="N878" i="6"/>
  <c r="K878" i="6" s="1"/>
  <c r="R878" i="6" s="1"/>
  <c r="U878" i="6" s="1"/>
  <c r="Q882" i="6"/>
  <c r="N882" i="6"/>
  <c r="K882" i="6" s="1"/>
  <c r="Q886" i="6"/>
  <c r="N886" i="6"/>
  <c r="K886" i="6" s="1"/>
  <c r="Q890" i="6"/>
  <c r="N890" i="6"/>
  <c r="K890" i="6" s="1"/>
  <c r="Q894" i="6"/>
  <c r="N894" i="6"/>
  <c r="K894" i="6" s="1"/>
  <c r="Q898" i="6"/>
  <c r="N898" i="6"/>
  <c r="K898" i="6" s="1"/>
  <c r="Q902" i="6"/>
  <c r="N902" i="6"/>
  <c r="K902" i="6" s="1"/>
  <c r="Q906" i="6"/>
  <c r="N906" i="6"/>
  <c r="K906" i="6" s="1"/>
  <c r="Q910" i="6"/>
  <c r="N910" i="6"/>
  <c r="K910" i="6" s="1"/>
  <c r="Q914" i="6"/>
  <c r="N914" i="6"/>
  <c r="K914" i="6" s="1"/>
  <c r="Q918" i="6"/>
  <c r="N918" i="6"/>
  <c r="K918" i="6" s="1"/>
  <c r="R918" i="6" s="1"/>
  <c r="U918" i="6" s="1"/>
  <c r="Q922" i="6"/>
  <c r="N922" i="6"/>
  <c r="K922" i="6" s="1"/>
  <c r="Q926" i="6"/>
  <c r="N926" i="6"/>
  <c r="K926" i="6" s="1"/>
  <c r="Q930" i="6"/>
  <c r="N930" i="6"/>
  <c r="K930" i="6" s="1"/>
  <c r="Q934" i="6"/>
  <c r="N934" i="6"/>
  <c r="K934" i="6" s="1"/>
  <c r="Q938" i="6"/>
  <c r="N938" i="6"/>
  <c r="K938" i="6" s="1"/>
  <c r="Q942" i="6"/>
  <c r="N942" i="6"/>
  <c r="K942" i="6" s="1"/>
  <c r="Q946" i="6"/>
  <c r="N946" i="6"/>
  <c r="K946" i="6" s="1"/>
  <c r="Q950" i="6"/>
  <c r="N950" i="6"/>
  <c r="K950" i="6" s="1"/>
  <c r="R950" i="6" s="1"/>
  <c r="U950" i="6" s="1"/>
  <c r="L836" i="6"/>
  <c r="S836" i="6" s="1"/>
  <c r="V836" i="6" s="1"/>
  <c r="L844" i="6"/>
  <c r="S844" i="6" s="1"/>
  <c r="V844" i="6" s="1"/>
  <c r="L860" i="6"/>
  <c r="S860" i="6" s="1"/>
  <c r="V860" i="6" s="1"/>
  <c r="L868" i="6"/>
  <c r="S868" i="6" s="1"/>
  <c r="V868" i="6" s="1"/>
  <c r="L876" i="6"/>
  <c r="S876" i="6" s="1"/>
  <c r="V876" i="6" s="1"/>
  <c r="L892" i="6"/>
  <c r="S892" i="6" s="1"/>
  <c r="V892" i="6" s="1"/>
  <c r="L900" i="6"/>
  <c r="S900" i="6" s="1"/>
  <c r="V900" i="6" s="1"/>
  <c r="L908" i="6"/>
  <c r="S908" i="6" s="1"/>
  <c r="V908" i="6" s="1"/>
  <c r="L924" i="6"/>
  <c r="S924" i="6" s="1"/>
  <c r="V924" i="6" s="1"/>
  <c r="L932" i="6"/>
  <c r="S932" i="6" s="1"/>
  <c r="V932" i="6" s="1"/>
  <c r="L940" i="6"/>
  <c r="S940" i="6" s="1"/>
  <c r="V940" i="6" s="1"/>
  <c r="N952" i="6"/>
  <c r="K952" i="6" s="1"/>
  <c r="R952" i="6" s="1"/>
  <c r="U952" i="6" s="1"/>
  <c r="N954" i="6"/>
  <c r="K954" i="6" s="1"/>
  <c r="N956" i="6"/>
  <c r="K956" i="6" s="1"/>
  <c r="N958" i="6"/>
  <c r="K958" i="6" s="1"/>
  <c r="N960" i="6"/>
  <c r="K960" i="6" s="1"/>
  <c r="R960" i="6" s="1"/>
  <c r="U960" i="6" s="1"/>
  <c r="N962" i="6"/>
  <c r="K962" i="6" s="1"/>
  <c r="N964" i="6"/>
  <c r="K964" i="6" s="1"/>
  <c r="N966" i="6"/>
  <c r="K966" i="6" s="1"/>
  <c r="N968" i="6"/>
  <c r="K968" i="6" s="1"/>
  <c r="N970" i="6"/>
  <c r="K970" i="6" s="1"/>
  <c r="N972" i="6"/>
  <c r="K972" i="6" s="1"/>
  <c r="N974" i="6"/>
  <c r="K974" i="6" s="1"/>
  <c r="N976" i="6"/>
  <c r="K976" i="6" s="1"/>
  <c r="N978" i="6"/>
  <c r="K978" i="6" s="1"/>
  <c r="N980" i="6"/>
  <c r="K980" i="6" s="1"/>
  <c r="N982" i="6"/>
  <c r="K982" i="6" s="1"/>
  <c r="N984" i="6"/>
  <c r="K984" i="6" s="1"/>
  <c r="R984" i="6" s="1"/>
  <c r="U984" i="6" s="1"/>
  <c r="N986" i="6"/>
  <c r="K986" i="6" s="1"/>
  <c r="N988" i="6"/>
  <c r="K988" i="6" s="1"/>
  <c r="N990" i="6"/>
  <c r="K990" i="6" s="1"/>
  <c r="N992" i="6"/>
  <c r="K992" i="6" s="1"/>
  <c r="N994" i="6"/>
  <c r="K994" i="6" s="1"/>
  <c r="N996" i="6"/>
  <c r="K996" i="6" s="1"/>
  <c r="N998" i="6"/>
  <c r="K998" i="6" s="1"/>
  <c r="N1000" i="6"/>
  <c r="K1000" i="6" s="1"/>
  <c r="R1000" i="6" s="1"/>
  <c r="U1000" i="6" s="1"/>
  <c r="N1002" i="6"/>
  <c r="K1002" i="6" s="1"/>
  <c r="J8" i="6"/>
  <c r="I8" i="6" s="1"/>
  <c r="J20" i="4"/>
  <c r="I20" i="4" s="1"/>
  <c r="J24" i="4"/>
  <c r="I24" i="4" s="1"/>
  <c r="J298" i="4"/>
  <c r="I298" i="4" s="1"/>
  <c r="J378" i="4"/>
  <c r="I378" i="4" s="1"/>
  <c r="J534" i="4"/>
  <c r="I534" i="4" s="1"/>
  <c r="J538" i="4"/>
  <c r="I538" i="4" s="1"/>
  <c r="J744" i="4"/>
  <c r="I744" i="4" s="1"/>
  <c r="J748" i="4"/>
  <c r="I748" i="4" s="1"/>
  <c r="J788" i="4"/>
  <c r="I788" i="4" s="1"/>
  <c r="J978" i="4"/>
  <c r="I978" i="4" s="1"/>
  <c r="J998" i="4"/>
  <c r="I998" i="4" s="1"/>
  <c r="J18" i="4"/>
  <c r="I18" i="4" s="1"/>
  <c r="J22" i="4"/>
  <c r="I22" i="4" s="1"/>
  <c r="J26" i="4"/>
  <c r="I26" i="4" s="1"/>
  <c r="J30" i="4"/>
  <c r="I30" i="4" s="1"/>
  <c r="J34" i="4"/>
  <c r="I34" i="4" s="1"/>
  <c r="J38" i="4"/>
  <c r="I38" i="4" s="1"/>
  <c r="J42" i="4"/>
  <c r="I42" i="4" s="1"/>
  <c r="J46" i="4"/>
  <c r="I46" i="4" s="1"/>
  <c r="J50" i="4"/>
  <c r="I50" i="4" s="1"/>
  <c r="J54" i="4"/>
  <c r="I54" i="4" s="1"/>
  <c r="J58" i="4"/>
  <c r="I58" i="4" s="1"/>
  <c r="J62" i="4"/>
  <c r="I62" i="4" s="1"/>
  <c r="J66" i="4"/>
  <c r="I66" i="4" s="1"/>
  <c r="J70" i="4"/>
  <c r="I70" i="4" s="1"/>
  <c r="J74" i="4"/>
  <c r="I74" i="4" s="1"/>
  <c r="J78" i="4"/>
  <c r="I78" i="4" s="1"/>
  <c r="J82" i="4"/>
  <c r="I82" i="4" s="1"/>
  <c r="J86" i="4"/>
  <c r="I86" i="4" s="1"/>
  <c r="J90" i="4"/>
  <c r="I90" i="4" s="1"/>
  <c r="J94" i="4"/>
  <c r="I94" i="4" s="1"/>
  <c r="J98" i="4"/>
  <c r="I98" i="4" s="1"/>
  <c r="J102" i="4"/>
  <c r="I102" i="4" s="1"/>
  <c r="J106" i="4"/>
  <c r="I106" i="4" s="1"/>
  <c r="J110" i="4"/>
  <c r="I110" i="4" s="1"/>
  <c r="J114" i="4"/>
  <c r="I114" i="4" s="1"/>
  <c r="J118" i="4"/>
  <c r="I118" i="4" s="1"/>
  <c r="J122" i="4"/>
  <c r="I122" i="4" s="1"/>
  <c r="J126" i="4"/>
  <c r="I126" i="4" s="1"/>
  <c r="J130" i="4"/>
  <c r="I130" i="4" s="1"/>
  <c r="J134" i="4"/>
  <c r="I134" i="4" s="1"/>
  <c r="J138" i="4"/>
  <c r="I138" i="4" s="1"/>
  <c r="J144" i="4"/>
  <c r="I144" i="4" s="1"/>
  <c r="J148" i="4"/>
  <c r="I148" i="4" s="1"/>
  <c r="J152" i="4"/>
  <c r="I152" i="4" s="1"/>
  <c r="J156" i="4"/>
  <c r="I156" i="4" s="1"/>
  <c r="J160" i="4"/>
  <c r="I160" i="4" s="1"/>
  <c r="J164" i="4"/>
  <c r="I164" i="4" s="1"/>
  <c r="J168" i="4"/>
  <c r="I168" i="4" s="1"/>
  <c r="J172" i="4"/>
  <c r="I172" i="4" s="1"/>
  <c r="J176" i="4"/>
  <c r="I176" i="4" s="1"/>
  <c r="J180" i="4"/>
  <c r="I180" i="4" s="1"/>
  <c r="J184" i="4"/>
  <c r="I184" i="4" s="1"/>
  <c r="J190" i="4"/>
  <c r="I190" i="4" s="1"/>
  <c r="J194" i="4"/>
  <c r="I194" i="4" s="1"/>
  <c r="J198" i="4"/>
  <c r="I198" i="4" s="1"/>
  <c r="J202" i="4"/>
  <c r="I202" i="4" s="1"/>
  <c r="J206" i="4"/>
  <c r="I206" i="4" s="1"/>
  <c r="J210" i="4"/>
  <c r="I210" i="4" s="1"/>
  <c r="J214" i="4"/>
  <c r="I214" i="4" s="1"/>
  <c r="J218" i="4"/>
  <c r="I218" i="4" s="1"/>
  <c r="J222" i="4"/>
  <c r="I222" i="4" s="1"/>
  <c r="J226" i="4"/>
  <c r="I226" i="4" s="1"/>
  <c r="J230" i="4"/>
  <c r="I230" i="4" s="1"/>
  <c r="J234" i="4"/>
  <c r="I234" i="4" s="1"/>
  <c r="J238" i="4"/>
  <c r="I238" i="4" s="1"/>
  <c r="J242" i="4"/>
  <c r="I242" i="4" s="1"/>
  <c r="J246" i="4"/>
  <c r="I246" i="4" s="1"/>
  <c r="J250" i="4"/>
  <c r="I250" i="4" s="1"/>
  <c r="J256" i="4"/>
  <c r="I256" i="4" s="1"/>
  <c r="J260" i="4"/>
  <c r="I260" i="4" s="1"/>
  <c r="J264" i="4"/>
  <c r="I264" i="4" s="1"/>
  <c r="J268" i="4"/>
  <c r="I268" i="4" s="1"/>
  <c r="J272" i="4"/>
  <c r="I272" i="4" s="1"/>
  <c r="J276" i="4"/>
  <c r="I276" i="4" s="1"/>
  <c r="J280" i="4"/>
  <c r="I280" i="4" s="1"/>
  <c r="J284" i="4"/>
  <c r="I284" i="4" s="1"/>
  <c r="J288" i="4"/>
  <c r="I288" i="4" s="1"/>
  <c r="J292" i="4"/>
  <c r="I292" i="4" s="1"/>
  <c r="J296" i="4"/>
  <c r="I296" i="4" s="1"/>
  <c r="J300" i="4"/>
  <c r="I300" i="4" s="1"/>
  <c r="J304" i="4"/>
  <c r="I304" i="4" s="1"/>
  <c r="J308" i="4"/>
  <c r="I308" i="4" s="1"/>
  <c r="J312" i="4"/>
  <c r="I312" i="4" s="1"/>
  <c r="J316" i="4"/>
  <c r="I316" i="4" s="1"/>
  <c r="J320" i="4"/>
  <c r="I320" i="4" s="1"/>
  <c r="J324" i="4"/>
  <c r="I324" i="4" s="1"/>
  <c r="J328" i="4"/>
  <c r="I328" i="4" s="1"/>
  <c r="J332" i="4"/>
  <c r="I332" i="4" s="1"/>
  <c r="J336" i="4"/>
  <c r="I336" i="4" s="1"/>
  <c r="J340" i="4"/>
  <c r="I340" i="4" s="1"/>
  <c r="J344" i="4"/>
  <c r="I344" i="4" s="1"/>
  <c r="J348" i="4"/>
  <c r="I348" i="4" s="1"/>
  <c r="J352" i="4"/>
  <c r="I352" i="4" s="1"/>
  <c r="J356" i="4"/>
  <c r="I356" i="4" s="1"/>
  <c r="J360" i="4"/>
  <c r="I360" i="4" s="1"/>
  <c r="J364" i="4"/>
  <c r="I364" i="4" s="1"/>
  <c r="J368" i="4"/>
  <c r="I368" i="4" s="1"/>
  <c r="J372" i="4"/>
  <c r="I372" i="4" s="1"/>
  <c r="J376" i="4"/>
  <c r="I376" i="4" s="1"/>
  <c r="J380" i="4"/>
  <c r="I380" i="4" s="1"/>
  <c r="J384" i="4"/>
  <c r="I384" i="4" s="1"/>
  <c r="J388" i="4"/>
  <c r="I388" i="4" s="1"/>
  <c r="J392" i="4"/>
  <c r="I392" i="4" s="1"/>
  <c r="J396" i="4"/>
  <c r="I396" i="4" s="1"/>
  <c r="J400" i="4"/>
  <c r="I400" i="4" s="1"/>
  <c r="J404" i="4"/>
  <c r="I404" i="4" s="1"/>
  <c r="J408" i="4"/>
  <c r="I408" i="4" s="1"/>
  <c r="J412" i="4"/>
  <c r="I412" i="4" s="1"/>
  <c r="J416" i="4"/>
  <c r="I416" i="4" s="1"/>
  <c r="J420" i="4"/>
  <c r="I420" i="4" s="1"/>
  <c r="J424" i="4"/>
  <c r="I424" i="4" s="1"/>
  <c r="J428" i="4"/>
  <c r="I428" i="4" s="1"/>
  <c r="J432" i="4"/>
  <c r="I432" i="4" s="1"/>
  <c r="J436" i="4"/>
  <c r="I436" i="4" s="1"/>
  <c r="J440" i="4"/>
  <c r="I440" i="4" s="1"/>
  <c r="J444" i="4"/>
  <c r="I444" i="4" s="1"/>
  <c r="J448" i="4"/>
  <c r="I448" i="4" s="1"/>
  <c r="J452" i="4"/>
  <c r="I452" i="4" s="1"/>
  <c r="J456" i="4"/>
  <c r="I456" i="4" s="1"/>
  <c r="J460" i="4"/>
  <c r="I460" i="4" s="1"/>
  <c r="J464" i="4"/>
  <c r="I464" i="4" s="1"/>
  <c r="J468" i="4"/>
  <c r="I468" i="4" s="1"/>
  <c r="J472" i="4"/>
  <c r="I472" i="4" s="1"/>
  <c r="J476" i="4"/>
  <c r="I476" i="4" s="1"/>
  <c r="J480" i="4"/>
  <c r="I480" i="4" s="1"/>
  <c r="J484" i="4"/>
  <c r="I484" i="4" s="1"/>
  <c r="J488" i="4"/>
  <c r="I488" i="4" s="1"/>
  <c r="J492" i="4"/>
  <c r="I492" i="4" s="1"/>
  <c r="J496" i="4"/>
  <c r="I496" i="4" s="1"/>
  <c r="J500" i="4"/>
  <c r="I500" i="4" s="1"/>
  <c r="J504" i="4"/>
  <c r="I504" i="4" s="1"/>
  <c r="J508" i="4"/>
  <c r="I508" i="4" s="1"/>
  <c r="J512" i="4"/>
  <c r="I512" i="4" s="1"/>
  <c r="J516" i="4"/>
  <c r="I516" i="4" s="1"/>
  <c r="J520" i="4"/>
  <c r="I520" i="4" s="1"/>
  <c r="J524" i="4"/>
  <c r="I524" i="4" s="1"/>
  <c r="J528" i="4"/>
  <c r="I528" i="4" s="1"/>
  <c r="J532" i="4"/>
  <c r="I532" i="4" s="1"/>
  <c r="J536" i="4"/>
  <c r="I536" i="4" s="1"/>
  <c r="J668" i="4"/>
  <c r="I668" i="4" s="1"/>
  <c r="J676" i="4"/>
  <c r="I676" i="4" s="1"/>
  <c r="J684" i="4"/>
  <c r="I684" i="4" s="1"/>
  <c r="J692" i="4"/>
  <c r="I692" i="4" s="1"/>
  <c r="J724" i="4"/>
  <c r="I724" i="4" s="1"/>
  <c r="J732" i="4"/>
  <c r="I732" i="4" s="1"/>
  <c r="J734" i="4"/>
  <c r="I734" i="4" s="1"/>
  <c r="J738" i="4"/>
  <c r="I738" i="4" s="1"/>
  <c r="J742" i="4"/>
  <c r="I742" i="4" s="1"/>
  <c r="J746" i="4"/>
  <c r="I746" i="4" s="1"/>
  <c r="J750" i="4"/>
  <c r="I750" i="4" s="1"/>
  <c r="J754" i="4"/>
  <c r="I754" i="4" s="1"/>
  <c r="R754" i="4" s="1"/>
  <c r="U754" i="4" s="1"/>
  <c r="J758" i="4"/>
  <c r="I758" i="4" s="1"/>
  <c r="J762" i="4"/>
  <c r="I762" i="4" s="1"/>
  <c r="R762" i="4" s="1"/>
  <c r="U762" i="4" s="1"/>
  <c r="J766" i="4"/>
  <c r="I766" i="4" s="1"/>
  <c r="R766" i="4" s="1"/>
  <c r="U766" i="4" s="1"/>
  <c r="J770" i="4"/>
  <c r="I770" i="4" s="1"/>
  <c r="J774" i="4"/>
  <c r="I774" i="4" s="1"/>
  <c r="J778" i="4"/>
  <c r="I778" i="4" s="1"/>
  <c r="R778" i="4" s="1"/>
  <c r="U778" i="4" s="1"/>
  <c r="J782" i="4"/>
  <c r="I782" i="4" s="1"/>
  <c r="J786" i="4"/>
  <c r="I786" i="4" s="1"/>
  <c r="J790" i="4"/>
  <c r="I790" i="4" s="1"/>
  <c r="J794" i="4"/>
  <c r="I794" i="4" s="1"/>
  <c r="R794" i="4" s="1"/>
  <c r="U794" i="4" s="1"/>
  <c r="J798" i="4"/>
  <c r="I798" i="4" s="1"/>
  <c r="J802" i="4"/>
  <c r="I802" i="4" s="1"/>
  <c r="R802" i="4" s="1"/>
  <c r="U802" i="4" s="1"/>
  <c r="J806" i="4"/>
  <c r="I806" i="4" s="1"/>
  <c r="J810" i="4"/>
  <c r="I810" i="4" s="1"/>
  <c r="J814" i="4"/>
  <c r="I814" i="4" s="1"/>
  <c r="J818" i="4"/>
  <c r="I818" i="4" s="1"/>
  <c r="J822" i="4"/>
  <c r="I822" i="4" s="1"/>
  <c r="J826" i="4"/>
  <c r="I826" i="4" s="1"/>
  <c r="J830" i="4"/>
  <c r="I830" i="4" s="1"/>
  <c r="J834" i="4"/>
  <c r="I834" i="4" s="1"/>
  <c r="J956" i="4"/>
  <c r="I956" i="4" s="1"/>
  <c r="J960" i="4"/>
  <c r="I960" i="4" s="1"/>
  <c r="J964" i="4"/>
  <c r="I964" i="4" s="1"/>
  <c r="J968" i="4"/>
  <c r="I968" i="4" s="1"/>
  <c r="J972" i="4"/>
  <c r="I972" i="4" s="1"/>
  <c r="J976" i="4"/>
  <c r="I976" i="4" s="1"/>
  <c r="J980" i="4"/>
  <c r="I980" i="4" s="1"/>
  <c r="J984" i="4"/>
  <c r="I984" i="4" s="1"/>
  <c r="J988" i="4"/>
  <c r="I988" i="4" s="1"/>
  <c r="J992" i="4"/>
  <c r="I992" i="4" s="1"/>
  <c r="J996" i="4"/>
  <c r="I996" i="4" s="1"/>
  <c r="J1000" i="4"/>
  <c r="I1000" i="4" s="1"/>
  <c r="J6" i="4"/>
  <c r="I6" i="4" s="1"/>
  <c r="J8" i="4"/>
  <c r="I8" i="4" s="1"/>
  <c r="J16" i="4"/>
  <c r="I16" i="4" s="1"/>
  <c r="J12" i="4"/>
  <c r="I12" i="4" s="1"/>
  <c r="Q542" i="4"/>
  <c r="N542" i="4"/>
  <c r="Q546" i="4"/>
  <c r="N546" i="4"/>
  <c r="K546" i="4" s="1"/>
  <c r="Q550" i="4"/>
  <c r="N550" i="4"/>
  <c r="K550" i="4" s="1"/>
  <c r="Q554" i="4"/>
  <c r="N554" i="4"/>
  <c r="K554" i="4" s="1"/>
  <c r="Q558" i="4"/>
  <c r="N558" i="4"/>
  <c r="K558" i="4" s="1"/>
  <c r="Q562" i="4"/>
  <c r="N562" i="4"/>
  <c r="K562" i="4" s="1"/>
  <c r="Q566" i="4"/>
  <c r="N566" i="4"/>
  <c r="K566" i="4" s="1"/>
  <c r="Q570" i="4"/>
  <c r="N570" i="4"/>
  <c r="K570" i="4" s="1"/>
  <c r="Q574" i="4"/>
  <c r="N574" i="4"/>
  <c r="K574" i="4" s="1"/>
  <c r="Q578" i="4"/>
  <c r="N578" i="4"/>
  <c r="K578" i="4" s="1"/>
  <c r="Q582" i="4"/>
  <c r="N582" i="4"/>
  <c r="K582" i="4" s="1"/>
  <c r="Q586" i="4"/>
  <c r="N586" i="4"/>
  <c r="K586" i="4" s="1"/>
  <c r="Q590" i="4"/>
  <c r="N590" i="4"/>
  <c r="K590" i="4" s="1"/>
  <c r="Q594" i="4"/>
  <c r="N594" i="4"/>
  <c r="K594" i="4" s="1"/>
  <c r="Q598" i="4"/>
  <c r="N598" i="4"/>
  <c r="K598" i="4" s="1"/>
  <c r="Q602" i="4"/>
  <c r="N602" i="4"/>
  <c r="K602" i="4" s="1"/>
  <c r="Q606" i="4"/>
  <c r="N606" i="4"/>
  <c r="K606" i="4" s="1"/>
  <c r="Q610" i="4"/>
  <c r="N610" i="4"/>
  <c r="K610" i="4" s="1"/>
  <c r="Q614" i="4"/>
  <c r="N614" i="4"/>
  <c r="K614" i="4" s="1"/>
  <c r="Q618" i="4"/>
  <c r="N618" i="4"/>
  <c r="K618" i="4" s="1"/>
  <c r="Q622" i="4"/>
  <c r="N622" i="4"/>
  <c r="K622" i="4" s="1"/>
  <c r="R622" i="4" s="1"/>
  <c r="U622" i="4" s="1"/>
  <c r="Q626" i="4"/>
  <c r="N626" i="4"/>
  <c r="K626" i="4" s="1"/>
  <c r="Q630" i="4"/>
  <c r="N630" i="4"/>
  <c r="K630" i="4" s="1"/>
  <c r="Q634" i="4"/>
  <c r="N634" i="4"/>
  <c r="K634" i="4" s="1"/>
  <c r="Q638" i="4"/>
  <c r="N638" i="4"/>
  <c r="K638" i="4" s="1"/>
  <c r="Q642" i="4"/>
  <c r="N642" i="4"/>
  <c r="K642" i="4" s="1"/>
  <c r="Q646" i="4"/>
  <c r="N646" i="4"/>
  <c r="K646" i="4" s="1"/>
  <c r="Q650" i="4"/>
  <c r="N650" i="4"/>
  <c r="K650" i="4" s="1"/>
  <c r="Q654" i="4"/>
  <c r="N654" i="4"/>
  <c r="K654" i="4" s="1"/>
  <c r="R654" i="4" s="1"/>
  <c r="U654" i="4" s="1"/>
  <c r="Q658" i="4"/>
  <c r="N658" i="4"/>
  <c r="K658" i="4" s="1"/>
  <c r="Q662" i="4"/>
  <c r="N662" i="4"/>
  <c r="K662" i="4" s="1"/>
  <c r="Q666" i="4"/>
  <c r="N666" i="4"/>
  <c r="K666" i="4" s="1"/>
  <c r="Q670" i="4"/>
  <c r="N670" i="4"/>
  <c r="K670" i="4" s="1"/>
  <c r="R670" i="4" s="1"/>
  <c r="U670" i="4" s="1"/>
  <c r="Q674" i="4"/>
  <c r="N674" i="4"/>
  <c r="K674" i="4" s="1"/>
  <c r="R674" i="4" s="1"/>
  <c r="U674" i="4" s="1"/>
  <c r="Q678" i="4"/>
  <c r="N678" i="4"/>
  <c r="K678" i="4" s="1"/>
  <c r="R678" i="4" s="1"/>
  <c r="U678" i="4" s="1"/>
  <c r="Q682" i="4"/>
  <c r="N682" i="4"/>
  <c r="K682" i="4" s="1"/>
  <c r="R682" i="4" s="1"/>
  <c r="U682" i="4" s="1"/>
  <c r="Q686" i="4"/>
  <c r="N686" i="4"/>
  <c r="K686" i="4" s="1"/>
  <c r="R686" i="4" s="1"/>
  <c r="U686" i="4" s="1"/>
  <c r="Q690" i="4"/>
  <c r="N690" i="4"/>
  <c r="K690" i="4" s="1"/>
  <c r="R690" i="4" s="1"/>
  <c r="U690" i="4" s="1"/>
  <c r="Q694" i="4"/>
  <c r="N694" i="4"/>
  <c r="K694" i="4" s="1"/>
  <c r="R694" i="4" s="1"/>
  <c r="U694" i="4" s="1"/>
  <c r="Q698" i="4"/>
  <c r="N698" i="4"/>
  <c r="K698" i="4" s="1"/>
  <c r="R698" i="4" s="1"/>
  <c r="U698" i="4" s="1"/>
  <c r="Q702" i="4"/>
  <c r="N702" i="4"/>
  <c r="K702" i="4" s="1"/>
  <c r="R702" i="4" s="1"/>
  <c r="U702" i="4" s="1"/>
  <c r="Q706" i="4"/>
  <c r="N706" i="4"/>
  <c r="K706" i="4" s="1"/>
  <c r="R706" i="4" s="1"/>
  <c r="U706" i="4" s="1"/>
  <c r="Q710" i="4"/>
  <c r="N710" i="4"/>
  <c r="K710" i="4" s="1"/>
  <c r="R710" i="4" s="1"/>
  <c r="U710" i="4" s="1"/>
  <c r="Q714" i="4"/>
  <c r="N714" i="4"/>
  <c r="K714" i="4" s="1"/>
  <c r="R714" i="4" s="1"/>
  <c r="U714" i="4" s="1"/>
  <c r="Q718" i="4"/>
  <c r="N718" i="4"/>
  <c r="K718" i="4" s="1"/>
  <c r="R718" i="4" s="1"/>
  <c r="U718" i="4" s="1"/>
  <c r="Q722" i="4"/>
  <c r="N722" i="4"/>
  <c r="K722" i="4" s="1"/>
  <c r="R722" i="4" s="1"/>
  <c r="U722" i="4" s="1"/>
  <c r="Q726" i="4"/>
  <c r="N726" i="4"/>
  <c r="K726" i="4" s="1"/>
  <c r="R726" i="4" s="1"/>
  <c r="U726" i="4" s="1"/>
  <c r="Q730" i="4"/>
  <c r="N730" i="4"/>
  <c r="K730" i="4" s="1"/>
  <c r="R730" i="4" s="1"/>
  <c r="U730" i="4" s="1"/>
  <c r="J10" i="4"/>
  <c r="I10" i="4" s="1"/>
  <c r="Q544" i="4"/>
  <c r="N544" i="4"/>
  <c r="K544" i="4" s="1"/>
  <c r="R544" i="4" s="1"/>
  <c r="U544" i="4" s="1"/>
  <c r="Q548" i="4"/>
  <c r="N548" i="4"/>
  <c r="K548" i="4" s="1"/>
  <c r="Q552" i="4"/>
  <c r="N552" i="4"/>
  <c r="K552" i="4" s="1"/>
  <c r="R552" i="4" s="1"/>
  <c r="U552" i="4" s="1"/>
  <c r="Q556" i="4"/>
  <c r="N556" i="4"/>
  <c r="K556" i="4" s="1"/>
  <c r="Q560" i="4"/>
  <c r="N560" i="4"/>
  <c r="K560" i="4" s="1"/>
  <c r="R560" i="4" s="1"/>
  <c r="U560" i="4" s="1"/>
  <c r="Q564" i="4"/>
  <c r="N564" i="4"/>
  <c r="K564" i="4" s="1"/>
  <c r="Q568" i="4"/>
  <c r="N568" i="4"/>
  <c r="K568" i="4" s="1"/>
  <c r="R568" i="4" s="1"/>
  <c r="U568" i="4" s="1"/>
  <c r="Q572" i="4"/>
  <c r="N572" i="4"/>
  <c r="K572" i="4" s="1"/>
  <c r="R572" i="4" s="1"/>
  <c r="U572" i="4" s="1"/>
  <c r="Q576" i="4"/>
  <c r="N576" i="4"/>
  <c r="K576" i="4" s="1"/>
  <c r="R576" i="4" s="1"/>
  <c r="U576" i="4" s="1"/>
  <c r="Q580" i="4"/>
  <c r="N580" i="4"/>
  <c r="K580" i="4" s="1"/>
  <c r="R580" i="4" s="1"/>
  <c r="U580" i="4" s="1"/>
  <c r="Q584" i="4"/>
  <c r="N584" i="4"/>
  <c r="K584" i="4" s="1"/>
  <c r="Q588" i="4"/>
  <c r="N588" i="4"/>
  <c r="K588" i="4" s="1"/>
  <c r="R588" i="4" s="1"/>
  <c r="U588" i="4" s="1"/>
  <c r="Q592" i="4"/>
  <c r="N592" i="4"/>
  <c r="K592" i="4" s="1"/>
  <c r="R592" i="4" s="1"/>
  <c r="U592" i="4" s="1"/>
  <c r="Q596" i="4"/>
  <c r="N596" i="4"/>
  <c r="Q600" i="4"/>
  <c r="N600" i="4"/>
  <c r="Q604" i="4"/>
  <c r="N604" i="4"/>
  <c r="Q608" i="4"/>
  <c r="N608" i="4"/>
  <c r="Q612" i="4"/>
  <c r="N612" i="4"/>
  <c r="Q616" i="4"/>
  <c r="N616" i="4"/>
  <c r="Q620" i="4"/>
  <c r="N620" i="4"/>
  <c r="Q624" i="4"/>
  <c r="N624" i="4"/>
  <c r="Q628" i="4"/>
  <c r="N628" i="4"/>
  <c r="Q632" i="4"/>
  <c r="N632" i="4"/>
  <c r="Q636" i="4"/>
  <c r="N636" i="4"/>
  <c r="Q640" i="4"/>
  <c r="N640" i="4"/>
  <c r="Q644" i="4"/>
  <c r="N644" i="4"/>
  <c r="Q648" i="4"/>
  <c r="N648" i="4"/>
  <c r="Q652" i="4"/>
  <c r="N652" i="4"/>
  <c r="Q656" i="4"/>
  <c r="N656" i="4"/>
  <c r="Q660" i="4"/>
  <c r="N660" i="4"/>
  <c r="Q664" i="4"/>
  <c r="N664" i="4"/>
  <c r="Q668" i="4"/>
  <c r="N668" i="4"/>
  <c r="Q672" i="4"/>
  <c r="N672" i="4"/>
  <c r="Q676" i="4"/>
  <c r="N676" i="4"/>
  <c r="Q680" i="4"/>
  <c r="N680" i="4"/>
  <c r="Q684" i="4"/>
  <c r="N684" i="4"/>
  <c r="Q688" i="4"/>
  <c r="N688" i="4"/>
  <c r="Q692" i="4"/>
  <c r="N692" i="4"/>
  <c r="Q696" i="4"/>
  <c r="N696" i="4"/>
  <c r="Q700" i="4"/>
  <c r="N700" i="4"/>
  <c r="Q704" i="4"/>
  <c r="N704" i="4"/>
  <c r="Q708" i="4"/>
  <c r="N708" i="4"/>
  <c r="Q712" i="4"/>
  <c r="N712" i="4"/>
  <c r="Q716" i="4"/>
  <c r="N716" i="4"/>
  <c r="Q720" i="4"/>
  <c r="N720" i="4"/>
  <c r="Q724" i="4"/>
  <c r="N724" i="4"/>
  <c r="Q728" i="4"/>
  <c r="N728" i="4"/>
  <c r="Q732" i="4"/>
  <c r="N732" i="4"/>
  <c r="J14" i="4"/>
  <c r="I14" i="4" s="1"/>
  <c r="J142" i="4"/>
  <c r="I142" i="4" s="1"/>
  <c r="J186" i="4"/>
  <c r="I186" i="4" s="1"/>
  <c r="J254" i="4"/>
  <c r="I254" i="4" s="1"/>
  <c r="N6" i="4"/>
  <c r="N8" i="4"/>
  <c r="N10" i="4"/>
  <c r="N12" i="4"/>
  <c r="N14" i="4"/>
  <c r="N16" i="4"/>
  <c r="N18" i="4"/>
  <c r="N20" i="4"/>
  <c r="N22" i="4"/>
  <c r="N24" i="4"/>
  <c r="N26" i="4"/>
  <c r="N28" i="4"/>
  <c r="N30" i="4"/>
  <c r="N32" i="4"/>
  <c r="N34" i="4"/>
  <c r="N36" i="4"/>
  <c r="N38" i="4"/>
  <c r="N40" i="4"/>
  <c r="N42" i="4"/>
  <c r="N44" i="4"/>
  <c r="N46" i="4"/>
  <c r="N48" i="4"/>
  <c r="N50" i="4"/>
  <c r="N52" i="4"/>
  <c r="N54" i="4"/>
  <c r="N56" i="4"/>
  <c r="N58" i="4"/>
  <c r="N60" i="4"/>
  <c r="N62" i="4"/>
  <c r="N64" i="4"/>
  <c r="N66" i="4"/>
  <c r="N68" i="4"/>
  <c r="N70" i="4"/>
  <c r="N72" i="4"/>
  <c r="N74" i="4"/>
  <c r="N76" i="4"/>
  <c r="N78" i="4"/>
  <c r="N80" i="4"/>
  <c r="N82" i="4"/>
  <c r="N84" i="4"/>
  <c r="N86" i="4"/>
  <c r="N88" i="4"/>
  <c r="N90" i="4"/>
  <c r="N92" i="4"/>
  <c r="N94" i="4"/>
  <c r="N96" i="4"/>
  <c r="N98" i="4"/>
  <c r="N100" i="4"/>
  <c r="N102" i="4"/>
  <c r="N104" i="4"/>
  <c r="N106" i="4"/>
  <c r="N108" i="4"/>
  <c r="N110" i="4"/>
  <c r="N112" i="4"/>
  <c r="N114" i="4"/>
  <c r="N116" i="4"/>
  <c r="N118" i="4"/>
  <c r="N120" i="4"/>
  <c r="N122" i="4"/>
  <c r="N124" i="4"/>
  <c r="N126" i="4"/>
  <c r="N128" i="4"/>
  <c r="N130" i="4"/>
  <c r="N132" i="4"/>
  <c r="N134" i="4"/>
  <c r="N136" i="4"/>
  <c r="N138" i="4"/>
  <c r="N140" i="4"/>
  <c r="N142" i="4"/>
  <c r="N144" i="4"/>
  <c r="N146" i="4"/>
  <c r="N148" i="4"/>
  <c r="N150" i="4"/>
  <c r="N152" i="4"/>
  <c r="N154" i="4"/>
  <c r="N156" i="4"/>
  <c r="N158" i="4"/>
  <c r="N160" i="4"/>
  <c r="N162" i="4"/>
  <c r="N164" i="4"/>
  <c r="N166" i="4"/>
  <c r="N168" i="4"/>
  <c r="N170" i="4"/>
  <c r="N172" i="4"/>
  <c r="N174" i="4"/>
  <c r="N176" i="4"/>
  <c r="N178" i="4"/>
  <c r="N180" i="4"/>
  <c r="N182" i="4"/>
  <c r="N184" i="4"/>
  <c r="N186" i="4"/>
  <c r="N188" i="4"/>
  <c r="N190" i="4"/>
  <c r="N192" i="4"/>
  <c r="N194" i="4"/>
  <c r="N196" i="4"/>
  <c r="N198" i="4"/>
  <c r="N200" i="4"/>
  <c r="N202" i="4"/>
  <c r="N204" i="4"/>
  <c r="N206" i="4"/>
  <c r="N208" i="4"/>
  <c r="N210" i="4"/>
  <c r="N212" i="4"/>
  <c r="N214" i="4"/>
  <c r="N216" i="4"/>
  <c r="N218" i="4"/>
  <c r="N220" i="4"/>
  <c r="N222" i="4"/>
  <c r="N224" i="4"/>
  <c r="N226" i="4"/>
  <c r="N228" i="4"/>
  <c r="N230" i="4"/>
  <c r="N232" i="4"/>
  <c r="N234" i="4"/>
  <c r="N236" i="4"/>
  <c r="N238" i="4"/>
  <c r="N240" i="4"/>
  <c r="N242" i="4"/>
  <c r="N244" i="4"/>
  <c r="N246" i="4"/>
  <c r="N248" i="4"/>
  <c r="N250" i="4"/>
  <c r="N252" i="4"/>
  <c r="N254" i="4"/>
  <c r="N256" i="4"/>
  <c r="N258" i="4"/>
  <c r="N260" i="4"/>
  <c r="N262" i="4"/>
  <c r="N264" i="4"/>
  <c r="N266" i="4"/>
  <c r="N268" i="4"/>
  <c r="N270" i="4"/>
  <c r="N272" i="4"/>
  <c r="N274" i="4"/>
  <c r="N276" i="4"/>
  <c r="N278" i="4"/>
  <c r="N280" i="4"/>
  <c r="N282" i="4"/>
  <c r="N284" i="4"/>
  <c r="N286" i="4"/>
  <c r="N288" i="4"/>
  <c r="N290" i="4"/>
  <c r="N292" i="4"/>
  <c r="N294" i="4"/>
  <c r="N296" i="4"/>
  <c r="N298" i="4"/>
  <c r="N300" i="4"/>
  <c r="N302" i="4"/>
  <c r="N304" i="4"/>
  <c r="N306" i="4"/>
  <c r="N308" i="4"/>
  <c r="N310" i="4"/>
  <c r="N312" i="4"/>
  <c r="N314" i="4"/>
  <c r="N316" i="4"/>
  <c r="N318" i="4"/>
  <c r="N320" i="4"/>
  <c r="N322" i="4"/>
  <c r="N324" i="4"/>
  <c r="N326" i="4"/>
  <c r="N328" i="4"/>
  <c r="N330" i="4"/>
  <c r="N332" i="4"/>
  <c r="N334" i="4"/>
  <c r="N336" i="4"/>
  <c r="N338" i="4"/>
  <c r="N340" i="4"/>
  <c r="N342" i="4"/>
  <c r="N344" i="4"/>
  <c r="N346" i="4"/>
  <c r="N348" i="4"/>
  <c r="N350" i="4"/>
  <c r="N352" i="4"/>
  <c r="N354" i="4"/>
  <c r="N356" i="4"/>
  <c r="N358" i="4"/>
  <c r="N360" i="4"/>
  <c r="N362" i="4"/>
  <c r="N364" i="4"/>
  <c r="N366" i="4"/>
  <c r="N368" i="4"/>
  <c r="N370" i="4"/>
  <c r="N372" i="4"/>
  <c r="N374" i="4"/>
  <c r="N376" i="4"/>
  <c r="N378" i="4"/>
  <c r="N380" i="4"/>
  <c r="N382" i="4"/>
  <c r="N384" i="4"/>
  <c r="N386" i="4"/>
  <c r="N388" i="4"/>
  <c r="N390" i="4"/>
  <c r="N392" i="4"/>
  <c r="N394" i="4"/>
  <c r="N396" i="4"/>
  <c r="N398" i="4"/>
  <c r="N400" i="4"/>
  <c r="N402" i="4"/>
  <c r="N404" i="4"/>
  <c r="N406" i="4"/>
  <c r="N408" i="4"/>
  <c r="N410" i="4"/>
  <c r="N412" i="4"/>
  <c r="N414" i="4"/>
  <c r="N416" i="4"/>
  <c r="N418" i="4"/>
  <c r="N420" i="4"/>
  <c r="N422" i="4"/>
  <c r="N424" i="4"/>
  <c r="N426" i="4"/>
  <c r="N428" i="4"/>
  <c r="N430" i="4"/>
  <c r="N432" i="4"/>
  <c r="N434" i="4"/>
  <c r="N436" i="4"/>
  <c r="N438" i="4"/>
  <c r="N440" i="4"/>
  <c r="N442" i="4"/>
  <c r="N444" i="4"/>
  <c r="N446" i="4"/>
  <c r="N448" i="4"/>
  <c r="N450" i="4"/>
  <c r="N452" i="4"/>
  <c r="N454" i="4"/>
  <c r="N456" i="4"/>
  <c r="N458" i="4"/>
  <c r="N460" i="4"/>
  <c r="N462" i="4"/>
  <c r="N464" i="4"/>
  <c r="N466" i="4"/>
  <c r="N468" i="4"/>
  <c r="N470" i="4"/>
  <c r="N472" i="4"/>
  <c r="N474" i="4"/>
  <c r="N476" i="4"/>
  <c r="N478" i="4"/>
  <c r="N480" i="4"/>
  <c r="N482" i="4"/>
  <c r="N484" i="4"/>
  <c r="N486" i="4"/>
  <c r="N488" i="4"/>
  <c r="N490" i="4"/>
  <c r="N492" i="4"/>
  <c r="N494" i="4"/>
  <c r="N496" i="4"/>
  <c r="N498" i="4"/>
  <c r="N500" i="4"/>
  <c r="N502" i="4"/>
  <c r="N504" i="4"/>
  <c r="N506" i="4"/>
  <c r="N508" i="4"/>
  <c r="N510" i="4"/>
  <c r="N512" i="4"/>
  <c r="N514" i="4"/>
  <c r="N516" i="4"/>
  <c r="N518" i="4"/>
  <c r="N520" i="4"/>
  <c r="N522" i="4"/>
  <c r="N524" i="4"/>
  <c r="N526" i="4"/>
  <c r="N528" i="4"/>
  <c r="N530" i="4"/>
  <c r="N532" i="4"/>
  <c r="N534" i="4"/>
  <c r="N536" i="4"/>
  <c r="N538" i="4"/>
  <c r="N540" i="4"/>
  <c r="J546" i="4"/>
  <c r="I546" i="4" s="1"/>
  <c r="R546" i="4" s="1"/>
  <c r="U546" i="4" s="1"/>
  <c r="J550" i="4"/>
  <c r="I550" i="4" s="1"/>
  <c r="J554" i="4"/>
  <c r="I554" i="4" s="1"/>
  <c r="R554" i="4" s="1"/>
  <c r="U554" i="4" s="1"/>
  <c r="J558" i="4"/>
  <c r="I558" i="4" s="1"/>
  <c r="J562" i="4"/>
  <c r="I562" i="4" s="1"/>
  <c r="R562" i="4" s="1"/>
  <c r="U562" i="4" s="1"/>
  <c r="J566" i="4"/>
  <c r="I566" i="4" s="1"/>
  <c r="J570" i="4"/>
  <c r="I570" i="4" s="1"/>
  <c r="R570" i="4" s="1"/>
  <c r="U570" i="4" s="1"/>
  <c r="J574" i="4"/>
  <c r="I574" i="4" s="1"/>
  <c r="J578" i="4"/>
  <c r="I578" i="4" s="1"/>
  <c r="R578" i="4" s="1"/>
  <c r="U578" i="4" s="1"/>
  <c r="J582" i="4"/>
  <c r="I582" i="4" s="1"/>
  <c r="J586" i="4"/>
  <c r="I586" i="4" s="1"/>
  <c r="R586" i="4" s="1"/>
  <c r="U586" i="4" s="1"/>
  <c r="J590" i="4"/>
  <c r="I590" i="4" s="1"/>
  <c r="J594" i="4"/>
  <c r="I594" i="4" s="1"/>
  <c r="R594" i="4" s="1"/>
  <c r="U594" i="4" s="1"/>
  <c r="J598" i="4"/>
  <c r="I598" i="4" s="1"/>
  <c r="J602" i="4"/>
  <c r="I602" i="4" s="1"/>
  <c r="R602" i="4" s="1"/>
  <c r="U602" i="4" s="1"/>
  <c r="J606" i="4"/>
  <c r="I606" i="4" s="1"/>
  <c r="J610" i="4"/>
  <c r="I610" i="4" s="1"/>
  <c r="R610" i="4" s="1"/>
  <c r="U610" i="4" s="1"/>
  <c r="J614" i="4"/>
  <c r="I614" i="4" s="1"/>
  <c r="J618" i="4"/>
  <c r="I618" i="4" s="1"/>
  <c r="R618" i="4" s="1"/>
  <c r="U618" i="4" s="1"/>
  <c r="J622" i="4"/>
  <c r="I622" i="4" s="1"/>
  <c r="J626" i="4"/>
  <c r="I626" i="4" s="1"/>
  <c r="R626" i="4" s="1"/>
  <c r="U626" i="4" s="1"/>
  <c r="J630" i="4"/>
  <c r="I630" i="4" s="1"/>
  <c r="J634" i="4"/>
  <c r="I634" i="4" s="1"/>
  <c r="R634" i="4" s="1"/>
  <c r="U634" i="4" s="1"/>
  <c r="J638" i="4"/>
  <c r="I638" i="4" s="1"/>
  <c r="J642" i="4"/>
  <c r="I642" i="4" s="1"/>
  <c r="R642" i="4" s="1"/>
  <c r="U642" i="4" s="1"/>
  <c r="J646" i="4"/>
  <c r="I646" i="4" s="1"/>
  <c r="J650" i="4"/>
  <c r="I650" i="4" s="1"/>
  <c r="R650" i="4" s="1"/>
  <c r="U650" i="4" s="1"/>
  <c r="J654" i="4"/>
  <c r="I654" i="4" s="1"/>
  <c r="J658" i="4"/>
  <c r="I658" i="4" s="1"/>
  <c r="R658" i="4" s="1"/>
  <c r="U658" i="4" s="1"/>
  <c r="J662" i="4"/>
  <c r="I662" i="4" s="1"/>
  <c r="J666" i="4"/>
  <c r="I666" i="4" s="1"/>
  <c r="R666" i="4" s="1"/>
  <c r="U666" i="4" s="1"/>
  <c r="L682" i="4"/>
  <c r="S682" i="4" s="1"/>
  <c r="V682" i="4" s="1"/>
  <c r="L698" i="4"/>
  <c r="S698" i="4" s="1"/>
  <c r="V698" i="4" s="1"/>
  <c r="L714" i="4"/>
  <c r="S714" i="4" s="1"/>
  <c r="V714" i="4" s="1"/>
  <c r="L730" i="4"/>
  <c r="S730" i="4" s="1"/>
  <c r="V730" i="4" s="1"/>
  <c r="Q836" i="4"/>
  <c r="N836" i="4"/>
  <c r="K836" i="4" s="1"/>
  <c r="Q840" i="4"/>
  <c r="N840" i="4"/>
  <c r="K840" i="4" s="1"/>
  <c r="Q844" i="4"/>
  <c r="N844" i="4"/>
  <c r="K844" i="4" s="1"/>
  <c r="Q848" i="4"/>
  <c r="N848" i="4"/>
  <c r="K848" i="4" s="1"/>
  <c r="Q852" i="4"/>
  <c r="N852" i="4"/>
  <c r="K852" i="4" s="1"/>
  <c r="Q856" i="4"/>
  <c r="N856" i="4"/>
  <c r="K856" i="4" s="1"/>
  <c r="Q860" i="4"/>
  <c r="N860" i="4"/>
  <c r="K860" i="4" s="1"/>
  <c r="Q864" i="4"/>
  <c r="N864" i="4"/>
  <c r="K864" i="4" s="1"/>
  <c r="Q868" i="4"/>
  <c r="N868" i="4"/>
  <c r="K868" i="4" s="1"/>
  <c r="Q872" i="4"/>
  <c r="N872" i="4"/>
  <c r="K872" i="4" s="1"/>
  <c r="Q876" i="4"/>
  <c r="N876" i="4"/>
  <c r="K876" i="4" s="1"/>
  <c r="Q880" i="4"/>
  <c r="N880" i="4"/>
  <c r="K880" i="4" s="1"/>
  <c r="Q884" i="4"/>
  <c r="N884" i="4"/>
  <c r="K884" i="4" s="1"/>
  <c r="Q888" i="4"/>
  <c r="N888" i="4"/>
  <c r="K888" i="4" s="1"/>
  <c r="Q892" i="4"/>
  <c r="N892" i="4"/>
  <c r="K892" i="4" s="1"/>
  <c r="Q896" i="4"/>
  <c r="N896" i="4"/>
  <c r="K896" i="4" s="1"/>
  <c r="Q900" i="4"/>
  <c r="N900" i="4"/>
  <c r="K900" i="4" s="1"/>
  <c r="Q904" i="4"/>
  <c r="N904" i="4"/>
  <c r="K904" i="4" s="1"/>
  <c r="Q908" i="4"/>
  <c r="N908" i="4"/>
  <c r="K908" i="4" s="1"/>
  <c r="Q912" i="4"/>
  <c r="N912" i="4"/>
  <c r="K912" i="4" s="1"/>
  <c r="Q916" i="4"/>
  <c r="N916" i="4"/>
  <c r="K916" i="4" s="1"/>
  <c r="Q920" i="4"/>
  <c r="N920" i="4"/>
  <c r="K920" i="4" s="1"/>
  <c r="Q924" i="4"/>
  <c r="N924" i="4"/>
  <c r="K924" i="4" s="1"/>
  <c r="Q928" i="4"/>
  <c r="N928" i="4"/>
  <c r="K928" i="4" s="1"/>
  <c r="Q932" i="4"/>
  <c r="N932" i="4"/>
  <c r="K932" i="4" s="1"/>
  <c r="Q936" i="4"/>
  <c r="N936" i="4"/>
  <c r="K936" i="4" s="1"/>
  <c r="Q940" i="4"/>
  <c r="N940" i="4"/>
  <c r="K940" i="4" s="1"/>
  <c r="Q944" i="4"/>
  <c r="N944" i="4"/>
  <c r="K944" i="4" s="1"/>
  <c r="Q948" i="4"/>
  <c r="N948" i="4"/>
  <c r="K948" i="4" s="1"/>
  <c r="Q952" i="4"/>
  <c r="N952" i="4"/>
  <c r="K952" i="4" s="1"/>
  <c r="Q838" i="4"/>
  <c r="N838" i="4"/>
  <c r="K838" i="4" s="1"/>
  <c r="R838" i="4" s="1"/>
  <c r="U838" i="4" s="1"/>
  <c r="Q842" i="4"/>
  <c r="N842" i="4"/>
  <c r="K842" i="4" s="1"/>
  <c r="R842" i="4" s="1"/>
  <c r="U842" i="4" s="1"/>
  <c r="Q846" i="4"/>
  <c r="N846" i="4"/>
  <c r="K846" i="4" s="1"/>
  <c r="R846" i="4" s="1"/>
  <c r="U846" i="4" s="1"/>
  <c r="Q850" i="4"/>
  <c r="N850" i="4"/>
  <c r="K850" i="4" s="1"/>
  <c r="Q854" i="4"/>
  <c r="N854" i="4"/>
  <c r="K854" i="4" s="1"/>
  <c r="R854" i="4" s="1"/>
  <c r="U854" i="4" s="1"/>
  <c r="Q858" i="4"/>
  <c r="N858" i="4"/>
  <c r="K858" i="4" s="1"/>
  <c r="R858" i="4" s="1"/>
  <c r="U858" i="4" s="1"/>
  <c r="Q862" i="4"/>
  <c r="N862" i="4"/>
  <c r="K862" i="4" s="1"/>
  <c r="R862" i="4" s="1"/>
  <c r="U862" i="4" s="1"/>
  <c r="Q866" i="4"/>
  <c r="N866" i="4"/>
  <c r="K866" i="4" s="1"/>
  <c r="Q870" i="4"/>
  <c r="N870" i="4"/>
  <c r="K870" i="4" s="1"/>
  <c r="R870" i="4" s="1"/>
  <c r="U870" i="4" s="1"/>
  <c r="Q874" i="4"/>
  <c r="N874" i="4"/>
  <c r="K874" i="4" s="1"/>
  <c r="R874" i="4" s="1"/>
  <c r="U874" i="4" s="1"/>
  <c r="Q878" i="4"/>
  <c r="N878" i="4"/>
  <c r="K878" i="4" s="1"/>
  <c r="R878" i="4" s="1"/>
  <c r="U878" i="4" s="1"/>
  <c r="Q882" i="4"/>
  <c r="N882" i="4"/>
  <c r="K882" i="4" s="1"/>
  <c r="Q886" i="4"/>
  <c r="N886" i="4"/>
  <c r="K886" i="4" s="1"/>
  <c r="R886" i="4" s="1"/>
  <c r="U886" i="4" s="1"/>
  <c r="Q890" i="4"/>
  <c r="N890" i="4"/>
  <c r="K890" i="4" s="1"/>
  <c r="R890" i="4" s="1"/>
  <c r="U890" i="4" s="1"/>
  <c r="Q894" i="4"/>
  <c r="N894" i="4"/>
  <c r="K894" i="4" s="1"/>
  <c r="R894" i="4" s="1"/>
  <c r="U894" i="4" s="1"/>
  <c r="Q898" i="4"/>
  <c r="N898" i="4"/>
  <c r="K898" i="4" s="1"/>
  <c r="Q902" i="4"/>
  <c r="N902" i="4"/>
  <c r="K902" i="4" s="1"/>
  <c r="R902" i="4" s="1"/>
  <c r="U902" i="4" s="1"/>
  <c r="Q906" i="4"/>
  <c r="N906" i="4"/>
  <c r="K906" i="4" s="1"/>
  <c r="R906" i="4" s="1"/>
  <c r="U906" i="4" s="1"/>
  <c r="Q910" i="4"/>
  <c r="N910" i="4"/>
  <c r="K910" i="4" s="1"/>
  <c r="R910" i="4" s="1"/>
  <c r="U910" i="4" s="1"/>
  <c r="Q914" i="4"/>
  <c r="N914" i="4"/>
  <c r="K914" i="4" s="1"/>
  <c r="Q918" i="4"/>
  <c r="N918" i="4"/>
  <c r="K918" i="4" s="1"/>
  <c r="R918" i="4" s="1"/>
  <c r="U918" i="4" s="1"/>
  <c r="Q922" i="4"/>
  <c r="N922" i="4"/>
  <c r="K922" i="4" s="1"/>
  <c r="R922" i="4" s="1"/>
  <c r="U922" i="4" s="1"/>
  <c r="Q926" i="4"/>
  <c r="N926" i="4"/>
  <c r="K926" i="4" s="1"/>
  <c r="Q930" i="4"/>
  <c r="N930" i="4"/>
  <c r="K930" i="4" s="1"/>
  <c r="Q934" i="4"/>
  <c r="N934" i="4"/>
  <c r="K934" i="4" s="1"/>
  <c r="Q938" i="4"/>
  <c r="N938" i="4"/>
  <c r="K938" i="4" s="1"/>
  <c r="R938" i="4" s="1"/>
  <c r="U938" i="4" s="1"/>
  <c r="Q942" i="4"/>
  <c r="N942" i="4"/>
  <c r="K942" i="4" s="1"/>
  <c r="R942" i="4" s="1"/>
  <c r="U942" i="4" s="1"/>
  <c r="Q946" i="4"/>
  <c r="N946" i="4"/>
  <c r="K946" i="4" s="1"/>
  <c r="R946" i="4" s="1"/>
  <c r="U946" i="4" s="1"/>
  <c r="Q950" i="4"/>
  <c r="N950" i="4"/>
  <c r="K950" i="4" s="1"/>
  <c r="R950" i="4" s="1"/>
  <c r="U950" i="4" s="1"/>
  <c r="N734" i="4"/>
  <c r="K734" i="4" s="1"/>
  <c r="R734" i="4" s="1"/>
  <c r="U734" i="4" s="1"/>
  <c r="N736" i="4"/>
  <c r="N738" i="4"/>
  <c r="K738" i="4" s="1"/>
  <c r="N740" i="4"/>
  <c r="N742" i="4"/>
  <c r="K742" i="4" s="1"/>
  <c r="R742" i="4" s="1"/>
  <c r="U742" i="4" s="1"/>
  <c r="N744" i="4"/>
  <c r="N746" i="4"/>
  <c r="K746" i="4" s="1"/>
  <c r="N748" i="4"/>
  <c r="N750" i="4"/>
  <c r="K750" i="4" s="1"/>
  <c r="N752" i="4"/>
  <c r="N754" i="4"/>
  <c r="K754" i="4" s="1"/>
  <c r="N756" i="4"/>
  <c r="N758" i="4"/>
  <c r="K758" i="4" s="1"/>
  <c r="N760" i="4"/>
  <c r="N762" i="4"/>
  <c r="K762" i="4" s="1"/>
  <c r="N764" i="4"/>
  <c r="N766" i="4"/>
  <c r="K766" i="4" s="1"/>
  <c r="N768" i="4"/>
  <c r="N770" i="4"/>
  <c r="K770" i="4" s="1"/>
  <c r="N772" i="4"/>
  <c r="N774" i="4"/>
  <c r="K774" i="4" s="1"/>
  <c r="R774" i="4" s="1"/>
  <c r="U774" i="4" s="1"/>
  <c r="N776" i="4"/>
  <c r="N778" i="4"/>
  <c r="K778" i="4" s="1"/>
  <c r="N780" i="4"/>
  <c r="N782" i="4"/>
  <c r="K782" i="4" s="1"/>
  <c r="N784" i="4"/>
  <c r="N786" i="4"/>
  <c r="K786" i="4" s="1"/>
  <c r="N788" i="4"/>
  <c r="N790" i="4"/>
  <c r="K790" i="4" s="1"/>
  <c r="R790" i="4" s="1"/>
  <c r="U790" i="4" s="1"/>
  <c r="N792" i="4"/>
  <c r="N794" i="4"/>
  <c r="K794" i="4" s="1"/>
  <c r="N796" i="4"/>
  <c r="N798" i="4"/>
  <c r="K798" i="4" s="1"/>
  <c r="N800" i="4"/>
  <c r="N802" i="4"/>
  <c r="K802" i="4" s="1"/>
  <c r="N804" i="4"/>
  <c r="N806" i="4"/>
  <c r="K806" i="4" s="1"/>
  <c r="R806" i="4" s="1"/>
  <c r="U806" i="4" s="1"/>
  <c r="N808" i="4"/>
  <c r="N810" i="4"/>
  <c r="K810" i="4" s="1"/>
  <c r="N812" i="4"/>
  <c r="N814" i="4"/>
  <c r="K814" i="4" s="1"/>
  <c r="R814" i="4" s="1"/>
  <c r="U814" i="4" s="1"/>
  <c r="N816" i="4"/>
  <c r="N818" i="4"/>
  <c r="K818" i="4" s="1"/>
  <c r="N820" i="4"/>
  <c r="N822" i="4"/>
  <c r="K822" i="4" s="1"/>
  <c r="R822" i="4" s="1"/>
  <c r="U822" i="4" s="1"/>
  <c r="N824" i="4"/>
  <c r="N826" i="4"/>
  <c r="K826" i="4" s="1"/>
  <c r="N828" i="4"/>
  <c r="N830" i="4"/>
  <c r="K830" i="4" s="1"/>
  <c r="R830" i="4" s="1"/>
  <c r="U830" i="4" s="1"/>
  <c r="N832" i="4"/>
  <c r="N834" i="4"/>
  <c r="K834" i="4" s="1"/>
  <c r="J836" i="4"/>
  <c r="I836" i="4" s="1"/>
  <c r="R836" i="4" s="1"/>
  <c r="U836" i="4" s="1"/>
  <c r="J840" i="4"/>
  <c r="I840" i="4" s="1"/>
  <c r="J844" i="4"/>
  <c r="I844" i="4" s="1"/>
  <c r="J848" i="4"/>
  <c r="I848" i="4" s="1"/>
  <c r="J852" i="4"/>
  <c r="I852" i="4" s="1"/>
  <c r="R852" i="4" s="1"/>
  <c r="U852" i="4" s="1"/>
  <c r="J856" i="4"/>
  <c r="I856" i="4" s="1"/>
  <c r="J860" i="4"/>
  <c r="I860" i="4" s="1"/>
  <c r="J864" i="4"/>
  <c r="I864" i="4" s="1"/>
  <c r="J868" i="4"/>
  <c r="I868" i="4" s="1"/>
  <c r="R868" i="4" s="1"/>
  <c r="U868" i="4" s="1"/>
  <c r="J872" i="4"/>
  <c r="I872" i="4" s="1"/>
  <c r="J876" i="4"/>
  <c r="I876" i="4" s="1"/>
  <c r="J880" i="4"/>
  <c r="I880" i="4" s="1"/>
  <c r="J884" i="4"/>
  <c r="I884" i="4" s="1"/>
  <c r="R884" i="4" s="1"/>
  <c r="U884" i="4" s="1"/>
  <c r="J888" i="4"/>
  <c r="I888" i="4" s="1"/>
  <c r="J892" i="4"/>
  <c r="I892" i="4" s="1"/>
  <c r="J896" i="4"/>
  <c r="I896" i="4" s="1"/>
  <c r="J900" i="4"/>
  <c r="I900" i="4" s="1"/>
  <c r="R900" i="4" s="1"/>
  <c r="U900" i="4" s="1"/>
  <c r="J904" i="4"/>
  <c r="I904" i="4" s="1"/>
  <c r="J908" i="4"/>
  <c r="I908" i="4" s="1"/>
  <c r="J912" i="4"/>
  <c r="I912" i="4" s="1"/>
  <c r="J916" i="4"/>
  <c r="I916" i="4" s="1"/>
  <c r="R916" i="4" s="1"/>
  <c r="U916" i="4" s="1"/>
  <c r="J920" i="4"/>
  <c r="I920" i="4" s="1"/>
  <c r="J924" i="4"/>
  <c r="I924" i="4" s="1"/>
  <c r="J928" i="4"/>
  <c r="I928" i="4" s="1"/>
  <c r="J932" i="4"/>
  <c r="I932" i="4" s="1"/>
  <c r="R932" i="4" s="1"/>
  <c r="U932" i="4" s="1"/>
  <c r="J936" i="4"/>
  <c r="I936" i="4" s="1"/>
  <c r="J940" i="4"/>
  <c r="I940" i="4" s="1"/>
  <c r="J944" i="4"/>
  <c r="I944" i="4" s="1"/>
  <c r="J948" i="4"/>
  <c r="I948" i="4" s="1"/>
  <c r="R948" i="4" s="1"/>
  <c r="U948" i="4" s="1"/>
  <c r="J952" i="4"/>
  <c r="I952" i="4" s="1"/>
  <c r="N954" i="4"/>
  <c r="K954" i="4" s="1"/>
  <c r="R954" i="4" s="1"/>
  <c r="U954" i="4" s="1"/>
  <c r="N956" i="4"/>
  <c r="K956" i="4" s="1"/>
  <c r="R956" i="4" s="1"/>
  <c r="U956" i="4" s="1"/>
  <c r="N958" i="4"/>
  <c r="K958" i="4" s="1"/>
  <c r="R958" i="4" s="1"/>
  <c r="U958" i="4" s="1"/>
  <c r="N960" i="4"/>
  <c r="K960" i="4" s="1"/>
  <c r="N962" i="4"/>
  <c r="K962" i="4" s="1"/>
  <c r="N964" i="4"/>
  <c r="K964" i="4" s="1"/>
  <c r="N966" i="4"/>
  <c r="K966" i="4" s="1"/>
  <c r="N968" i="4"/>
  <c r="K968" i="4" s="1"/>
  <c r="N970" i="4"/>
  <c r="K970" i="4" s="1"/>
  <c r="R970" i="4" s="1"/>
  <c r="U970" i="4" s="1"/>
  <c r="N972" i="4"/>
  <c r="K972" i="4" s="1"/>
  <c r="R972" i="4" s="1"/>
  <c r="U972" i="4" s="1"/>
  <c r="N974" i="4"/>
  <c r="K974" i="4" s="1"/>
  <c r="R974" i="4" s="1"/>
  <c r="U974" i="4" s="1"/>
  <c r="N976" i="4"/>
  <c r="K976" i="4" s="1"/>
  <c r="N978" i="4"/>
  <c r="K978" i="4" s="1"/>
  <c r="N980" i="4"/>
  <c r="K980" i="4" s="1"/>
  <c r="N982" i="4"/>
  <c r="K982" i="4" s="1"/>
  <c r="R982" i="4" s="1"/>
  <c r="U982" i="4" s="1"/>
  <c r="N984" i="4"/>
  <c r="K984" i="4" s="1"/>
  <c r="N986" i="4"/>
  <c r="K986" i="4" s="1"/>
  <c r="R986" i="4" s="1"/>
  <c r="U986" i="4" s="1"/>
  <c r="N988" i="4"/>
  <c r="K988" i="4" s="1"/>
  <c r="R988" i="4" s="1"/>
  <c r="U988" i="4" s="1"/>
  <c r="N990" i="4"/>
  <c r="K990" i="4" s="1"/>
  <c r="R990" i="4" s="1"/>
  <c r="U990" i="4" s="1"/>
  <c r="N992" i="4"/>
  <c r="K992" i="4" s="1"/>
  <c r="N994" i="4"/>
  <c r="K994" i="4" s="1"/>
  <c r="R994" i="4" s="1"/>
  <c r="U994" i="4" s="1"/>
  <c r="N996" i="4"/>
  <c r="K996" i="4" s="1"/>
  <c r="N998" i="4"/>
  <c r="K998" i="4" s="1"/>
  <c r="R998" i="4" s="1"/>
  <c r="U998" i="4" s="1"/>
  <c r="N1000" i="4"/>
  <c r="K1000" i="4" s="1"/>
  <c r="N1002" i="4"/>
  <c r="K1002" i="4" s="1"/>
  <c r="N1004" i="4"/>
  <c r="K1004" i="4" s="1"/>
  <c r="R1004" i="4" s="1"/>
  <c r="U1004" i="4" s="1"/>
  <c r="IQ2" i="7"/>
  <c r="IU2" i="7" s="1"/>
  <c r="J10" i="6"/>
  <c r="I10" i="6" s="1"/>
  <c r="J20" i="6"/>
  <c r="I20" i="6" s="1"/>
  <c r="N28" i="6"/>
  <c r="K28" i="6" s="1"/>
  <c r="N32" i="6"/>
  <c r="K32" i="6" s="1"/>
  <c r="R32" i="6" s="1"/>
  <c r="U32" i="6" s="1"/>
  <c r="N36" i="6"/>
  <c r="K36" i="6" s="1"/>
  <c r="R38" i="6"/>
  <c r="U38" i="6" s="1"/>
  <c r="N40" i="6"/>
  <c r="K40" i="6" s="1"/>
  <c r="N44" i="6"/>
  <c r="K44" i="6" s="1"/>
  <c r="N48" i="6"/>
  <c r="K48" i="6" s="1"/>
  <c r="N52" i="6"/>
  <c r="K52" i="6" s="1"/>
  <c r="N56" i="6"/>
  <c r="K56" i="6" s="1"/>
  <c r="R56" i="6" s="1"/>
  <c r="U56" i="6" s="1"/>
  <c r="N60" i="6"/>
  <c r="K60" i="6" s="1"/>
  <c r="R62" i="6"/>
  <c r="U62" i="6" s="1"/>
  <c r="N64" i="6"/>
  <c r="K64" i="6" s="1"/>
  <c r="N68" i="6"/>
  <c r="K68" i="6" s="1"/>
  <c r="N72" i="6"/>
  <c r="K72" i="6" s="1"/>
  <c r="N76" i="6"/>
  <c r="K76" i="6" s="1"/>
  <c r="N80" i="6"/>
  <c r="K80" i="6" s="1"/>
  <c r="N84" i="6"/>
  <c r="K84" i="6" s="1"/>
  <c r="R84" i="6" s="1"/>
  <c r="U84" i="6" s="1"/>
  <c r="N88" i="6"/>
  <c r="K88" i="6" s="1"/>
  <c r="N92" i="6"/>
  <c r="K92" i="6" s="1"/>
  <c r="R92" i="6" s="1"/>
  <c r="U92" i="6" s="1"/>
  <c r="N96" i="6"/>
  <c r="K96" i="6" s="1"/>
  <c r="N100" i="6"/>
  <c r="K100" i="6" s="1"/>
  <c r="R100" i="6" s="1"/>
  <c r="U100" i="6" s="1"/>
  <c r="N104" i="6"/>
  <c r="K104" i="6" s="1"/>
  <c r="N108" i="6"/>
  <c r="K108" i="6" s="1"/>
  <c r="N112" i="6"/>
  <c r="K112" i="6" s="1"/>
  <c r="N116" i="6"/>
  <c r="K116" i="6" s="1"/>
  <c r="R118" i="6"/>
  <c r="U118" i="6" s="1"/>
  <c r="N120" i="6"/>
  <c r="K120" i="6" s="1"/>
  <c r="N124" i="6"/>
  <c r="K124" i="6" s="1"/>
  <c r="R126" i="6"/>
  <c r="U126" i="6" s="1"/>
  <c r="N128" i="6"/>
  <c r="K128" i="6" s="1"/>
  <c r="N132" i="6"/>
  <c r="K132" i="6" s="1"/>
  <c r="N136" i="6"/>
  <c r="K136" i="6" s="1"/>
  <c r="R138" i="6"/>
  <c r="U138" i="6" s="1"/>
  <c r="N140" i="6"/>
  <c r="K140" i="6" s="1"/>
  <c r="N144" i="6"/>
  <c r="K144" i="6" s="1"/>
  <c r="N148" i="6"/>
  <c r="K148" i="6" s="1"/>
  <c r="N152" i="6"/>
  <c r="K152" i="6" s="1"/>
  <c r="N156" i="6"/>
  <c r="K156" i="6" s="1"/>
  <c r="N160" i="6"/>
  <c r="K160" i="6" s="1"/>
  <c r="N164" i="6"/>
  <c r="K164" i="6" s="1"/>
  <c r="N168" i="6"/>
  <c r="K168" i="6" s="1"/>
  <c r="N172" i="6"/>
  <c r="K172" i="6" s="1"/>
  <c r="N176" i="6"/>
  <c r="K176" i="6" s="1"/>
  <c r="N180" i="6"/>
  <c r="K180" i="6" s="1"/>
  <c r="R180" i="6" s="1"/>
  <c r="U180" i="6" s="1"/>
  <c r="N184" i="6"/>
  <c r="K184" i="6" s="1"/>
  <c r="R184" i="6" s="1"/>
  <c r="U184" i="6" s="1"/>
  <c r="N188" i="6"/>
  <c r="K188" i="6" s="1"/>
  <c r="N192" i="6"/>
  <c r="K192" i="6" s="1"/>
  <c r="N196" i="6"/>
  <c r="K196" i="6" s="1"/>
  <c r="R196" i="6" s="1"/>
  <c r="U196" i="6" s="1"/>
  <c r="N200" i="6"/>
  <c r="K200" i="6" s="1"/>
  <c r="N204" i="6"/>
  <c r="K204" i="6" s="1"/>
  <c r="N208" i="6"/>
  <c r="K208" i="6" s="1"/>
  <c r="N212" i="6"/>
  <c r="K212" i="6" s="1"/>
  <c r="R212" i="6" s="1"/>
  <c r="U212" i="6" s="1"/>
  <c r="N216" i="6"/>
  <c r="K216" i="6" s="1"/>
  <c r="N220" i="6"/>
  <c r="K220" i="6" s="1"/>
  <c r="R220" i="6" s="1"/>
  <c r="U220" i="6" s="1"/>
  <c r="N224" i="6"/>
  <c r="K224" i="6" s="1"/>
  <c r="N228" i="6"/>
  <c r="K228" i="6" s="1"/>
  <c r="N232" i="6"/>
  <c r="K232" i="6" s="1"/>
  <c r="R232" i="6" s="1"/>
  <c r="U232" i="6" s="1"/>
  <c r="R236" i="6"/>
  <c r="U236" i="6" s="1"/>
  <c r="R242" i="6"/>
  <c r="U242" i="6" s="1"/>
  <c r="R258" i="6"/>
  <c r="U258" i="6" s="1"/>
  <c r="R260" i="6"/>
  <c r="U260" i="6" s="1"/>
  <c r="R264" i="6"/>
  <c r="U264" i="6" s="1"/>
  <c r="R266" i="6"/>
  <c r="U266" i="6" s="1"/>
  <c r="R288" i="6"/>
  <c r="U288" i="6" s="1"/>
  <c r="R296" i="6"/>
  <c r="U296" i="6" s="1"/>
  <c r="R298" i="6"/>
  <c r="U298" i="6" s="1"/>
  <c r="R300" i="6"/>
  <c r="U300" i="6" s="1"/>
  <c r="R304" i="6"/>
  <c r="U304" i="6" s="1"/>
  <c r="R320" i="6"/>
  <c r="U320" i="6" s="1"/>
  <c r="R322" i="6"/>
  <c r="U322" i="6" s="1"/>
  <c r="R328" i="6"/>
  <c r="U328" i="6" s="1"/>
  <c r="R330" i="6"/>
  <c r="U330" i="6" s="1"/>
  <c r="R332" i="6"/>
  <c r="U332" i="6" s="1"/>
  <c r="R336" i="6"/>
  <c r="U336" i="6" s="1"/>
  <c r="R338" i="6"/>
  <c r="U338" i="6" s="1"/>
  <c r="R340" i="6"/>
  <c r="U340" i="6" s="1"/>
  <c r="R344" i="6"/>
  <c r="U344" i="6" s="1"/>
  <c r="R346" i="6"/>
  <c r="U346" i="6" s="1"/>
  <c r="R348" i="6"/>
  <c r="U348" i="6" s="1"/>
  <c r="R354" i="6"/>
  <c r="U354" i="6" s="1"/>
  <c r="R368" i="6"/>
  <c r="U368" i="6" s="1"/>
  <c r="R370" i="6"/>
  <c r="U370" i="6" s="1"/>
  <c r="R372" i="6"/>
  <c r="U372" i="6" s="1"/>
  <c r="R384" i="6"/>
  <c r="U384" i="6" s="1"/>
  <c r="R386" i="6"/>
  <c r="U386" i="6" s="1"/>
  <c r="R388" i="6"/>
  <c r="U388" i="6" s="1"/>
  <c r="R396" i="6"/>
  <c r="U396" i="6" s="1"/>
  <c r="R400" i="6"/>
  <c r="U400" i="6" s="1"/>
  <c r="R402" i="6"/>
  <c r="U402" i="6" s="1"/>
  <c r="R404" i="6"/>
  <c r="U404" i="6" s="1"/>
  <c r="R408" i="6"/>
  <c r="U408" i="6" s="1"/>
  <c r="R412" i="6"/>
  <c r="U412" i="6" s="1"/>
  <c r="R416" i="6"/>
  <c r="U416" i="6" s="1"/>
  <c r="R420" i="6"/>
  <c r="U420" i="6" s="1"/>
  <c r="R424" i="6"/>
  <c r="U424" i="6" s="1"/>
  <c r="R426" i="6"/>
  <c r="U426" i="6" s="1"/>
  <c r="R428" i="6"/>
  <c r="U428" i="6" s="1"/>
  <c r="R432" i="6"/>
  <c r="U432" i="6" s="1"/>
  <c r="R434" i="6"/>
  <c r="U434" i="6" s="1"/>
  <c r="R436" i="6"/>
  <c r="U436" i="6" s="1"/>
  <c r="R468" i="6"/>
  <c r="U468" i="6" s="1"/>
  <c r="R472" i="6"/>
  <c r="U472" i="6" s="1"/>
  <c r="R476" i="6"/>
  <c r="U476" i="6" s="1"/>
  <c r="R480" i="6"/>
  <c r="U480" i="6" s="1"/>
  <c r="R482" i="6"/>
  <c r="U482" i="6" s="1"/>
  <c r="R484" i="6"/>
  <c r="U484" i="6" s="1"/>
  <c r="R488" i="6"/>
  <c r="U488" i="6" s="1"/>
  <c r="R490" i="6"/>
  <c r="U490" i="6" s="1"/>
  <c r="R492" i="6"/>
  <c r="U492" i="6" s="1"/>
  <c r="R494" i="6"/>
  <c r="U494" i="6" s="1"/>
  <c r="R496" i="6"/>
  <c r="U496" i="6" s="1"/>
  <c r="R498" i="6"/>
  <c r="U498" i="6" s="1"/>
  <c r="R504" i="6"/>
  <c r="U504" i="6" s="1"/>
  <c r="R506" i="6"/>
  <c r="U506" i="6" s="1"/>
  <c r="R508" i="6"/>
  <c r="U508" i="6" s="1"/>
  <c r="R510" i="6"/>
  <c r="U510" i="6" s="1"/>
  <c r="R514" i="6"/>
  <c r="U514" i="6" s="1"/>
  <c r="R536" i="6"/>
  <c r="U536" i="6" s="1"/>
  <c r="R538" i="6"/>
  <c r="U538" i="6" s="1"/>
  <c r="R566" i="6"/>
  <c r="U566" i="6" s="1"/>
  <c r="R568" i="6"/>
  <c r="U568" i="6" s="1"/>
  <c r="R570" i="6"/>
  <c r="U570" i="6" s="1"/>
  <c r="R574" i="6"/>
  <c r="U574" i="6" s="1"/>
  <c r="R576" i="6"/>
  <c r="U576" i="6" s="1"/>
  <c r="R606" i="6"/>
  <c r="U606" i="6" s="1"/>
  <c r="R638" i="6"/>
  <c r="U638" i="6" s="1"/>
  <c r="R876" i="6"/>
  <c r="U876" i="6" s="1"/>
  <c r="R880" i="6"/>
  <c r="U880" i="6" s="1"/>
  <c r="R884" i="6"/>
  <c r="U884" i="6" s="1"/>
  <c r="R928" i="6"/>
  <c r="U928" i="6" s="1"/>
  <c r="R944" i="6"/>
  <c r="U944" i="6" s="1"/>
  <c r="R948" i="6"/>
  <c r="U948" i="6" s="1"/>
  <c r="R956" i="6"/>
  <c r="U956" i="6" s="1"/>
  <c r="R958" i="6"/>
  <c r="U958" i="6" s="1"/>
  <c r="R962" i="6"/>
  <c r="U962" i="6" s="1"/>
  <c r="R986" i="6"/>
  <c r="U986" i="6" s="1"/>
  <c r="R988" i="6"/>
  <c r="U988" i="6" s="1"/>
  <c r="R990" i="6"/>
  <c r="U990" i="6" s="1"/>
  <c r="R1002" i="6"/>
  <c r="U1002" i="6" s="1"/>
  <c r="R1004" i="6"/>
  <c r="U1004" i="6" s="1"/>
  <c r="J12" i="6"/>
  <c r="I12" i="6" s="1"/>
  <c r="R12" i="6" s="1"/>
  <c r="U12" i="6" s="1"/>
  <c r="N10" i="6"/>
  <c r="K10" i="6" s="1"/>
  <c r="N8" i="6"/>
  <c r="K8" i="6" s="1"/>
  <c r="J6" i="6"/>
  <c r="I6" i="6" s="1"/>
  <c r="N6" i="6"/>
  <c r="K6" i="6" s="1"/>
  <c r="N12" i="6"/>
  <c r="K12" i="6" s="1"/>
  <c r="N14" i="6"/>
  <c r="K14" i="6" s="1"/>
  <c r="N20" i="6"/>
  <c r="K20" i="6" s="1"/>
  <c r="J24" i="6"/>
  <c r="I24" i="6" s="1"/>
  <c r="R24" i="6" s="1"/>
  <c r="U24" i="6" s="1"/>
  <c r="J26" i="6"/>
  <c r="I26" i="6" s="1"/>
  <c r="N26" i="6"/>
  <c r="K26" i="6" s="1"/>
  <c r="N24" i="6"/>
  <c r="K24" i="6" s="1"/>
  <c r="N22" i="6"/>
  <c r="R750" i="4"/>
  <c r="U750" i="4" s="1"/>
  <c r="R758" i="4"/>
  <c r="U758" i="4" s="1"/>
  <c r="R782" i="4"/>
  <c r="U782" i="4" s="1"/>
  <c r="R786" i="4"/>
  <c r="U786" i="4" s="1"/>
  <c r="R798" i="4"/>
  <c r="U798" i="4" s="1"/>
  <c r="R926" i="4"/>
  <c r="U926" i="4" s="1"/>
  <c r="K4" i="4"/>
  <c r="J5" i="4"/>
  <c r="I5" i="4" s="1"/>
  <c r="N5" i="4"/>
  <c r="K5" i="4" s="1"/>
  <c r="J7" i="4"/>
  <c r="I7" i="4" s="1"/>
  <c r="N7" i="4"/>
  <c r="K7" i="4" s="1"/>
  <c r="J9" i="4"/>
  <c r="I9" i="4" s="1"/>
  <c r="N9" i="4"/>
  <c r="K9" i="4" s="1"/>
  <c r="J11" i="4"/>
  <c r="I11" i="4" s="1"/>
  <c r="N11" i="4"/>
  <c r="K11" i="4" s="1"/>
  <c r="J13" i="4"/>
  <c r="I13" i="4" s="1"/>
  <c r="N13" i="4"/>
  <c r="K13" i="4" s="1"/>
  <c r="J15" i="4"/>
  <c r="I15" i="4" s="1"/>
  <c r="N15" i="4"/>
  <c r="K15" i="4" s="1"/>
  <c r="J17" i="4"/>
  <c r="I17" i="4" s="1"/>
  <c r="N17" i="4"/>
  <c r="K17" i="4" s="1"/>
  <c r="J19" i="4"/>
  <c r="I19" i="4" s="1"/>
  <c r="N19" i="4"/>
  <c r="K19" i="4" s="1"/>
  <c r="J21" i="4"/>
  <c r="I21" i="4" s="1"/>
  <c r="N21" i="4"/>
  <c r="K21" i="4" s="1"/>
  <c r="J23" i="4"/>
  <c r="I23" i="4" s="1"/>
  <c r="N23" i="4"/>
  <c r="K23" i="4" s="1"/>
  <c r="J25" i="4"/>
  <c r="I25" i="4" s="1"/>
  <c r="N25" i="4"/>
  <c r="K25" i="4" s="1"/>
  <c r="J27" i="4"/>
  <c r="I27" i="4" s="1"/>
  <c r="N27" i="4"/>
  <c r="K27" i="4" s="1"/>
  <c r="J29" i="4"/>
  <c r="I29" i="4" s="1"/>
  <c r="N29" i="4"/>
  <c r="K29" i="4" s="1"/>
  <c r="J31" i="4"/>
  <c r="I31" i="4" s="1"/>
  <c r="N31" i="4"/>
  <c r="K31" i="4" s="1"/>
  <c r="J33" i="4"/>
  <c r="I33" i="4" s="1"/>
  <c r="N33" i="4"/>
  <c r="K33" i="4" s="1"/>
  <c r="J35" i="4"/>
  <c r="I35" i="4" s="1"/>
  <c r="N35" i="4"/>
  <c r="K35" i="4" s="1"/>
  <c r="J37" i="4"/>
  <c r="I37" i="4" s="1"/>
  <c r="N37" i="4"/>
  <c r="K37" i="4" s="1"/>
  <c r="J39" i="4"/>
  <c r="I39" i="4" s="1"/>
  <c r="N39" i="4"/>
  <c r="K39" i="4" s="1"/>
  <c r="J41" i="4"/>
  <c r="I41" i="4" s="1"/>
  <c r="N41" i="4"/>
  <c r="K41" i="4" s="1"/>
  <c r="J43" i="4"/>
  <c r="I43" i="4" s="1"/>
  <c r="N43" i="4"/>
  <c r="K43" i="4" s="1"/>
  <c r="J45" i="4"/>
  <c r="I45" i="4" s="1"/>
  <c r="N45" i="4"/>
  <c r="K45" i="4" s="1"/>
  <c r="J47" i="4"/>
  <c r="I47" i="4" s="1"/>
  <c r="N47" i="4"/>
  <c r="K47" i="4" s="1"/>
  <c r="J49" i="4"/>
  <c r="I49" i="4" s="1"/>
  <c r="N49" i="4"/>
  <c r="K49" i="4" s="1"/>
  <c r="J51" i="4"/>
  <c r="I51" i="4" s="1"/>
  <c r="N51" i="4"/>
  <c r="K51" i="4" s="1"/>
  <c r="J53" i="4"/>
  <c r="I53" i="4" s="1"/>
  <c r="N53" i="4"/>
  <c r="K53" i="4" s="1"/>
  <c r="J55" i="4"/>
  <c r="I55" i="4" s="1"/>
  <c r="N55" i="4"/>
  <c r="K55" i="4" s="1"/>
  <c r="J57" i="4"/>
  <c r="I57" i="4" s="1"/>
  <c r="N57" i="4"/>
  <c r="K57" i="4" s="1"/>
  <c r="J59" i="4"/>
  <c r="I59" i="4" s="1"/>
  <c r="N59" i="4"/>
  <c r="K59" i="4" s="1"/>
  <c r="J61" i="4"/>
  <c r="I61" i="4" s="1"/>
  <c r="N61" i="4"/>
  <c r="K61" i="4" s="1"/>
  <c r="J63" i="4"/>
  <c r="I63" i="4" s="1"/>
  <c r="N63" i="4"/>
  <c r="K63" i="4" s="1"/>
  <c r="J65" i="4"/>
  <c r="I65" i="4" s="1"/>
  <c r="N65" i="4"/>
  <c r="K65" i="4" s="1"/>
  <c r="J67" i="4"/>
  <c r="I67" i="4" s="1"/>
  <c r="N67" i="4"/>
  <c r="K67" i="4" s="1"/>
  <c r="J69" i="4"/>
  <c r="I69" i="4" s="1"/>
  <c r="N69" i="4"/>
  <c r="K69" i="4" s="1"/>
  <c r="J71" i="4"/>
  <c r="I71" i="4" s="1"/>
  <c r="N71" i="4"/>
  <c r="K71" i="4" s="1"/>
  <c r="J73" i="4"/>
  <c r="I73" i="4" s="1"/>
  <c r="N73" i="4"/>
  <c r="K73" i="4" s="1"/>
  <c r="J75" i="4"/>
  <c r="I75" i="4" s="1"/>
  <c r="N75" i="4"/>
  <c r="K75" i="4" s="1"/>
  <c r="J77" i="4"/>
  <c r="I77" i="4" s="1"/>
  <c r="N77" i="4"/>
  <c r="K77" i="4" s="1"/>
  <c r="J79" i="4"/>
  <c r="I79" i="4" s="1"/>
  <c r="N79" i="4"/>
  <c r="K79" i="4" s="1"/>
  <c r="J81" i="4"/>
  <c r="I81" i="4" s="1"/>
  <c r="N81" i="4"/>
  <c r="K81" i="4" s="1"/>
  <c r="J83" i="4"/>
  <c r="I83" i="4" s="1"/>
  <c r="N83" i="4"/>
  <c r="K83" i="4" s="1"/>
  <c r="J85" i="4"/>
  <c r="I85" i="4" s="1"/>
  <c r="N85" i="4"/>
  <c r="K85" i="4" s="1"/>
  <c r="J87" i="4"/>
  <c r="I87" i="4" s="1"/>
  <c r="N87" i="4"/>
  <c r="K87" i="4" s="1"/>
  <c r="J89" i="4"/>
  <c r="I89" i="4" s="1"/>
  <c r="N89" i="4"/>
  <c r="K89" i="4" s="1"/>
  <c r="J91" i="4"/>
  <c r="I91" i="4" s="1"/>
  <c r="N91" i="4"/>
  <c r="K91" i="4" s="1"/>
  <c r="J93" i="4"/>
  <c r="I93" i="4" s="1"/>
  <c r="N93" i="4"/>
  <c r="K93" i="4" s="1"/>
  <c r="J95" i="4"/>
  <c r="I95" i="4" s="1"/>
  <c r="N95" i="4"/>
  <c r="K95" i="4" s="1"/>
  <c r="J97" i="4"/>
  <c r="I97" i="4" s="1"/>
  <c r="N97" i="4"/>
  <c r="K97" i="4" s="1"/>
  <c r="J99" i="4"/>
  <c r="I99" i="4" s="1"/>
  <c r="N99" i="4"/>
  <c r="K99" i="4" s="1"/>
  <c r="J101" i="4"/>
  <c r="I101" i="4" s="1"/>
  <c r="N101" i="4"/>
  <c r="K101" i="4" s="1"/>
  <c r="J103" i="4"/>
  <c r="I103" i="4" s="1"/>
  <c r="N103" i="4"/>
  <c r="K103" i="4" s="1"/>
  <c r="J105" i="4"/>
  <c r="I105" i="4" s="1"/>
  <c r="N105" i="4"/>
  <c r="K105" i="4" s="1"/>
  <c r="J107" i="4"/>
  <c r="I107" i="4" s="1"/>
  <c r="N107" i="4"/>
  <c r="K107" i="4" s="1"/>
  <c r="J109" i="4"/>
  <c r="I109" i="4" s="1"/>
  <c r="N109" i="4"/>
  <c r="K109" i="4" s="1"/>
  <c r="J111" i="4"/>
  <c r="I111" i="4" s="1"/>
  <c r="N111" i="4"/>
  <c r="K111" i="4" s="1"/>
  <c r="J113" i="4"/>
  <c r="I113" i="4" s="1"/>
  <c r="N113" i="4"/>
  <c r="K113" i="4" s="1"/>
  <c r="J115" i="4"/>
  <c r="I115" i="4" s="1"/>
  <c r="N115" i="4"/>
  <c r="K115" i="4" s="1"/>
  <c r="J117" i="4"/>
  <c r="I117" i="4" s="1"/>
  <c r="N117" i="4"/>
  <c r="K117" i="4" s="1"/>
  <c r="J119" i="4"/>
  <c r="I119" i="4" s="1"/>
  <c r="N119" i="4"/>
  <c r="K119" i="4" s="1"/>
  <c r="J121" i="4"/>
  <c r="I121" i="4" s="1"/>
  <c r="N121" i="4"/>
  <c r="K121" i="4" s="1"/>
  <c r="J123" i="4"/>
  <c r="I123" i="4" s="1"/>
  <c r="N123" i="4"/>
  <c r="K123" i="4" s="1"/>
  <c r="J125" i="4"/>
  <c r="I125" i="4" s="1"/>
  <c r="N125" i="4"/>
  <c r="K125" i="4" s="1"/>
  <c r="J127" i="4"/>
  <c r="I127" i="4" s="1"/>
  <c r="N127" i="4"/>
  <c r="K127" i="4" s="1"/>
  <c r="J129" i="4"/>
  <c r="I129" i="4" s="1"/>
  <c r="N129" i="4"/>
  <c r="K129" i="4" s="1"/>
  <c r="J131" i="4"/>
  <c r="I131" i="4" s="1"/>
  <c r="N131" i="4"/>
  <c r="K131" i="4" s="1"/>
  <c r="J133" i="4"/>
  <c r="I133" i="4" s="1"/>
  <c r="N133" i="4"/>
  <c r="K133" i="4" s="1"/>
  <c r="J135" i="4"/>
  <c r="I135" i="4" s="1"/>
  <c r="N135" i="4"/>
  <c r="K135" i="4" s="1"/>
  <c r="J137" i="4"/>
  <c r="I137" i="4" s="1"/>
  <c r="N137" i="4"/>
  <c r="K137" i="4" s="1"/>
  <c r="J139" i="4"/>
  <c r="I139" i="4" s="1"/>
  <c r="N139" i="4"/>
  <c r="K139" i="4" s="1"/>
  <c r="J141" i="4"/>
  <c r="I141" i="4" s="1"/>
  <c r="N141" i="4"/>
  <c r="K141" i="4" s="1"/>
  <c r="J143" i="4"/>
  <c r="I143" i="4" s="1"/>
  <c r="N143" i="4"/>
  <c r="K143" i="4" s="1"/>
  <c r="J145" i="4"/>
  <c r="I145" i="4" s="1"/>
  <c r="N145" i="4"/>
  <c r="K145" i="4" s="1"/>
  <c r="J147" i="4"/>
  <c r="I147" i="4" s="1"/>
  <c r="N147" i="4"/>
  <c r="K147" i="4" s="1"/>
  <c r="J149" i="4"/>
  <c r="I149" i="4" s="1"/>
  <c r="N149" i="4"/>
  <c r="K149" i="4" s="1"/>
  <c r="J151" i="4"/>
  <c r="I151" i="4" s="1"/>
  <c r="N151" i="4"/>
  <c r="K151" i="4" s="1"/>
  <c r="J153" i="4"/>
  <c r="I153" i="4" s="1"/>
  <c r="N153" i="4"/>
  <c r="K153" i="4" s="1"/>
  <c r="J155" i="4"/>
  <c r="I155" i="4" s="1"/>
  <c r="N155" i="4"/>
  <c r="K155" i="4" s="1"/>
  <c r="J157" i="4"/>
  <c r="I157" i="4" s="1"/>
  <c r="N157" i="4"/>
  <c r="K157" i="4" s="1"/>
  <c r="J159" i="4"/>
  <c r="I159" i="4" s="1"/>
  <c r="N159" i="4"/>
  <c r="K159" i="4" s="1"/>
  <c r="J161" i="4"/>
  <c r="I161" i="4" s="1"/>
  <c r="N161" i="4"/>
  <c r="K161" i="4" s="1"/>
  <c r="J163" i="4"/>
  <c r="I163" i="4" s="1"/>
  <c r="N163" i="4"/>
  <c r="K163" i="4" s="1"/>
  <c r="J165" i="4"/>
  <c r="I165" i="4" s="1"/>
  <c r="N165" i="4"/>
  <c r="K165" i="4" s="1"/>
  <c r="J167" i="4"/>
  <c r="I167" i="4" s="1"/>
  <c r="N167" i="4"/>
  <c r="K167" i="4" s="1"/>
  <c r="J169" i="4"/>
  <c r="I169" i="4" s="1"/>
  <c r="N169" i="4"/>
  <c r="K169" i="4" s="1"/>
  <c r="J171" i="4"/>
  <c r="I171" i="4" s="1"/>
  <c r="N171" i="4"/>
  <c r="K171" i="4" s="1"/>
  <c r="J173" i="4"/>
  <c r="I173" i="4" s="1"/>
  <c r="N173" i="4"/>
  <c r="K173" i="4" s="1"/>
  <c r="J175" i="4"/>
  <c r="I175" i="4" s="1"/>
  <c r="N175" i="4"/>
  <c r="K175" i="4" s="1"/>
  <c r="J177" i="4"/>
  <c r="I177" i="4" s="1"/>
  <c r="N177" i="4"/>
  <c r="K177" i="4" s="1"/>
  <c r="J179" i="4"/>
  <c r="I179" i="4" s="1"/>
  <c r="N179" i="4"/>
  <c r="K179" i="4" s="1"/>
  <c r="J181" i="4"/>
  <c r="I181" i="4" s="1"/>
  <c r="N181" i="4"/>
  <c r="K181" i="4" s="1"/>
  <c r="J183" i="4"/>
  <c r="I183" i="4" s="1"/>
  <c r="N183" i="4"/>
  <c r="K183" i="4" s="1"/>
  <c r="J185" i="4"/>
  <c r="I185" i="4" s="1"/>
  <c r="N185" i="4"/>
  <c r="K185" i="4" s="1"/>
  <c r="J187" i="4"/>
  <c r="I187" i="4" s="1"/>
  <c r="N187" i="4"/>
  <c r="K187" i="4" s="1"/>
  <c r="J189" i="4"/>
  <c r="I189" i="4" s="1"/>
  <c r="N189" i="4"/>
  <c r="K189" i="4" s="1"/>
  <c r="J191" i="4"/>
  <c r="I191" i="4" s="1"/>
  <c r="N191" i="4"/>
  <c r="K191" i="4" s="1"/>
  <c r="J193" i="4"/>
  <c r="I193" i="4" s="1"/>
  <c r="N193" i="4"/>
  <c r="K193" i="4" s="1"/>
  <c r="J195" i="4"/>
  <c r="I195" i="4" s="1"/>
  <c r="N195" i="4"/>
  <c r="K195" i="4" s="1"/>
  <c r="J197" i="4"/>
  <c r="I197" i="4" s="1"/>
  <c r="N197" i="4"/>
  <c r="K197" i="4" s="1"/>
  <c r="J199" i="4"/>
  <c r="I199" i="4" s="1"/>
  <c r="N199" i="4"/>
  <c r="K199" i="4" s="1"/>
  <c r="J201" i="4"/>
  <c r="I201" i="4" s="1"/>
  <c r="N201" i="4"/>
  <c r="K201" i="4" s="1"/>
  <c r="J203" i="4"/>
  <c r="I203" i="4" s="1"/>
  <c r="N203" i="4"/>
  <c r="K203" i="4" s="1"/>
  <c r="J205" i="4"/>
  <c r="I205" i="4" s="1"/>
  <c r="N205" i="4"/>
  <c r="K205" i="4" s="1"/>
  <c r="J207" i="4"/>
  <c r="I207" i="4" s="1"/>
  <c r="N207" i="4"/>
  <c r="K207" i="4" s="1"/>
  <c r="J209" i="4"/>
  <c r="I209" i="4" s="1"/>
  <c r="N209" i="4"/>
  <c r="K209" i="4" s="1"/>
  <c r="J211" i="4"/>
  <c r="I211" i="4" s="1"/>
  <c r="N211" i="4"/>
  <c r="K211" i="4" s="1"/>
  <c r="J213" i="4"/>
  <c r="I213" i="4" s="1"/>
  <c r="N213" i="4"/>
  <c r="K213" i="4" s="1"/>
  <c r="J215" i="4"/>
  <c r="I215" i="4" s="1"/>
  <c r="N215" i="4"/>
  <c r="K215" i="4" s="1"/>
  <c r="J217" i="4"/>
  <c r="I217" i="4" s="1"/>
  <c r="N217" i="4"/>
  <c r="K217" i="4" s="1"/>
  <c r="J219" i="4"/>
  <c r="I219" i="4" s="1"/>
  <c r="N219" i="4"/>
  <c r="K219" i="4" s="1"/>
  <c r="J221" i="4"/>
  <c r="I221" i="4" s="1"/>
  <c r="N221" i="4"/>
  <c r="K221" i="4" s="1"/>
  <c r="J223" i="4"/>
  <c r="I223" i="4" s="1"/>
  <c r="N223" i="4"/>
  <c r="K223" i="4" s="1"/>
  <c r="J225" i="4"/>
  <c r="I225" i="4" s="1"/>
  <c r="N225" i="4"/>
  <c r="K225" i="4" s="1"/>
  <c r="J227" i="4"/>
  <c r="I227" i="4" s="1"/>
  <c r="N227" i="4"/>
  <c r="K227" i="4" s="1"/>
  <c r="J229" i="4"/>
  <c r="I229" i="4" s="1"/>
  <c r="N229" i="4"/>
  <c r="K229" i="4" s="1"/>
  <c r="J231" i="4"/>
  <c r="I231" i="4" s="1"/>
  <c r="N231" i="4"/>
  <c r="K231" i="4" s="1"/>
  <c r="J233" i="4"/>
  <c r="I233" i="4" s="1"/>
  <c r="N233" i="4"/>
  <c r="K233" i="4" s="1"/>
  <c r="J235" i="4"/>
  <c r="I235" i="4" s="1"/>
  <c r="N235" i="4"/>
  <c r="K235" i="4" s="1"/>
  <c r="J237" i="4"/>
  <c r="I237" i="4" s="1"/>
  <c r="N237" i="4"/>
  <c r="K237" i="4" s="1"/>
  <c r="J239" i="4"/>
  <c r="I239" i="4" s="1"/>
  <c r="N239" i="4"/>
  <c r="K239" i="4" s="1"/>
  <c r="J241" i="4"/>
  <c r="I241" i="4" s="1"/>
  <c r="N241" i="4"/>
  <c r="K241" i="4" s="1"/>
  <c r="J243" i="4"/>
  <c r="I243" i="4" s="1"/>
  <c r="N243" i="4"/>
  <c r="K243" i="4" s="1"/>
  <c r="J245" i="4"/>
  <c r="I245" i="4" s="1"/>
  <c r="N245" i="4"/>
  <c r="K245" i="4" s="1"/>
  <c r="J247" i="4"/>
  <c r="I247" i="4" s="1"/>
  <c r="N247" i="4"/>
  <c r="K247" i="4" s="1"/>
  <c r="J249" i="4"/>
  <c r="I249" i="4" s="1"/>
  <c r="N249" i="4"/>
  <c r="K249" i="4" s="1"/>
  <c r="J251" i="4"/>
  <c r="I251" i="4" s="1"/>
  <c r="N251" i="4"/>
  <c r="K251" i="4" s="1"/>
  <c r="J253" i="4"/>
  <c r="I253" i="4" s="1"/>
  <c r="N253" i="4"/>
  <c r="K253" i="4" s="1"/>
  <c r="J255" i="4"/>
  <c r="I255" i="4" s="1"/>
  <c r="N255" i="4"/>
  <c r="K255" i="4" s="1"/>
  <c r="J257" i="4"/>
  <c r="I257" i="4" s="1"/>
  <c r="N257" i="4"/>
  <c r="K257" i="4" s="1"/>
  <c r="J259" i="4"/>
  <c r="I259" i="4" s="1"/>
  <c r="N259" i="4"/>
  <c r="K259" i="4" s="1"/>
  <c r="J261" i="4"/>
  <c r="I261" i="4" s="1"/>
  <c r="N261" i="4"/>
  <c r="K261" i="4" s="1"/>
  <c r="J263" i="4"/>
  <c r="I263" i="4" s="1"/>
  <c r="N263" i="4"/>
  <c r="K263" i="4" s="1"/>
  <c r="J265" i="4"/>
  <c r="I265" i="4" s="1"/>
  <c r="N265" i="4"/>
  <c r="K265" i="4" s="1"/>
  <c r="J267" i="4"/>
  <c r="I267" i="4" s="1"/>
  <c r="N267" i="4"/>
  <c r="K267" i="4" s="1"/>
  <c r="J269" i="4"/>
  <c r="I269" i="4" s="1"/>
  <c r="N269" i="4"/>
  <c r="K269" i="4" s="1"/>
  <c r="J271" i="4"/>
  <c r="I271" i="4" s="1"/>
  <c r="N271" i="4"/>
  <c r="K271" i="4" s="1"/>
  <c r="J273" i="4"/>
  <c r="I273" i="4" s="1"/>
  <c r="N273" i="4"/>
  <c r="K273" i="4" s="1"/>
  <c r="J275" i="4"/>
  <c r="I275" i="4" s="1"/>
  <c r="N275" i="4"/>
  <c r="K275" i="4" s="1"/>
  <c r="J277" i="4"/>
  <c r="I277" i="4" s="1"/>
  <c r="N277" i="4"/>
  <c r="K277" i="4" s="1"/>
  <c r="J279" i="4"/>
  <c r="I279" i="4" s="1"/>
  <c r="N279" i="4"/>
  <c r="K279" i="4" s="1"/>
  <c r="J281" i="4"/>
  <c r="I281" i="4" s="1"/>
  <c r="N281" i="4"/>
  <c r="K281" i="4" s="1"/>
  <c r="J283" i="4"/>
  <c r="I283" i="4" s="1"/>
  <c r="N283" i="4"/>
  <c r="K283" i="4" s="1"/>
  <c r="J285" i="4"/>
  <c r="I285" i="4" s="1"/>
  <c r="N285" i="4"/>
  <c r="K285" i="4" s="1"/>
  <c r="J287" i="4"/>
  <c r="I287" i="4" s="1"/>
  <c r="N287" i="4"/>
  <c r="K287" i="4" s="1"/>
  <c r="J289" i="4"/>
  <c r="I289" i="4" s="1"/>
  <c r="N289" i="4"/>
  <c r="K289" i="4" s="1"/>
  <c r="J291" i="4"/>
  <c r="I291" i="4" s="1"/>
  <c r="N291" i="4"/>
  <c r="K291" i="4" s="1"/>
  <c r="J293" i="4"/>
  <c r="I293" i="4" s="1"/>
  <c r="N293" i="4"/>
  <c r="K293" i="4" s="1"/>
  <c r="J295" i="4"/>
  <c r="I295" i="4" s="1"/>
  <c r="N295" i="4"/>
  <c r="K295" i="4" s="1"/>
  <c r="J297" i="4"/>
  <c r="I297" i="4" s="1"/>
  <c r="N297" i="4"/>
  <c r="K297" i="4" s="1"/>
  <c r="J299" i="4"/>
  <c r="I299" i="4" s="1"/>
  <c r="N299" i="4"/>
  <c r="K299" i="4" s="1"/>
  <c r="J301" i="4"/>
  <c r="I301" i="4" s="1"/>
  <c r="N301" i="4"/>
  <c r="K301" i="4" s="1"/>
  <c r="J303" i="4"/>
  <c r="I303" i="4" s="1"/>
  <c r="N303" i="4"/>
  <c r="K303" i="4" s="1"/>
  <c r="J305" i="4"/>
  <c r="I305" i="4" s="1"/>
  <c r="N305" i="4"/>
  <c r="K305" i="4" s="1"/>
  <c r="J307" i="4"/>
  <c r="I307" i="4" s="1"/>
  <c r="N307" i="4"/>
  <c r="K307" i="4" s="1"/>
  <c r="J309" i="4"/>
  <c r="I309" i="4" s="1"/>
  <c r="N309" i="4"/>
  <c r="K309" i="4" s="1"/>
  <c r="J311" i="4"/>
  <c r="I311" i="4" s="1"/>
  <c r="N311" i="4"/>
  <c r="K311" i="4" s="1"/>
  <c r="J313" i="4"/>
  <c r="I313" i="4" s="1"/>
  <c r="N313" i="4"/>
  <c r="K313" i="4" s="1"/>
  <c r="J315" i="4"/>
  <c r="I315" i="4" s="1"/>
  <c r="N315" i="4"/>
  <c r="K315" i="4" s="1"/>
  <c r="J317" i="4"/>
  <c r="I317" i="4" s="1"/>
  <c r="N317" i="4"/>
  <c r="K317" i="4" s="1"/>
  <c r="J319" i="4"/>
  <c r="I319" i="4" s="1"/>
  <c r="N319" i="4"/>
  <c r="K319" i="4" s="1"/>
  <c r="J321" i="4"/>
  <c r="I321" i="4" s="1"/>
  <c r="N321" i="4"/>
  <c r="K321" i="4" s="1"/>
  <c r="J323" i="4"/>
  <c r="I323" i="4" s="1"/>
  <c r="N323" i="4"/>
  <c r="K323" i="4" s="1"/>
  <c r="J325" i="4"/>
  <c r="I325" i="4" s="1"/>
  <c r="N325" i="4"/>
  <c r="K325" i="4" s="1"/>
  <c r="J327" i="4"/>
  <c r="I327" i="4" s="1"/>
  <c r="N327" i="4"/>
  <c r="K327" i="4" s="1"/>
  <c r="J329" i="4"/>
  <c r="I329" i="4" s="1"/>
  <c r="N329" i="4"/>
  <c r="K329" i="4" s="1"/>
  <c r="J331" i="4"/>
  <c r="I331" i="4" s="1"/>
  <c r="N331" i="4"/>
  <c r="K331" i="4" s="1"/>
  <c r="J333" i="4"/>
  <c r="I333" i="4" s="1"/>
  <c r="N333" i="4"/>
  <c r="K333" i="4" s="1"/>
  <c r="J335" i="4"/>
  <c r="I335" i="4" s="1"/>
  <c r="N335" i="4"/>
  <c r="K335" i="4" s="1"/>
  <c r="J337" i="4"/>
  <c r="I337" i="4" s="1"/>
  <c r="N337" i="4"/>
  <c r="K337" i="4" s="1"/>
  <c r="J339" i="4"/>
  <c r="I339" i="4" s="1"/>
  <c r="N339" i="4"/>
  <c r="K339" i="4" s="1"/>
  <c r="J341" i="4"/>
  <c r="I341" i="4" s="1"/>
  <c r="N341" i="4"/>
  <c r="K341" i="4" s="1"/>
  <c r="J343" i="4"/>
  <c r="I343" i="4" s="1"/>
  <c r="N343" i="4"/>
  <c r="K343" i="4" s="1"/>
  <c r="J345" i="4"/>
  <c r="I345" i="4" s="1"/>
  <c r="N345" i="4"/>
  <c r="K345" i="4" s="1"/>
  <c r="J347" i="4"/>
  <c r="I347" i="4" s="1"/>
  <c r="N347" i="4"/>
  <c r="K347" i="4" s="1"/>
  <c r="J349" i="4"/>
  <c r="I349" i="4" s="1"/>
  <c r="N349" i="4"/>
  <c r="K349" i="4" s="1"/>
  <c r="J351" i="4"/>
  <c r="I351" i="4" s="1"/>
  <c r="N351" i="4"/>
  <c r="K351" i="4" s="1"/>
  <c r="J353" i="4"/>
  <c r="I353" i="4" s="1"/>
  <c r="N353" i="4"/>
  <c r="K353" i="4" s="1"/>
  <c r="J355" i="4"/>
  <c r="I355" i="4" s="1"/>
  <c r="N355" i="4"/>
  <c r="K355" i="4" s="1"/>
  <c r="J357" i="4"/>
  <c r="I357" i="4" s="1"/>
  <c r="N357" i="4"/>
  <c r="K357" i="4" s="1"/>
  <c r="J359" i="4"/>
  <c r="I359" i="4" s="1"/>
  <c r="N359" i="4"/>
  <c r="K359" i="4" s="1"/>
  <c r="J361" i="4"/>
  <c r="I361" i="4" s="1"/>
  <c r="N361" i="4"/>
  <c r="K361" i="4" s="1"/>
  <c r="J363" i="4"/>
  <c r="I363" i="4" s="1"/>
  <c r="N363" i="4"/>
  <c r="K363" i="4" s="1"/>
  <c r="J365" i="4"/>
  <c r="I365" i="4" s="1"/>
  <c r="N365" i="4"/>
  <c r="K365" i="4" s="1"/>
  <c r="J367" i="4"/>
  <c r="I367" i="4" s="1"/>
  <c r="N367" i="4"/>
  <c r="K367" i="4" s="1"/>
  <c r="J369" i="4"/>
  <c r="I369" i="4" s="1"/>
  <c r="N369" i="4"/>
  <c r="K369" i="4" s="1"/>
  <c r="J371" i="4"/>
  <c r="I371" i="4" s="1"/>
  <c r="N371" i="4"/>
  <c r="K371" i="4" s="1"/>
  <c r="J373" i="4"/>
  <c r="I373" i="4" s="1"/>
  <c r="N373" i="4"/>
  <c r="K373" i="4" s="1"/>
  <c r="J375" i="4"/>
  <c r="I375" i="4" s="1"/>
  <c r="N375" i="4"/>
  <c r="K375" i="4" s="1"/>
  <c r="J377" i="4"/>
  <c r="I377" i="4" s="1"/>
  <c r="N377" i="4"/>
  <c r="K377" i="4" s="1"/>
  <c r="J379" i="4"/>
  <c r="I379" i="4" s="1"/>
  <c r="N379" i="4"/>
  <c r="K379" i="4" s="1"/>
  <c r="J381" i="4"/>
  <c r="I381" i="4" s="1"/>
  <c r="N381" i="4"/>
  <c r="K381" i="4" s="1"/>
  <c r="J383" i="4"/>
  <c r="I383" i="4" s="1"/>
  <c r="N383" i="4"/>
  <c r="K383" i="4" s="1"/>
  <c r="J385" i="4"/>
  <c r="I385" i="4" s="1"/>
  <c r="N385" i="4"/>
  <c r="K385" i="4" s="1"/>
  <c r="J387" i="4"/>
  <c r="I387" i="4" s="1"/>
  <c r="N387" i="4"/>
  <c r="K387" i="4" s="1"/>
  <c r="J389" i="4"/>
  <c r="I389" i="4" s="1"/>
  <c r="N389" i="4"/>
  <c r="K389" i="4" s="1"/>
  <c r="J391" i="4"/>
  <c r="I391" i="4" s="1"/>
  <c r="N391" i="4"/>
  <c r="K391" i="4" s="1"/>
  <c r="J393" i="4"/>
  <c r="I393" i="4" s="1"/>
  <c r="N393" i="4"/>
  <c r="K393" i="4" s="1"/>
  <c r="J395" i="4"/>
  <c r="I395" i="4" s="1"/>
  <c r="N395" i="4"/>
  <c r="K395" i="4" s="1"/>
  <c r="J397" i="4"/>
  <c r="I397" i="4" s="1"/>
  <c r="N397" i="4"/>
  <c r="K397" i="4" s="1"/>
  <c r="J399" i="4"/>
  <c r="I399" i="4" s="1"/>
  <c r="N399" i="4"/>
  <c r="K399" i="4" s="1"/>
  <c r="J401" i="4"/>
  <c r="I401" i="4" s="1"/>
  <c r="N401" i="4"/>
  <c r="K401" i="4" s="1"/>
  <c r="J403" i="4"/>
  <c r="I403" i="4" s="1"/>
  <c r="N403" i="4"/>
  <c r="K403" i="4" s="1"/>
  <c r="J405" i="4"/>
  <c r="I405" i="4" s="1"/>
  <c r="N405" i="4"/>
  <c r="K405" i="4" s="1"/>
  <c r="J407" i="4"/>
  <c r="I407" i="4" s="1"/>
  <c r="N407" i="4"/>
  <c r="K407" i="4" s="1"/>
  <c r="J409" i="4"/>
  <c r="I409" i="4" s="1"/>
  <c r="N409" i="4"/>
  <c r="K409" i="4" s="1"/>
  <c r="J411" i="4"/>
  <c r="I411" i="4" s="1"/>
  <c r="N411" i="4"/>
  <c r="K411" i="4" s="1"/>
  <c r="J413" i="4"/>
  <c r="I413" i="4" s="1"/>
  <c r="N413" i="4"/>
  <c r="K413" i="4" s="1"/>
  <c r="J415" i="4"/>
  <c r="I415" i="4" s="1"/>
  <c r="N415" i="4"/>
  <c r="K415" i="4" s="1"/>
  <c r="J417" i="4"/>
  <c r="I417" i="4" s="1"/>
  <c r="N417" i="4"/>
  <c r="K417" i="4" s="1"/>
  <c r="J419" i="4"/>
  <c r="I419" i="4" s="1"/>
  <c r="N419" i="4"/>
  <c r="K419" i="4" s="1"/>
  <c r="J421" i="4"/>
  <c r="I421" i="4" s="1"/>
  <c r="N421" i="4"/>
  <c r="K421" i="4" s="1"/>
  <c r="J423" i="4"/>
  <c r="I423" i="4" s="1"/>
  <c r="N423" i="4"/>
  <c r="K423" i="4" s="1"/>
  <c r="J425" i="4"/>
  <c r="I425" i="4" s="1"/>
  <c r="N425" i="4"/>
  <c r="K425" i="4" s="1"/>
  <c r="J427" i="4"/>
  <c r="I427" i="4" s="1"/>
  <c r="N427" i="4"/>
  <c r="K427" i="4" s="1"/>
  <c r="J429" i="4"/>
  <c r="I429" i="4" s="1"/>
  <c r="N429" i="4"/>
  <c r="K429" i="4" s="1"/>
  <c r="J431" i="4"/>
  <c r="I431" i="4" s="1"/>
  <c r="N431" i="4"/>
  <c r="K431" i="4" s="1"/>
  <c r="J433" i="4"/>
  <c r="I433" i="4" s="1"/>
  <c r="N433" i="4"/>
  <c r="K433" i="4" s="1"/>
  <c r="J435" i="4"/>
  <c r="I435" i="4" s="1"/>
  <c r="N435" i="4"/>
  <c r="K435" i="4" s="1"/>
  <c r="J437" i="4"/>
  <c r="I437" i="4" s="1"/>
  <c r="N437" i="4"/>
  <c r="K437" i="4" s="1"/>
  <c r="J439" i="4"/>
  <c r="I439" i="4" s="1"/>
  <c r="N439" i="4"/>
  <c r="K439" i="4" s="1"/>
  <c r="J441" i="4"/>
  <c r="I441" i="4" s="1"/>
  <c r="N441" i="4"/>
  <c r="K441" i="4" s="1"/>
  <c r="J443" i="4"/>
  <c r="I443" i="4" s="1"/>
  <c r="N443" i="4"/>
  <c r="K443" i="4" s="1"/>
  <c r="J445" i="4"/>
  <c r="I445" i="4" s="1"/>
  <c r="N445" i="4"/>
  <c r="K445" i="4" s="1"/>
  <c r="J447" i="4"/>
  <c r="I447" i="4" s="1"/>
  <c r="N447" i="4"/>
  <c r="K447" i="4" s="1"/>
  <c r="J449" i="4"/>
  <c r="I449" i="4" s="1"/>
  <c r="N449" i="4"/>
  <c r="K449" i="4" s="1"/>
  <c r="J451" i="4"/>
  <c r="I451" i="4" s="1"/>
  <c r="N451" i="4"/>
  <c r="K451" i="4" s="1"/>
  <c r="J453" i="4"/>
  <c r="I453" i="4" s="1"/>
  <c r="N453" i="4"/>
  <c r="K453" i="4" s="1"/>
  <c r="J455" i="4"/>
  <c r="I455" i="4" s="1"/>
  <c r="N455" i="4"/>
  <c r="K455" i="4" s="1"/>
  <c r="J457" i="4"/>
  <c r="I457" i="4" s="1"/>
  <c r="N457" i="4"/>
  <c r="K457" i="4" s="1"/>
  <c r="J459" i="4"/>
  <c r="I459" i="4" s="1"/>
  <c r="N459" i="4"/>
  <c r="K459" i="4" s="1"/>
  <c r="J461" i="4"/>
  <c r="I461" i="4" s="1"/>
  <c r="N461" i="4"/>
  <c r="K461" i="4" s="1"/>
  <c r="J463" i="4"/>
  <c r="I463" i="4" s="1"/>
  <c r="N463" i="4"/>
  <c r="K463" i="4" s="1"/>
  <c r="J465" i="4"/>
  <c r="I465" i="4" s="1"/>
  <c r="N465" i="4"/>
  <c r="K465" i="4" s="1"/>
  <c r="J467" i="4"/>
  <c r="I467" i="4" s="1"/>
  <c r="N467" i="4"/>
  <c r="K467" i="4" s="1"/>
  <c r="J469" i="4"/>
  <c r="I469" i="4" s="1"/>
  <c r="N469" i="4"/>
  <c r="K469" i="4" s="1"/>
  <c r="J471" i="4"/>
  <c r="I471" i="4" s="1"/>
  <c r="N471" i="4"/>
  <c r="K471" i="4" s="1"/>
  <c r="J473" i="4"/>
  <c r="I473" i="4" s="1"/>
  <c r="N473" i="4"/>
  <c r="K473" i="4" s="1"/>
  <c r="J475" i="4"/>
  <c r="I475" i="4" s="1"/>
  <c r="N475" i="4"/>
  <c r="K475" i="4" s="1"/>
  <c r="J477" i="4"/>
  <c r="I477" i="4" s="1"/>
  <c r="N477" i="4"/>
  <c r="K477" i="4" s="1"/>
  <c r="J479" i="4"/>
  <c r="I479" i="4" s="1"/>
  <c r="N479" i="4"/>
  <c r="K479" i="4" s="1"/>
  <c r="J481" i="4"/>
  <c r="I481" i="4" s="1"/>
  <c r="N481" i="4"/>
  <c r="K481" i="4" s="1"/>
  <c r="J483" i="4"/>
  <c r="I483" i="4" s="1"/>
  <c r="N483" i="4"/>
  <c r="K483" i="4" s="1"/>
  <c r="J485" i="4"/>
  <c r="I485" i="4" s="1"/>
  <c r="N485" i="4"/>
  <c r="K485" i="4" s="1"/>
  <c r="J487" i="4"/>
  <c r="I487" i="4" s="1"/>
  <c r="N487" i="4"/>
  <c r="K487" i="4" s="1"/>
  <c r="J489" i="4"/>
  <c r="I489" i="4" s="1"/>
  <c r="N489" i="4"/>
  <c r="K489" i="4" s="1"/>
  <c r="J491" i="4"/>
  <c r="I491" i="4" s="1"/>
  <c r="N491" i="4"/>
  <c r="K491" i="4" s="1"/>
  <c r="J493" i="4"/>
  <c r="I493" i="4" s="1"/>
  <c r="N493" i="4"/>
  <c r="K493" i="4" s="1"/>
  <c r="J495" i="4"/>
  <c r="I495" i="4" s="1"/>
  <c r="N495" i="4"/>
  <c r="K495" i="4" s="1"/>
  <c r="J497" i="4"/>
  <c r="I497" i="4" s="1"/>
  <c r="N497" i="4"/>
  <c r="K497" i="4" s="1"/>
  <c r="J499" i="4"/>
  <c r="I499" i="4" s="1"/>
  <c r="N499" i="4"/>
  <c r="K499" i="4" s="1"/>
  <c r="J501" i="4"/>
  <c r="I501" i="4" s="1"/>
  <c r="N501" i="4"/>
  <c r="K501" i="4" s="1"/>
  <c r="J503" i="4"/>
  <c r="I503" i="4" s="1"/>
  <c r="N503" i="4"/>
  <c r="K503" i="4" s="1"/>
  <c r="J505" i="4"/>
  <c r="I505" i="4" s="1"/>
  <c r="N505" i="4"/>
  <c r="K505" i="4" s="1"/>
  <c r="J507" i="4"/>
  <c r="I507" i="4" s="1"/>
  <c r="N507" i="4"/>
  <c r="K507" i="4" s="1"/>
  <c r="J509" i="4"/>
  <c r="I509" i="4" s="1"/>
  <c r="N509" i="4"/>
  <c r="K509" i="4" s="1"/>
  <c r="J511" i="4"/>
  <c r="I511" i="4" s="1"/>
  <c r="N511" i="4"/>
  <c r="K511" i="4" s="1"/>
  <c r="J513" i="4"/>
  <c r="I513" i="4" s="1"/>
  <c r="N513" i="4"/>
  <c r="K513" i="4" s="1"/>
  <c r="J515" i="4"/>
  <c r="I515" i="4" s="1"/>
  <c r="N515" i="4"/>
  <c r="K515" i="4" s="1"/>
  <c r="J517" i="4"/>
  <c r="I517" i="4" s="1"/>
  <c r="N517" i="4"/>
  <c r="K517" i="4" s="1"/>
  <c r="J519" i="4"/>
  <c r="I519" i="4" s="1"/>
  <c r="N519" i="4"/>
  <c r="K519" i="4" s="1"/>
  <c r="J521" i="4"/>
  <c r="I521" i="4" s="1"/>
  <c r="N521" i="4"/>
  <c r="K521" i="4" s="1"/>
  <c r="J523" i="4"/>
  <c r="I523" i="4" s="1"/>
  <c r="N523" i="4"/>
  <c r="K523" i="4" s="1"/>
  <c r="J525" i="4"/>
  <c r="I525" i="4" s="1"/>
  <c r="N525" i="4"/>
  <c r="K525" i="4" s="1"/>
  <c r="J527" i="4"/>
  <c r="I527" i="4" s="1"/>
  <c r="N527" i="4"/>
  <c r="K527" i="4" s="1"/>
  <c r="J529" i="4"/>
  <c r="I529" i="4" s="1"/>
  <c r="N529" i="4"/>
  <c r="K529" i="4" s="1"/>
  <c r="J531" i="4"/>
  <c r="I531" i="4" s="1"/>
  <c r="N531" i="4"/>
  <c r="K531" i="4" s="1"/>
  <c r="J533" i="4"/>
  <c r="I533" i="4" s="1"/>
  <c r="N533" i="4"/>
  <c r="K533" i="4" s="1"/>
  <c r="J535" i="4"/>
  <c r="I535" i="4" s="1"/>
  <c r="N535" i="4"/>
  <c r="K535" i="4" s="1"/>
  <c r="J537" i="4"/>
  <c r="I537" i="4" s="1"/>
  <c r="N537" i="4"/>
  <c r="K537" i="4" s="1"/>
  <c r="J539" i="4"/>
  <c r="I539" i="4" s="1"/>
  <c r="N539" i="4"/>
  <c r="K539" i="4" s="1"/>
  <c r="J541" i="4"/>
  <c r="I541" i="4" s="1"/>
  <c r="N541" i="4"/>
  <c r="K541" i="4" s="1"/>
  <c r="J543" i="4"/>
  <c r="I543" i="4" s="1"/>
  <c r="N543" i="4"/>
  <c r="K543" i="4" s="1"/>
  <c r="J545" i="4"/>
  <c r="I545" i="4" s="1"/>
  <c r="N545" i="4"/>
  <c r="K545" i="4" s="1"/>
  <c r="J547" i="4"/>
  <c r="I547" i="4" s="1"/>
  <c r="N547" i="4"/>
  <c r="K547" i="4" s="1"/>
  <c r="J549" i="4"/>
  <c r="I549" i="4" s="1"/>
  <c r="N549" i="4"/>
  <c r="K549" i="4" s="1"/>
  <c r="J551" i="4"/>
  <c r="I551" i="4" s="1"/>
  <c r="N551" i="4"/>
  <c r="K551" i="4" s="1"/>
  <c r="J553" i="4"/>
  <c r="I553" i="4" s="1"/>
  <c r="N553" i="4"/>
  <c r="K553" i="4" s="1"/>
  <c r="J555" i="4"/>
  <c r="I555" i="4" s="1"/>
  <c r="N555" i="4"/>
  <c r="K555" i="4" s="1"/>
  <c r="J557" i="4"/>
  <c r="I557" i="4" s="1"/>
  <c r="N557" i="4"/>
  <c r="K557" i="4" s="1"/>
  <c r="J559" i="4"/>
  <c r="I559" i="4" s="1"/>
  <c r="N559" i="4"/>
  <c r="K559" i="4" s="1"/>
  <c r="J561" i="4"/>
  <c r="I561" i="4" s="1"/>
  <c r="N561" i="4"/>
  <c r="K561" i="4" s="1"/>
  <c r="J563" i="4"/>
  <c r="I563" i="4" s="1"/>
  <c r="N563" i="4"/>
  <c r="K563" i="4" s="1"/>
  <c r="J565" i="4"/>
  <c r="I565" i="4" s="1"/>
  <c r="N565" i="4"/>
  <c r="K565" i="4" s="1"/>
  <c r="J567" i="4"/>
  <c r="I567" i="4" s="1"/>
  <c r="N567" i="4"/>
  <c r="K567" i="4" s="1"/>
  <c r="J569" i="4"/>
  <c r="I569" i="4" s="1"/>
  <c r="N569" i="4"/>
  <c r="K569" i="4" s="1"/>
  <c r="J571" i="4"/>
  <c r="I571" i="4" s="1"/>
  <c r="N571" i="4"/>
  <c r="K571" i="4" s="1"/>
  <c r="J573" i="4"/>
  <c r="I573" i="4" s="1"/>
  <c r="N573" i="4"/>
  <c r="K573" i="4" s="1"/>
  <c r="J575" i="4"/>
  <c r="I575" i="4" s="1"/>
  <c r="N575" i="4"/>
  <c r="K575" i="4" s="1"/>
  <c r="J577" i="4"/>
  <c r="I577" i="4" s="1"/>
  <c r="N577" i="4"/>
  <c r="K577" i="4" s="1"/>
  <c r="J579" i="4"/>
  <c r="I579" i="4" s="1"/>
  <c r="N579" i="4"/>
  <c r="K579" i="4" s="1"/>
  <c r="J581" i="4"/>
  <c r="I581" i="4" s="1"/>
  <c r="N581" i="4"/>
  <c r="K581" i="4" s="1"/>
  <c r="J583" i="4"/>
  <c r="I583" i="4" s="1"/>
  <c r="N583" i="4"/>
  <c r="K583" i="4" s="1"/>
  <c r="J585" i="4"/>
  <c r="I585" i="4" s="1"/>
  <c r="N585" i="4"/>
  <c r="K585" i="4" s="1"/>
  <c r="J587" i="4"/>
  <c r="I587" i="4" s="1"/>
  <c r="N587" i="4"/>
  <c r="K587" i="4" s="1"/>
  <c r="J589" i="4"/>
  <c r="I589" i="4" s="1"/>
  <c r="N589" i="4"/>
  <c r="K589" i="4" s="1"/>
  <c r="J591" i="4"/>
  <c r="I591" i="4" s="1"/>
  <c r="N591" i="4"/>
  <c r="K591" i="4" s="1"/>
  <c r="J593" i="4"/>
  <c r="I593" i="4" s="1"/>
  <c r="N593" i="4"/>
  <c r="K593" i="4" s="1"/>
  <c r="J595" i="4"/>
  <c r="I595" i="4" s="1"/>
  <c r="N595" i="4"/>
  <c r="K595" i="4" s="1"/>
  <c r="J597" i="4"/>
  <c r="I597" i="4" s="1"/>
  <c r="N597" i="4"/>
  <c r="K597" i="4" s="1"/>
  <c r="J599" i="4"/>
  <c r="I599" i="4" s="1"/>
  <c r="N599" i="4"/>
  <c r="K599" i="4" s="1"/>
  <c r="J601" i="4"/>
  <c r="I601" i="4" s="1"/>
  <c r="N601" i="4"/>
  <c r="K601" i="4" s="1"/>
  <c r="J603" i="4"/>
  <c r="I603" i="4" s="1"/>
  <c r="N603" i="4"/>
  <c r="K603" i="4" s="1"/>
  <c r="J605" i="4"/>
  <c r="I605" i="4" s="1"/>
  <c r="N605" i="4"/>
  <c r="K605" i="4" s="1"/>
  <c r="J607" i="4"/>
  <c r="I607" i="4" s="1"/>
  <c r="N607" i="4"/>
  <c r="K607" i="4" s="1"/>
  <c r="J609" i="4"/>
  <c r="I609" i="4" s="1"/>
  <c r="N609" i="4"/>
  <c r="K609" i="4" s="1"/>
  <c r="J611" i="4"/>
  <c r="I611" i="4" s="1"/>
  <c r="N611" i="4"/>
  <c r="K611" i="4" s="1"/>
  <c r="J613" i="4"/>
  <c r="I613" i="4" s="1"/>
  <c r="N613" i="4"/>
  <c r="K613" i="4" s="1"/>
  <c r="J615" i="4"/>
  <c r="I615" i="4" s="1"/>
  <c r="N615" i="4"/>
  <c r="K615" i="4" s="1"/>
  <c r="J617" i="4"/>
  <c r="I617" i="4" s="1"/>
  <c r="N617" i="4"/>
  <c r="K617" i="4" s="1"/>
  <c r="J619" i="4"/>
  <c r="I619" i="4" s="1"/>
  <c r="N619" i="4"/>
  <c r="K619" i="4" s="1"/>
  <c r="J621" i="4"/>
  <c r="I621" i="4" s="1"/>
  <c r="N621" i="4"/>
  <c r="K621" i="4" s="1"/>
  <c r="J623" i="4"/>
  <c r="I623" i="4" s="1"/>
  <c r="N623" i="4"/>
  <c r="K623" i="4" s="1"/>
  <c r="J625" i="4"/>
  <c r="I625" i="4" s="1"/>
  <c r="N625" i="4"/>
  <c r="K625" i="4" s="1"/>
  <c r="J627" i="4"/>
  <c r="I627" i="4" s="1"/>
  <c r="N627" i="4"/>
  <c r="K627" i="4" s="1"/>
  <c r="J629" i="4"/>
  <c r="I629" i="4" s="1"/>
  <c r="N629" i="4"/>
  <c r="K629" i="4" s="1"/>
  <c r="J631" i="4"/>
  <c r="I631" i="4" s="1"/>
  <c r="N631" i="4"/>
  <c r="K631" i="4" s="1"/>
  <c r="J633" i="4"/>
  <c r="I633" i="4" s="1"/>
  <c r="N633" i="4"/>
  <c r="K633" i="4" s="1"/>
  <c r="J635" i="4"/>
  <c r="I635" i="4" s="1"/>
  <c r="N635" i="4"/>
  <c r="K635" i="4" s="1"/>
  <c r="J637" i="4"/>
  <c r="I637" i="4" s="1"/>
  <c r="N637" i="4"/>
  <c r="K637" i="4" s="1"/>
  <c r="J639" i="4"/>
  <c r="I639" i="4" s="1"/>
  <c r="N639" i="4"/>
  <c r="K639" i="4" s="1"/>
  <c r="J641" i="4"/>
  <c r="I641" i="4" s="1"/>
  <c r="N641" i="4"/>
  <c r="K641" i="4" s="1"/>
  <c r="J643" i="4"/>
  <c r="I643" i="4" s="1"/>
  <c r="N643" i="4"/>
  <c r="K643" i="4" s="1"/>
  <c r="J645" i="4"/>
  <c r="I645" i="4" s="1"/>
  <c r="N645" i="4"/>
  <c r="K645" i="4" s="1"/>
  <c r="J647" i="4"/>
  <c r="I647" i="4" s="1"/>
  <c r="N647" i="4"/>
  <c r="K647" i="4" s="1"/>
  <c r="J649" i="4"/>
  <c r="I649" i="4" s="1"/>
  <c r="N649" i="4"/>
  <c r="K649" i="4" s="1"/>
  <c r="J651" i="4"/>
  <c r="I651" i="4" s="1"/>
  <c r="N651" i="4"/>
  <c r="K651" i="4" s="1"/>
  <c r="J653" i="4"/>
  <c r="I653" i="4" s="1"/>
  <c r="N653" i="4"/>
  <c r="K653" i="4" s="1"/>
  <c r="J655" i="4"/>
  <c r="I655" i="4" s="1"/>
  <c r="N655" i="4"/>
  <c r="K655" i="4" s="1"/>
  <c r="J657" i="4"/>
  <c r="I657" i="4" s="1"/>
  <c r="N657" i="4"/>
  <c r="K657" i="4" s="1"/>
  <c r="J659" i="4"/>
  <c r="I659" i="4" s="1"/>
  <c r="N659" i="4"/>
  <c r="K659" i="4" s="1"/>
  <c r="J661" i="4"/>
  <c r="I661" i="4" s="1"/>
  <c r="N661" i="4"/>
  <c r="K661" i="4" s="1"/>
  <c r="J663" i="4"/>
  <c r="I663" i="4" s="1"/>
  <c r="N663" i="4"/>
  <c r="K663" i="4" s="1"/>
  <c r="J665" i="4"/>
  <c r="I665" i="4" s="1"/>
  <c r="N665" i="4"/>
  <c r="K665" i="4" s="1"/>
  <c r="J667" i="4"/>
  <c r="I667" i="4" s="1"/>
  <c r="N667" i="4"/>
  <c r="K667" i="4" s="1"/>
  <c r="J669" i="4"/>
  <c r="I669" i="4" s="1"/>
  <c r="N669" i="4"/>
  <c r="K669" i="4" s="1"/>
  <c r="J671" i="4"/>
  <c r="I671" i="4" s="1"/>
  <c r="N671" i="4"/>
  <c r="K671" i="4" s="1"/>
  <c r="J673" i="4"/>
  <c r="I673" i="4" s="1"/>
  <c r="N673" i="4"/>
  <c r="K673" i="4" s="1"/>
  <c r="J675" i="4"/>
  <c r="I675" i="4" s="1"/>
  <c r="N675" i="4"/>
  <c r="K675" i="4" s="1"/>
  <c r="J677" i="4"/>
  <c r="I677" i="4" s="1"/>
  <c r="N677" i="4"/>
  <c r="K677" i="4" s="1"/>
  <c r="J679" i="4"/>
  <c r="I679" i="4" s="1"/>
  <c r="N679" i="4"/>
  <c r="K679" i="4" s="1"/>
  <c r="J681" i="4"/>
  <c r="I681" i="4" s="1"/>
  <c r="N681" i="4"/>
  <c r="K681" i="4" s="1"/>
  <c r="J683" i="4"/>
  <c r="I683" i="4" s="1"/>
  <c r="N683" i="4"/>
  <c r="K683" i="4" s="1"/>
  <c r="J685" i="4"/>
  <c r="I685" i="4" s="1"/>
  <c r="N685" i="4"/>
  <c r="K685" i="4" s="1"/>
  <c r="J687" i="4"/>
  <c r="I687" i="4" s="1"/>
  <c r="N687" i="4"/>
  <c r="K687" i="4" s="1"/>
  <c r="J689" i="4"/>
  <c r="I689" i="4" s="1"/>
  <c r="N689" i="4"/>
  <c r="K689" i="4" s="1"/>
  <c r="J691" i="4"/>
  <c r="I691" i="4" s="1"/>
  <c r="N691" i="4"/>
  <c r="K691" i="4" s="1"/>
  <c r="J693" i="4"/>
  <c r="I693" i="4" s="1"/>
  <c r="N693" i="4"/>
  <c r="K693" i="4" s="1"/>
  <c r="J695" i="4"/>
  <c r="I695" i="4" s="1"/>
  <c r="N695" i="4"/>
  <c r="K695" i="4" s="1"/>
  <c r="J697" i="4"/>
  <c r="I697" i="4" s="1"/>
  <c r="N697" i="4"/>
  <c r="K697" i="4" s="1"/>
  <c r="J699" i="4"/>
  <c r="I699" i="4" s="1"/>
  <c r="N699" i="4"/>
  <c r="K699" i="4" s="1"/>
  <c r="J701" i="4"/>
  <c r="I701" i="4" s="1"/>
  <c r="N701" i="4"/>
  <c r="K701" i="4" s="1"/>
  <c r="J703" i="4"/>
  <c r="I703" i="4" s="1"/>
  <c r="N703" i="4"/>
  <c r="K703" i="4" s="1"/>
  <c r="J705" i="4"/>
  <c r="I705" i="4" s="1"/>
  <c r="N705" i="4"/>
  <c r="K705" i="4" s="1"/>
  <c r="J707" i="4"/>
  <c r="I707" i="4" s="1"/>
  <c r="N707" i="4"/>
  <c r="K707" i="4" s="1"/>
  <c r="J709" i="4"/>
  <c r="I709" i="4" s="1"/>
  <c r="N709" i="4"/>
  <c r="K709" i="4" s="1"/>
  <c r="J711" i="4"/>
  <c r="I711" i="4" s="1"/>
  <c r="N711" i="4"/>
  <c r="K711" i="4" s="1"/>
  <c r="J713" i="4"/>
  <c r="I713" i="4" s="1"/>
  <c r="N713" i="4"/>
  <c r="K713" i="4" s="1"/>
  <c r="J715" i="4"/>
  <c r="I715" i="4" s="1"/>
  <c r="N715" i="4"/>
  <c r="K715" i="4" s="1"/>
  <c r="J717" i="4"/>
  <c r="I717" i="4" s="1"/>
  <c r="N717" i="4"/>
  <c r="K717" i="4" s="1"/>
  <c r="J719" i="4"/>
  <c r="I719" i="4" s="1"/>
  <c r="N719" i="4"/>
  <c r="K719" i="4" s="1"/>
  <c r="J721" i="4"/>
  <c r="I721" i="4" s="1"/>
  <c r="N721" i="4"/>
  <c r="K721" i="4" s="1"/>
  <c r="J723" i="4"/>
  <c r="I723" i="4" s="1"/>
  <c r="N723" i="4"/>
  <c r="K723" i="4" s="1"/>
  <c r="J725" i="4"/>
  <c r="I725" i="4" s="1"/>
  <c r="N725" i="4"/>
  <c r="K725" i="4" s="1"/>
  <c r="J727" i="4"/>
  <c r="I727" i="4" s="1"/>
  <c r="N727" i="4"/>
  <c r="K727" i="4" s="1"/>
  <c r="J729" i="4"/>
  <c r="I729" i="4" s="1"/>
  <c r="N729" i="4"/>
  <c r="K729" i="4" s="1"/>
  <c r="J731" i="4"/>
  <c r="I731" i="4" s="1"/>
  <c r="N731" i="4"/>
  <c r="K731" i="4" s="1"/>
  <c r="J733" i="4"/>
  <c r="I733" i="4" s="1"/>
  <c r="N733" i="4"/>
  <c r="K733" i="4" s="1"/>
  <c r="J735" i="4"/>
  <c r="I735" i="4" s="1"/>
  <c r="N735" i="4"/>
  <c r="K735" i="4" s="1"/>
  <c r="J737" i="4"/>
  <c r="I737" i="4" s="1"/>
  <c r="N737" i="4"/>
  <c r="K737" i="4" s="1"/>
  <c r="J739" i="4"/>
  <c r="I739" i="4" s="1"/>
  <c r="N739" i="4"/>
  <c r="K739" i="4" s="1"/>
  <c r="J741" i="4"/>
  <c r="I741" i="4" s="1"/>
  <c r="N741" i="4"/>
  <c r="K741" i="4" s="1"/>
  <c r="J743" i="4"/>
  <c r="I743" i="4" s="1"/>
  <c r="N743" i="4"/>
  <c r="K743" i="4" s="1"/>
  <c r="J745" i="4"/>
  <c r="I745" i="4" s="1"/>
  <c r="N745" i="4"/>
  <c r="K745" i="4" s="1"/>
  <c r="J747" i="4"/>
  <c r="I747" i="4" s="1"/>
  <c r="N747" i="4"/>
  <c r="K747" i="4" s="1"/>
  <c r="J749" i="4"/>
  <c r="I749" i="4" s="1"/>
  <c r="N749" i="4"/>
  <c r="K749" i="4" s="1"/>
  <c r="J751" i="4"/>
  <c r="I751" i="4" s="1"/>
  <c r="N751" i="4"/>
  <c r="K751" i="4" s="1"/>
  <c r="J753" i="4"/>
  <c r="I753" i="4" s="1"/>
  <c r="N753" i="4"/>
  <c r="K753" i="4" s="1"/>
  <c r="J755" i="4"/>
  <c r="I755" i="4" s="1"/>
  <c r="N755" i="4"/>
  <c r="K755" i="4" s="1"/>
  <c r="J757" i="4"/>
  <c r="I757" i="4" s="1"/>
  <c r="N757" i="4"/>
  <c r="K757" i="4" s="1"/>
  <c r="J759" i="4"/>
  <c r="I759" i="4" s="1"/>
  <c r="N759" i="4"/>
  <c r="K759" i="4" s="1"/>
  <c r="J761" i="4"/>
  <c r="I761" i="4" s="1"/>
  <c r="N761" i="4"/>
  <c r="K761" i="4" s="1"/>
  <c r="J763" i="4"/>
  <c r="I763" i="4" s="1"/>
  <c r="N763" i="4"/>
  <c r="K763" i="4" s="1"/>
  <c r="J765" i="4"/>
  <c r="I765" i="4" s="1"/>
  <c r="N765" i="4"/>
  <c r="K765" i="4" s="1"/>
  <c r="J767" i="4"/>
  <c r="I767" i="4" s="1"/>
  <c r="N767" i="4"/>
  <c r="K767" i="4" s="1"/>
  <c r="J769" i="4"/>
  <c r="I769" i="4" s="1"/>
  <c r="N769" i="4"/>
  <c r="K769" i="4" s="1"/>
  <c r="J771" i="4"/>
  <c r="I771" i="4" s="1"/>
  <c r="N771" i="4"/>
  <c r="K771" i="4" s="1"/>
  <c r="J773" i="4"/>
  <c r="I773" i="4" s="1"/>
  <c r="N773" i="4"/>
  <c r="K773" i="4" s="1"/>
  <c r="J775" i="4"/>
  <c r="I775" i="4" s="1"/>
  <c r="N775" i="4"/>
  <c r="K775" i="4" s="1"/>
  <c r="J777" i="4"/>
  <c r="I777" i="4" s="1"/>
  <c r="N777" i="4"/>
  <c r="K777" i="4" s="1"/>
  <c r="J779" i="4"/>
  <c r="I779" i="4" s="1"/>
  <c r="N779" i="4"/>
  <c r="K779" i="4" s="1"/>
  <c r="J781" i="4"/>
  <c r="I781" i="4" s="1"/>
  <c r="N781" i="4"/>
  <c r="K781" i="4" s="1"/>
  <c r="J783" i="4"/>
  <c r="I783" i="4" s="1"/>
  <c r="N783" i="4"/>
  <c r="K783" i="4" s="1"/>
  <c r="J785" i="4"/>
  <c r="I785" i="4" s="1"/>
  <c r="N785" i="4"/>
  <c r="K785" i="4" s="1"/>
  <c r="J787" i="4"/>
  <c r="I787" i="4" s="1"/>
  <c r="N787" i="4"/>
  <c r="K787" i="4" s="1"/>
  <c r="J789" i="4"/>
  <c r="I789" i="4" s="1"/>
  <c r="N789" i="4"/>
  <c r="K789" i="4" s="1"/>
  <c r="J791" i="4"/>
  <c r="I791" i="4" s="1"/>
  <c r="N791" i="4"/>
  <c r="K791" i="4" s="1"/>
  <c r="J793" i="4"/>
  <c r="I793" i="4" s="1"/>
  <c r="N793" i="4"/>
  <c r="K793" i="4" s="1"/>
  <c r="J795" i="4"/>
  <c r="I795" i="4" s="1"/>
  <c r="N795" i="4"/>
  <c r="K795" i="4" s="1"/>
  <c r="J797" i="4"/>
  <c r="I797" i="4" s="1"/>
  <c r="N797" i="4"/>
  <c r="K797" i="4" s="1"/>
  <c r="J799" i="4"/>
  <c r="I799" i="4" s="1"/>
  <c r="N799" i="4"/>
  <c r="K799" i="4" s="1"/>
  <c r="J801" i="4"/>
  <c r="I801" i="4" s="1"/>
  <c r="N801" i="4"/>
  <c r="K801" i="4" s="1"/>
  <c r="J803" i="4"/>
  <c r="I803" i="4" s="1"/>
  <c r="N803" i="4"/>
  <c r="K803" i="4" s="1"/>
  <c r="J805" i="4"/>
  <c r="I805" i="4" s="1"/>
  <c r="N805" i="4"/>
  <c r="K805" i="4" s="1"/>
  <c r="J807" i="4"/>
  <c r="I807" i="4" s="1"/>
  <c r="N807" i="4"/>
  <c r="K807" i="4" s="1"/>
  <c r="J809" i="4"/>
  <c r="I809" i="4" s="1"/>
  <c r="N809" i="4"/>
  <c r="K809" i="4" s="1"/>
  <c r="J811" i="4"/>
  <c r="I811" i="4" s="1"/>
  <c r="N811" i="4"/>
  <c r="K811" i="4" s="1"/>
  <c r="J813" i="4"/>
  <c r="I813" i="4" s="1"/>
  <c r="N813" i="4"/>
  <c r="K813" i="4" s="1"/>
  <c r="J815" i="4"/>
  <c r="I815" i="4" s="1"/>
  <c r="N815" i="4"/>
  <c r="K815" i="4" s="1"/>
  <c r="J817" i="4"/>
  <c r="I817" i="4" s="1"/>
  <c r="N817" i="4"/>
  <c r="K817" i="4" s="1"/>
  <c r="J819" i="4"/>
  <c r="I819" i="4" s="1"/>
  <c r="N819" i="4"/>
  <c r="K819" i="4" s="1"/>
  <c r="J821" i="4"/>
  <c r="I821" i="4" s="1"/>
  <c r="N821" i="4"/>
  <c r="K821" i="4" s="1"/>
  <c r="J823" i="4"/>
  <c r="I823" i="4" s="1"/>
  <c r="N823" i="4"/>
  <c r="K823" i="4" s="1"/>
  <c r="J825" i="4"/>
  <c r="I825" i="4" s="1"/>
  <c r="N825" i="4"/>
  <c r="K825" i="4" s="1"/>
  <c r="J827" i="4"/>
  <c r="I827" i="4" s="1"/>
  <c r="N827" i="4"/>
  <c r="K827" i="4" s="1"/>
  <c r="J829" i="4"/>
  <c r="I829" i="4" s="1"/>
  <c r="N829" i="4"/>
  <c r="K829" i="4" s="1"/>
  <c r="J831" i="4"/>
  <c r="I831" i="4" s="1"/>
  <c r="N831" i="4"/>
  <c r="K831" i="4" s="1"/>
  <c r="J833" i="4"/>
  <c r="I833" i="4" s="1"/>
  <c r="N833" i="4"/>
  <c r="K833" i="4" s="1"/>
  <c r="J835" i="4"/>
  <c r="I835" i="4" s="1"/>
  <c r="N835" i="4"/>
  <c r="K835" i="4" s="1"/>
  <c r="J837" i="4"/>
  <c r="I837" i="4" s="1"/>
  <c r="N837" i="4"/>
  <c r="K837" i="4" s="1"/>
  <c r="J839" i="4"/>
  <c r="I839" i="4" s="1"/>
  <c r="N839" i="4"/>
  <c r="K839" i="4" s="1"/>
  <c r="J841" i="4"/>
  <c r="I841" i="4" s="1"/>
  <c r="N841" i="4"/>
  <c r="K841" i="4" s="1"/>
  <c r="J843" i="4"/>
  <c r="I843" i="4" s="1"/>
  <c r="N843" i="4"/>
  <c r="K843" i="4" s="1"/>
  <c r="J845" i="4"/>
  <c r="I845" i="4" s="1"/>
  <c r="N845" i="4"/>
  <c r="K845" i="4" s="1"/>
  <c r="J847" i="4"/>
  <c r="I847" i="4" s="1"/>
  <c r="N847" i="4"/>
  <c r="K847" i="4" s="1"/>
  <c r="J849" i="4"/>
  <c r="I849" i="4" s="1"/>
  <c r="N849" i="4"/>
  <c r="K849" i="4" s="1"/>
  <c r="J851" i="4"/>
  <c r="I851" i="4" s="1"/>
  <c r="N851" i="4"/>
  <c r="K851" i="4" s="1"/>
  <c r="J853" i="4"/>
  <c r="I853" i="4" s="1"/>
  <c r="N853" i="4"/>
  <c r="K853" i="4" s="1"/>
  <c r="J855" i="4"/>
  <c r="I855" i="4" s="1"/>
  <c r="N855" i="4"/>
  <c r="K855" i="4" s="1"/>
  <c r="J857" i="4"/>
  <c r="I857" i="4" s="1"/>
  <c r="N857" i="4"/>
  <c r="K857" i="4" s="1"/>
  <c r="J859" i="4"/>
  <c r="I859" i="4" s="1"/>
  <c r="N859" i="4"/>
  <c r="K859" i="4" s="1"/>
  <c r="J861" i="4"/>
  <c r="I861" i="4" s="1"/>
  <c r="N861" i="4"/>
  <c r="K861" i="4" s="1"/>
  <c r="J863" i="4"/>
  <c r="I863" i="4" s="1"/>
  <c r="N863" i="4"/>
  <c r="K863" i="4" s="1"/>
  <c r="J865" i="4"/>
  <c r="I865" i="4" s="1"/>
  <c r="N865" i="4"/>
  <c r="K865" i="4" s="1"/>
  <c r="J867" i="4"/>
  <c r="I867" i="4" s="1"/>
  <c r="N867" i="4"/>
  <c r="K867" i="4" s="1"/>
  <c r="J869" i="4"/>
  <c r="I869" i="4" s="1"/>
  <c r="N869" i="4"/>
  <c r="K869" i="4" s="1"/>
  <c r="J871" i="4"/>
  <c r="I871" i="4" s="1"/>
  <c r="N871" i="4"/>
  <c r="K871" i="4" s="1"/>
  <c r="J873" i="4"/>
  <c r="I873" i="4" s="1"/>
  <c r="N873" i="4"/>
  <c r="K873" i="4" s="1"/>
  <c r="J875" i="4"/>
  <c r="I875" i="4" s="1"/>
  <c r="N875" i="4"/>
  <c r="K875" i="4" s="1"/>
  <c r="J877" i="4"/>
  <c r="I877" i="4" s="1"/>
  <c r="N877" i="4"/>
  <c r="K877" i="4" s="1"/>
  <c r="J879" i="4"/>
  <c r="I879" i="4" s="1"/>
  <c r="N879" i="4"/>
  <c r="K879" i="4" s="1"/>
  <c r="J881" i="4"/>
  <c r="I881" i="4" s="1"/>
  <c r="N881" i="4"/>
  <c r="K881" i="4" s="1"/>
  <c r="J883" i="4"/>
  <c r="I883" i="4" s="1"/>
  <c r="N883" i="4"/>
  <c r="K883" i="4" s="1"/>
  <c r="J885" i="4"/>
  <c r="I885" i="4" s="1"/>
  <c r="N885" i="4"/>
  <c r="K885" i="4" s="1"/>
  <c r="J887" i="4"/>
  <c r="I887" i="4" s="1"/>
  <c r="N887" i="4"/>
  <c r="K887" i="4" s="1"/>
  <c r="J889" i="4"/>
  <c r="I889" i="4" s="1"/>
  <c r="N889" i="4"/>
  <c r="K889" i="4" s="1"/>
  <c r="J891" i="4"/>
  <c r="I891" i="4" s="1"/>
  <c r="N891" i="4"/>
  <c r="K891" i="4" s="1"/>
  <c r="J893" i="4"/>
  <c r="I893" i="4" s="1"/>
  <c r="N893" i="4"/>
  <c r="K893" i="4" s="1"/>
  <c r="J895" i="4"/>
  <c r="I895" i="4" s="1"/>
  <c r="N895" i="4"/>
  <c r="K895" i="4" s="1"/>
  <c r="J897" i="4"/>
  <c r="I897" i="4" s="1"/>
  <c r="N897" i="4"/>
  <c r="K897" i="4" s="1"/>
  <c r="J899" i="4"/>
  <c r="I899" i="4" s="1"/>
  <c r="N899" i="4"/>
  <c r="K899" i="4" s="1"/>
  <c r="J901" i="4"/>
  <c r="I901" i="4" s="1"/>
  <c r="N901" i="4"/>
  <c r="K901" i="4" s="1"/>
  <c r="J903" i="4"/>
  <c r="I903" i="4" s="1"/>
  <c r="N903" i="4"/>
  <c r="K903" i="4" s="1"/>
  <c r="J905" i="4"/>
  <c r="I905" i="4" s="1"/>
  <c r="N905" i="4"/>
  <c r="K905" i="4" s="1"/>
  <c r="J907" i="4"/>
  <c r="I907" i="4" s="1"/>
  <c r="N907" i="4"/>
  <c r="K907" i="4" s="1"/>
  <c r="J909" i="4"/>
  <c r="I909" i="4" s="1"/>
  <c r="N909" i="4"/>
  <c r="K909" i="4" s="1"/>
  <c r="J911" i="4"/>
  <c r="I911" i="4" s="1"/>
  <c r="N911" i="4"/>
  <c r="K911" i="4" s="1"/>
  <c r="J913" i="4"/>
  <c r="I913" i="4" s="1"/>
  <c r="N913" i="4"/>
  <c r="K913" i="4" s="1"/>
  <c r="J915" i="4"/>
  <c r="I915" i="4" s="1"/>
  <c r="N915" i="4"/>
  <c r="K915" i="4" s="1"/>
  <c r="J917" i="4"/>
  <c r="I917" i="4" s="1"/>
  <c r="N917" i="4"/>
  <c r="K917" i="4" s="1"/>
  <c r="J919" i="4"/>
  <c r="I919" i="4" s="1"/>
  <c r="N919" i="4"/>
  <c r="K919" i="4" s="1"/>
  <c r="J921" i="4"/>
  <c r="I921" i="4" s="1"/>
  <c r="N921" i="4"/>
  <c r="K921" i="4" s="1"/>
  <c r="J923" i="4"/>
  <c r="I923" i="4" s="1"/>
  <c r="N923" i="4"/>
  <c r="K923" i="4" s="1"/>
  <c r="J925" i="4"/>
  <c r="I925" i="4" s="1"/>
  <c r="N925" i="4"/>
  <c r="K925" i="4" s="1"/>
  <c r="J927" i="4"/>
  <c r="I927" i="4" s="1"/>
  <c r="N927" i="4"/>
  <c r="K927" i="4" s="1"/>
  <c r="J929" i="4"/>
  <c r="I929" i="4" s="1"/>
  <c r="N929" i="4"/>
  <c r="K929" i="4" s="1"/>
  <c r="J931" i="4"/>
  <c r="I931" i="4" s="1"/>
  <c r="N931" i="4"/>
  <c r="K931" i="4" s="1"/>
  <c r="J933" i="4"/>
  <c r="I933" i="4" s="1"/>
  <c r="N933" i="4"/>
  <c r="K933" i="4" s="1"/>
  <c r="J935" i="4"/>
  <c r="I935" i="4" s="1"/>
  <c r="N935" i="4"/>
  <c r="K935" i="4" s="1"/>
  <c r="J937" i="4"/>
  <c r="I937" i="4" s="1"/>
  <c r="N937" i="4"/>
  <c r="K937" i="4" s="1"/>
  <c r="J939" i="4"/>
  <c r="I939" i="4" s="1"/>
  <c r="N939" i="4"/>
  <c r="K939" i="4" s="1"/>
  <c r="J941" i="4"/>
  <c r="I941" i="4" s="1"/>
  <c r="N941" i="4"/>
  <c r="K941" i="4" s="1"/>
  <c r="J943" i="4"/>
  <c r="I943" i="4" s="1"/>
  <c r="N943" i="4"/>
  <c r="K943" i="4" s="1"/>
  <c r="J945" i="4"/>
  <c r="I945" i="4" s="1"/>
  <c r="N945" i="4"/>
  <c r="K945" i="4" s="1"/>
  <c r="J947" i="4"/>
  <c r="I947" i="4" s="1"/>
  <c r="N947" i="4"/>
  <c r="K947" i="4" s="1"/>
  <c r="J949" i="4"/>
  <c r="I949" i="4" s="1"/>
  <c r="N949" i="4"/>
  <c r="K949" i="4" s="1"/>
  <c r="J951" i="4"/>
  <c r="I951" i="4" s="1"/>
  <c r="N951" i="4"/>
  <c r="K951" i="4" s="1"/>
  <c r="J953" i="4"/>
  <c r="I953" i="4" s="1"/>
  <c r="N953" i="4"/>
  <c r="K953" i="4" s="1"/>
  <c r="J955" i="4"/>
  <c r="I955" i="4" s="1"/>
  <c r="N955" i="4"/>
  <c r="K955" i="4" s="1"/>
  <c r="J957" i="4"/>
  <c r="I957" i="4" s="1"/>
  <c r="N957" i="4"/>
  <c r="K957" i="4" s="1"/>
  <c r="J959" i="4"/>
  <c r="I959" i="4" s="1"/>
  <c r="N959" i="4"/>
  <c r="K959" i="4" s="1"/>
  <c r="J961" i="4"/>
  <c r="I961" i="4" s="1"/>
  <c r="N961" i="4"/>
  <c r="K961" i="4" s="1"/>
  <c r="J963" i="4"/>
  <c r="I963" i="4" s="1"/>
  <c r="N963" i="4"/>
  <c r="K963" i="4" s="1"/>
  <c r="J965" i="4"/>
  <c r="I965" i="4" s="1"/>
  <c r="N965" i="4"/>
  <c r="K965" i="4" s="1"/>
  <c r="J967" i="4"/>
  <c r="I967" i="4" s="1"/>
  <c r="N967" i="4"/>
  <c r="K967" i="4" s="1"/>
  <c r="J969" i="4"/>
  <c r="I969" i="4" s="1"/>
  <c r="N969" i="4"/>
  <c r="K969" i="4" s="1"/>
  <c r="J971" i="4"/>
  <c r="I971" i="4" s="1"/>
  <c r="N971" i="4"/>
  <c r="K971" i="4" s="1"/>
  <c r="J973" i="4"/>
  <c r="I973" i="4" s="1"/>
  <c r="N973" i="4"/>
  <c r="K973" i="4" s="1"/>
  <c r="J975" i="4"/>
  <c r="I975" i="4" s="1"/>
  <c r="N975" i="4"/>
  <c r="K975" i="4" s="1"/>
  <c r="J977" i="4"/>
  <c r="I977" i="4" s="1"/>
  <c r="N977" i="4"/>
  <c r="K977" i="4" s="1"/>
  <c r="J979" i="4"/>
  <c r="I979" i="4" s="1"/>
  <c r="N979" i="4"/>
  <c r="K979" i="4" s="1"/>
  <c r="J981" i="4"/>
  <c r="I981" i="4" s="1"/>
  <c r="N981" i="4"/>
  <c r="K981" i="4" s="1"/>
  <c r="J983" i="4"/>
  <c r="I983" i="4" s="1"/>
  <c r="N983" i="4"/>
  <c r="K983" i="4" s="1"/>
  <c r="J985" i="4"/>
  <c r="I985" i="4" s="1"/>
  <c r="N985" i="4"/>
  <c r="K985" i="4" s="1"/>
  <c r="J987" i="4"/>
  <c r="I987" i="4" s="1"/>
  <c r="N987" i="4"/>
  <c r="K987" i="4" s="1"/>
  <c r="J989" i="4"/>
  <c r="I989" i="4" s="1"/>
  <c r="N989" i="4"/>
  <c r="K989" i="4" s="1"/>
  <c r="J991" i="4"/>
  <c r="I991" i="4" s="1"/>
  <c r="N991" i="4"/>
  <c r="K991" i="4" s="1"/>
  <c r="J993" i="4"/>
  <c r="I993" i="4" s="1"/>
  <c r="N993" i="4"/>
  <c r="K993" i="4" s="1"/>
  <c r="J995" i="4"/>
  <c r="I995" i="4" s="1"/>
  <c r="N995" i="4"/>
  <c r="K995" i="4" s="1"/>
  <c r="J997" i="4"/>
  <c r="I997" i="4" s="1"/>
  <c r="N997" i="4"/>
  <c r="K997" i="4" s="1"/>
  <c r="J999" i="4"/>
  <c r="I999" i="4" s="1"/>
  <c r="N999" i="4"/>
  <c r="K999" i="4" s="1"/>
  <c r="J1001" i="4"/>
  <c r="I1001" i="4" s="1"/>
  <c r="N1001" i="4"/>
  <c r="K1001" i="4" s="1"/>
  <c r="J1003" i="4"/>
  <c r="I1003" i="4" s="1"/>
  <c r="N1003" i="4"/>
  <c r="K1003" i="4" s="1"/>
  <c r="N4" i="5"/>
  <c r="R4" i="5" s="1"/>
  <c r="U4" i="5" s="1"/>
  <c r="P4" i="5"/>
  <c r="N5" i="5"/>
  <c r="R5" i="5" s="1"/>
  <c r="U5" i="5" s="1"/>
  <c r="P5" i="5"/>
  <c r="N6" i="5"/>
  <c r="R6" i="5" s="1"/>
  <c r="U6" i="5" s="1"/>
  <c r="P6" i="5"/>
  <c r="N7" i="5"/>
  <c r="O7" i="5" s="1"/>
  <c r="L7" i="5" s="1"/>
  <c r="P7" i="5"/>
  <c r="N8" i="5"/>
  <c r="R8" i="5" s="1"/>
  <c r="U8" i="5" s="1"/>
  <c r="P8" i="5"/>
  <c r="N9" i="5"/>
  <c r="P9" i="5"/>
  <c r="N10" i="5"/>
  <c r="O10" i="5" s="1"/>
  <c r="L10" i="5" s="1"/>
  <c r="P10" i="5"/>
  <c r="N11" i="5"/>
  <c r="R11" i="5" s="1"/>
  <c r="U11" i="5" s="1"/>
  <c r="P11" i="5"/>
  <c r="N12" i="5"/>
  <c r="P12" i="5"/>
  <c r="N13" i="5"/>
  <c r="R13" i="5" s="1"/>
  <c r="U13" i="5" s="1"/>
  <c r="P13" i="5"/>
  <c r="N14" i="5"/>
  <c r="R14" i="5" s="1"/>
  <c r="U14" i="5" s="1"/>
  <c r="P14" i="5"/>
  <c r="N15" i="5"/>
  <c r="O15" i="5" s="1"/>
  <c r="L15" i="5" s="1"/>
  <c r="P15" i="5"/>
  <c r="N16" i="5"/>
  <c r="O16" i="5" s="1"/>
  <c r="L16" i="5" s="1"/>
  <c r="P16" i="5"/>
  <c r="N17" i="5"/>
  <c r="P17" i="5"/>
  <c r="N18" i="5"/>
  <c r="R18" i="5" s="1"/>
  <c r="U18" i="5" s="1"/>
  <c r="P18" i="5"/>
  <c r="N19" i="5"/>
  <c r="R19" i="5" s="1"/>
  <c r="U19" i="5" s="1"/>
  <c r="P19" i="5"/>
  <c r="N20" i="5"/>
  <c r="P20" i="5"/>
  <c r="N21" i="5"/>
  <c r="R21" i="5" s="1"/>
  <c r="U21" i="5" s="1"/>
  <c r="P21" i="5"/>
  <c r="N22" i="5"/>
  <c r="O22" i="5" s="1"/>
  <c r="L22" i="5" s="1"/>
  <c r="P22" i="5"/>
  <c r="N23" i="5"/>
  <c r="O23" i="5" s="1"/>
  <c r="L23" i="5" s="1"/>
  <c r="P23" i="5"/>
  <c r="N24" i="5"/>
  <c r="P24" i="5"/>
  <c r="N25" i="5"/>
  <c r="P25" i="5"/>
  <c r="N26" i="5"/>
  <c r="R26" i="5" s="1"/>
  <c r="P26" i="5"/>
  <c r="N27" i="5"/>
  <c r="O27" i="5" s="1"/>
  <c r="L27" i="5" s="1"/>
  <c r="P27" i="5"/>
  <c r="N28" i="5"/>
  <c r="R28" i="5" s="1"/>
  <c r="P28" i="5"/>
  <c r="N29" i="5"/>
  <c r="O29" i="5" s="1"/>
  <c r="L29" i="5" s="1"/>
  <c r="P29" i="5"/>
  <c r="N30" i="5"/>
  <c r="O30" i="5" s="1"/>
  <c r="L30" i="5" s="1"/>
  <c r="P30" i="5"/>
  <c r="N31" i="5"/>
  <c r="O31" i="5" s="1"/>
  <c r="L31" i="5" s="1"/>
  <c r="P31" i="5"/>
  <c r="N32" i="5"/>
  <c r="R32" i="5" s="1"/>
  <c r="P32" i="5"/>
  <c r="N33" i="5"/>
  <c r="O33" i="5" s="1"/>
  <c r="L33" i="5" s="1"/>
  <c r="P33" i="5"/>
  <c r="N34" i="5"/>
  <c r="P34" i="5"/>
  <c r="N35" i="5"/>
  <c r="P35" i="5"/>
  <c r="N36" i="5"/>
  <c r="P36" i="5"/>
  <c r="N37" i="5"/>
  <c r="O37" i="5" s="1"/>
  <c r="L37" i="5" s="1"/>
  <c r="P37" i="5"/>
  <c r="N38" i="5"/>
  <c r="O38" i="5" s="1"/>
  <c r="L38" i="5" s="1"/>
  <c r="P38" i="5"/>
  <c r="N39" i="5"/>
  <c r="O39" i="5" s="1"/>
  <c r="L39" i="5" s="1"/>
  <c r="P39" i="5"/>
  <c r="N40" i="5"/>
  <c r="R40" i="5" s="1"/>
  <c r="P40" i="5"/>
  <c r="N41" i="5"/>
  <c r="O41" i="5" s="1"/>
  <c r="L41" i="5" s="1"/>
  <c r="P41" i="5"/>
  <c r="N42" i="5"/>
  <c r="P42" i="5"/>
  <c r="N43" i="5"/>
  <c r="P43" i="5"/>
  <c r="N44" i="5"/>
  <c r="P44" i="5"/>
  <c r="N45" i="5"/>
  <c r="O45" i="5" s="1"/>
  <c r="L45" i="5" s="1"/>
  <c r="P45" i="5"/>
  <c r="N46" i="5"/>
  <c r="O46" i="5" s="1"/>
  <c r="L46" i="5" s="1"/>
  <c r="P46" i="5"/>
  <c r="N47" i="5"/>
  <c r="O47" i="5" s="1"/>
  <c r="L47" i="5" s="1"/>
  <c r="P47" i="5"/>
  <c r="N48" i="5"/>
  <c r="R48" i="5" s="1"/>
  <c r="P48" i="5"/>
  <c r="N49" i="5"/>
  <c r="O49" i="5" s="1"/>
  <c r="L49" i="5" s="1"/>
  <c r="P49" i="5"/>
  <c r="N50" i="5"/>
  <c r="P50" i="5"/>
  <c r="N51" i="5"/>
  <c r="P51" i="5"/>
  <c r="N52" i="5"/>
  <c r="P52" i="5"/>
  <c r="N53" i="5"/>
  <c r="O53" i="5" s="1"/>
  <c r="L53" i="5" s="1"/>
  <c r="P53" i="5"/>
  <c r="N54" i="5"/>
  <c r="O54" i="5" s="1"/>
  <c r="L54" i="5" s="1"/>
  <c r="P54" i="5"/>
  <c r="N55" i="5"/>
  <c r="O55" i="5" s="1"/>
  <c r="L55" i="5" s="1"/>
  <c r="P55" i="5"/>
  <c r="N56" i="5"/>
  <c r="R56" i="5" s="1"/>
  <c r="P56" i="5"/>
  <c r="N57" i="5"/>
  <c r="O57" i="5" s="1"/>
  <c r="L57" i="5" s="1"/>
  <c r="P57" i="5"/>
  <c r="N58" i="5"/>
  <c r="P58" i="5"/>
  <c r="N59" i="5"/>
  <c r="P59" i="5"/>
  <c r="N60" i="5"/>
  <c r="P60" i="5"/>
  <c r="N61" i="5"/>
  <c r="O61" i="5" s="1"/>
  <c r="L61" i="5" s="1"/>
  <c r="P61" i="5"/>
  <c r="N62" i="5"/>
  <c r="O62" i="5" s="1"/>
  <c r="L62" i="5" s="1"/>
  <c r="P62" i="5"/>
  <c r="N63" i="5"/>
  <c r="O63" i="5" s="1"/>
  <c r="L63" i="5" s="1"/>
  <c r="P63" i="5"/>
  <c r="N64" i="5"/>
  <c r="R64" i="5" s="1"/>
  <c r="P64" i="5"/>
  <c r="N65" i="5"/>
  <c r="O65" i="5" s="1"/>
  <c r="L65" i="5" s="1"/>
  <c r="P65" i="5"/>
  <c r="N66" i="5"/>
  <c r="P66" i="5"/>
  <c r="N67" i="5"/>
  <c r="P67" i="5"/>
  <c r="N68" i="5"/>
  <c r="P68" i="5"/>
  <c r="N69" i="5"/>
  <c r="O69" i="5" s="1"/>
  <c r="L69" i="5" s="1"/>
  <c r="P69" i="5"/>
  <c r="N70" i="5"/>
  <c r="O70" i="5" s="1"/>
  <c r="L70" i="5" s="1"/>
  <c r="P70" i="5"/>
  <c r="N71" i="5"/>
  <c r="O71" i="5" s="1"/>
  <c r="L71" i="5" s="1"/>
  <c r="P71" i="5"/>
  <c r="N72" i="5"/>
  <c r="R72" i="5" s="1"/>
  <c r="P72" i="5"/>
  <c r="N73" i="5"/>
  <c r="O73" i="5" s="1"/>
  <c r="L73" i="5" s="1"/>
  <c r="P73" i="5"/>
  <c r="N74" i="5"/>
  <c r="P74" i="5"/>
  <c r="N75" i="5"/>
  <c r="P75" i="5"/>
  <c r="N76" i="5"/>
  <c r="P76" i="5"/>
  <c r="N77" i="5"/>
  <c r="O77" i="5" s="1"/>
  <c r="L77" i="5" s="1"/>
  <c r="P77" i="5"/>
  <c r="N78" i="5"/>
  <c r="O78" i="5" s="1"/>
  <c r="L78" i="5" s="1"/>
  <c r="P78" i="5"/>
  <c r="N79" i="5"/>
  <c r="O79" i="5" s="1"/>
  <c r="L79" i="5" s="1"/>
  <c r="P79" i="5"/>
  <c r="N80" i="5"/>
  <c r="R80" i="5" s="1"/>
  <c r="P80" i="5"/>
  <c r="N81" i="5"/>
  <c r="O81" i="5" s="1"/>
  <c r="L81" i="5" s="1"/>
  <c r="P81" i="5"/>
  <c r="N82" i="5"/>
  <c r="P82" i="5"/>
  <c r="N83" i="5"/>
  <c r="P83" i="5"/>
  <c r="N84" i="5"/>
  <c r="P84" i="5"/>
  <c r="N85" i="5"/>
  <c r="O85" i="5" s="1"/>
  <c r="L85" i="5" s="1"/>
  <c r="P85" i="5"/>
  <c r="N86" i="5"/>
  <c r="O86" i="5" s="1"/>
  <c r="L86" i="5" s="1"/>
  <c r="P86" i="5"/>
  <c r="N87" i="5"/>
  <c r="O87" i="5" s="1"/>
  <c r="L87" i="5" s="1"/>
  <c r="P87" i="5"/>
  <c r="N88" i="5"/>
  <c r="R88" i="5" s="1"/>
  <c r="P88" i="5"/>
  <c r="N89" i="5"/>
  <c r="O89" i="5" s="1"/>
  <c r="L89" i="5" s="1"/>
  <c r="P89" i="5"/>
  <c r="N90" i="5"/>
  <c r="P90" i="5"/>
  <c r="N91" i="5"/>
  <c r="P91" i="5"/>
  <c r="N92" i="5"/>
  <c r="P92" i="5"/>
  <c r="N93" i="5"/>
  <c r="O93" i="5" s="1"/>
  <c r="L93" i="5" s="1"/>
  <c r="P93" i="5"/>
  <c r="N94" i="5"/>
  <c r="O94" i="5" s="1"/>
  <c r="L94" i="5" s="1"/>
  <c r="P94" i="5"/>
  <c r="N95" i="5"/>
  <c r="O95" i="5" s="1"/>
  <c r="L95" i="5" s="1"/>
  <c r="P95" i="5"/>
  <c r="N96" i="5"/>
  <c r="R96" i="5" s="1"/>
  <c r="P96" i="5"/>
  <c r="N97" i="5"/>
  <c r="O97" i="5" s="1"/>
  <c r="L97" i="5" s="1"/>
  <c r="P97" i="5"/>
  <c r="N98" i="5"/>
  <c r="P98" i="5"/>
  <c r="N99" i="5"/>
  <c r="P99" i="5"/>
  <c r="N100" i="5"/>
  <c r="P100" i="5"/>
  <c r="N101" i="5"/>
  <c r="O101" i="5" s="1"/>
  <c r="L101" i="5" s="1"/>
  <c r="P101" i="5"/>
  <c r="N102" i="5"/>
  <c r="O102" i="5" s="1"/>
  <c r="L102" i="5" s="1"/>
  <c r="P102" i="5"/>
  <c r="N103" i="5"/>
  <c r="O103" i="5" s="1"/>
  <c r="L103" i="5" s="1"/>
  <c r="P103" i="5"/>
  <c r="N104" i="5"/>
  <c r="R104" i="5" s="1"/>
  <c r="P104" i="5"/>
  <c r="N105" i="5"/>
  <c r="O105" i="5" s="1"/>
  <c r="L105" i="5" s="1"/>
  <c r="P105" i="5"/>
  <c r="N106" i="5"/>
  <c r="P106" i="5"/>
  <c r="N107" i="5"/>
  <c r="P107" i="5"/>
  <c r="N108" i="5"/>
  <c r="P108" i="5"/>
  <c r="N109" i="5"/>
  <c r="O109" i="5" s="1"/>
  <c r="L109" i="5" s="1"/>
  <c r="P109" i="5"/>
  <c r="N110" i="5"/>
  <c r="O110" i="5" s="1"/>
  <c r="L110" i="5" s="1"/>
  <c r="P110" i="5"/>
  <c r="N111" i="5"/>
  <c r="O111" i="5" s="1"/>
  <c r="L111" i="5" s="1"/>
  <c r="P111" i="5"/>
  <c r="N112" i="5"/>
  <c r="R112" i="5" s="1"/>
  <c r="P112" i="5"/>
  <c r="N113" i="5"/>
  <c r="O113" i="5" s="1"/>
  <c r="L113" i="5" s="1"/>
  <c r="P113" i="5"/>
  <c r="N114" i="5"/>
  <c r="P114" i="5"/>
  <c r="N115" i="5"/>
  <c r="P115" i="5"/>
  <c r="N116" i="5"/>
  <c r="P116" i="5"/>
  <c r="N117" i="5"/>
  <c r="O117" i="5" s="1"/>
  <c r="L117" i="5" s="1"/>
  <c r="P117" i="5"/>
  <c r="N118" i="5"/>
  <c r="O118" i="5" s="1"/>
  <c r="L118" i="5" s="1"/>
  <c r="P118" i="5"/>
  <c r="N119" i="5"/>
  <c r="O119" i="5" s="1"/>
  <c r="L119" i="5" s="1"/>
  <c r="P119" i="5"/>
  <c r="N120" i="5"/>
  <c r="R120" i="5" s="1"/>
  <c r="P120" i="5"/>
  <c r="N121" i="5"/>
  <c r="O121" i="5" s="1"/>
  <c r="L121" i="5" s="1"/>
  <c r="P121" i="5"/>
  <c r="N122" i="5"/>
  <c r="P122" i="5"/>
  <c r="N123" i="5"/>
  <c r="P123" i="5"/>
  <c r="N124" i="5"/>
  <c r="P124" i="5"/>
  <c r="N125" i="5"/>
  <c r="O125" i="5" s="1"/>
  <c r="L125" i="5" s="1"/>
  <c r="P125" i="5"/>
  <c r="N126" i="5"/>
  <c r="O126" i="5" s="1"/>
  <c r="L126" i="5" s="1"/>
  <c r="P126" i="5"/>
  <c r="N127" i="5"/>
  <c r="O127" i="5" s="1"/>
  <c r="L127" i="5" s="1"/>
  <c r="P127" i="5"/>
  <c r="N128" i="5"/>
  <c r="R128" i="5" s="1"/>
  <c r="P128" i="5"/>
  <c r="N129" i="5"/>
  <c r="O129" i="5" s="1"/>
  <c r="L129" i="5" s="1"/>
  <c r="P129" i="5"/>
  <c r="N130" i="5"/>
  <c r="P130" i="5"/>
  <c r="N131" i="5"/>
  <c r="P131" i="5"/>
  <c r="N132" i="5"/>
  <c r="P132" i="5"/>
  <c r="N133" i="5"/>
  <c r="O133" i="5" s="1"/>
  <c r="L133" i="5" s="1"/>
  <c r="P133" i="5"/>
  <c r="N134" i="5"/>
  <c r="O134" i="5" s="1"/>
  <c r="L134" i="5" s="1"/>
  <c r="P134" i="5"/>
  <c r="N135" i="5"/>
  <c r="O135" i="5" s="1"/>
  <c r="L135" i="5" s="1"/>
  <c r="P135" i="5"/>
  <c r="N136" i="5"/>
  <c r="R136" i="5" s="1"/>
  <c r="P136" i="5"/>
  <c r="N137" i="5"/>
  <c r="O137" i="5" s="1"/>
  <c r="L137" i="5" s="1"/>
  <c r="P137" i="5"/>
  <c r="N138" i="5"/>
  <c r="P138" i="5"/>
  <c r="N139" i="5"/>
  <c r="P139" i="5"/>
  <c r="N140" i="5"/>
  <c r="P140" i="5"/>
  <c r="N141" i="5"/>
  <c r="O141" i="5" s="1"/>
  <c r="L141" i="5" s="1"/>
  <c r="P141" i="5"/>
  <c r="N142" i="5"/>
  <c r="O142" i="5" s="1"/>
  <c r="L142" i="5" s="1"/>
  <c r="P142" i="5"/>
  <c r="N143" i="5"/>
  <c r="O143" i="5" s="1"/>
  <c r="L143" i="5" s="1"/>
  <c r="P143" i="5"/>
  <c r="N144" i="5"/>
  <c r="R144" i="5" s="1"/>
  <c r="P144" i="5"/>
  <c r="N145" i="5"/>
  <c r="O145" i="5" s="1"/>
  <c r="L145" i="5" s="1"/>
  <c r="P145" i="5"/>
  <c r="N146" i="5"/>
  <c r="P146" i="5"/>
  <c r="N147" i="5"/>
  <c r="P147" i="5"/>
  <c r="N148" i="5"/>
  <c r="P148" i="5"/>
  <c r="N149" i="5"/>
  <c r="O149" i="5" s="1"/>
  <c r="L149" i="5" s="1"/>
  <c r="P149" i="5"/>
  <c r="N150" i="5"/>
  <c r="O150" i="5" s="1"/>
  <c r="L150" i="5" s="1"/>
  <c r="P150" i="5"/>
  <c r="N151" i="5"/>
  <c r="O151" i="5" s="1"/>
  <c r="L151" i="5" s="1"/>
  <c r="P151" i="5"/>
  <c r="N152" i="5"/>
  <c r="R152" i="5" s="1"/>
  <c r="P152" i="5"/>
  <c r="N153" i="5"/>
  <c r="O153" i="5" s="1"/>
  <c r="L153" i="5" s="1"/>
  <c r="P153" i="5"/>
  <c r="N154" i="5"/>
  <c r="P154" i="5"/>
  <c r="N155" i="5"/>
  <c r="P155" i="5"/>
  <c r="N156" i="5"/>
  <c r="P156" i="5"/>
  <c r="N157" i="5"/>
  <c r="O157" i="5" s="1"/>
  <c r="L157" i="5" s="1"/>
  <c r="P157" i="5"/>
  <c r="N158" i="5"/>
  <c r="O158" i="5" s="1"/>
  <c r="L158" i="5" s="1"/>
  <c r="P158" i="5"/>
  <c r="N159" i="5"/>
  <c r="O159" i="5" s="1"/>
  <c r="L159" i="5" s="1"/>
  <c r="P159" i="5"/>
  <c r="N160" i="5"/>
  <c r="R160" i="5" s="1"/>
  <c r="P160" i="5"/>
  <c r="N161" i="5"/>
  <c r="O161" i="5" s="1"/>
  <c r="L161" i="5" s="1"/>
  <c r="P161" i="5"/>
  <c r="N162" i="5"/>
  <c r="P162" i="5"/>
  <c r="N163" i="5"/>
  <c r="P163" i="5"/>
  <c r="N164" i="5"/>
  <c r="P164" i="5"/>
  <c r="N165" i="5"/>
  <c r="O165" i="5" s="1"/>
  <c r="L165" i="5" s="1"/>
  <c r="P165" i="5"/>
  <c r="N166" i="5"/>
  <c r="O166" i="5" s="1"/>
  <c r="L166" i="5" s="1"/>
  <c r="P166" i="5"/>
  <c r="N167" i="5"/>
  <c r="O167" i="5" s="1"/>
  <c r="L167" i="5" s="1"/>
  <c r="P167" i="5"/>
  <c r="N168" i="5"/>
  <c r="R168" i="5" s="1"/>
  <c r="P168" i="5"/>
  <c r="N169" i="5"/>
  <c r="O169" i="5" s="1"/>
  <c r="L169" i="5" s="1"/>
  <c r="P169" i="5"/>
  <c r="N170" i="5"/>
  <c r="P170" i="5"/>
  <c r="N171" i="5"/>
  <c r="P171" i="5"/>
  <c r="N172" i="5"/>
  <c r="P172" i="5"/>
  <c r="N173" i="5"/>
  <c r="O173" i="5" s="1"/>
  <c r="L173" i="5" s="1"/>
  <c r="P173" i="5"/>
  <c r="N174" i="5"/>
  <c r="O174" i="5" s="1"/>
  <c r="L174" i="5" s="1"/>
  <c r="P174" i="5"/>
  <c r="N175" i="5"/>
  <c r="O175" i="5" s="1"/>
  <c r="L175" i="5" s="1"/>
  <c r="P175" i="5"/>
  <c r="N176" i="5"/>
  <c r="R176" i="5" s="1"/>
  <c r="P176" i="5"/>
  <c r="N177" i="5"/>
  <c r="O177" i="5" s="1"/>
  <c r="L177" i="5" s="1"/>
  <c r="P177" i="5"/>
  <c r="N178" i="5"/>
  <c r="P178" i="5"/>
  <c r="N179" i="5"/>
  <c r="P179" i="5"/>
  <c r="N180" i="5"/>
  <c r="P180" i="5"/>
  <c r="N181" i="5"/>
  <c r="O181" i="5" s="1"/>
  <c r="L181" i="5" s="1"/>
  <c r="P181" i="5"/>
  <c r="N182" i="5"/>
  <c r="O182" i="5" s="1"/>
  <c r="L182" i="5" s="1"/>
  <c r="P182" i="5"/>
  <c r="N183" i="5"/>
  <c r="O183" i="5" s="1"/>
  <c r="L183" i="5" s="1"/>
  <c r="P183" i="5"/>
  <c r="N184" i="5"/>
  <c r="R184" i="5" s="1"/>
  <c r="P184" i="5"/>
  <c r="N185" i="5"/>
  <c r="O185" i="5" s="1"/>
  <c r="L185" i="5" s="1"/>
  <c r="P185" i="5"/>
  <c r="N186" i="5"/>
  <c r="P186" i="5"/>
  <c r="N187" i="5"/>
  <c r="P187" i="5"/>
  <c r="N188" i="5"/>
  <c r="P188" i="5"/>
  <c r="N189" i="5"/>
  <c r="O189" i="5" s="1"/>
  <c r="L189" i="5" s="1"/>
  <c r="P189" i="5"/>
  <c r="N190" i="5"/>
  <c r="O190" i="5" s="1"/>
  <c r="L190" i="5" s="1"/>
  <c r="P190" i="5"/>
  <c r="N191" i="5"/>
  <c r="O191" i="5" s="1"/>
  <c r="L191" i="5" s="1"/>
  <c r="P191" i="5"/>
  <c r="N192" i="5"/>
  <c r="R192" i="5" s="1"/>
  <c r="P192" i="5"/>
  <c r="N193" i="5"/>
  <c r="O193" i="5" s="1"/>
  <c r="L193" i="5" s="1"/>
  <c r="P193" i="5"/>
  <c r="N194" i="5"/>
  <c r="P194" i="5"/>
  <c r="N195" i="5"/>
  <c r="P195" i="5"/>
  <c r="N196" i="5"/>
  <c r="P196" i="5"/>
  <c r="N197" i="5"/>
  <c r="O197" i="5" s="1"/>
  <c r="L197" i="5" s="1"/>
  <c r="P197" i="5"/>
  <c r="N198" i="5"/>
  <c r="O198" i="5" s="1"/>
  <c r="L198" i="5" s="1"/>
  <c r="P198" i="5"/>
  <c r="N199" i="5"/>
  <c r="O199" i="5" s="1"/>
  <c r="L199" i="5" s="1"/>
  <c r="P199" i="5"/>
  <c r="N200" i="5"/>
  <c r="R200" i="5" s="1"/>
  <c r="P200" i="5"/>
  <c r="N201" i="5"/>
  <c r="O201" i="5" s="1"/>
  <c r="L201" i="5" s="1"/>
  <c r="P201" i="5"/>
  <c r="N202" i="5"/>
  <c r="P202" i="5"/>
  <c r="N203" i="5"/>
  <c r="P203" i="5"/>
  <c r="N204" i="5"/>
  <c r="P204" i="5"/>
  <c r="N205" i="5"/>
  <c r="O205" i="5" s="1"/>
  <c r="L205" i="5" s="1"/>
  <c r="P205" i="5"/>
  <c r="N206" i="5"/>
  <c r="O206" i="5" s="1"/>
  <c r="L206" i="5" s="1"/>
  <c r="P206" i="5"/>
  <c r="N207" i="5"/>
  <c r="O207" i="5" s="1"/>
  <c r="L207" i="5" s="1"/>
  <c r="P207" i="5"/>
  <c r="N208" i="5"/>
  <c r="R208" i="5" s="1"/>
  <c r="P208" i="5"/>
  <c r="N209" i="5"/>
  <c r="O209" i="5" s="1"/>
  <c r="L209" i="5" s="1"/>
  <c r="P209" i="5"/>
  <c r="N210" i="5"/>
  <c r="P210" i="5"/>
  <c r="N211" i="5"/>
  <c r="P211" i="5"/>
  <c r="N212" i="5"/>
  <c r="P212" i="5"/>
  <c r="N213" i="5"/>
  <c r="O213" i="5" s="1"/>
  <c r="L213" i="5" s="1"/>
  <c r="P213" i="5"/>
  <c r="N214" i="5"/>
  <c r="O214" i="5" s="1"/>
  <c r="L214" i="5" s="1"/>
  <c r="P214" i="5"/>
  <c r="N215" i="5"/>
  <c r="O215" i="5" s="1"/>
  <c r="L215" i="5" s="1"/>
  <c r="P215" i="5"/>
  <c r="N216" i="5"/>
  <c r="R216" i="5" s="1"/>
  <c r="P216" i="5"/>
  <c r="N217" i="5"/>
  <c r="O217" i="5" s="1"/>
  <c r="L217" i="5" s="1"/>
  <c r="P217" i="5"/>
  <c r="N218" i="5"/>
  <c r="P218" i="5"/>
  <c r="N219" i="5"/>
  <c r="P219" i="5"/>
  <c r="N220" i="5"/>
  <c r="P220" i="5"/>
  <c r="N221" i="5"/>
  <c r="O221" i="5" s="1"/>
  <c r="L221" i="5" s="1"/>
  <c r="P221" i="5"/>
  <c r="N222" i="5"/>
  <c r="O222" i="5" s="1"/>
  <c r="L222" i="5" s="1"/>
  <c r="P222" i="5"/>
  <c r="N223" i="5"/>
  <c r="O223" i="5" s="1"/>
  <c r="L223" i="5" s="1"/>
  <c r="P223" i="5"/>
  <c r="N224" i="5"/>
  <c r="R224" i="5" s="1"/>
  <c r="P224" i="5"/>
  <c r="N225" i="5"/>
  <c r="O225" i="5" s="1"/>
  <c r="L225" i="5" s="1"/>
  <c r="P225" i="5"/>
  <c r="N226" i="5"/>
  <c r="P226" i="5"/>
  <c r="N227" i="5"/>
  <c r="P227" i="5"/>
  <c r="N228" i="5"/>
  <c r="P228" i="5"/>
  <c r="N229" i="5"/>
  <c r="O229" i="5" s="1"/>
  <c r="L229" i="5" s="1"/>
  <c r="P229" i="5"/>
  <c r="N230" i="5"/>
  <c r="O230" i="5" s="1"/>
  <c r="L230" i="5" s="1"/>
  <c r="P230" i="5"/>
  <c r="N231" i="5"/>
  <c r="O231" i="5" s="1"/>
  <c r="L231" i="5" s="1"/>
  <c r="P231" i="5"/>
  <c r="N232" i="5"/>
  <c r="R232" i="5" s="1"/>
  <c r="P232" i="5"/>
  <c r="N233" i="5"/>
  <c r="O233" i="5" s="1"/>
  <c r="L233" i="5" s="1"/>
  <c r="P233" i="5"/>
  <c r="N234" i="5"/>
  <c r="P234" i="5"/>
  <c r="N235" i="5"/>
  <c r="P235" i="5"/>
  <c r="N236" i="5"/>
  <c r="P236" i="5"/>
  <c r="N237" i="5"/>
  <c r="O237" i="5" s="1"/>
  <c r="L237" i="5" s="1"/>
  <c r="P237" i="5"/>
  <c r="N238" i="5"/>
  <c r="O238" i="5" s="1"/>
  <c r="L238" i="5" s="1"/>
  <c r="P238" i="5"/>
  <c r="N239" i="5"/>
  <c r="O239" i="5" s="1"/>
  <c r="L239" i="5" s="1"/>
  <c r="P239" i="5"/>
  <c r="N240" i="5"/>
  <c r="R240" i="5" s="1"/>
  <c r="P240" i="5"/>
  <c r="N241" i="5"/>
  <c r="O241" i="5" s="1"/>
  <c r="L241" i="5" s="1"/>
  <c r="P241" i="5"/>
  <c r="N242" i="5"/>
  <c r="P242" i="5"/>
  <c r="N243" i="5"/>
  <c r="P243" i="5"/>
  <c r="N244" i="5"/>
  <c r="P244" i="5"/>
  <c r="N245" i="5"/>
  <c r="O245" i="5" s="1"/>
  <c r="L245" i="5" s="1"/>
  <c r="P245" i="5"/>
  <c r="N246" i="5"/>
  <c r="O246" i="5" s="1"/>
  <c r="L246" i="5" s="1"/>
  <c r="P246" i="5"/>
  <c r="N247" i="5"/>
  <c r="O247" i="5" s="1"/>
  <c r="L247" i="5" s="1"/>
  <c r="P247" i="5"/>
  <c r="N248" i="5"/>
  <c r="R248" i="5" s="1"/>
  <c r="P248" i="5"/>
  <c r="N249" i="5"/>
  <c r="O249" i="5" s="1"/>
  <c r="L249" i="5" s="1"/>
  <c r="P249" i="5"/>
  <c r="N250" i="5"/>
  <c r="P250" i="5"/>
  <c r="N251" i="5"/>
  <c r="P251" i="5"/>
  <c r="N252" i="5"/>
  <c r="P252" i="5"/>
  <c r="N253" i="5"/>
  <c r="O253" i="5" s="1"/>
  <c r="L253" i="5" s="1"/>
  <c r="P253" i="5"/>
  <c r="N254" i="5"/>
  <c r="O254" i="5" s="1"/>
  <c r="L254" i="5" s="1"/>
  <c r="P254" i="5"/>
  <c r="N255" i="5"/>
  <c r="O255" i="5" s="1"/>
  <c r="L255" i="5" s="1"/>
  <c r="P255" i="5"/>
  <c r="N256" i="5"/>
  <c r="R256" i="5" s="1"/>
  <c r="P256" i="5"/>
  <c r="N257" i="5"/>
  <c r="O257" i="5" s="1"/>
  <c r="L257" i="5" s="1"/>
  <c r="P257" i="5"/>
  <c r="N258" i="5"/>
  <c r="P258" i="5"/>
  <c r="N259" i="5"/>
  <c r="P259" i="5"/>
  <c r="N260" i="5"/>
  <c r="P260" i="5"/>
  <c r="N261" i="5"/>
  <c r="R261" i="5" s="1"/>
  <c r="P261" i="5"/>
  <c r="N262" i="5"/>
  <c r="P262" i="5"/>
  <c r="N263" i="5"/>
  <c r="R263" i="5" s="1"/>
  <c r="P263" i="5"/>
  <c r="N264" i="5"/>
  <c r="P264" i="5"/>
  <c r="N265" i="5"/>
  <c r="R265" i="5" s="1"/>
  <c r="P265" i="5"/>
  <c r="N266" i="5"/>
  <c r="P266" i="5"/>
  <c r="N267" i="5"/>
  <c r="R267" i="5" s="1"/>
  <c r="P267" i="5"/>
  <c r="N268" i="5"/>
  <c r="P268" i="5"/>
  <c r="N269" i="5"/>
  <c r="R269" i="5" s="1"/>
  <c r="P269" i="5"/>
  <c r="N270" i="5"/>
  <c r="P270" i="5"/>
  <c r="N271" i="5"/>
  <c r="R271" i="5" s="1"/>
  <c r="P271" i="5"/>
  <c r="N272" i="5"/>
  <c r="P272" i="5"/>
  <c r="N273" i="5"/>
  <c r="R273" i="5" s="1"/>
  <c r="P273" i="5"/>
  <c r="N274" i="5"/>
  <c r="P274" i="5"/>
  <c r="N275" i="5"/>
  <c r="R275" i="5" s="1"/>
  <c r="P275" i="5"/>
  <c r="N276" i="5"/>
  <c r="P276" i="5"/>
  <c r="N277" i="5"/>
  <c r="R277" i="5" s="1"/>
  <c r="P277" i="5"/>
  <c r="N278" i="5"/>
  <c r="P278" i="5"/>
  <c r="N279" i="5"/>
  <c r="R279" i="5" s="1"/>
  <c r="P279" i="5"/>
  <c r="N280" i="5"/>
  <c r="P280" i="5"/>
  <c r="N281" i="5"/>
  <c r="R281" i="5" s="1"/>
  <c r="P281" i="5"/>
  <c r="N282" i="5"/>
  <c r="P282" i="5"/>
  <c r="N283" i="5"/>
  <c r="R283" i="5" s="1"/>
  <c r="P283" i="5"/>
  <c r="N284" i="5"/>
  <c r="P284" i="5"/>
  <c r="N285" i="5"/>
  <c r="R285" i="5" s="1"/>
  <c r="P285" i="5"/>
  <c r="N286" i="5"/>
  <c r="P286" i="5"/>
  <c r="N287" i="5"/>
  <c r="R287" i="5" s="1"/>
  <c r="P287" i="5"/>
  <c r="N288" i="5"/>
  <c r="P288" i="5"/>
  <c r="N289" i="5"/>
  <c r="R289" i="5" s="1"/>
  <c r="P289" i="5"/>
  <c r="N290" i="5"/>
  <c r="P290" i="5"/>
  <c r="N291" i="5"/>
  <c r="R291" i="5" s="1"/>
  <c r="P291" i="5"/>
  <c r="N292" i="5"/>
  <c r="P292" i="5"/>
  <c r="N293" i="5"/>
  <c r="R293" i="5" s="1"/>
  <c r="P293" i="5"/>
  <c r="N294" i="5"/>
  <c r="P294" i="5"/>
  <c r="N295" i="5"/>
  <c r="R295" i="5" s="1"/>
  <c r="P295" i="5"/>
  <c r="N296" i="5"/>
  <c r="P296" i="5"/>
  <c r="N297" i="5"/>
  <c r="R297" i="5" s="1"/>
  <c r="P297" i="5"/>
  <c r="N298" i="5"/>
  <c r="P298" i="5"/>
  <c r="N299" i="5"/>
  <c r="R299" i="5" s="1"/>
  <c r="P299" i="5"/>
  <c r="N300" i="5"/>
  <c r="P300" i="5"/>
  <c r="N301" i="5"/>
  <c r="R301" i="5" s="1"/>
  <c r="P301" i="5"/>
  <c r="N302" i="5"/>
  <c r="P302" i="5"/>
  <c r="N303" i="5"/>
  <c r="R303" i="5" s="1"/>
  <c r="P303" i="5"/>
  <c r="N304" i="5"/>
  <c r="P304" i="5"/>
  <c r="N305" i="5"/>
  <c r="R305" i="5" s="1"/>
  <c r="P305" i="5"/>
  <c r="N306" i="5"/>
  <c r="P306" i="5"/>
  <c r="N307" i="5"/>
  <c r="R307" i="5" s="1"/>
  <c r="P307" i="5"/>
  <c r="N308" i="5"/>
  <c r="P308" i="5"/>
  <c r="N309" i="5"/>
  <c r="R309" i="5" s="1"/>
  <c r="P309" i="5"/>
  <c r="N310" i="5"/>
  <c r="P310" i="5"/>
  <c r="N311" i="5"/>
  <c r="R311" i="5" s="1"/>
  <c r="P311" i="5"/>
  <c r="N312" i="5"/>
  <c r="P312" i="5"/>
  <c r="N313" i="5"/>
  <c r="R313" i="5" s="1"/>
  <c r="P313" i="5"/>
  <c r="N314" i="5"/>
  <c r="P314" i="5"/>
  <c r="N315" i="5"/>
  <c r="R315" i="5" s="1"/>
  <c r="P315" i="5"/>
  <c r="N316" i="5"/>
  <c r="P316" i="5"/>
  <c r="N317" i="5"/>
  <c r="R317" i="5" s="1"/>
  <c r="P317" i="5"/>
  <c r="N318" i="5"/>
  <c r="P318" i="5"/>
  <c r="N319" i="5"/>
  <c r="R319" i="5" s="1"/>
  <c r="P319" i="5"/>
  <c r="N320" i="5"/>
  <c r="P320" i="5"/>
  <c r="N321" i="5"/>
  <c r="R321" i="5" s="1"/>
  <c r="P321" i="5"/>
  <c r="N322" i="5"/>
  <c r="P322" i="5"/>
  <c r="N323" i="5"/>
  <c r="R323" i="5" s="1"/>
  <c r="P323" i="5"/>
  <c r="N324" i="5"/>
  <c r="P324" i="5"/>
  <c r="N325" i="5"/>
  <c r="R325" i="5" s="1"/>
  <c r="P325" i="5"/>
  <c r="N326" i="5"/>
  <c r="P326" i="5"/>
  <c r="N327" i="5"/>
  <c r="R327" i="5" s="1"/>
  <c r="P327" i="5"/>
  <c r="N328" i="5"/>
  <c r="P328" i="5"/>
  <c r="N329" i="5"/>
  <c r="R329" i="5" s="1"/>
  <c r="P329" i="5"/>
  <c r="N330" i="5"/>
  <c r="P330" i="5"/>
  <c r="N331" i="5"/>
  <c r="R331" i="5" s="1"/>
  <c r="P331" i="5"/>
  <c r="N332" i="5"/>
  <c r="P332" i="5"/>
  <c r="N333" i="5"/>
  <c r="R333" i="5" s="1"/>
  <c r="P333" i="5"/>
  <c r="N334" i="5"/>
  <c r="P334" i="5"/>
  <c r="N335" i="5"/>
  <c r="R335" i="5" s="1"/>
  <c r="P335" i="5"/>
  <c r="N336" i="5"/>
  <c r="P336" i="5"/>
  <c r="N337" i="5"/>
  <c r="R337" i="5" s="1"/>
  <c r="P337" i="5"/>
  <c r="N338" i="5"/>
  <c r="P338" i="5"/>
  <c r="N339" i="5"/>
  <c r="R339" i="5" s="1"/>
  <c r="P339" i="5"/>
  <c r="N340" i="5"/>
  <c r="P340" i="5"/>
  <c r="N341" i="5"/>
  <c r="R341" i="5" s="1"/>
  <c r="P341" i="5"/>
  <c r="N342" i="5"/>
  <c r="P342" i="5"/>
  <c r="N343" i="5"/>
  <c r="R343" i="5" s="1"/>
  <c r="P343" i="5"/>
  <c r="N344" i="5"/>
  <c r="P344" i="5"/>
  <c r="N345" i="5"/>
  <c r="R345" i="5" s="1"/>
  <c r="P345" i="5"/>
  <c r="N346" i="5"/>
  <c r="P346" i="5"/>
  <c r="N347" i="5"/>
  <c r="R347" i="5" s="1"/>
  <c r="P347" i="5"/>
  <c r="N348" i="5"/>
  <c r="P348" i="5"/>
  <c r="N349" i="5"/>
  <c r="R349" i="5" s="1"/>
  <c r="P349" i="5"/>
  <c r="N350" i="5"/>
  <c r="P350" i="5"/>
  <c r="N351" i="5"/>
  <c r="R351" i="5" s="1"/>
  <c r="P351" i="5"/>
  <c r="N352" i="5"/>
  <c r="P352" i="5"/>
  <c r="N353" i="5"/>
  <c r="R353" i="5" s="1"/>
  <c r="P353" i="5"/>
  <c r="N354" i="5"/>
  <c r="P354" i="5"/>
  <c r="N355" i="5"/>
  <c r="R355" i="5" s="1"/>
  <c r="P355" i="5"/>
  <c r="N356" i="5"/>
  <c r="P356" i="5"/>
  <c r="N357" i="5"/>
  <c r="R357" i="5" s="1"/>
  <c r="P357" i="5"/>
  <c r="N358" i="5"/>
  <c r="P358" i="5"/>
  <c r="N359" i="5"/>
  <c r="R359" i="5" s="1"/>
  <c r="P359" i="5"/>
  <c r="N360" i="5"/>
  <c r="P360" i="5"/>
  <c r="N361" i="5"/>
  <c r="R361" i="5" s="1"/>
  <c r="P361" i="5"/>
  <c r="N362" i="5"/>
  <c r="P362" i="5"/>
  <c r="N363" i="5"/>
  <c r="R363" i="5" s="1"/>
  <c r="P363" i="5"/>
  <c r="N364" i="5"/>
  <c r="P364" i="5"/>
  <c r="N365" i="5"/>
  <c r="R365" i="5" s="1"/>
  <c r="P365" i="5"/>
  <c r="N366" i="5"/>
  <c r="P366" i="5"/>
  <c r="N367" i="5"/>
  <c r="R367" i="5" s="1"/>
  <c r="P367" i="5"/>
  <c r="N368" i="5"/>
  <c r="P368" i="5"/>
  <c r="N369" i="5"/>
  <c r="R369" i="5" s="1"/>
  <c r="P369" i="5"/>
  <c r="N370" i="5"/>
  <c r="P370" i="5"/>
  <c r="N371" i="5"/>
  <c r="R371" i="5" s="1"/>
  <c r="P371" i="5"/>
  <c r="N372" i="5"/>
  <c r="P372" i="5"/>
  <c r="N373" i="5"/>
  <c r="R373" i="5" s="1"/>
  <c r="P373" i="5"/>
  <c r="N374" i="5"/>
  <c r="P374" i="5"/>
  <c r="N375" i="5"/>
  <c r="R375" i="5" s="1"/>
  <c r="P375" i="5"/>
  <c r="N376" i="5"/>
  <c r="P376" i="5"/>
  <c r="N377" i="5"/>
  <c r="R377" i="5" s="1"/>
  <c r="P377" i="5"/>
  <c r="N378" i="5"/>
  <c r="P378" i="5"/>
  <c r="N379" i="5"/>
  <c r="R379" i="5" s="1"/>
  <c r="P379" i="5"/>
  <c r="N380" i="5"/>
  <c r="P380" i="5"/>
  <c r="N381" i="5"/>
  <c r="R381" i="5" s="1"/>
  <c r="P381" i="5"/>
  <c r="N382" i="5"/>
  <c r="P382" i="5"/>
  <c r="N383" i="5"/>
  <c r="R383" i="5" s="1"/>
  <c r="P383" i="5"/>
  <c r="N384" i="5"/>
  <c r="P384" i="5"/>
  <c r="N385" i="5"/>
  <c r="R385" i="5" s="1"/>
  <c r="P385" i="5"/>
  <c r="N386" i="5"/>
  <c r="P386" i="5"/>
  <c r="N387" i="5"/>
  <c r="R387" i="5" s="1"/>
  <c r="P387" i="5"/>
  <c r="N388" i="5"/>
  <c r="P388" i="5"/>
  <c r="N389" i="5"/>
  <c r="R389" i="5" s="1"/>
  <c r="P389" i="5"/>
  <c r="N390" i="5"/>
  <c r="P390" i="5"/>
  <c r="N391" i="5"/>
  <c r="R391" i="5" s="1"/>
  <c r="P391" i="5"/>
  <c r="N392" i="5"/>
  <c r="P392" i="5"/>
  <c r="N393" i="5"/>
  <c r="R393" i="5" s="1"/>
  <c r="P393" i="5"/>
  <c r="N394" i="5"/>
  <c r="P394" i="5"/>
  <c r="N395" i="5"/>
  <c r="R395" i="5" s="1"/>
  <c r="P395" i="5"/>
  <c r="N396" i="5"/>
  <c r="P396" i="5"/>
  <c r="N397" i="5"/>
  <c r="R397" i="5" s="1"/>
  <c r="P397" i="5"/>
  <c r="N398" i="5"/>
  <c r="P398" i="5"/>
  <c r="N399" i="5"/>
  <c r="R399" i="5" s="1"/>
  <c r="P399" i="5"/>
  <c r="N400" i="5"/>
  <c r="P400" i="5"/>
  <c r="N401" i="5"/>
  <c r="R401" i="5" s="1"/>
  <c r="P401" i="5"/>
  <c r="N402" i="5"/>
  <c r="P402" i="5"/>
  <c r="N403" i="5"/>
  <c r="R403" i="5" s="1"/>
  <c r="P403" i="5"/>
  <c r="N404" i="5"/>
  <c r="P404" i="5"/>
  <c r="N405" i="5"/>
  <c r="R405" i="5" s="1"/>
  <c r="P405" i="5"/>
  <c r="N406" i="5"/>
  <c r="P406" i="5"/>
  <c r="N407" i="5"/>
  <c r="R407" i="5" s="1"/>
  <c r="P407" i="5"/>
  <c r="N408" i="5"/>
  <c r="P408" i="5"/>
  <c r="N409" i="5"/>
  <c r="R409" i="5" s="1"/>
  <c r="P409" i="5"/>
  <c r="N410" i="5"/>
  <c r="P410" i="5"/>
  <c r="N411" i="5"/>
  <c r="P411" i="5"/>
  <c r="N412" i="5"/>
  <c r="P412" i="5"/>
  <c r="N413" i="5"/>
  <c r="P413" i="5"/>
  <c r="N414" i="5"/>
  <c r="P414" i="5"/>
  <c r="N415" i="5"/>
  <c r="P415" i="5"/>
  <c r="N416" i="5"/>
  <c r="P416" i="5"/>
  <c r="N417" i="5"/>
  <c r="P417" i="5"/>
  <c r="N418" i="5"/>
  <c r="P418" i="5"/>
  <c r="N419" i="5"/>
  <c r="P419" i="5"/>
  <c r="N420" i="5"/>
  <c r="P420" i="5"/>
  <c r="N421" i="5"/>
  <c r="P421" i="5"/>
  <c r="N422" i="5"/>
  <c r="P422" i="5"/>
  <c r="N423" i="5"/>
  <c r="P423" i="5"/>
  <c r="N424" i="5"/>
  <c r="P424" i="5"/>
  <c r="N425" i="5"/>
  <c r="P425" i="5"/>
  <c r="N426" i="5"/>
  <c r="P426" i="5"/>
  <c r="N427" i="5"/>
  <c r="P427" i="5"/>
  <c r="N428" i="5"/>
  <c r="P428" i="5"/>
  <c r="N429" i="5"/>
  <c r="P429" i="5"/>
  <c r="N430" i="5"/>
  <c r="P430" i="5"/>
  <c r="N431" i="5"/>
  <c r="P431" i="5"/>
  <c r="N432" i="5"/>
  <c r="P432" i="5"/>
  <c r="N433" i="5"/>
  <c r="P433" i="5"/>
  <c r="N434" i="5"/>
  <c r="P434" i="5"/>
  <c r="N435" i="5"/>
  <c r="P435" i="5"/>
  <c r="N436" i="5"/>
  <c r="P436" i="5"/>
  <c r="N437" i="5"/>
  <c r="P437" i="5"/>
  <c r="N438" i="5"/>
  <c r="P438" i="5"/>
  <c r="N439" i="5"/>
  <c r="P439" i="5"/>
  <c r="N440" i="5"/>
  <c r="P440" i="5"/>
  <c r="N441" i="5"/>
  <c r="P441" i="5"/>
  <c r="N442" i="5"/>
  <c r="P442" i="5"/>
  <c r="N443" i="5"/>
  <c r="P443" i="5"/>
  <c r="N444" i="5"/>
  <c r="P444" i="5"/>
  <c r="N445" i="5"/>
  <c r="P445" i="5"/>
  <c r="N446" i="5"/>
  <c r="P446" i="5"/>
  <c r="N447" i="5"/>
  <c r="P447" i="5"/>
  <c r="N448" i="5"/>
  <c r="P448" i="5"/>
  <c r="N449" i="5"/>
  <c r="P449" i="5"/>
  <c r="N450" i="5"/>
  <c r="P450" i="5"/>
  <c r="N451" i="5"/>
  <c r="P451" i="5"/>
  <c r="N452" i="5"/>
  <c r="P452" i="5"/>
  <c r="N453" i="5"/>
  <c r="P453" i="5"/>
  <c r="N454" i="5"/>
  <c r="P454" i="5"/>
  <c r="N455" i="5"/>
  <c r="P455" i="5"/>
  <c r="N456" i="5"/>
  <c r="P456" i="5"/>
  <c r="N457" i="5"/>
  <c r="P457" i="5"/>
  <c r="N458" i="5"/>
  <c r="P458" i="5"/>
  <c r="N459" i="5"/>
  <c r="P459" i="5"/>
  <c r="N460" i="5"/>
  <c r="P460" i="5"/>
  <c r="N461" i="5"/>
  <c r="P461" i="5"/>
  <c r="N462" i="5"/>
  <c r="P462" i="5"/>
  <c r="N463" i="5"/>
  <c r="P463" i="5"/>
  <c r="N464" i="5"/>
  <c r="P464" i="5"/>
  <c r="N465" i="5"/>
  <c r="P465" i="5"/>
  <c r="N466" i="5"/>
  <c r="P466" i="5"/>
  <c r="N467" i="5"/>
  <c r="P467" i="5"/>
  <c r="N468" i="5"/>
  <c r="P468" i="5"/>
  <c r="N469" i="5"/>
  <c r="P469" i="5"/>
  <c r="N470" i="5"/>
  <c r="P470" i="5"/>
  <c r="N471" i="5"/>
  <c r="P471" i="5"/>
  <c r="N472" i="5"/>
  <c r="P472" i="5"/>
  <c r="N473" i="5"/>
  <c r="P473" i="5"/>
  <c r="N474" i="5"/>
  <c r="P474" i="5"/>
  <c r="N475" i="5"/>
  <c r="P475" i="5"/>
  <c r="N476" i="5"/>
  <c r="P476" i="5"/>
  <c r="N477" i="5"/>
  <c r="P477" i="5"/>
  <c r="N478" i="5"/>
  <c r="P478" i="5"/>
  <c r="N479" i="5"/>
  <c r="P479" i="5"/>
  <c r="N480" i="5"/>
  <c r="P480" i="5"/>
  <c r="N481" i="5"/>
  <c r="P481" i="5"/>
  <c r="N482" i="5"/>
  <c r="P482" i="5"/>
  <c r="N483" i="5"/>
  <c r="P483" i="5"/>
  <c r="N484" i="5"/>
  <c r="P484" i="5"/>
  <c r="N485" i="5"/>
  <c r="P485" i="5"/>
  <c r="N486" i="5"/>
  <c r="P486" i="5"/>
  <c r="N487" i="5"/>
  <c r="P487" i="5"/>
  <c r="N488" i="5"/>
  <c r="P488" i="5"/>
  <c r="N489" i="5"/>
  <c r="P489" i="5"/>
  <c r="N490" i="5"/>
  <c r="P490" i="5"/>
  <c r="N491" i="5"/>
  <c r="P491" i="5"/>
  <c r="N492" i="5"/>
  <c r="P492" i="5"/>
  <c r="N493" i="5"/>
  <c r="P493" i="5"/>
  <c r="N494" i="5"/>
  <c r="P494" i="5"/>
  <c r="N495" i="5"/>
  <c r="P495" i="5"/>
  <c r="N496" i="5"/>
  <c r="P496" i="5"/>
  <c r="N497" i="5"/>
  <c r="P497" i="5"/>
  <c r="N498" i="5"/>
  <c r="P498" i="5"/>
  <c r="N499" i="5"/>
  <c r="P499" i="5"/>
  <c r="N500" i="5"/>
  <c r="P500" i="5"/>
  <c r="N501" i="5"/>
  <c r="P501" i="5"/>
  <c r="N502" i="5"/>
  <c r="P502" i="5"/>
  <c r="N503" i="5"/>
  <c r="P503" i="5"/>
  <c r="N504" i="5"/>
  <c r="P504" i="5"/>
  <c r="N505" i="5"/>
  <c r="P505" i="5"/>
  <c r="N506" i="5"/>
  <c r="P506" i="5"/>
  <c r="N507" i="5"/>
  <c r="P507" i="5"/>
  <c r="N508" i="5"/>
  <c r="P508" i="5"/>
  <c r="N509" i="5"/>
  <c r="P509" i="5"/>
  <c r="N510" i="5"/>
  <c r="P510" i="5"/>
  <c r="N511" i="5"/>
  <c r="P511" i="5"/>
  <c r="N512" i="5"/>
  <c r="P512" i="5"/>
  <c r="N513" i="5"/>
  <c r="P513" i="5"/>
  <c r="N514" i="5"/>
  <c r="P514" i="5"/>
  <c r="N515" i="5"/>
  <c r="P515" i="5"/>
  <c r="N516" i="5"/>
  <c r="P516" i="5"/>
  <c r="N517" i="5"/>
  <c r="P517" i="5"/>
  <c r="N518" i="5"/>
  <c r="P518" i="5"/>
  <c r="N519" i="5"/>
  <c r="P519" i="5"/>
  <c r="N520" i="5"/>
  <c r="P520" i="5"/>
  <c r="N521" i="5"/>
  <c r="P521" i="5"/>
  <c r="N522" i="5"/>
  <c r="P522" i="5"/>
  <c r="N523" i="5"/>
  <c r="P523" i="5"/>
  <c r="N524" i="5"/>
  <c r="P524" i="5"/>
  <c r="N525" i="5"/>
  <c r="P525" i="5"/>
  <c r="N526" i="5"/>
  <c r="P526" i="5"/>
  <c r="N527" i="5"/>
  <c r="P527" i="5"/>
  <c r="N528" i="5"/>
  <c r="P528" i="5"/>
  <c r="N529" i="5"/>
  <c r="P529" i="5"/>
  <c r="N530" i="5"/>
  <c r="P530" i="5"/>
  <c r="N531" i="5"/>
  <c r="P531" i="5"/>
  <c r="N532" i="5"/>
  <c r="P532" i="5"/>
  <c r="N533" i="5"/>
  <c r="P533" i="5"/>
  <c r="N534" i="5"/>
  <c r="P534" i="5"/>
  <c r="N535" i="5"/>
  <c r="P535" i="5"/>
  <c r="N536" i="5"/>
  <c r="P536" i="5"/>
  <c r="N537" i="5"/>
  <c r="P537" i="5"/>
  <c r="N538" i="5"/>
  <c r="P538" i="5"/>
  <c r="N539" i="5"/>
  <c r="P539" i="5"/>
  <c r="N540" i="5"/>
  <c r="P540" i="5"/>
  <c r="N541" i="5"/>
  <c r="P541" i="5"/>
  <c r="N542" i="5"/>
  <c r="P542" i="5"/>
  <c r="N543" i="5"/>
  <c r="P543" i="5"/>
  <c r="N544" i="5"/>
  <c r="P544" i="5"/>
  <c r="N545" i="5"/>
  <c r="P545" i="5"/>
  <c r="N546" i="5"/>
  <c r="P546" i="5"/>
  <c r="N547" i="5"/>
  <c r="P547" i="5"/>
  <c r="N548" i="5"/>
  <c r="P548" i="5"/>
  <c r="N549" i="5"/>
  <c r="P549" i="5"/>
  <c r="N550" i="5"/>
  <c r="P550" i="5"/>
  <c r="N551" i="5"/>
  <c r="P551" i="5"/>
  <c r="N552" i="5"/>
  <c r="P552" i="5"/>
  <c r="N553" i="5"/>
  <c r="P553" i="5"/>
  <c r="N554" i="5"/>
  <c r="P554" i="5"/>
  <c r="N555" i="5"/>
  <c r="P555" i="5"/>
  <c r="N556" i="5"/>
  <c r="P556" i="5"/>
  <c r="N557" i="5"/>
  <c r="P557" i="5"/>
  <c r="N558" i="5"/>
  <c r="P558" i="5"/>
  <c r="N559" i="5"/>
  <c r="P559" i="5"/>
  <c r="N560" i="5"/>
  <c r="P560" i="5"/>
  <c r="N561" i="5"/>
  <c r="P561" i="5"/>
  <c r="N562" i="5"/>
  <c r="P562" i="5"/>
  <c r="N563" i="5"/>
  <c r="P563" i="5"/>
  <c r="N564" i="5"/>
  <c r="P564" i="5"/>
  <c r="N565" i="5"/>
  <c r="P565" i="5"/>
  <c r="N566" i="5"/>
  <c r="P566" i="5"/>
  <c r="N567" i="5"/>
  <c r="P567" i="5"/>
  <c r="N568" i="5"/>
  <c r="P568" i="5"/>
  <c r="N569" i="5"/>
  <c r="P569" i="5"/>
  <c r="N570" i="5"/>
  <c r="P570" i="5"/>
  <c r="N571" i="5"/>
  <c r="P571" i="5"/>
  <c r="N572" i="5"/>
  <c r="P572" i="5"/>
  <c r="N573" i="5"/>
  <c r="P573" i="5"/>
  <c r="N574" i="5"/>
  <c r="P574" i="5"/>
  <c r="N575" i="5"/>
  <c r="P575" i="5"/>
  <c r="N576" i="5"/>
  <c r="P576" i="5"/>
  <c r="N577" i="5"/>
  <c r="P577" i="5"/>
  <c r="N578" i="5"/>
  <c r="P578" i="5"/>
  <c r="N579" i="5"/>
  <c r="P579" i="5"/>
  <c r="N580" i="5"/>
  <c r="P580" i="5"/>
  <c r="N581" i="5"/>
  <c r="P581" i="5"/>
  <c r="N582" i="5"/>
  <c r="P582" i="5"/>
  <c r="N583" i="5"/>
  <c r="P583" i="5"/>
  <c r="N584" i="5"/>
  <c r="P584" i="5"/>
  <c r="N585" i="5"/>
  <c r="P585" i="5"/>
  <c r="N586" i="5"/>
  <c r="P586" i="5"/>
  <c r="N587" i="5"/>
  <c r="P587" i="5"/>
  <c r="N588" i="5"/>
  <c r="P588" i="5"/>
  <c r="N589" i="5"/>
  <c r="P589" i="5"/>
  <c r="N590" i="5"/>
  <c r="P590" i="5"/>
  <c r="N591" i="5"/>
  <c r="P591" i="5"/>
  <c r="N592" i="5"/>
  <c r="P592" i="5"/>
  <c r="N593" i="5"/>
  <c r="P593" i="5"/>
  <c r="N594" i="5"/>
  <c r="P594" i="5"/>
  <c r="N595" i="5"/>
  <c r="P595" i="5"/>
  <c r="N596" i="5"/>
  <c r="P596" i="5"/>
  <c r="N597" i="5"/>
  <c r="P597" i="5"/>
  <c r="N598" i="5"/>
  <c r="P598" i="5"/>
  <c r="N599" i="5"/>
  <c r="P599" i="5"/>
  <c r="N600" i="5"/>
  <c r="P600" i="5"/>
  <c r="N601" i="5"/>
  <c r="P601" i="5"/>
  <c r="N602" i="5"/>
  <c r="P602" i="5"/>
  <c r="N603" i="5"/>
  <c r="P603" i="5"/>
  <c r="N604" i="5"/>
  <c r="P604" i="5"/>
  <c r="N605" i="5"/>
  <c r="P605" i="5"/>
  <c r="N606" i="5"/>
  <c r="P606" i="5"/>
  <c r="N607" i="5"/>
  <c r="P607" i="5"/>
  <c r="N608" i="5"/>
  <c r="P608" i="5"/>
  <c r="N609" i="5"/>
  <c r="P609" i="5"/>
  <c r="N610" i="5"/>
  <c r="P610" i="5"/>
  <c r="N611" i="5"/>
  <c r="P611" i="5"/>
  <c r="N612" i="5"/>
  <c r="P612" i="5"/>
  <c r="N613" i="5"/>
  <c r="P613" i="5"/>
  <c r="N614" i="5"/>
  <c r="P614" i="5"/>
  <c r="N615" i="5"/>
  <c r="P615" i="5"/>
  <c r="N616" i="5"/>
  <c r="P616" i="5"/>
  <c r="N617" i="5"/>
  <c r="P617" i="5"/>
  <c r="N618" i="5"/>
  <c r="P618" i="5"/>
  <c r="N619" i="5"/>
  <c r="P619" i="5"/>
  <c r="N620" i="5"/>
  <c r="P620" i="5"/>
  <c r="N621" i="5"/>
  <c r="P621" i="5"/>
  <c r="N622" i="5"/>
  <c r="P622" i="5"/>
  <c r="N623" i="5"/>
  <c r="P623" i="5"/>
  <c r="N624" i="5"/>
  <c r="P624" i="5"/>
  <c r="N625" i="5"/>
  <c r="P625" i="5"/>
  <c r="N626" i="5"/>
  <c r="P626" i="5"/>
  <c r="N627" i="5"/>
  <c r="P627" i="5"/>
  <c r="N628" i="5"/>
  <c r="P628" i="5"/>
  <c r="N629" i="5"/>
  <c r="P629" i="5"/>
  <c r="N630" i="5"/>
  <c r="P630" i="5"/>
  <c r="N631" i="5"/>
  <c r="P631" i="5"/>
  <c r="N632" i="5"/>
  <c r="P632" i="5"/>
  <c r="N633" i="5"/>
  <c r="P633" i="5"/>
  <c r="N634" i="5"/>
  <c r="P634" i="5"/>
  <c r="N635" i="5"/>
  <c r="P635" i="5"/>
  <c r="N636" i="5"/>
  <c r="P636" i="5"/>
  <c r="N637" i="5"/>
  <c r="P637" i="5"/>
  <c r="N638" i="5"/>
  <c r="P638" i="5"/>
  <c r="N639" i="5"/>
  <c r="P639" i="5"/>
  <c r="N640" i="5"/>
  <c r="P640" i="5"/>
  <c r="N641" i="5"/>
  <c r="P641" i="5"/>
  <c r="N642" i="5"/>
  <c r="P642" i="5"/>
  <c r="N643" i="5"/>
  <c r="P643" i="5"/>
  <c r="N644" i="5"/>
  <c r="P644" i="5"/>
  <c r="N645" i="5"/>
  <c r="P645" i="5"/>
  <c r="N646" i="5"/>
  <c r="P646" i="5"/>
  <c r="N647" i="5"/>
  <c r="P647" i="5"/>
  <c r="N648" i="5"/>
  <c r="P648" i="5"/>
  <c r="N649" i="5"/>
  <c r="P649" i="5"/>
  <c r="N650" i="5"/>
  <c r="P650" i="5"/>
  <c r="N651" i="5"/>
  <c r="P651" i="5"/>
  <c r="N652" i="5"/>
  <c r="P652" i="5"/>
  <c r="N653" i="5"/>
  <c r="P653" i="5"/>
  <c r="N654" i="5"/>
  <c r="P654" i="5"/>
  <c r="N655" i="5"/>
  <c r="P655" i="5"/>
  <c r="N656" i="5"/>
  <c r="P656" i="5"/>
  <c r="N657" i="5"/>
  <c r="P657" i="5"/>
  <c r="N658" i="5"/>
  <c r="P658" i="5"/>
  <c r="N659" i="5"/>
  <c r="P659" i="5"/>
  <c r="N660" i="5"/>
  <c r="P660" i="5"/>
  <c r="N661" i="5"/>
  <c r="P661" i="5"/>
  <c r="N662" i="5"/>
  <c r="P662" i="5"/>
  <c r="N663" i="5"/>
  <c r="P663" i="5"/>
  <c r="N664" i="5"/>
  <c r="P664" i="5"/>
  <c r="N665" i="5"/>
  <c r="P665" i="5"/>
  <c r="N666" i="5"/>
  <c r="P666" i="5"/>
  <c r="N667" i="5"/>
  <c r="P667" i="5"/>
  <c r="N668" i="5"/>
  <c r="P668" i="5"/>
  <c r="N669" i="5"/>
  <c r="P669" i="5"/>
  <c r="N670" i="5"/>
  <c r="P670" i="5"/>
  <c r="N671" i="5"/>
  <c r="P671" i="5"/>
  <c r="N672" i="5"/>
  <c r="P672" i="5"/>
  <c r="N673" i="5"/>
  <c r="P673" i="5"/>
  <c r="N674" i="5"/>
  <c r="P674" i="5"/>
  <c r="N675" i="5"/>
  <c r="P675" i="5"/>
  <c r="N676" i="5"/>
  <c r="P676" i="5"/>
  <c r="N677" i="5"/>
  <c r="P677" i="5"/>
  <c r="N678" i="5"/>
  <c r="P678" i="5"/>
  <c r="N679" i="5"/>
  <c r="P679" i="5"/>
  <c r="N680" i="5"/>
  <c r="P680" i="5"/>
  <c r="N681" i="5"/>
  <c r="P681" i="5"/>
  <c r="N682" i="5"/>
  <c r="P682" i="5"/>
  <c r="N683" i="5"/>
  <c r="P683" i="5"/>
  <c r="N684" i="5"/>
  <c r="P684" i="5"/>
  <c r="N685" i="5"/>
  <c r="P685" i="5"/>
  <c r="N686" i="5"/>
  <c r="P686" i="5"/>
  <c r="N687" i="5"/>
  <c r="P687" i="5"/>
  <c r="N688" i="5"/>
  <c r="P688" i="5"/>
  <c r="N689" i="5"/>
  <c r="P689" i="5"/>
  <c r="N690" i="5"/>
  <c r="P690" i="5"/>
  <c r="N691" i="5"/>
  <c r="P691" i="5"/>
  <c r="N692" i="5"/>
  <c r="P692" i="5"/>
  <c r="N693" i="5"/>
  <c r="P693" i="5"/>
  <c r="N694" i="5"/>
  <c r="P694" i="5"/>
  <c r="N695" i="5"/>
  <c r="P695" i="5"/>
  <c r="N696" i="5"/>
  <c r="P696" i="5"/>
  <c r="N697" i="5"/>
  <c r="P697" i="5"/>
  <c r="N698" i="5"/>
  <c r="P698" i="5"/>
  <c r="N699" i="5"/>
  <c r="P699" i="5"/>
  <c r="N700" i="5"/>
  <c r="P700" i="5"/>
  <c r="N701" i="5"/>
  <c r="P701" i="5"/>
  <c r="N702" i="5"/>
  <c r="P702" i="5"/>
  <c r="N703" i="5"/>
  <c r="P703" i="5"/>
  <c r="N704" i="5"/>
  <c r="P704" i="5"/>
  <c r="N705" i="5"/>
  <c r="P705" i="5"/>
  <c r="N706" i="5"/>
  <c r="P706" i="5"/>
  <c r="N707" i="5"/>
  <c r="P707" i="5"/>
  <c r="N708" i="5"/>
  <c r="P708" i="5"/>
  <c r="N709" i="5"/>
  <c r="P709" i="5"/>
  <c r="N710" i="5"/>
  <c r="P710" i="5"/>
  <c r="N711" i="5"/>
  <c r="P711" i="5"/>
  <c r="N712" i="5"/>
  <c r="P712" i="5"/>
  <c r="N713" i="5"/>
  <c r="P713" i="5"/>
  <c r="N714" i="5"/>
  <c r="P714" i="5"/>
  <c r="N715" i="5"/>
  <c r="P715" i="5"/>
  <c r="N716" i="5"/>
  <c r="P716" i="5"/>
  <c r="N717" i="5"/>
  <c r="P717" i="5"/>
  <c r="N718" i="5"/>
  <c r="P718" i="5"/>
  <c r="N719" i="5"/>
  <c r="P719" i="5"/>
  <c r="N720" i="5"/>
  <c r="P720" i="5"/>
  <c r="N721" i="5"/>
  <c r="P721" i="5"/>
  <c r="N722" i="5"/>
  <c r="P722" i="5"/>
  <c r="N723" i="5"/>
  <c r="P723" i="5"/>
  <c r="N724" i="5"/>
  <c r="P724" i="5"/>
  <c r="N725" i="5"/>
  <c r="P725" i="5"/>
  <c r="N726" i="5"/>
  <c r="P726" i="5"/>
  <c r="N727" i="5"/>
  <c r="P727" i="5"/>
  <c r="N728" i="5"/>
  <c r="P728" i="5"/>
  <c r="N729" i="5"/>
  <c r="P729" i="5"/>
  <c r="N730" i="5"/>
  <c r="P730" i="5"/>
  <c r="N731" i="5"/>
  <c r="P731" i="5"/>
  <c r="N732" i="5"/>
  <c r="P732" i="5"/>
  <c r="N733" i="5"/>
  <c r="P733" i="5"/>
  <c r="N734" i="5"/>
  <c r="P734" i="5"/>
  <c r="N735" i="5"/>
  <c r="P735" i="5"/>
  <c r="N736" i="5"/>
  <c r="P736" i="5"/>
  <c r="N737" i="5"/>
  <c r="P737" i="5"/>
  <c r="N738" i="5"/>
  <c r="P738" i="5"/>
  <c r="N739" i="5"/>
  <c r="P739" i="5"/>
  <c r="N740" i="5"/>
  <c r="P740" i="5"/>
  <c r="N741" i="5"/>
  <c r="P741" i="5"/>
  <c r="N742" i="5"/>
  <c r="P742" i="5"/>
  <c r="N743" i="5"/>
  <c r="P743" i="5"/>
  <c r="N744" i="5"/>
  <c r="P744" i="5"/>
  <c r="N745" i="5"/>
  <c r="P745" i="5"/>
  <c r="N746" i="5"/>
  <c r="P746" i="5"/>
  <c r="N747" i="5"/>
  <c r="P747" i="5"/>
  <c r="N748" i="5"/>
  <c r="P748" i="5"/>
  <c r="N749" i="5"/>
  <c r="P749" i="5"/>
  <c r="N750" i="5"/>
  <c r="P750" i="5"/>
  <c r="N751" i="5"/>
  <c r="P751" i="5"/>
  <c r="N752" i="5"/>
  <c r="P752" i="5"/>
  <c r="N753" i="5"/>
  <c r="P753" i="5"/>
  <c r="N754" i="5"/>
  <c r="P754" i="5"/>
  <c r="N755" i="5"/>
  <c r="P755" i="5"/>
  <c r="N756" i="5"/>
  <c r="P756" i="5"/>
  <c r="N757" i="5"/>
  <c r="P757" i="5"/>
  <c r="N758" i="5"/>
  <c r="P758" i="5"/>
  <c r="N759" i="5"/>
  <c r="P759" i="5"/>
  <c r="N760" i="5"/>
  <c r="P760" i="5"/>
  <c r="N761" i="5"/>
  <c r="P761" i="5"/>
  <c r="N762" i="5"/>
  <c r="P762" i="5"/>
  <c r="N763" i="5"/>
  <c r="P763" i="5"/>
  <c r="N764" i="5"/>
  <c r="P764" i="5"/>
  <c r="N765" i="5"/>
  <c r="P765" i="5"/>
  <c r="N766" i="5"/>
  <c r="P766" i="5"/>
  <c r="N767" i="5"/>
  <c r="P767" i="5"/>
  <c r="N768" i="5"/>
  <c r="P768" i="5"/>
  <c r="N769" i="5"/>
  <c r="P769" i="5"/>
  <c r="N770" i="5"/>
  <c r="P770" i="5"/>
  <c r="N771" i="5"/>
  <c r="P771" i="5"/>
  <c r="N772" i="5"/>
  <c r="P772" i="5"/>
  <c r="N773" i="5"/>
  <c r="P773" i="5"/>
  <c r="N774" i="5"/>
  <c r="P774" i="5"/>
  <c r="N775" i="5"/>
  <c r="P775" i="5"/>
  <c r="N776" i="5"/>
  <c r="P776" i="5"/>
  <c r="N777" i="5"/>
  <c r="P777" i="5"/>
  <c r="N778" i="5"/>
  <c r="P778" i="5"/>
  <c r="N779" i="5"/>
  <c r="P779" i="5"/>
  <c r="N780" i="5"/>
  <c r="P780" i="5"/>
  <c r="N781" i="5"/>
  <c r="P781" i="5"/>
  <c r="N782" i="5"/>
  <c r="P782" i="5"/>
  <c r="N783" i="5"/>
  <c r="P783" i="5"/>
  <c r="N784" i="5"/>
  <c r="P784" i="5"/>
  <c r="N785" i="5"/>
  <c r="P785" i="5"/>
  <c r="N786" i="5"/>
  <c r="P786" i="5"/>
  <c r="N787" i="5"/>
  <c r="P787" i="5"/>
  <c r="N788" i="5"/>
  <c r="P788" i="5"/>
  <c r="N789" i="5"/>
  <c r="P789" i="5"/>
  <c r="N790" i="5"/>
  <c r="P790" i="5"/>
  <c r="N791" i="5"/>
  <c r="P791" i="5"/>
  <c r="N792" i="5"/>
  <c r="P792" i="5"/>
  <c r="N793" i="5"/>
  <c r="P793" i="5"/>
  <c r="N794" i="5"/>
  <c r="P794" i="5"/>
  <c r="N795" i="5"/>
  <c r="P795" i="5"/>
  <c r="N796" i="5"/>
  <c r="P796" i="5"/>
  <c r="N797" i="5"/>
  <c r="P797" i="5"/>
  <c r="N798" i="5"/>
  <c r="P798" i="5"/>
  <c r="N799" i="5"/>
  <c r="P799" i="5"/>
  <c r="N800" i="5"/>
  <c r="P800" i="5"/>
  <c r="N801" i="5"/>
  <c r="P801" i="5"/>
  <c r="N802" i="5"/>
  <c r="P802" i="5"/>
  <c r="N803" i="5"/>
  <c r="P803" i="5"/>
  <c r="N804" i="5"/>
  <c r="P804" i="5"/>
  <c r="N805" i="5"/>
  <c r="P805" i="5"/>
  <c r="N806" i="5"/>
  <c r="P806" i="5"/>
  <c r="N807" i="5"/>
  <c r="P807" i="5"/>
  <c r="N808" i="5"/>
  <c r="P808" i="5"/>
  <c r="N809" i="5"/>
  <c r="P809" i="5"/>
  <c r="N810" i="5"/>
  <c r="P810" i="5"/>
  <c r="N811" i="5"/>
  <c r="P811" i="5"/>
  <c r="N812" i="5"/>
  <c r="P812" i="5"/>
  <c r="N813" i="5"/>
  <c r="P813" i="5"/>
  <c r="N814" i="5"/>
  <c r="P814" i="5"/>
  <c r="N815" i="5"/>
  <c r="P815" i="5"/>
  <c r="N816" i="5"/>
  <c r="P816" i="5"/>
  <c r="N817" i="5"/>
  <c r="P817" i="5"/>
  <c r="N818" i="5"/>
  <c r="P818" i="5"/>
  <c r="N819" i="5"/>
  <c r="P819" i="5"/>
  <c r="N820" i="5"/>
  <c r="P820" i="5"/>
  <c r="N821" i="5"/>
  <c r="P821" i="5"/>
  <c r="N822" i="5"/>
  <c r="P822" i="5"/>
  <c r="N823" i="5"/>
  <c r="P823" i="5"/>
  <c r="N824" i="5"/>
  <c r="P824" i="5"/>
  <c r="N825" i="5"/>
  <c r="P825" i="5"/>
  <c r="N826" i="5"/>
  <c r="P826" i="5"/>
  <c r="N827" i="5"/>
  <c r="P827" i="5"/>
  <c r="N828" i="5"/>
  <c r="P828" i="5"/>
  <c r="N829" i="5"/>
  <c r="P829" i="5"/>
  <c r="N830" i="5"/>
  <c r="P830" i="5"/>
  <c r="N831" i="5"/>
  <c r="P831" i="5"/>
  <c r="N832" i="5"/>
  <c r="P832" i="5"/>
  <c r="N833" i="5"/>
  <c r="P833" i="5"/>
  <c r="N834" i="5"/>
  <c r="P834" i="5"/>
  <c r="N835" i="5"/>
  <c r="P835" i="5"/>
  <c r="N836" i="5"/>
  <c r="P836" i="5"/>
  <c r="N837" i="5"/>
  <c r="P837" i="5"/>
  <c r="N838" i="5"/>
  <c r="P838" i="5"/>
  <c r="N839" i="5"/>
  <c r="P839" i="5"/>
  <c r="N840" i="5"/>
  <c r="P840" i="5"/>
  <c r="N841" i="5"/>
  <c r="P841" i="5"/>
  <c r="N842" i="5"/>
  <c r="P842" i="5"/>
  <c r="N843" i="5"/>
  <c r="P843" i="5"/>
  <c r="N844" i="5"/>
  <c r="P844" i="5"/>
  <c r="N845" i="5"/>
  <c r="P845" i="5"/>
  <c r="N846" i="5"/>
  <c r="P846" i="5"/>
  <c r="N847" i="5"/>
  <c r="P847" i="5"/>
  <c r="N848" i="5"/>
  <c r="P848" i="5"/>
  <c r="N849" i="5"/>
  <c r="P849" i="5"/>
  <c r="N850" i="5"/>
  <c r="P850" i="5"/>
  <c r="N851" i="5"/>
  <c r="P851" i="5"/>
  <c r="N852" i="5"/>
  <c r="P852" i="5"/>
  <c r="N853" i="5"/>
  <c r="P853" i="5"/>
  <c r="N854" i="5"/>
  <c r="P854" i="5"/>
  <c r="N855" i="5"/>
  <c r="P855" i="5"/>
  <c r="N856" i="5"/>
  <c r="P856" i="5"/>
  <c r="N857" i="5"/>
  <c r="P857" i="5"/>
  <c r="N858" i="5"/>
  <c r="P858" i="5"/>
  <c r="N859" i="5"/>
  <c r="P859" i="5"/>
  <c r="N860" i="5"/>
  <c r="P860" i="5"/>
  <c r="N861" i="5"/>
  <c r="P861" i="5"/>
  <c r="N862" i="5"/>
  <c r="P862" i="5"/>
  <c r="N863" i="5"/>
  <c r="P863" i="5"/>
  <c r="N864" i="5"/>
  <c r="P864" i="5"/>
  <c r="N865" i="5"/>
  <c r="P865" i="5"/>
  <c r="N866" i="5"/>
  <c r="P866" i="5"/>
  <c r="N867" i="5"/>
  <c r="P867" i="5"/>
  <c r="N868" i="5"/>
  <c r="P868" i="5"/>
  <c r="N869" i="5"/>
  <c r="P869" i="5"/>
  <c r="N870" i="5"/>
  <c r="P870" i="5"/>
  <c r="N871" i="5"/>
  <c r="P871" i="5"/>
  <c r="N872" i="5"/>
  <c r="P872" i="5"/>
  <c r="N873" i="5"/>
  <c r="P873" i="5"/>
  <c r="N874" i="5"/>
  <c r="P874" i="5"/>
  <c r="N875" i="5"/>
  <c r="P875" i="5"/>
  <c r="N876" i="5"/>
  <c r="P876" i="5"/>
  <c r="N877" i="5"/>
  <c r="P877" i="5"/>
  <c r="N878" i="5"/>
  <c r="P878" i="5"/>
  <c r="N879" i="5"/>
  <c r="P879" i="5"/>
  <c r="N880" i="5"/>
  <c r="P880" i="5"/>
  <c r="N881" i="5"/>
  <c r="P881" i="5"/>
  <c r="N882" i="5"/>
  <c r="P882" i="5"/>
  <c r="N883" i="5"/>
  <c r="P883" i="5"/>
  <c r="N884" i="5"/>
  <c r="P884" i="5"/>
  <c r="N885" i="5"/>
  <c r="P885" i="5"/>
  <c r="N886" i="5"/>
  <c r="P886" i="5"/>
  <c r="N887" i="5"/>
  <c r="P887" i="5"/>
  <c r="N888" i="5"/>
  <c r="P888" i="5"/>
  <c r="N889" i="5"/>
  <c r="P889" i="5"/>
  <c r="N890" i="5"/>
  <c r="P890" i="5"/>
  <c r="N891" i="5"/>
  <c r="P891" i="5"/>
  <c r="N892" i="5"/>
  <c r="P892" i="5"/>
  <c r="N893" i="5"/>
  <c r="P893" i="5"/>
  <c r="N894" i="5"/>
  <c r="P894" i="5"/>
  <c r="N895" i="5"/>
  <c r="P895" i="5"/>
  <c r="N896" i="5"/>
  <c r="P896" i="5"/>
  <c r="N897" i="5"/>
  <c r="P897" i="5"/>
  <c r="N898" i="5"/>
  <c r="P898" i="5"/>
  <c r="N899" i="5"/>
  <c r="P899" i="5"/>
  <c r="N900" i="5"/>
  <c r="P900" i="5"/>
  <c r="N901" i="5"/>
  <c r="P901" i="5"/>
  <c r="N902" i="5"/>
  <c r="P902" i="5"/>
  <c r="N903" i="5"/>
  <c r="P903" i="5"/>
  <c r="N904" i="5"/>
  <c r="P904" i="5"/>
  <c r="N905" i="5"/>
  <c r="P905" i="5"/>
  <c r="N906" i="5"/>
  <c r="P906" i="5"/>
  <c r="N907" i="5"/>
  <c r="P907" i="5"/>
  <c r="N908" i="5"/>
  <c r="P908" i="5"/>
  <c r="N909" i="5"/>
  <c r="P909" i="5"/>
  <c r="N910" i="5"/>
  <c r="P910" i="5"/>
  <c r="N911" i="5"/>
  <c r="P911" i="5"/>
  <c r="N912" i="5"/>
  <c r="P912" i="5"/>
  <c r="N913" i="5"/>
  <c r="P913" i="5"/>
  <c r="N914" i="5"/>
  <c r="P914" i="5"/>
  <c r="N915" i="5"/>
  <c r="P915" i="5"/>
  <c r="N916" i="5"/>
  <c r="P916" i="5"/>
  <c r="N917" i="5"/>
  <c r="P917" i="5"/>
  <c r="N918" i="5"/>
  <c r="P918" i="5"/>
  <c r="N919" i="5"/>
  <c r="P919" i="5"/>
  <c r="N920" i="5"/>
  <c r="P920" i="5"/>
  <c r="N921" i="5"/>
  <c r="P921" i="5"/>
  <c r="N922" i="5"/>
  <c r="P922" i="5"/>
  <c r="N923" i="5"/>
  <c r="P923" i="5"/>
  <c r="N924" i="5"/>
  <c r="P924" i="5"/>
  <c r="N925" i="5"/>
  <c r="P925" i="5"/>
  <c r="N926" i="5"/>
  <c r="P926" i="5"/>
  <c r="N927" i="5"/>
  <c r="P927" i="5"/>
  <c r="N928" i="5"/>
  <c r="P928" i="5"/>
  <c r="N929" i="5"/>
  <c r="P929" i="5"/>
  <c r="N930" i="5"/>
  <c r="P930" i="5"/>
  <c r="N931" i="5"/>
  <c r="P931" i="5"/>
  <c r="N932" i="5"/>
  <c r="P932" i="5"/>
  <c r="N933" i="5"/>
  <c r="P933" i="5"/>
  <c r="N934" i="5"/>
  <c r="P934" i="5"/>
  <c r="N935" i="5"/>
  <c r="P935" i="5"/>
  <c r="N936" i="5"/>
  <c r="P936" i="5"/>
  <c r="N937" i="5"/>
  <c r="P937" i="5"/>
  <c r="N938" i="5"/>
  <c r="P938" i="5"/>
  <c r="N939" i="5"/>
  <c r="P939" i="5"/>
  <c r="N940" i="5"/>
  <c r="P940" i="5"/>
  <c r="N941" i="5"/>
  <c r="P941" i="5"/>
  <c r="N942" i="5"/>
  <c r="P942" i="5"/>
  <c r="N943" i="5"/>
  <c r="P943" i="5"/>
  <c r="N944" i="5"/>
  <c r="P944" i="5"/>
  <c r="N945" i="5"/>
  <c r="P945" i="5"/>
  <c r="N946" i="5"/>
  <c r="P946" i="5"/>
  <c r="N947" i="5"/>
  <c r="P947" i="5"/>
  <c r="N948" i="5"/>
  <c r="P948" i="5"/>
  <c r="N949" i="5"/>
  <c r="P949" i="5"/>
  <c r="N950" i="5"/>
  <c r="P950" i="5"/>
  <c r="N951" i="5"/>
  <c r="P951" i="5"/>
  <c r="N952" i="5"/>
  <c r="P952" i="5"/>
  <c r="N953" i="5"/>
  <c r="P953" i="5"/>
  <c r="N954" i="5"/>
  <c r="P954" i="5"/>
  <c r="N955" i="5"/>
  <c r="P955" i="5"/>
  <c r="N956" i="5"/>
  <c r="P956" i="5"/>
  <c r="N957" i="5"/>
  <c r="P957" i="5"/>
  <c r="N958" i="5"/>
  <c r="P958" i="5"/>
  <c r="N959" i="5"/>
  <c r="P959" i="5"/>
  <c r="N960" i="5"/>
  <c r="P960" i="5"/>
  <c r="N961" i="5"/>
  <c r="P961" i="5"/>
  <c r="N962" i="5"/>
  <c r="P962" i="5"/>
  <c r="N963" i="5"/>
  <c r="P963" i="5"/>
  <c r="N964" i="5"/>
  <c r="P964" i="5"/>
  <c r="N965" i="5"/>
  <c r="P965" i="5"/>
  <c r="N966" i="5"/>
  <c r="P966" i="5"/>
  <c r="N967" i="5"/>
  <c r="P967" i="5"/>
  <c r="N968" i="5"/>
  <c r="P968" i="5"/>
  <c r="N969" i="5"/>
  <c r="P969" i="5"/>
  <c r="N970" i="5"/>
  <c r="P970" i="5"/>
  <c r="N971" i="5"/>
  <c r="P971" i="5"/>
  <c r="N972" i="5"/>
  <c r="P972" i="5"/>
  <c r="N973" i="5"/>
  <c r="P973" i="5"/>
  <c r="N974" i="5"/>
  <c r="P974" i="5"/>
  <c r="N975" i="5"/>
  <c r="P975" i="5"/>
  <c r="N976" i="5"/>
  <c r="P976" i="5"/>
  <c r="N977" i="5"/>
  <c r="P977" i="5"/>
  <c r="N978" i="5"/>
  <c r="P978" i="5"/>
  <c r="N979" i="5"/>
  <c r="P979" i="5"/>
  <c r="N980" i="5"/>
  <c r="P980" i="5"/>
  <c r="N981" i="5"/>
  <c r="P981" i="5"/>
  <c r="N982" i="5"/>
  <c r="P982" i="5"/>
  <c r="N983" i="5"/>
  <c r="P983" i="5"/>
  <c r="N984" i="5"/>
  <c r="P984" i="5"/>
  <c r="N985" i="5"/>
  <c r="P985" i="5"/>
  <c r="N986" i="5"/>
  <c r="P986" i="5"/>
  <c r="N987" i="5"/>
  <c r="P987" i="5"/>
  <c r="N988" i="5"/>
  <c r="P988" i="5"/>
  <c r="N989" i="5"/>
  <c r="P989" i="5"/>
  <c r="N990" i="5"/>
  <c r="P990" i="5"/>
  <c r="N991" i="5"/>
  <c r="P991" i="5"/>
  <c r="N992" i="5"/>
  <c r="P992" i="5"/>
  <c r="N993" i="5"/>
  <c r="P993" i="5"/>
  <c r="N994" i="5"/>
  <c r="P994" i="5"/>
  <c r="N995" i="5"/>
  <c r="P995" i="5"/>
  <c r="N996" i="5"/>
  <c r="P996" i="5"/>
  <c r="N997" i="5"/>
  <c r="P997" i="5"/>
  <c r="N998" i="5"/>
  <c r="P998" i="5"/>
  <c r="N999" i="5"/>
  <c r="P999" i="5"/>
  <c r="N1000" i="5"/>
  <c r="P1000" i="5"/>
  <c r="N1001" i="5"/>
  <c r="P1001" i="5"/>
  <c r="N1002" i="5"/>
  <c r="P1002" i="5"/>
  <c r="N1003" i="5"/>
  <c r="P1003" i="5"/>
  <c r="N1004" i="5"/>
  <c r="P1004" i="5"/>
  <c r="O4" i="5"/>
  <c r="L4" i="5" s="1"/>
  <c r="O14" i="5"/>
  <c r="L14" i="5" s="1"/>
  <c r="R15" i="5"/>
  <c r="U15" i="5" s="1"/>
  <c r="O19" i="5"/>
  <c r="L19" i="5" s="1"/>
  <c r="O21" i="5"/>
  <c r="L21" i="5" s="1"/>
  <c r="R22" i="5"/>
  <c r="U22" i="5" s="1"/>
  <c r="R23" i="5"/>
  <c r="U23" i="5" s="1"/>
  <c r="O25" i="5"/>
  <c r="L25" i="5" s="1"/>
  <c r="R25" i="5"/>
  <c r="U25" i="5" s="1"/>
  <c r="O26" i="5"/>
  <c r="L26" i="5" s="1"/>
  <c r="R27" i="5"/>
  <c r="O28" i="5"/>
  <c r="L28" i="5" s="1"/>
  <c r="R29" i="5"/>
  <c r="R30" i="5"/>
  <c r="R31" i="5"/>
  <c r="O32" i="5"/>
  <c r="L32" i="5" s="1"/>
  <c r="R33" i="5"/>
  <c r="O34" i="5"/>
  <c r="L34" i="5" s="1"/>
  <c r="R34" i="5"/>
  <c r="O36" i="5"/>
  <c r="L36" i="5" s="1"/>
  <c r="R36" i="5"/>
  <c r="R37" i="5"/>
  <c r="R38" i="5"/>
  <c r="R39" i="5"/>
  <c r="O40" i="5"/>
  <c r="L40" i="5" s="1"/>
  <c r="R41" i="5"/>
  <c r="O42" i="5"/>
  <c r="L42" i="5" s="1"/>
  <c r="R42" i="5"/>
  <c r="O44" i="5"/>
  <c r="L44" i="5" s="1"/>
  <c r="R44" i="5"/>
  <c r="R45" i="5"/>
  <c r="R46" i="5"/>
  <c r="R47" i="5"/>
  <c r="O48" i="5"/>
  <c r="L48" i="5" s="1"/>
  <c r="R49" i="5"/>
  <c r="O50" i="5"/>
  <c r="L50" i="5" s="1"/>
  <c r="R50" i="5"/>
  <c r="O52" i="5"/>
  <c r="L52" i="5" s="1"/>
  <c r="R52" i="5"/>
  <c r="R53" i="5"/>
  <c r="R54" i="5"/>
  <c r="R55" i="5"/>
  <c r="O56" i="5"/>
  <c r="L56" i="5" s="1"/>
  <c r="R57" i="5"/>
  <c r="O58" i="5"/>
  <c r="L58" i="5" s="1"/>
  <c r="R58" i="5"/>
  <c r="O60" i="5"/>
  <c r="L60" i="5" s="1"/>
  <c r="R60" i="5"/>
  <c r="R61" i="5"/>
  <c r="R62" i="5"/>
  <c r="R63" i="5"/>
  <c r="O64" i="5"/>
  <c r="L64" i="5" s="1"/>
  <c r="R65" i="5"/>
  <c r="O66" i="5"/>
  <c r="L66" i="5" s="1"/>
  <c r="R66" i="5"/>
  <c r="O68" i="5"/>
  <c r="L68" i="5" s="1"/>
  <c r="R68" i="5"/>
  <c r="R69" i="5"/>
  <c r="R70" i="5"/>
  <c r="R71" i="5"/>
  <c r="O72" i="5"/>
  <c r="L72" i="5" s="1"/>
  <c r="R73" i="5"/>
  <c r="O74" i="5"/>
  <c r="L74" i="5" s="1"/>
  <c r="R74" i="5"/>
  <c r="O76" i="5"/>
  <c r="L76" i="5" s="1"/>
  <c r="R76" i="5"/>
  <c r="R77" i="5"/>
  <c r="R78" i="5"/>
  <c r="R79" i="5"/>
  <c r="O80" i="5"/>
  <c r="L80" i="5" s="1"/>
  <c r="R81" i="5"/>
  <c r="O82" i="5"/>
  <c r="L82" i="5" s="1"/>
  <c r="R82" i="5"/>
  <c r="O84" i="5"/>
  <c r="L84" i="5" s="1"/>
  <c r="R84" i="5"/>
  <c r="R85" i="5"/>
  <c r="R86" i="5"/>
  <c r="R87" i="5"/>
  <c r="O88" i="5"/>
  <c r="L88" i="5" s="1"/>
  <c r="R89" i="5"/>
  <c r="O90" i="5"/>
  <c r="L90" i="5" s="1"/>
  <c r="R90" i="5"/>
  <c r="O92" i="5"/>
  <c r="L92" i="5" s="1"/>
  <c r="R92" i="5"/>
  <c r="R93" i="5"/>
  <c r="R94" i="5"/>
  <c r="R95" i="5"/>
  <c r="O96" i="5"/>
  <c r="L96" i="5" s="1"/>
  <c r="R97" i="5"/>
  <c r="O98" i="5"/>
  <c r="L98" i="5" s="1"/>
  <c r="R98" i="5"/>
  <c r="O100" i="5"/>
  <c r="L100" i="5" s="1"/>
  <c r="R100" i="5"/>
  <c r="R101" i="5"/>
  <c r="R102" i="5"/>
  <c r="R103" i="5"/>
  <c r="O104" i="5"/>
  <c r="L104" i="5" s="1"/>
  <c r="R105" i="5"/>
  <c r="O106" i="5"/>
  <c r="L106" i="5" s="1"/>
  <c r="R106" i="5"/>
  <c r="O108" i="5"/>
  <c r="L108" i="5" s="1"/>
  <c r="R108" i="5"/>
  <c r="R109" i="5"/>
  <c r="R110" i="5"/>
  <c r="R111" i="5"/>
  <c r="O112" i="5"/>
  <c r="L112" i="5" s="1"/>
  <c r="R113" i="5"/>
  <c r="O114" i="5"/>
  <c r="L114" i="5" s="1"/>
  <c r="R114" i="5"/>
  <c r="O116" i="5"/>
  <c r="L116" i="5" s="1"/>
  <c r="R116" i="5"/>
  <c r="R117" i="5"/>
  <c r="R118" i="5"/>
  <c r="R119" i="5"/>
  <c r="O120" i="5"/>
  <c r="L120" i="5" s="1"/>
  <c r="R121" i="5"/>
  <c r="O122" i="5"/>
  <c r="L122" i="5" s="1"/>
  <c r="R122" i="5"/>
  <c r="O124" i="5"/>
  <c r="L124" i="5" s="1"/>
  <c r="R124" i="5"/>
  <c r="R125" i="5"/>
  <c r="R126" i="5"/>
  <c r="R127" i="5"/>
  <c r="O128" i="5"/>
  <c r="L128" i="5" s="1"/>
  <c r="R129" i="5"/>
  <c r="O130" i="5"/>
  <c r="L130" i="5" s="1"/>
  <c r="R130" i="5"/>
  <c r="O132" i="5"/>
  <c r="L132" i="5" s="1"/>
  <c r="R132" i="5"/>
  <c r="R133" i="5"/>
  <c r="R134" i="5"/>
  <c r="R135" i="5"/>
  <c r="O136" i="5"/>
  <c r="L136" i="5" s="1"/>
  <c r="R137" i="5"/>
  <c r="O138" i="5"/>
  <c r="L138" i="5" s="1"/>
  <c r="R138" i="5"/>
  <c r="O140" i="5"/>
  <c r="L140" i="5" s="1"/>
  <c r="R140" i="5"/>
  <c r="R141" i="5"/>
  <c r="R142" i="5"/>
  <c r="R143" i="5"/>
  <c r="O144" i="5"/>
  <c r="L144" i="5" s="1"/>
  <c r="R145" i="5"/>
  <c r="O146" i="5"/>
  <c r="L146" i="5" s="1"/>
  <c r="R146" i="5"/>
  <c r="O148" i="5"/>
  <c r="L148" i="5" s="1"/>
  <c r="R148" i="5"/>
  <c r="R149" i="5"/>
  <c r="R150" i="5"/>
  <c r="R151" i="5"/>
  <c r="O152" i="5"/>
  <c r="L152" i="5" s="1"/>
  <c r="R153" i="5"/>
  <c r="O154" i="5"/>
  <c r="L154" i="5" s="1"/>
  <c r="R154" i="5"/>
  <c r="O156" i="5"/>
  <c r="L156" i="5" s="1"/>
  <c r="R156" i="5"/>
  <c r="R157" i="5"/>
  <c r="R158" i="5"/>
  <c r="R159" i="5"/>
  <c r="O160" i="5"/>
  <c r="L160" i="5" s="1"/>
  <c r="R161" i="5"/>
  <c r="O162" i="5"/>
  <c r="L162" i="5" s="1"/>
  <c r="R162" i="5"/>
  <c r="O164" i="5"/>
  <c r="L164" i="5" s="1"/>
  <c r="R164" i="5"/>
  <c r="R165" i="5"/>
  <c r="R166" i="5"/>
  <c r="R167" i="5"/>
  <c r="O168" i="5"/>
  <c r="L168" i="5" s="1"/>
  <c r="R169" i="5"/>
  <c r="O170" i="5"/>
  <c r="L170" i="5" s="1"/>
  <c r="R170" i="5"/>
  <c r="O172" i="5"/>
  <c r="L172" i="5" s="1"/>
  <c r="R172" i="5"/>
  <c r="R173" i="5"/>
  <c r="R174" i="5"/>
  <c r="R175" i="5"/>
  <c r="O176" i="5"/>
  <c r="L176" i="5" s="1"/>
  <c r="R177" i="5"/>
  <c r="O178" i="5"/>
  <c r="L178" i="5" s="1"/>
  <c r="R178" i="5"/>
  <c r="O180" i="5"/>
  <c r="L180" i="5" s="1"/>
  <c r="R180" i="5"/>
  <c r="R181" i="5"/>
  <c r="R182" i="5"/>
  <c r="R183" i="5"/>
  <c r="O184" i="5"/>
  <c r="L184" i="5" s="1"/>
  <c r="R185" i="5"/>
  <c r="O186" i="5"/>
  <c r="L186" i="5" s="1"/>
  <c r="R186" i="5"/>
  <c r="O188" i="5"/>
  <c r="L188" i="5" s="1"/>
  <c r="R188" i="5"/>
  <c r="R189" i="5"/>
  <c r="R190" i="5"/>
  <c r="R191" i="5"/>
  <c r="O192" i="5"/>
  <c r="L192" i="5" s="1"/>
  <c r="R193" i="5"/>
  <c r="O194" i="5"/>
  <c r="L194" i="5" s="1"/>
  <c r="R194" i="5"/>
  <c r="O196" i="5"/>
  <c r="L196" i="5" s="1"/>
  <c r="R196" i="5"/>
  <c r="R197" i="5"/>
  <c r="R198" i="5"/>
  <c r="R199" i="5"/>
  <c r="O200" i="5"/>
  <c r="L200" i="5" s="1"/>
  <c r="R201" i="5"/>
  <c r="O202" i="5"/>
  <c r="L202" i="5" s="1"/>
  <c r="R202" i="5"/>
  <c r="O204" i="5"/>
  <c r="L204" i="5" s="1"/>
  <c r="R204" i="5"/>
  <c r="R205" i="5"/>
  <c r="R206" i="5"/>
  <c r="R207" i="5"/>
  <c r="O208" i="5"/>
  <c r="L208" i="5" s="1"/>
  <c r="R209" i="5"/>
  <c r="O210" i="5"/>
  <c r="L210" i="5" s="1"/>
  <c r="R210" i="5"/>
  <c r="O212" i="5"/>
  <c r="L212" i="5" s="1"/>
  <c r="R212" i="5"/>
  <c r="R213" i="5"/>
  <c r="R214" i="5"/>
  <c r="R215" i="5"/>
  <c r="O216" i="5"/>
  <c r="L216" i="5" s="1"/>
  <c r="R217" i="5"/>
  <c r="O218" i="5"/>
  <c r="L218" i="5" s="1"/>
  <c r="R218" i="5"/>
  <c r="O220" i="5"/>
  <c r="L220" i="5" s="1"/>
  <c r="R220" i="5"/>
  <c r="R221" i="5"/>
  <c r="R222" i="5"/>
  <c r="R223" i="5"/>
  <c r="O224" i="5"/>
  <c r="L224" i="5" s="1"/>
  <c r="R225" i="5"/>
  <c r="O226" i="5"/>
  <c r="L226" i="5" s="1"/>
  <c r="R226" i="5"/>
  <c r="O228" i="5"/>
  <c r="L228" i="5" s="1"/>
  <c r="R228" i="5"/>
  <c r="R229" i="5"/>
  <c r="R230" i="5"/>
  <c r="R231" i="5"/>
  <c r="O232" i="5"/>
  <c r="L232" i="5" s="1"/>
  <c r="R233" i="5"/>
  <c r="O234" i="5"/>
  <c r="L234" i="5" s="1"/>
  <c r="R234" i="5"/>
  <c r="O236" i="5"/>
  <c r="L236" i="5" s="1"/>
  <c r="R236" i="5"/>
  <c r="R237" i="5"/>
  <c r="R238" i="5"/>
  <c r="R239" i="5"/>
  <c r="O240" i="5"/>
  <c r="L240" i="5" s="1"/>
  <c r="R241" i="5"/>
  <c r="O242" i="5"/>
  <c r="L242" i="5" s="1"/>
  <c r="R242" i="5"/>
  <c r="O244" i="5"/>
  <c r="L244" i="5" s="1"/>
  <c r="R244" i="5"/>
  <c r="R245" i="5"/>
  <c r="R246" i="5"/>
  <c r="R247" i="5"/>
  <c r="O248" i="5"/>
  <c r="L248" i="5" s="1"/>
  <c r="R249" i="5"/>
  <c r="O250" i="5"/>
  <c r="L250" i="5" s="1"/>
  <c r="R250" i="5"/>
  <c r="O252" i="5"/>
  <c r="L252" i="5" s="1"/>
  <c r="R252" i="5"/>
  <c r="R253" i="5"/>
  <c r="R254" i="5"/>
  <c r="R255" i="5"/>
  <c r="O256" i="5"/>
  <c r="L256" i="5" s="1"/>
  <c r="R257" i="5"/>
  <c r="O258" i="5"/>
  <c r="L258" i="5" s="1"/>
  <c r="R258" i="5"/>
  <c r="O260" i="5"/>
  <c r="L260" i="5" s="1"/>
  <c r="R260" i="5"/>
  <c r="O261" i="5"/>
  <c r="L261" i="5" s="1"/>
  <c r="O262" i="5"/>
  <c r="L262" i="5" s="1"/>
  <c r="R262" i="5"/>
  <c r="O263" i="5"/>
  <c r="L263" i="5" s="1"/>
  <c r="O264" i="5"/>
  <c r="L264" i="5" s="1"/>
  <c r="R264" i="5"/>
  <c r="O265" i="5"/>
  <c r="L265" i="5" s="1"/>
  <c r="O266" i="5"/>
  <c r="L266" i="5" s="1"/>
  <c r="R266" i="5"/>
  <c r="O267" i="5"/>
  <c r="L267" i="5" s="1"/>
  <c r="O268" i="5"/>
  <c r="L268" i="5" s="1"/>
  <c r="R268" i="5"/>
  <c r="O269" i="5"/>
  <c r="L269" i="5" s="1"/>
  <c r="O270" i="5"/>
  <c r="L270" i="5" s="1"/>
  <c r="R270" i="5"/>
  <c r="O271" i="5"/>
  <c r="L271" i="5" s="1"/>
  <c r="O272" i="5"/>
  <c r="L272" i="5" s="1"/>
  <c r="R272" i="5"/>
  <c r="O273" i="5"/>
  <c r="L273" i="5" s="1"/>
  <c r="O274" i="5"/>
  <c r="L274" i="5" s="1"/>
  <c r="R274" i="5"/>
  <c r="O275" i="5"/>
  <c r="L275" i="5" s="1"/>
  <c r="O276" i="5"/>
  <c r="L276" i="5" s="1"/>
  <c r="R276" i="5"/>
  <c r="O277" i="5"/>
  <c r="L277" i="5" s="1"/>
  <c r="O278" i="5"/>
  <c r="L278" i="5" s="1"/>
  <c r="R278" i="5"/>
  <c r="O279" i="5"/>
  <c r="L279" i="5" s="1"/>
  <c r="O280" i="5"/>
  <c r="L280" i="5" s="1"/>
  <c r="R280" i="5"/>
  <c r="O281" i="5"/>
  <c r="L281" i="5" s="1"/>
  <c r="O282" i="5"/>
  <c r="L282" i="5" s="1"/>
  <c r="R282" i="5"/>
  <c r="O283" i="5"/>
  <c r="L283" i="5" s="1"/>
  <c r="O284" i="5"/>
  <c r="L284" i="5" s="1"/>
  <c r="R284" i="5"/>
  <c r="O285" i="5"/>
  <c r="L285" i="5" s="1"/>
  <c r="O286" i="5"/>
  <c r="L286" i="5" s="1"/>
  <c r="R286" i="5"/>
  <c r="O287" i="5"/>
  <c r="L287" i="5" s="1"/>
  <c r="O288" i="5"/>
  <c r="L288" i="5" s="1"/>
  <c r="R288" i="5"/>
  <c r="O289" i="5"/>
  <c r="L289" i="5" s="1"/>
  <c r="O290" i="5"/>
  <c r="L290" i="5" s="1"/>
  <c r="R290" i="5"/>
  <c r="O291" i="5"/>
  <c r="L291" i="5" s="1"/>
  <c r="O292" i="5"/>
  <c r="L292" i="5" s="1"/>
  <c r="R292" i="5"/>
  <c r="O293" i="5"/>
  <c r="L293" i="5" s="1"/>
  <c r="O294" i="5"/>
  <c r="L294" i="5" s="1"/>
  <c r="R294" i="5"/>
  <c r="O295" i="5"/>
  <c r="L295" i="5" s="1"/>
  <c r="O296" i="5"/>
  <c r="L296" i="5" s="1"/>
  <c r="R296" i="5"/>
  <c r="O297" i="5"/>
  <c r="L297" i="5" s="1"/>
  <c r="O298" i="5"/>
  <c r="L298" i="5" s="1"/>
  <c r="R298" i="5"/>
  <c r="O299" i="5"/>
  <c r="L299" i="5" s="1"/>
  <c r="O300" i="5"/>
  <c r="L300" i="5" s="1"/>
  <c r="R300" i="5"/>
  <c r="O301" i="5"/>
  <c r="L301" i="5" s="1"/>
  <c r="O302" i="5"/>
  <c r="L302" i="5" s="1"/>
  <c r="R302" i="5"/>
  <c r="O303" i="5"/>
  <c r="L303" i="5" s="1"/>
  <c r="O304" i="5"/>
  <c r="L304" i="5" s="1"/>
  <c r="R304" i="5"/>
  <c r="O305" i="5"/>
  <c r="L305" i="5" s="1"/>
  <c r="O306" i="5"/>
  <c r="L306" i="5" s="1"/>
  <c r="R306" i="5"/>
  <c r="O307" i="5"/>
  <c r="L307" i="5" s="1"/>
  <c r="O308" i="5"/>
  <c r="L308" i="5" s="1"/>
  <c r="R308" i="5"/>
  <c r="O309" i="5"/>
  <c r="L309" i="5" s="1"/>
  <c r="O310" i="5"/>
  <c r="L310" i="5" s="1"/>
  <c r="R310" i="5"/>
  <c r="O311" i="5"/>
  <c r="L311" i="5" s="1"/>
  <c r="O312" i="5"/>
  <c r="L312" i="5" s="1"/>
  <c r="R312" i="5"/>
  <c r="O313" i="5"/>
  <c r="L313" i="5" s="1"/>
  <c r="O314" i="5"/>
  <c r="L314" i="5" s="1"/>
  <c r="R314" i="5"/>
  <c r="O315" i="5"/>
  <c r="L315" i="5" s="1"/>
  <c r="O316" i="5"/>
  <c r="L316" i="5" s="1"/>
  <c r="R316" i="5"/>
  <c r="O317" i="5"/>
  <c r="L317" i="5" s="1"/>
  <c r="O318" i="5"/>
  <c r="L318" i="5" s="1"/>
  <c r="R318" i="5"/>
  <c r="O319" i="5"/>
  <c r="L319" i="5" s="1"/>
  <c r="O320" i="5"/>
  <c r="L320" i="5" s="1"/>
  <c r="R320" i="5"/>
  <c r="O321" i="5"/>
  <c r="L321" i="5" s="1"/>
  <c r="O322" i="5"/>
  <c r="L322" i="5" s="1"/>
  <c r="R322" i="5"/>
  <c r="O323" i="5"/>
  <c r="L323" i="5" s="1"/>
  <c r="O324" i="5"/>
  <c r="L324" i="5" s="1"/>
  <c r="R324" i="5"/>
  <c r="O325" i="5"/>
  <c r="L325" i="5" s="1"/>
  <c r="O326" i="5"/>
  <c r="L326" i="5" s="1"/>
  <c r="R326" i="5"/>
  <c r="O327" i="5"/>
  <c r="L327" i="5" s="1"/>
  <c r="O328" i="5"/>
  <c r="L328" i="5" s="1"/>
  <c r="R328" i="5"/>
  <c r="O329" i="5"/>
  <c r="L329" i="5" s="1"/>
  <c r="O330" i="5"/>
  <c r="L330" i="5" s="1"/>
  <c r="R330" i="5"/>
  <c r="O331" i="5"/>
  <c r="L331" i="5" s="1"/>
  <c r="O332" i="5"/>
  <c r="L332" i="5" s="1"/>
  <c r="R332" i="5"/>
  <c r="O333" i="5"/>
  <c r="L333" i="5" s="1"/>
  <c r="O334" i="5"/>
  <c r="L334" i="5" s="1"/>
  <c r="R334" i="5"/>
  <c r="O335" i="5"/>
  <c r="L335" i="5" s="1"/>
  <c r="O336" i="5"/>
  <c r="L336" i="5" s="1"/>
  <c r="R336" i="5"/>
  <c r="O337" i="5"/>
  <c r="L337" i="5" s="1"/>
  <c r="O338" i="5"/>
  <c r="L338" i="5" s="1"/>
  <c r="R338" i="5"/>
  <c r="O339" i="5"/>
  <c r="L339" i="5" s="1"/>
  <c r="O340" i="5"/>
  <c r="L340" i="5" s="1"/>
  <c r="R340" i="5"/>
  <c r="O341" i="5"/>
  <c r="L341" i="5" s="1"/>
  <c r="O342" i="5"/>
  <c r="L342" i="5" s="1"/>
  <c r="R342" i="5"/>
  <c r="O343" i="5"/>
  <c r="L343" i="5" s="1"/>
  <c r="O344" i="5"/>
  <c r="L344" i="5" s="1"/>
  <c r="R344" i="5"/>
  <c r="O345" i="5"/>
  <c r="L345" i="5" s="1"/>
  <c r="O346" i="5"/>
  <c r="L346" i="5" s="1"/>
  <c r="R346" i="5"/>
  <c r="O347" i="5"/>
  <c r="L347" i="5" s="1"/>
  <c r="O348" i="5"/>
  <c r="L348" i="5" s="1"/>
  <c r="R348" i="5"/>
  <c r="O349" i="5"/>
  <c r="L349" i="5" s="1"/>
  <c r="O350" i="5"/>
  <c r="L350" i="5" s="1"/>
  <c r="R350" i="5"/>
  <c r="O351" i="5"/>
  <c r="L351" i="5" s="1"/>
  <c r="O352" i="5"/>
  <c r="L352" i="5" s="1"/>
  <c r="R352" i="5"/>
  <c r="O353" i="5"/>
  <c r="L353" i="5" s="1"/>
  <c r="O354" i="5"/>
  <c r="L354" i="5" s="1"/>
  <c r="R354" i="5"/>
  <c r="O355" i="5"/>
  <c r="L355" i="5" s="1"/>
  <c r="O356" i="5"/>
  <c r="L356" i="5" s="1"/>
  <c r="R356" i="5"/>
  <c r="O357" i="5"/>
  <c r="L357" i="5" s="1"/>
  <c r="O358" i="5"/>
  <c r="L358" i="5" s="1"/>
  <c r="R358" i="5"/>
  <c r="O359" i="5"/>
  <c r="L359" i="5" s="1"/>
  <c r="O360" i="5"/>
  <c r="L360" i="5" s="1"/>
  <c r="R360" i="5"/>
  <c r="O361" i="5"/>
  <c r="L361" i="5" s="1"/>
  <c r="O362" i="5"/>
  <c r="L362" i="5" s="1"/>
  <c r="R362" i="5"/>
  <c r="O363" i="5"/>
  <c r="L363" i="5" s="1"/>
  <c r="O364" i="5"/>
  <c r="L364" i="5" s="1"/>
  <c r="R364" i="5"/>
  <c r="O365" i="5"/>
  <c r="L365" i="5" s="1"/>
  <c r="O366" i="5"/>
  <c r="L366" i="5" s="1"/>
  <c r="R366" i="5"/>
  <c r="O367" i="5"/>
  <c r="L367" i="5" s="1"/>
  <c r="O368" i="5"/>
  <c r="L368" i="5" s="1"/>
  <c r="R368" i="5"/>
  <c r="O369" i="5"/>
  <c r="L369" i="5" s="1"/>
  <c r="O370" i="5"/>
  <c r="L370" i="5" s="1"/>
  <c r="R370" i="5"/>
  <c r="O371" i="5"/>
  <c r="L371" i="5" s="1"/>
  <c r="O372" i="5"/>
  <c r="L372" i="5" s="1"/>
  <c r="R372" i="5"/>
  <c r="O373" i="5"/>
  <c r="L373" i="5" s="1"/>
  <c r="O374" i="5"/>
  <c r="L374" i="5" s="1"/>
  <c r="R374" i="5"/>
  <c r="O375" i="5"/>
  <c r="L375" i="5" s="1"/>
  <c r="O376" i="5"/>
  <c r="L376" i="5" s="1"/>
  <c r="R376" i="5"/>
  <c r="O377" i="5"/>
  <c r="L377" i="5" s="1"/>
  <c r="O378" i="5"/>
  <c r="L378" i="5" s="1"/>
  <c r="R378" i="5"/>
  <c r="O379" i="5"/>
  <c r="L379" i="5" s="1"/>
  <c r="O380" i="5"/>
  <c r="L380" i="5" s="1"/>
  <c r="R380" i="5"/>
  <c r="O381" i="5"/>
  <c r="L381" i="5" s="1"/>
  <c r="O382" i="5"/>
  <c r="L382" i="5" s="1"/>
  <c r="R382" i="5"/>
  <c r="O383" i="5"/>
  <c r="L383" i="5" s="1"/>
  <c r="O384" i="5"/>
  <c r="L384" i="5" s="1"/>
  <c r="R384" i="5"/>
  <c r="O385" i="5"/>
  <c r="L385" i="5" s="1"/>
  <c r="O386" i="5"/>
  <c r="L386" i="5" s="1"/>
  <c r="R386" i="5"/>
  <c r="O387" i="5"/>
  <c r="L387" i="5" s="1"/>
  <c r="O388" i="5"/>
  <c r="L388" i="5" s="1"/>
  <c r="R388" i="5"/>
  <c r="O389" i="5"/>
  <c r="L389" i="5" s="1"/>
  <c r="O390" i="5"/>
  <c r="L390" i="5" s="1"/>
  <c r="R390" i="5"/>
  <c r="O391" i="5"/>
  <c r="L391" i="5" s="1"/>
  <c r="O392" i="5"/>
  <c r="L392" i="5" s="1"/>
  <c r="R392" i="5"/>
  <c r="O393" i="5"/>
  <c r="L393" i="5" s="1"/>
  <c r="O394" i="5"/>
  <c r="L394" i="5" s="1"/>
  <c r="R394" i="5"/>
  <c r="O395" i="5"/>
  <c r="L395" i="5" s="1"/>
  <c r="O396" i="5"/>
  <c r="L396" i="5" s="1"/>
  <c r="R396" i="5"/>
  <c r="O397" i="5"/>
  <c r="L397" i="5" s="1"/>
  <c r="O398" i="5"/>
  <c r="L398" i="5" s="1"/>
  <c r="R398" i="5"/>
  <c r="O399" i="5"/>
  <c r="L399" i="5" s="1"/>
  <c r="O400" i="5"/>
  <c r="L400" i="5" s="1"/>
  <c r="R400" i="5"/>
  <c r="O401" i="5"/>
  <c r="L401" i="5" s="1"/>
  <c r="O402" i="5"/>
  <c r="L402" i="5" s="1"/>
  <c r="R402" i="5"/>
  <c r="O403" i="5"/>
  <c r="L403" i="5" s="1"/>
  <c r="O404" i="5"/>
  <c r="L404" i="5" s="1"/>
  <c r="R404" i="5"/>
  <c r="O405" i="5"/>
  <c r="L405" i="5" s="1"/>
  <c r="O406" i="5"/>
  <c r="L406" i="5" s="1"/>
  <c r="R406" i="5"/>
  <c r="O407" i="5"/>
  <c r="L407" i="5" s="1"/>
  <c r="O408" i="5"/>
  <c r="L408" i="5" s="1"/>
  <c r="R408" i="5"/>
  <c r="O409" i="5"/>
  <c r="L409" i="5" s="1"/>
  <c r="O410" i="5"/>
  <c r="L410" i="5" s="1"/>
  <c r="R410" i="5"/>
  <c r="O411" i="5"/>
  <c r="L411" i="5" s="1"/>
  <c r="R411" i="5"/>
  <c r="O412" i="5"/>
  <c r="L412" i="5" s="1"/>
  <c r="R412" i="5"/>
  <c r="O413" i="5"/>
  <c r="L413" i="5" s="1"/>
  <c r="R413" i="5"/>
  <c r="O414" i="5"/>
  <c r="L414" i="5" s="1"/>
  <c r="R414" i="5"/>
  <c r="O415" i="5"/>
  <c r="L415" i="5" s="1"/>
  <c r="R415" i="5"/>
  <c r="O416" i="5"/>
  <c r="L416" i="5" s="1"/>
  <c r="R416" i="5"/>
  <c r="O417" i="5"/>
  <c r="L417" i="5" s="1"/>
  <c r="R417" i="5"/>
  <c r="O418" i="5"/>
  <c r="L418" i="5" s="1"/>
  <c r="R418" i="5"/>
  <c r="O419" i="5"/>
  <c r="L419" i="5" s="1"/>
  <c r="R419" i="5"/>
  <c r="O420" i="5"/>
  <c r="L420" i="5" s="1"/>
  <c r="R420" i="5"/>
  <c r="O421" i="5"/>
  <c r="L421" i="5" s="1"/>
  <c r="R421" i="5"/>
  <c r="O422" i="5"/>
  <c r="L422" i="5" s="1"/>
  <c r="R422" i="5"/>
  <c r="O423" i="5"/>
  <c r="L423" i="5" s="1"/>
  <c r="R423" i="5"/>
  <c r="O424" i="5"/>
  <c r="L424" i="5" s="1"/>
  <c r="R424" i="5"/>
  <c r="O425" i="5"/>
  <c r="L425" i="5" s="1"/>
  <c r="R425" i="5"/>
  <c r="O426" i="5"/>
  <c r="L426" i="5" s="1"/>
  <c r="R426" i="5"/>
  <c r="O427" i="5"/>
  <c r="L427" i="5" s="1"/>
  <c r="R427" i="5"/>
  <c r="O428" i="5"/>
  <c r="L428" i="5" s="1"/>
  <c r="R428" i="5"/>
  <c r="O429" i="5"/>
  <c r="L429" i="5" s="1"/>
  <c r="R429" i="5"/>
  <c r="O430" i="5"/>
  <c r="L430" i="5" s="1"/>
  <c r="R430" i="5"/>
  <c r="O431" i="5"/>
  <c r="L431" i="5" s="1"/>
  <c r="R431" i="5"/>
  <c r="O432" i="5"/>
  <c r="L432" i="5" s="1"/>
  <c r="R432" i="5"/>
  <c r="O433" i="5"/>
  <c r="L433" i="5" s="1"/>
  <c r="R433" i="5"/>
  <c r="O434" i="5"/>
  <c r="L434" i="5" s="1"/>
  <c r="R434" i="5"/>
  <c r="O435" i="5"/>
  <c r="L435" i="5" s="1"/>
  <c r="R435" i="5"/>
  <c r="O436" i="5"/>
  <c r="L436" i="5" s="1"/>
  <c r="R436" i="5"/>
  <c r="O437" i="5"/>
  <c r="L437" i="5" s="1"/>
  <c r="R437" i="5"/>
  <c r="O438" i="5"/>
  <c r="L438" i="5" s="1"/>
  <c r="R438" i="5"/>
  <c r="O439" i="5"/>
  <c r="L439" i="5" s="1"/>
  <c r="R439" i="5"/>
  <c r="O440" i="5"/>
  <c r="L440" i="5" s="1"/>
  <c r="R440" i="5"/>
  <c r="O441" i="5"/>
  <c r="L441" i="5" s="1"/>
  <c r="R441" i="5"/>
  <c r="O442" i="5"/>
  <c r="L442" i="5" s="1"/>
  <c r="R442" i="5"/>
  <c r="O443" i="5"/>
  <c r="L443" i="5" s="1"/>
  <c r="R443" i="5"/>
  <c r="O444" i="5"/>
  <c r="L444" i="5" s="1"/>
  <c r="R444" i="5"/>
  <c r="O445" i="5"/>
  <c r="L445" i="5" s="1"/>
  <c r="R445" i="5"/>
  <c r="O446" i="5"/>
  <c r="L446" i="5" s="1"/>
  <c r="R446" i="5"/>
  <c r="O447" i="5"/>
  <c r="L447" i="5" s="1"/>
  <c r="R447" i="5"/>
  <c r="O448" i="5"/>
  <c r="L448" i="5" s="1"/>
  <c r="R448" i="5"/>
  <c r="O449" i="5"/>
  <c r="L449" i="5" s="1"/>
  <c r="R449" i="5"/>
  <c r="O450" i="5"/>
  <c r="L450" i="5" s="1"/>
  <c r="R450" i="5"/>
  <c r="O451" i="5"/>
  <c r="L451" i="5" s="1"/>
  <c r="R451" i="5"/>
  <c r="O452" i="5"/>
  <c r="L452" i="5" s="1"/>
  <c r="R452" i="5"/>
  <c r="O453" i="5"/>
  <c r="L453" i="5" s="1"/>
  <c r="R453" i="5"/>
  <c r="O454" i="5"/>
  <c r="L454" i="5" s="1"/>
  <c r="R454" i="5"/>
  <c r="O455" i="5"/>
  <c r="L455" i="5" s="1"/>
  <c r="R455" i="5"/>
  <c r="O456" i="5"/>
  <c r="L456" i="5" s="1"/>
  <c r="R456" i="5"/>
  <c r="O457" i="5"/>
  <c r="L457" i="5" s="1"/>
  <c r="R457" i="5"/>
  <c r="O458" i="5"/>
  <c r="L458" i="5" s="1"/>
  <c r="R458" i="5"/>
  <c r="O459" i="5"/>
  <c r="L459" i="5" s="1"/>
  <c r="R459" i="5"/>
  <c r="O460" i="5"/>
  <c r="L460" i="5" s="1"/>
  <c r="R460" i="5"/>
  <c r="O461" i="5"/>
  <c r="L461" i="5" s="1"/>
  <c r="R461" i="5"/>
  <c r="O462" i="5"/>
  <c r="L462" i="5" s="1"/>
  <c r="R462" i="5"/>
  <c r="O463" i="5"/>
  <c r="L463" i="5" s="1"/>
  <c r="R463" i="5"/>
  <c r="O464" i="5"/>
  <c r="L464" i="5" s="1"/>
  <c r="R464" i="5"/>
  <c r="O465" i="5"/>
  <c r="L465" i="5" s="1"/>
  <c r="R465" i="5"/>
  <c r="O466" i="5"/>
  <c r="L466" i="5" s="1"/>
  <c r="R466" i="5"/>
  <c r="O467" i="5"/>
  <c r="L467" i="5" s="1"/>
  <c r="R467" i="5"/>
  <c r="O468" i="5"/>
  <c r="L468" i="5" s="1"/>
  <c r="R468" i="5"/>
  <c r="O469" i="5"/>
  <c r="L469" i="5" s="1"/>
  <c r="R469" i="5"/>
  <c r="O470" i="5"/>
  <c r="L470" i="5" s="1"/>
  <c r="R470" i="5"/>
  <c r="O471" i="5"/>
  <c r="L471" i="5" s="1"/>
  <c r="R471" i="5"/>
  <c r="O472" i="5"/>
  <c r="L472" i="5" s="1"/>
  <c r="R472" i="5"/>
  <c r="O473" i="5"/>
  <c r="L473" i="5" s="1"/>
  <c r="R473" i="5"/>
  <c r="O474" i="5"/>
  <c r="L474" i="5" s="1"/>
  <c r="R474" i="5"/>
  <c r="O475" i="5"/>
  <c r="L475" i="5" s="1"/>
  <c r="R475" i="5"/>
  <c r="O476" i="5"/>
  <c r="L476" i="5" s="1"/>
  <c r="R476" i="5"/>
  <c r="O477" i="5"/>
  <c r="L477" i="5" s="1"/>
  <c r="R477" i="5"/>
  <c r="O478" i="5"/>
  <c r="L478" i="5" s="1"/>
  <c r="R478" i="5"/>
  <c r="O479" i="5"/>
  <c r="L479" i="5" s="1"/>
  <c r="R479" i="5"/>
  <c r="O480" i="5"/>
  <c r="L480" i="5" s="1"/>
  <c r="R480" i="5"/>
  <c r="O481" i="5"/>
  <c r="L481" i="5" s="1"/>
  <c r="R481" i="5"/>
  <c r="O482" i="5"/>
  <c r="L482" i="5" s="1"/>
  <c r="R482" i="5"/>
  <c r="O483" i="5"/>
  <c r="L483" i="5" s="1"/>
  <c r="R483" i="5"/>
  <c r="O484" i="5"/>
  <c r="L484" i="5" s="1"/>
  <c r="R484" i="5"/>
  <c r="O485" i="5"/>
  <c r="L485" i="5" s="1"/>
  <c r="R485" i="5"/>
  <c r="O486" i="5"/>
  <c r="L486" i="5" s="1"/>
  <c r="R486" i="5"/>
  <c r="O487" i="5"/>
  <c r="L487" i="5" s="1"/>
  <c r="R487" i="5"/>
  <c r="O488" i="5"/>
  <c r="L488" i="5" s="1"/>
  <c r="R488" i="5"/>
  <c r="O489" i="5"/>
  <c r="L489" i="5" s="1"/>
  <c r="R489" i="5"/>
  <c r="O490" i="5"/>
  <c r="L490" i="5" s="1"/>
  <c r="R490" i="5"/>
  <c r="O491" i="5"/>
  <c r="L491" i="5" s="1"/>
  <c r="R491" i="5"/>
  <c r="O492" i="5"/>
  <c r="L492" i="5" s="1"/>
  <c r="R492" i="5"/>
  <c r="O493" i="5"/>
  <c r="L493" i="5" s="1"/>
  <c r="R493" i="5"/>
  <c r="O494" i="5"/>
  <c r="L494" i="5" s="1"/>
  <c r="R494" i="5"/>
  <c r="O495" i="5"/>
  <c r="L495" i="5" s="1"/>
  <c r="R495" i="5"/>
  <c r="O496" i="5"/>
  <c r="L496" i="5" s="1"/>
  <c r="R496" i="5"/>
  <c r="O497" i="5"/>
  <c r="L497" i="5" s="1"/>
  <c r="R497" i="5"/>
  <c r="O498" i="5"/>
  <c r="L498" i="5" s="1"/>
  <c r="R498" i="5"/>
  <c r="O499" i="5"/>
  <c r="L499" i="5" s="1"/>
  <c r="R499" i="5"/>
  <c r="O500" i="5"/>
  <c r="L500" i="5" s="1"/>
  <c r="R500" i="5"/>
  <c r="O501" i="5"/>
  <c r="L501" i="5" s="1"/>
  <c r="R501" i="5"/>
  <c r="O502" i="5"/>
  <c r="L502" i="5" s="1"/>
  <c r="R502" i="5"/>
  <c r="O503" i="5"/>
  <c r="L503" i="5" s="1"/>
  <c r="R503" i="5"/>
  <c r="O504" i="5"/>
  <c r="L504" i="5" s="1"/>
  <c r="R504" i="5"/>
  <c r="O505" i="5"/>
  <c r="L505" i="5" s="1"/>
  <c r="R505" i="5"/>
  <c r="O506" i="5"/>
  <c r="L506" i="5" s="1"/>
  <c r="R506" i="5"/>
  <c r="O507" i="5"/>
  <c r="L507" i="5" s="1"/>
  <c r="R507" i="5"/>
  <c r="O508" i="5"/>
  <c r="L508" i="5" s="1"/>
  <c r="R508" i="5"/>
  <c r="O509" i="5"/>
  <c r="L509" i="5" s="1"/>
  <c r="R509" i="5"/>
  <c r="O510" i="5"/>
  <c r="L510" i="5" s="1"/>
  <c r="R510" i="5"/>
  <c r="O511" i="5"/>
  <c r="L511" i="5" s="1"/>
  <c r="R511" i="5"/>
  <c r="O512" i="5"/>
  <c r="L512" i="5" s="1"/>
  <c r="R512" i="5"/>
  <c r="O513" i="5"/>
  <c r="L513" i="5" s="1"/>
  <c r="R513" i="5"/>
  <c r="O514" i="5"/>
  <c r="L514" i="5" s="1"/>
  <c r="R514" i="5"/>
  <c r="O515" i="5"/>
  <c r="L515" i="5" s="1"/>
  <c r="R515" i="5"/>
  <c r="O516" i="5"/>
  <c r="L516" i="5" s="1"/>
  <c r="R516" i="5"/>
  <c r="O517" i="5"/>
  <c r="L517" i="5" s="1"/>
  <c r="R517" i="5"/>
  <c r="O518" i="5"/>
  <c r="L518" i="5" s="1"/>
  <c r="R518" i="5"/>
  <c r="O519" i="5"/>
  <c r="L519" i="5" s="1"/>
  <c r="R519" i="5"/>
  <c r="O520" i="5"/>
  <c r="L520" i="5" s="1"/>
  <c r="R520" i="5"/>
  <c r="O521" i="5"/>
  <c r="L521" i="5" s="1"/>
  <c r="R521" i="5"/>
  <c r="O522" i="5"/>
  <c r="L522" i="5" s="1"/>
  <c r="R522" i="5"/>
  <c r="O523" i="5"/>
  <c r="L523" i="5" s="1"/>
  <c r="R523" i="5"/>
  <c r="O524" i="5"/>
  <c r="L524" i="5" s="1"/>
  <c r="R524" i="5"/>
  <c r="O525" i="5"/>
  <c r="L525" i="5" s="1"/>
  <c r="R525" i="5"/>
  <c r="O526" i="5"/>
  <c r="L526" i="5" s="1"/>
  <c r="R526" i="5"/>
  <c r="O527" i="5"/>
  <c r="L527" i="5" s="1"/>
  <c r="R527" i="5"/>
  <c r="O528" i="5"/>
  <c r="L528" i="5" s="1"/>
  <c r="R528" i="5"/>
  <c r="O529" i="5"/>
  <c r="L529" i="5" s="1"/>
  <c r="R529" i="5"/>
  <c r="O530" i="5"/>
  <c r="L530" i="5" s="1"/>
  <c r="R530" i="5"/>
  <c r="O531" i="5"/>
  <c r="L531" i="5" s="1"/>
  <c r="R531" i="5"/>
  <c r="O532" i="5"/>
  <c r="L532" i="5" s="1"/>
  <c r="R532" i="5"/>
  <c r="O533" i="5"/>
  <c r="L533" i="5" s="1"/>
  <c r="R533" i="5"/>
  <c r="O534" i="5"/>
  <c r="L534" i="5" s="1"/>
  <c r="R534" i="5"/>
  <c r="O535" i="5"/>
  <c r="L535" i="5" s="1"/>
  <c r="R535" i="5"/>
  <c r="O536" i="5"/>
  <c r="L536" i="5" s="1"/>
  <c r="R536" i="5"/>
  <c r="O537" i="5"/>
  <c r="L537" i="5" s="1"/>
  <c r="R537" i="5"/>
  <c r="O538" i="5"/>
  <c r="L538" i="5" s="1"/>
  <c r="R538" i="5"/>
  <c r="O539" i="5"/>
  <c r="L539" i="5" s="1"/>
  <c r="R539" i="5"/>
  <c r="O540" i="5"/>
  <c r="L540" i="5" s="1"/>
  <c r="R540" i="5"/>
  <c r="O541" i="5"/>
  <c r="L541" i="5" s="1"/>
  <c r="R541" i="5"/>
  <c r="O542" i="5"/>
  <c r="L542" i="5" s="1"/>
  <c r="R542" i="5"/>
  <c r="O543" i="5"/>
  <c r="L543" i="5" s="1"/>
  <c r="R543" i="5"/>
  <c r="O544" i="5"/>
  <c r="L544" i="5" s="1"/>
  <c r="R544" i="5"/>
  <c r="O545" i="5"/>
  <c r="L545" i="5" s="1"/>
  <c r="R545" i="5"/>
  <c r="O546" i="5"/>
  <c r="L546" i="5" s="1"/>
  <c r="R546" i="5"/>
  <c r="O547" i="5"/>
  <c r="L547" i="5" s="1"/>
  <c r="R547" i="5"/>
  <c r="O548" i="5"/>
  <c r="L548" i="5" s="1"/>
  <c r="R548" i="5"/>
  <c r="O549" i="5"/>
  <c r="L549" i="5" s="1"/>
  <c r="R549" i="5"/>
  <c r="O550" i="5"/>
  <c r="L550" i="5" s="1"/>
  <c r="R550" i="5"/>
  <c r="O551" i="5"/>
  <c r="L551" i="5" s="1"/>
  <c r="R551" i="5"/>
  <c r="O552" i="5"/>
  <c r="L552" i="5" s="1"/>
  <c r="R552" i="5"/>
  <c r="O553" i="5"/>
  <c r="L553" i="5" s="1"/>
  <c r="R553" i="5"/>
  <c r="O554" i="5"/>
  <c r="L554" i="5" s="1"/>
  <c r="R554" i="5"/>
  <c r="O555" i="5"/>
  <c r="L555" i="5" s="1"/>
  <c r="R555" i="5"/>
  <c r="O556" i="5"/>
  <c r="L556" i="5" s="1"/>
  <c r="R556" i="5"/>
  <c r="O557" i="5"/>
  <c r="L557" i="5" s="1"/>
  <c r="R557" i="5"/>
  <c r="O558" i="5"/>
  <c r="L558" i="5" s="1"/>
  <c r="R558" i="5"/>
  <c r="O559" i="5"/>
  <c r="L559" i="5" s="1"/>
  <c r="R559" i="5"/>
  <c r="O560" i="5"/>
  <c r="L560" i="5" s="1"/>
  <c r="R560" i="5"/>
  <c r="O561" i="5"/>
  <c r="L561" i="5" s="1"/>
  <c r="R561" i="5"/>
  <c r="O562" i="5"/>
  <c r="L562" i="5" s="1"/>
  <c r="R562" i="5"/>
  <c r="O563" i="5"/>
  <c r="L563" i="5" s="1"/>
  <c r="R563" i="5"/>
  <c r="O564" i="5"/>
  <c r="L564" i="5" s="1"/>
  <c r="R564" i="5"/>
  <c r="O565" i="5"/>
  <c r="L565" i="5" s="1"/>
  <c r="R565" i="5"/>
  <c r="O566" i="5"/>
  <c r="L566" i="5" s="1"/>
  <c r="R566" i="5"/>
  <c r="O567" i="5"/>
  <c r="L567" i="5" s="1"/>
  <c r="R567" i="5"/>
  <c r="O568" i="5"/>
  <c r="L568" i="5" s="1"/>
  <c r="R568" i="5"/>
  <c r="O569" i="5"/>
  <c r="L569" i="5" s="1"/>
  <c r="R569" i="5"/>
  <c r="O570" i="5"/>
  <c r="L570" i="5" s="1"/>
  <c r="R570" i="5"/>
  <c r="O571" i="5"/>
  <c r="L571" i="5" s="1"/>
  <c r="R571" i="5"/>
  <c r="O572" i="5"/>
  <c r="L572" i="5" s="1"/>
  <c r="R572" i="5"/>
  <c r="O573" i="5"/>
  <c r="L573" i="5" s="1"/>
  <c r="R573" i="5"/>
  <c r="O574" i="5"/>
  <c r="L574" i="5" s="1"/>
  <c r="R574" i="5"/>
  <c r="O575" i="5"/>
  <c r="L575" i="5" s="1"/>
  <c r="R575" i="5"/>
  <c r="O576" i="5"/>
  <c r="L576" i="5" s="1"/>
  <c r="R576" i="5"/>
  <c r="O577" i="5"/>
  <c r="L577" i="5" s="1"/>
  <c r="R577" i="5"/>
  <c r="O578" i="5"/>
  <c r="L578" i="5" s="1"/>
  <c r="R578" i="5"/>
  <c r="O579" i="5"/>
  <c r="L579" i="5" s="1"/>
  <c r="R579" i="5"/>
  <c r="O580" i="5"/>
  <c r="L580" i="5" s="1"/>
  <c r="R580" i="5"/>
  <c r="O581" i="5"/>
  <c r="L581" i="5" s="1"/>
  <c r="R581" i="5"/>
  <c r="O582" i="5"/>
  <c r="L582" i="5" s="1"/>
  <c r="R582" i="5"/>
  <c r="O583" i="5"/>
  <c r="L583" i="5" s="1"/>
  <c r="R583" i="5"/>
  <c r="O584" i="5"/>
  <c r="L584" i="5" s="1"/>
  <c r="R584" i="5"/>
  <c r="O585" i="5"/>
  <c r="L585" i="5" s="1"/>
  <c r="R585" i="5"/>
  <c r="O586" i="5"/>
  <c r="L586" i="5" s="1"/>
  <c r="R586" i="5"/>
  <c r="O587" i="5"/>
  <c r="L587" i="5" s="1"/>
  <c r="R587" i="5"/>
  <c r="O588" i="5"/>
  <c r="L588" i="5" s="1"/>
  <c r="R588" i="5"/>
  <c r="O589" i="5"/>
  <c r="L589" i="5" s="1"/>
  <c r="R589" i="5"/>
  <c r="O590" i="5"/>
  <c r="L590" i="5" s="1"/>
  <c r="R590" i="5"/>
  <c r="O591" i="5"/>
  <c r="L591" i="5" s="1"/>
  <c r="R591" i="5"/>
  <c r="O592" i="5"/>
  <c r="L592" i="5" s="1"/>
  <c r="R592" i="5"/>
  <c r="O593" i="5"/>
  <c r="L593" i="5" s="1"/>
  <c r="R593" i="5"/>
  <c r="O594" i="5"/>
  <c r="L594" i="5" s="1"/>
  <c r="R594" i="5"/>
  <c r="O595" i="5"/>
  <c r="L595" i="5" s="1"/>
  <c r="R595" i="5"/>
  <c r="O596" i="5"/>
  <c r="L596" i="5" s="1"/>
  <c r="R596" i="5"/>
  <c r="O597" i="5"/>
  <c r="L597" i="5" s="1"/>
  <c r="R597" i="5"/>
  <c r="O598" i="5"/>
  <c r="L598" i="5" s="1"/>
  <c r="R598" i="5"/>
  <c r="O599" i="5"/>
  <c r="L599" i="5" s="1"/>
  <c r="R599" i="5"/>
  <c r="O600" i="5"/>
  <c r="L600" i="5" s="1"/>
  <c r="R600" i="5"/>
  <c r="O601" i="5"/>
  <c r="L601" i="5" s="1"/>
  <c r="R601" i="5"/>
  <c r="O602" i="5"/>
  <c r="L602" i="5" s="1"/>
  <c r="R602" i="5"/>
  <c r="O603" i="5"/>
  <c r="L603" i="5" s="1"/>
  <c r="R603" i="5"/>
  <c r="O604" i="5"/>
  <c r="L604" i="5" s="1"/>
  <c r="R604" i="5"/>
  <c r="O605" i="5"/>
  <c r="L605" i="5" s="1"/>
  <c r="R605" i="5"/>
  <c r="O606" i="5"/>
  <c r="L606" i="5" s="1"/>
  <c r="R606" i="5"/>
  <c r="O607" i="5"/>
  <c r="L607" i="5" s="1"/>
  <c r="R607" i="5"/>
  <c r="O608" i="5"/>
  <c r="L608" i="5" s="1"/>
  <c r="R608" i="5"/>
  <c r="O609" i="5"/>
  <c r="L609" i="5" s="1"/>
  <c r="R609" i="5"/>
  <c r="O610" i="5"/>
  <c r="L610" i="5" s="1"/>
  <c r="R610" i="5"/>
  <c r="O611" i="5"/>
  <c r="L611" i="5" s="1"/>
  <c r="R611" i="5"/>
  <c r="O612" i="5"/>
  <c r="L612" i="5" s="1"/>
  <c r="R612" i="5"/>
  <c r="O613" i="5"/>
  <c r="L613" i="5" s="1"/>
  <c r="R613" i="5"/>
  <c r="O614" i="5"/>
  <c r="L614" i="5" s="1"/>
  <c r="R614" i="5"/>
  <c r="O615" i="5"/>
  <c r="L615" i="5" s="1"/>
  <c r="R615" i="5"/>
  <c r="O616" i="5"/>
  <c r="L616" i="5" s="1"/>
  <c r="R616" i="5"/>
  <c r="O617" i="5"/>
  <c r="L617" i="5" s="1"/>
  <c r="R617" i="5"/>
  <c r="O618" i="5"/>
  <c r="L618" i="5" s="1"/>
  <c r="R618" i="5"/>
  <c r="O619" i="5"/>
  <c r="L619" i="5" s="1"/>
  <c r="R619" i="5"/>
  <c r="O620" i="5"/>
  <c r="L620" i="5" s="1"/>
  <c r="R620" i="5"/>
  <c r="O621" i="5"/>
  <c r="L621" i="5" s="1"/>
  <c r="R621" i="5"/>
  <c r="O622" i="5"/>
  <c r="L622" i="5" s="1"/>
  <c r="R622" i="5"/>
  <c r="O623" i="5"/>
  <c r="L623" i="5" s="1"/>
  <c r="R623" i="5"/>
  <c r="O624" i="5"/>
  <c r="L624" i="5" s="1"/>
  <c r="R624" i="5"/>
  <c r="O625" i="5"/>
  <c r="L625" i="5" s="1"/>
  <c r="R625" i="5"/>
  <c r="O626" i="5"/>
  <c r="L626" i="5" s="1"/>
  <c r="R626" i="5"/>
  <c r="O627" i="5"/>
  <c r="L627" i="5" s="1"/>
  <c r="R627" i="5"/>
  <c r="O628" i="5"/>
  <c r="L628" i="5" s="1"/>
  <c r="R628" i="5"/>
  <c r="O629" i="5"/>
  <c r="L629" i="5" s="1"/>
  <c r="R629" i="5"/>
  <c r="O630" i="5"/>
  <c r="L630" i="5" s="1"/>
  <c r="R630" i="5"/>
  <c r="O631" i="5"/>
  <c r="L631" i="5" s="1"/>
  <c r="R631" i="5"/>
  <c r="O632" i="5"/>
  <c r="L632" i="5" s="1"/>
  <c r="R632" i="5"/>
  <c r="O633" i="5"/>
  <c r="L633" i="5" s="1"/>
  <c r="R633" i="5"/>
  <c r="O634" i="5"/>
  <c r="L634" i="5" s="1"/>
  <c r="R634" i="5"/>
  <c r="O635" i="5"/>
  <c r="L635" i="5" s="1"/>
  <c r="R635" i="5"/>
  <c r="O636" i="5"/>
  <c r="L636" i="5" s="1"/>
  <c r="R636" i="5"/>
  <c r="O637" i="5"/>
  <c r="L637" i="5" s="1"/>
  <c r="R637" i="5"/>
  <c r="O638" i="5"/>
  <c r="L638" i="5" s="1"/>
  <c r="R638" i="5"/>
  <c r="O639" i="5"/>
  <c r="L639" i="5" s="1"/>
  <c r="R639" i="5"/>
  <c r="O640" i="5"/>
  <c r="L640" i="5" s="1"/>
  <c r="R640" i="5"/>
  <c r="O641" i="5"/>
  <c r="L641" i="5" s="1"/>
  <c r="R641" i="5"/>
  <c r="O642" i="5"/>
  <c r="L642" i="5" s="1"/>
  <c r="R642" i="5"/>
  <c r="O643" i="5"/>
  <c r="L643" i="5" s="1"/>
  <c r="R643" i="5"/>
  <c r="O644" i="5"/>
  <c r="L644" i="5" s="1"/>
  <c r="R644" i="5"/>
  <c r="O645" i="5"/>
  <c r="L645" i="5" s="1"/>
  <c r="R645" i="5"/>
  <c r="O646" i="5"/>
  <c r="L646" i="5" s="1"/>
  <c r="R646" i="5"/>
  <c r="O647" i="5"/>
  <c r="L647" i="5" s="1"/>
  <c r="R647" i="5"/>
  <c r="O648" i="5"/>
  <c r="L648" i="5" s="1"/>
  <c r="R648" i="5"/>
  <c r="O649" i="5"/>
  <c r="L649" i="5" s="1"/>
  <c r="R649" i="5"/>
  <c r="O650" i="5"/>
  <c r="L650" i="5" s="1"/>
  <c r="R650" i="5"/>
  <c r="O651" i="5"/>
  <c r="L651" i="5" s="1"/>
  <c r="R651" i="5"/>
  <c r="O652" i="5"/>
  <c r="L652" i="5" s="1"/>
  <c r="R652" i="5"/>
  <c r="O653" i="5"/>
  <c r="L653" i="5" s="1"/>
  <c r="R653" i="5"/>
  <c r="O654" i="5"/>
  <c r="L654" i="5" s="1"/>
  <c r="R654" i="5"/>
  <c r="O655" i="5"/>
  <c r="L655" i="5" s="1"/>
  <c r="R655" i="5"/>
  <c r="O656" i="5"/>
  <c r="L656" i="5" s="1"/>
  <c r="R656" i="5"/>
  <c r="O657" i="5"/>
  <c r="L657" i="5" s="1"/>
  <c r="R657" i="5"/>
  <c r="O658" i="5"/>
  <c r="L658" i="5" s="1"/>
  <c r="R658" i="5"/>
  <c r="O659" i="5"/>
  <c r="L659" i="5" s="1"/>
  <c r="R659" i="5"/>
  <c r="O660" i="5"/>
  <c r="L660" i="5" s="1"/>
  <c r="R660" i="5"/>
  <c r="O661" i="5"/>
  <c r="L661" i="5" s="1"/>
  <c r="R661" i="5"/>
  <c r="O662" i="5"/>
  <c r="L662" i="5" s="1"/>
  <c r="R662" i="5"/>
  <c r="O663" i="5"/>
  <c r="L663" i="5" s="1"/>
  <c r="R663" i="5"/>
  <c r="O664" i="5"/>
  <c r="L664" i="5" s="1"/>
  <c r="R664" i="5"/>
  <c r="O665" i="5"/>
  <c r="L665" i="5" s="1"/>
  <c r="R665" i="5"/>
  <c r="O666" i="5"/>
  <c r="L666" i="5" s="1"/>
  <c r="R666" i="5"/>
  <c r="O667" i="5"/>
  <c r="L667" i="5" s="1"/>
  <c r="R667" i="5"/>
  <c r="O668" i="5"/>
  <c r="L668" i="5" s="1"/>
  <c r="R668" i="5"/>
  <c r="O669" i="5"/>
  <c r="L669" i="5" s="1"/>
  <c r="R669" i="5"/>
  <c r="O670" i="5"/>
  <c r="L670" i="5" s="1"/>
  <c r="R670" i="5"/>
  <c r="O671" i="5"/>
  <c r="L671" i="5" s="1"/>
  <c r="R671" i="5"/>
  <c r="O672" i="5"/>
  <c r="L672" i="5" s="1"/>
  <c r="R672" i="5"/>
  <c r="O673" i="5"/>
  <c r="L673" i="5" s="1"/>
  <c r="R673" i="5"/>
  <c r="O674" i="5"/>
  <c r="L674" i="5" s="1"/>
  <c r="R674" i="5"/>
  <c r="O675" i="5"/>
  <c r="L675" i="5" s="1"/>
  <c r="R675" i="5"/>
  <c r="O676" i="5"/>
  <c r="L676" i="5" s="1"/>
  <c r="R676" i="5"/>
  <c r="O677" i="5"/>
  <c r="L677" i="5" s="1"/>
  <c r="R677" i="5"/>
  <c r="O678" i="5"/>
  <c r="L678" i="5" s="1"/>
  <c r="R678" i="5"/>
  <c r="O679" i="5"/>
  <c r="L679" i="5" s="1"/>
  <c r="R679" i="5"/>
  <c r="O680" i="5"/>
  <c r="L680" i="5" s="1"/>
  <c r="R680" i="5"/>
  <c r="O681" i="5"/>
  <c r="L681" i="5" s="1"/>
  <c r="R681" i="5"/>
  <c r="O682" i="5"/>
  <c r="L682" i="5" s="1"/>
  <c r="R682" i="5"/>
  <c r="O683" i="5"/>
  <c r="L683" i="5" s="1"/>
  <c r="R683" i="5"/>
  <c r="O684" i="5"/>
  <c r="L684" i="5" s="1"/>
  <c r="R684" i="5"/>
  <c r="O685" i="5"/>
  <c r="L685" i="5" s="1"/>
  <c r="R685" i="5"/>
  <c r="O686" i="5"/>
  <c r="L686" i="5" s="1"/>
  <c r="R686" i="5"/>
  <c r="O687" i="5"/>
  <c r="L687" i="5" s="1"/>
  <c r="R687" i="5"/>
  <c r="O688" i="5"/>
  <c r="L688" i="5" s="1"/>
  <c r="R688" i="5"/>
  <c r="O689" i="5"/>
  <c r="L689" i="5" s="1"/>
  <c r="R689" i="5"/>
  <c r="O690" i="5"/>
  <c r="L690" i="5" s="1"/>
  <c r="R690" i="5"/>
  <c r="O691" i="5"/>
  <c r="L691" i="5" s="1"/>
  <c r="R691" i="5"/>
  <c r="O692" i="5"/>
  <c r="L692" i="5" s="1"/>
  <c r="R692" i="5"/>
  <c r="O693" i="5"/>
  <c r="L693" i="5" s="1"/>
  <c r="R693" i="5"/>
  <c r="O694" i="5"/>
  <c r="L694" i="5" s="1"/>
  <c r="R694" i="5"/>
  <c r="O695" i="5"/>
  <c r="L695" i="5" s="1"/>
  <c r="R695" i="5"/>
  <c r="O696" i="5"/>
  <c r="L696" i="5" s="1"/>
  <c r="R696" i="5"/>
  <c r="O697" i="5"/>
  <c r="L697" i="5" s="1"/>
  <c r="R697" i="5"/>
  <c r="O698" i="5"/>
  <c r="L698" i="5" s="1"/>
  <c r="R698" i="5"/>
  <c r="O699" i="5"/>
  <c r="L699" i="5" s="1"/>
  <c r="R699" i="5"/>
  <c r="O700" i="5"/>
  <c r="L700" i="5" s="1"/>
  <c r="R700" i="5"/>
  <c r="O701" i="5"/>
  <c r="L701" i="5" s="1"/>
  <c r="R701" i="5"/>
  <c r="O702" i="5"/>
  <c r="L702" i="5" s="1"/>
  <c r="R702" i="5"/>
  <c r="O703" i="5"/>
  <c r="L703" i="5" s="1"/>
  <c r="R703" i="5"/>
  <c r="O704" i="5"/>
  <c r="L704" i="5" s="1"/>
  <c r="R704" i="5"/>
  <c r="O705" i="5"/>
  <c r="L705" i="5" s="1"/>
  <c r="R705" i="5"/>
  <c r="O706" i="5"/>
  <c r="L706" i="5" s="1"/>
  <c r="R706" i="5"/>
  <c r="O707" i="5"/>
  <c r="L707" i="5" s="1"/>
  <c r="R707" i="5"/>
  <c r="O708" i="5"/>
  <c r="L708" i="5" s="1"/>
  <c r="R708" i="5"/>
  <c r="O709" i="5"/>
  <c r="L709" i="5" s="1"/>
  <c r="R709" i="5"/>
  <c r="O710" i="5"/>
  <c r="L710" i="5" s="1"/>
  <c r="R710" i="5"/>
  <c r="O711" i="5"/>
  <c r="L711" i="5" s="1"/>
  <c r="R711" i="5"/>
  <c r="O712" i="5"/>
  <c r="L712" i="5" s="1"/>
  <c r="R712" i="5"/>
  <c r="O713" i="5"/>
  <c r="L713" i="5" s="1"/>
  <c r="R713" i="5"/>
  <c r="O714" i="5"/>
  <c r="L714" i="5" s="1"/>
  <c r="R714" i="5"/>
  <c r="O715" i="5"/>
  <c r="L715" i="5" s="1"/>
  <c r="R715" i="5"/>
  <c r="O716" i="5"/>
  <c r="L716" i="5" s="1"/>
  <c r="R716" i="5"/>
  <c r="O717" i="5"/>
  <c r="L717" i="5" s="1"/>
  <c r="R717" i="5"/>
  <c r="O718" i="5"/>
  <c r="L718" i="5" s="1"/>
  <c r="R718" i="5"/>
  <c r="O719" i="5"/>
  <c r="L719" i="5" s="1"/>
  <c r="R719" i="5"/>
  <c r="O720" i="5"/>
  <c r="L720" i="5" s="1"/>
  <c r="R720" i="5"/>
  <c r="O721" i="5"/>
  <c r="L721" i="5" s="1"/>
  <c r="R721" i="5"/>
  <c r="O722" i="5"/>
  <c r="L722" i="5" s="1"/>
  <c r="R722" i="5"/>
  <c r="O723" i="5"/>
  <c r="L723" i="5" s="1"/>
  <c r="R723" i="5"/>
  <c r="O724" i="5"/>
  <c r="L724" i="5" s="1"/>
  <c r="R724" i="5"/>
  <c r="O725" i="5"/>
  <c r="L725" i="5" s="1"/>
  <c r="R725" i="5"/>
  <c r="O726" i="5"/>
  <c r="L726" i="5" s="1"/>
  <c r="R726" i="5"/>
  <c r="O727" i="5"/>
  <c r="L727" i="5" s="1"/>
  <c r="R727" i="5"/>
  <c r="O728" i="5"/>
  <c r="L728" i="5" s="1"/>
  <c r="R728" i="5"/>
  <c r="O729" i="5"/>
  <c r="L729" i="5" s="1"/>
  <c r="R729" i="5"/>
  <c r="O730" i="5"/>
  <c r="L730" i="5" s="1"/>
  <c r="R730" i="5"/>
  <c r="O731" i="5"/>
  <c r="L731" i="5" s="1"/>
  <c r="R731" i="5"/>
  <c r="O732" i="5"/>
  <c r="L732" i="5" s="1"/>
  <c r="R732" i="5"/>
  <c r="O733" i="5"/>
  <c r="L733" i="5" s="1"/>
  <c r="R733" i="5"/>
  <c r="O734" i="5"/>
  <c r="L734" i="5" s="1"/>
  <c r="R734" i="5"/>
  <c r="O735" i="5"/>
  <c r="L735" i="5" s="1"/>
  <c r="R735" i="5"/>
  <c r="O736" i="5"/>
  <c r="L736" i="5" s="1"/>
  <c r="R736" i="5"/>
  <c r="O737" i="5"/>
  <c r="L737" i="5" s="1"/>
  <c r="R737" i="5"/>
  <c r="O738" i="5"/>
  <c r="L738" i="5" s="1"/>
  <c r="R738" i="5"/>
  <c r="O739" i="5"/>
  <c r="L739" i="5" s="1"/>
  <c r="R739" i="5"/>
  <c r="O740" i="5"/>
  <c r="L740" i="5" s="1"/>
  <c r="R740" i="5"/>
  <c r="O741" i="5"/>
  <c r="L741" i="5" s="1"/>
  <c r="R741" i="5"/>
  <c r="O742" i="5"/>
  <c r="L742" i="5" s="1"/>
  <c r="R742" i="5"/>
  <c r="O743" i="5"/>
  <c r="L743" i="5" s="1"/>
  <c r="R743" i="5"/>
  <c r="O744" i="5"/>
  <c r="L744" i="5" s="1"/>
  <c r="R744" i="5"/>
  <c r="O745" i="5"/>
  <c r="L745" i="5" s="1"/>
  <c r="R745" i="5"/>
  <c r="O746" i="5"/>
  <c r="L746" i="5" s="1"/>
  <c r="R746" i="5"/>
  <c r="O747" i="5"/>
  <c r="L747" i="5" s="1"/>
  <c r="R747" i="5"/>
  <c r="O748" i="5"/>
  <c r="L748" i="5" s="1"/>
  <c r="R748" i="5"/>
  <c r="O749" i="5"/>
  <c r="L749" i="5" s="1"/>
  <c r="R749" i="5"/>
  <c r="O750" i="5"/>
  <c r="L750" i="5" s="1"/>
  <c r="R750" i="5"/>
  <c r="O751" i="5"/>
  <c r="L751" i="5" s="1"/>
  <c r="R751" i="5"/>
  <c r="O752" i="5"/>
  <c r="L752" i="5" s="1"/>
  <c r="R752" i="5"/>
  <c r="O753" i="5"/>
  <c r="L753" i="5" s="1"/>
  <c r="R753" i="5"/>
  <c r="O754" i="5"/>
  <c r="L754" i="5" s="1"/>
  <c r="R754" i="5"/>
  <c r="O755" i="5"/>
  <c r="L755" i="5" s="1"/>
  <c r="R755" i="5"/>
  <c r="O756" i="5"/>
  <c r="L756" i="5" s="1"/>
  <c r="R756" i="5"/>
  <c r="O757" i="5"/>
  <c r="L757" i="5" s="1"/>
  <c r="R757" i="5"/>
  <c r="O758" i="5"/>
  <c r="L758" i="5" s="1"/>
  <c r="R758" i="5"/>
  <c r="O759" i="5"/>
  <c r="L759" i="5" s="1"/>
  <c r="R759" i="5"/>
  <c r="O760" i="5"/>
  <c r="L760" i="5" s="1"/>
  <c r="R760" i="5"/>
  <c r="O761" i="5"/>
  <c r="L761" i="5" s="1"/>
  <c r="R761" i="5"/>
  <c r="O762" i="5"/>
  <c r="L762" i="5" s="1"/>
  <c r="R762" i="5"/>
  <c r="O763" i="5"/>
  <c r="L763" i="5" s="1"/>
  <c r="R763" i="5"/>
  <c r="O764" i="5"/>
  <c r="L764" i="5" s="1"/>
  <c r="R764" i="5"/>
  <c r="O765" i="5"/>
  <c r="L765" i="5" s="1"/>
  <c r="R765" i="5"/>
  <c r="O766" i="5"/>
  <c r="L766" i="5" s="1"/>
  <c r="R766" i="5"/>
  <c r="O767" i="5"/>
  <c r="L767" i="5" s="1"/>
  <c r="R767" i="5"/>
  <c r="O768" i="5"/>
  <c r="L768" i="5" s="1"/>
  <c r="R768" i="5"/>
  <c r="O769" i="5"/>
  <c r="L769" i="5" s="1"/>
  <c r="R769" i="5"/>
  <c r="O770" i="5"/>
  <c r="L770" i="5" s="1"/>
  <c r="R770" i="5"/>
  <c r="O771" i="5"/>
  <c r="L771" i="5" s="1"/>
  <c r="R771" i="5"/>
  <c r="O772" i="5"/>
  <c r="L772" i="5" s="1"/>
  <c r="R772" i="5"/>
  <c r="O773" i="5"/>
  <c r="L773" i="5" s="1"/>
  <c r="R773" i="5"/>
  <c r="O774" i="5"/>
  <c r="L774" i="5" s="1"/>
  <c r="R774" i="5"/>
  <c r="O775" i="5"/>
  <c r="L775" i="5" s="1"/>
  <c r="R775" i="5"/>
  <c r="O776" i="5"/>
  <c r="L776" i="5" s="1"/>
  <c r="R776" i="5"/>
  <c r="O777" i="5"/>
  <c r="L777" i="5" s="1"/>
  <c r="R777" i="5"/>
  <c r="O778" i="5"/>
  <c r="L778" i="5" s="1"/>
  <c r="R778" i="5"/>
  <c r="O779" i="5"/>
  <c r="L779" i="5" s="1"/>
  <c r="R779" i="5"/>
  <c r="O780" i="5"/>
  <c r="L780" i="5" s="1"/>
  <c r="R780" i="5"/>
  <c r="O781" i="5"/>
  <c r="L781" i="5" s="1"/>
  <c r="R781" i="5"/>
  <c r="O782" i="5"/>
  <c r="L782" i="5" s="1"/>
  <c r="R782" i="5"/>
  <c r="O783" i="5"/>
  <c r="L783" i="5" s="1"/>
  <c r="R783" i="5"/>
  <c r="O784" i="5"/>
  <c r="L784" i="5" s="1"/>
  <c r="R784" i="5"/>
  <c r="O785" i="5"/>
  <c r="L785" i="5" s="1"/>
  <c r="R785" i="5"/>
  <c r="O786" i="5"/>
  <c r="L786" i="5" s="1"/>
  <c r="R786" i="5"/>
  <c r="O787" i="5"/>
  <c r="L787" i="5" s="1"/>
  <c r="R787" i="5"/>
  <c r="O788" i="5"/>
  <c r="L788" i="5" s="1"/>
  <c r="R788" i="5"/>
  <c r="O789" i="5"/>
  <c r="L789" i="5" s="1"/>
  <c r="R789" i="5"/>
  <c r="O790" i="5"/>
  <c r="L790" i="5" s="1"/>
  <c r="R790" i="5"/>
  <c r="O791" i="5"/>
  <c r="L791" i="5" s="1"/>
  <c r="R791" i="5"/>
  <c r="O792" i="5"/>
  <c r="L792" i="5" s="1"/>
  <c r="R792" i="5"/>
  <c r="O793" i="5"/>
  <c r="L793" i="5" s="1"/>
  <c r="R793" i="5"/>
  <c r="O794" i="5"/>
  <c r="L794" i="5" s="1"/>
  <c r="R794" i="5"/>
  <c r="O795" i="5"/>
  <c r="L795" i="5" s="1"/>
  <c r="R795" i="5"/>
  <c r="O796" i="5"/>
  <c r="L796" i="5" s="1"/>
  <c r="R796" i="5"/>
  <c r="O797" i="5"/>
  <c r="L797" i="5" s="1"/>
  <c r="R797" i="5"/>
  <c r="O798" i="5"/>
  <c r="L798" i="5" s="1"/>
  <c r="R798" i="5"/>
  <c r="O799" i="5"/>
  <c r="L799" i="5" s="1"/>
  <c r="R799" i="5"/>
  <c r="O800" i="5"/>
  <c r="L800" i="5" s="1"/>
  <c r="R800" i="5"/>
  <c r="O801" i="5"/>
  <c r="L801" i="5" s="1"/>
  <c r="R801" i="5"/>
  <c r="O802" i="5"/>
  <c r="L802" i="5" s="1"/>
  <c r="R802" i="5"/>
  <c r="O803" i="5"/>
  <c r="L803" i="5" s="1"/>
  <c r="R803" i="5"/>
  <c r="O804" i="5"/>
  <c r="L804" i="5" s="1"/>
  <c r="R804" i="5"/>
  <c r="O805" i="5"/>
  <c r="L805" i="5" s="1"/>
  <c r="R805" i="5"/>
  <c r="O806" i="5"/>
  <c r="L806" i="5" s="1"/>
  <c r="R806" i="5"/>
  <c r="O807" i="5"/>
  <c r="L807" i="5" s="1"/>
  <c r="R807" i="5"/>
  <c r="O808" i="5"/>
  <c r="L808" i="5" s="1"/>
  <c r="R808" i="5"/>
  <c r="O809" i="5"/>
  <c r="L809" i="5" s="1"/>
  <c r="R809" i="5"/>
  <c r="O810" i="5"/>
  <c r="L810" i="5" s="1"/>
  <c r="R810" i="5"/>
  <c r="O811" i="5"/>
  <c r="L811" i="5" s="1"/>
  <c r="R811" i="5"/>
  <c r="O812" i="5"/>
  <c r="L812" i="5" s="1"/>
  <c r="R812" i="5"/>
  <c r="O813" i="5"/>
  <c r="L813" i="5" s="1"/>
  <c r="R813" i="5"/>
  <c r="O814" i="5"/>
  <c r="L814" i="5" s="1"/>
  <c r="R814" i="5"/>
  <c r="O815" i="5"/>
  <c r="L815" i="5" s="1"/>
  <c r="R815" i="5"/>
  <c r="O816" i="5"/>
  <c r="L816" i="5" s="1"/>
  <c r="R816" i="5"/>
  <c r="O817" i="5"/>
  <c r="L817" i="5" s="1"/>
  <c r="R817" i="5"/>
  <c r="O818" i="5"/>
  <c r="L818" i="5" s="1"/>
  <c r="R818" i="5"/>
  <c r="O819" i="5"/>
  <c r="L819" i="5" s="1"/>
  <c r="R819" i="5"/>
  <c r="O820" i="5"/>
  <c r="L820" i="5" s="1"/>
  <c r="R820" i="5"/>
  <c r="O821" i="5"/>
  <c r="L821" i="5" s="1"/>
  <c r="R821" i="5"/>
  <c r="O822" i="5"/>
  <c r="L822" i="5" s="1"/>
  <c r="R822" i="5"/>
  <c r="O823" i="5"/>
  <c r="L823" i="5" s="1"/>
  <c r="R823" i="5"/>
  <c r="O824" i="5"/>
  <c r="L824" i="5" s="1"/>
  <c r="R824" i="5"/>
  <c r="O825" i="5"/>
  <c r="L825" i="5" s="1"/>
  <c r="R825" i="5"/>
  <c r="O826" i="5"/>
  <c r="L826" i="5" s="1"/>
  <c r="R826" i="5"/>
  <c r="O827" i="5"/>
  <c r="L827" i="5" s="1"/>
  <c r="R827" i="5"/>
  <c r="O828" i="5"/>
  <c r="L828" i="5" s="1"/>
  <c r="R828" i="5"/>
  <c r="O829" i="5"/>
  <c r="L829" i="5" s="1"/>
  <c r="R829" i="5"/>
  <c r="O830" i="5"/>
  <c r="L830" i="5" s="1"/>
  <c r="R830" i="5"/>
  <c r="O831" i="5"/>
  <c r="L831" i="5" s="1"/>
  <c r="R831" i="5"/>
  <c r="O832" i="5"/>
  <c r="L832" i="5" s="1"/>
  <c r="R832" i="5"/>
  <c r="O833" i="5"/>
  <c r="L833" i="5" s="1"/>
  <c r="R833" i="5"/>
  <c r="O834" i="5"/>
  <c r="L834" i="5" s="1"/>
  <c r="R834" i="5"/>
  <c r="O835" i="5"/>
  <c r="L835" i="5" s="1"/>
  <c r="R835" i="5"/>
  <c r="O836" i="5"/>
  <c r="L836" i="5" s="1"/>
  <c r="R836" i="5"/>
  <c r="O837" i="5"/>
  <c r="L837" i="5" s="1"/>
  <c r="R837" i="5"/>
  <c r="O838" i="5"/>
  <c r="L838" i="5" s="1"/>
  <c r="R838" i="5"/>
  <c r="O839" i="5"/>
  <c r="L839" i="5" s="1"/>
  <c r="R839" i="5"/>
  <c r="O840" i="5"/>
  <c r="L840" i="5" s="1"/>
  <c r="R840" i="5"/>
  <c r="O841" i="5"/>
  <c r="L841" i="5" s="1"/>
  <c r="R841" i="5"/>
  <c r="O842" i="5"/>
  <c r="L842" i="5" s="1"/>
  <c r="R842" i="5"/>
  <c r="O843" i="5"/>
  <c r="L843" i="5" s="1"/>
  <c r="R843" i="5"/>
  <c r="O844" i="5"/>
  <c r="L844" i="5" s="1"/>
  <c r="R844" i="5"/>
  <c r="O845" i="5"/>
  <c r="L845" i="5" s="1"/>
  <c r="R845" i="5"/>
  <c r="O846" i="5"/>
  <c r="L846" i="5" s="1"/>
  <c r="R846" i="5"/>
  <c r="O847" i="5"/>
  <c r="L847" i="5" s="1"/>
  <c r="R847" i="5"/>
  <c r="O848" i="5"/>
  <c r="L848" i="5" s="1"/>
  <c r="R848" i="5"/>
  <c r="O849" i="5"/>
  <c r="L849" i="5" s="1"/>
  <c r="R849" i="5"/>
  <c r="O850" i="5"/>
  <c r="L850" i="5" s="1"/>
  <c r="R850" i="5"/>
  <c r="O851" i="5"/>
  <c r="L851" i="5" s="1"/>
  <c r="R851" i="5"/>
  <c r="O852" i="5"/>
  <c r="L852" i="5" s="1"/>
  <c r="R852" i="5"/>
  <c r="O853" i="5"/>
  <c r="L853" i="5" s="1"/>
  <c r="R853" i="5"/>
  <c r="O854" i="5"/>
  <c r="L854" i="5" s="1"/>
  <c r="R854" i="5"/>
  <c r="O855" i="5"/>
  <c r="L855" i="5" s="1"/>
  <c r="R855" i="5"/>
  <c r="O856" i="5"/>
  <c r="L856" i="5" s="1"/>
  <c r="R856" i="5"/>
  <c r="O857" i="5"/>
  <c r="L857" i="5" s="1"/>
  <c r="R857" i="5"/>
  <c r="O858" i="5"/>
  <c r="L858" i="5" s="1"/>
  <c r="R858" i="5"/>
  <c r="O859" i="5"/>
  <c r="L859" i="5" s="1"/>
  <c r="R859" i="5"/>
  <c r="O860" i="5"/>
  <c r="L860" i="5" s="1"/>
  <c r="R860" i="5"/>
  <c r="O861" i="5"/>
  <c r="L861" i="5" s="1"/>
  <c r="R861" i="5"/>
  <c r="O862" i="5"/>
  <c r="L862" i="5" s="1"/>
  <c r="R862" i="5"/>
  <c r="O863" i="5"/>
  <c r="L863" i="5" s="1"/>
  <c r="R863" i="5"/>
  <c r="O864" i="5"/>
  <c r="L864" i="5" s="1"/>
  <c r="R864" i="5"/>
  <c r="O865" i="5"/>
  <c r="L865" i="5" s="1"/>
  <c r="R865" i="5"/>
  <c r="O866" i="5"/>
  <c r="L866" i="5" s="1"/>
  <c r="R866" i="5"/>
  <c r="O867" i="5"/>
  <c r="L867" i="5" s="1"/>
  <c r="R867" i="5"/>
  <c r="O868" i="5"/>
  <c r="L868" i="5" s="1"/>
  <c r="R868" i="5"/>
  <c r="O869" i="5"/>
  <c r="L869" i="5" s="1"/>
  <c r="R869" i="5"/>
  <c r="O870" i="5"/>
  <c r="L870" i="5" s="1"/>
  <c r="R870" i="5"/>
  <c r="O871" i="5"/>
  <c r="L871" i="5" s="1"/>
  <c r="R871" i="5"/>
  <c r="O872" i="5"/>
  <c r="L872" i="5" s="1"/>
  <c r="R872" i="5"/>
  <c r="O873" i="5"/>
  <c r="L873" i="5" s="1"/>
  <c r="R873" i="5"/>
  <c r="O874" i="5"/>
  <c r="L874" i="5" s="1"/>
  <c r="R874" i="5"/>
  <c r="O875" i="5"/>
  <c r="L875" i="5" s="1"/>
  <c r="R875" i="5"/>
  <c r="O876" i="5"/>
  <c r="L876" i="5" s="1"/>
  <c r="R876" i="5"/>
  <c r="O877" i="5"/>
  <c r="L877" i="5" s="1"/>
  <c r="R877" i="5"/>
  <c r="O878" i="5"/>
  <c r="L878" i="5" s="1"/>
  <c r="R878" i="5"/>
  <c r="O879" i="5"/>
  <c r="L879" i="5" s="1"/>
  <c r="R879" i="5"/>
  <c r="O880" i="5"/>
  <c r="L880" i="5" s="1"/>
  <c r="R880" i="5"/>
  <c r="O881" i="5"/>
  <c r="L881" i="5" s="1"/>
  <c r="R881" i="5"/>
  <c r="O882" i="5"/>
  <c r="L882" i="5" s="1"/>
  <c r="R882" i="5"/>
  <c r="O883" i="5"/>
  <c r="L883" i="5" s="1"/>
  <c r="R883" i="5"/>
  <c r="O884" i="5"/>
  <c r="L884" i="5" s="1"/>
  <c r="R884" i="5"/>
  <c r="O885" i="5"/>
  <c r="L885" i="5" s="1"/>
  <c r="R885" i="5"/>
  <c r="O886" i="5"/>
  <c r="L886" i="5" s="1"/>
  <c r="R886" i="5"/>
  <c r="O887" i="5"/>
  <c r="L887" i="5" s="1"/>
  <c r="R887" i="5"/>
  <c r="O888" i="5"/>
  <c r="L888" i="5" s="1"/>
  <c r="R888" i="5"/>
  <c r="O889" i="5"/>
  <c r="L889" i="5" s="1"/>
  <c r="R889" i="5"/>
  <c r="O890" i="5"/>
  <c r="L890" i="5" s="1"/>
  <c r="R890" i="5"/>
  <c r="O891" i="5"/>
  <c r="L891" i="5" s="1"/>
  <c r="R891" i="5"/>
  <c r="O892" i="5"/>
  <c r="L892" i="5" s="1"/>
  <c r="R892" i="5"/>
  <c r="O893" i="5"/>
  <c r="L893" i="5" s="1"/>
  <c r="R893" i="5"/>
  <c r="O894" i="5"/>
  <c r="L894" i="5" s="1"/>
  <c r="R894" i="5"/>
  <c r="O895" i="5"/>
  <c r="L895" i="5" s="1"/>
  <c r="R895" i="5"/>
  <c r="O896" i="5"/>
  <c r="L896" i="5" s="1"/>
  <c r="R896" i="5"/>
  <c r="O897" i="5"/>
  <c r="L897" i="5" s="1"/>
  <c r="R897" i="5"/>
  <c r="O898" i="5"/>
  <c r="L898" i="5" s="1"/>
  <c r="R898" i="5"/>
  <c r="O899" i="5"/>
  <c r="L899" i="5" s="1"/>
  <c r="R899" i="5"/>
  <c r="O900" i="5"/>
  <c r="L900" i="5" s="1"/>
  <c r="R900" i="5"/>
  <c r="O901" i="5"/>
  <c r="L901" i="5" s="1"/>
  <c r="R901" i="5"/>
  <c r="O902" i="5"/>
  <c r="L902" i="5" s="1"/>
  <c r="R902" i="5"/>
  <c r="O903" i="5"/>
  <c r="L903" i="5" s="1"/>
  <c r="R903" i="5"/>
  <c r="O904" i="5"/>
  <c r="L904" i="5" s="1"/>
  <c r="R904" i="5"/>
  <c r="O905" i="5"/>
  <c r="L905" i="5" s="1"/>
  <c r="R905" i="5"/>
  <c r="O906" i="5"/>
  <c r="L906" i="5" s="1"/>
  <c r="R906" i="5"/>
  <c r="O907" i="5"/>
  <c r="L907" i="5" s="1"/>
  <c r="R907" i="5"/>
  <c r="O908" i="5"/>
  <c r="L908" i="5" s="1"/>
  <c r="R908" i="5"/>
  <c r="O909" i="5"/>
  <c r="L909" i="5" s="1"/>
  <c r="R909" i="5"/>
  <c r="O910" i="5"/>
  <c r="L910" i="5" s="1"/>
  <c r="R910" i="5"/>
  <c r="O911" i="5"/>
  <c r="L911" i="5" s="1"/>
  <c r="R911" i="5"/>
  <c r="O912" i="5"/>
  <c r="L912" i="5" s="1"/>
  <c r="R912" i="5"/>
  <c r="O913" i="5"/>
  <c r="L913" i="5" s="1"/>
  <c r="R913" i="5"/>
  <c r="O914" i="5"/>
  <c r="L914" i="5" s="1"/>
  <c r="R914" i="5"/>
  <c r="O915" i="5"/>
  <c r="L915" i="5" s="1"/>
  <c r="R915" i="5"/>
  <c r="O916" i="5"/>
  <c r="L916" i="5" s="1"/>
  <c r="R916" i="5"/>
  <c r="O917" i="5"/>
  <c r="L917" i="5" s="1"/>
  <c r="R917" i="5"/>
  <c r="O918" i="5"/>
  <c r="L918" i="5" s="1"/>
  <c r="R918" i="5"/>
  <c r="O919" i="5"/>
  <c r="L919" i="5" s="1"/>
  <c r="R919" i="5"/>
  <c r="O920" i="5"/>
  <c r="L920" i="5" s="1"/>
  <c r="R920" i="5"/>
  <c r="O921" i="5"/>
  <c r="L921" i="5" s="1"/>
  <c r="R921" i="5"/>
  <c r="O922" i="5"/>
  <c r="L922" i="5" s="1"/>
  <c r="R922" i="5"/>
  <c r="O923" i="5"/>
  <c r="L923" i="5" s="1"/>
  <c r="R923" i="5"/>
  <c r="O924" i="5"/>
  <c r="L924" i="5" s="1"/>
  <c r="R924" i="5"/>
  <c r="O925" i="5"/>
  <c r="L925" i="5" s="1"/>
  <c r="R925" i="5"/>
  <c r="O926" i="5"/>
  <c r="L926" i="5" s="1"/>
  <c r="R926" i="5"/>
  <c r="O927" i="5"/>
  <c r="L927" i="5" s="1"/>
  <c r="R927" i="5"/>
  <c r="O928" i="5"/>
  <c r="L928" i="5" s="1"/>
  <c r="R928" i="5"/>
  <c r="O929" i="5"/>
  <c r="L929" i="5" s="1"/>
  <c r="R929" i="5"/>
  <c r="O930" i="5"/>
  <c r="L930" i="5" s="1"/>
  <c r="R930" i="5"/>
  <c r="O931" i="5"/>
  <c r="L931" i="5" s="1"/>
  <c r="R931" i="5"/>
  <c r="O932" i="5"/>
  <c r="L932" i="5" s="1"/>
  <c r="R932" i="5"/>
  <c r="O933" i="5"/>
  <c r="L933" i="5" s="1"/>
  <c r="R933" i="5"/>
  <c r="O934" i="5"/>
  <c r="L934" i="5" s="1"/>
  <c r="R934" i="5"/>
  <c r="O935" i="5"/>
  <c r="L935" i="5" s="1"/>
  <c r="R935" i="5"/>
  <c r="O936" i="5"/>
  <c r="L936" i="5" s="1"/>
  <c r="R936" i="5"/>
  <c r="O937" i="5"/>
  <c r="L937" i="5" s="1"/>
  <c r="R937" i="5"/>
  <c r="O938" i="5"/>
  <c r="L938" i="5" s="1"/>
  <c r="R938" i="5"/>
  <c r="O939" i="5"/>
  <c r="L939" i="5" s="1"/>
  <c r="R939" i="5"/>
  <c r="O940" i="5"/>
  <c r="L940" i="5" s="1"/>
  <c r="R940" i="5"/>
  <c r="O941" i="5"/>
  <c r="L941" i="5" s="1"/>
  <c r="R941" i="5"/>
  <c r="O942" i="5"/>
  <c r="L942" i="5" s="1"/>
  <c r="R942" i="5"/>
  <c r="O943" i="5"/>
  <c r="L943" i="5" s="1"/>
  <c r="R943" i="5"/>
  <c r="O944" i="5"/>
  <c r="L944" i="5" s="1"/>
  <c r="R944" i="5"/>
  <c r="O945" i="5"/>
  <c r="L945" i="5" s="1"/>
  <c r="R945" i="5"/>
  <c r="O946" i="5"/>
  <c r="L946" i="5" s="1"/>
  <c r="R946" i="5"/>
  <c r="O947" i="5"/>
  <c r="L947" i="5" s="1"/>
  <c r="R947" i="5"/>
  <c r="O948" i="5"/>
  <c r="L948" i="5" s="1"/>
  <c r="R948" i="5"/>
  <c r="O949" i="5"/>
  <c r="L949" i="5" s="1"/>
  <c r="R949" i="5"/>
  <c r="O950" i="5"/>
  <c r="L950" i="5" s="1"/>
  <c r="R950" i="5"/>
  <c r="O951" i="5"/>
  <c r="L951" i="5" s="1"/>
  <c r="R951" i="5"/>
  <c r="O952" i="5"/>
  <c r="L952" i="5" s="1"/>
  <c r="R952" i="5"/>
  <c r="O953" i="5"/>
  <c r="L953" i="5" s="1"/>
  <c r="R953" i="5"/>
  <c r="O954" i="5"/>
  <c r="L954" i="5" s="1"/>
  <c r="R954" i="5"/>
  <c r="O955" i="5"/>
  <c r="L955" i="5" s="1"/>
  <c r="R955" i="5"/>
  <c r="O956" i="5"/>
  <c r="L956" i="5" s="1"/>
  <c r="R956" i="5"/>
  <c r="O957" i="5"/>
  <c r="L957" i="5" s="1"/>
  <c r="R957" i="5"/>
  <c r="O958" i="5"/>
  <c r="L958" i="5" s="1"/>
  <c r="R958" i="5"/>
  <c r="O959" i="5"/>
  <c r="L959" i="5" s="1"/>
  <c r="R959" i="5"/>
  <c r="O960" i="5"/>
  <c r="L960" i="5" s="1"/>
  <c r="R960" i="5"/>
  <c r="O961" i="5"/>
  <c r="L961" i="5" s="1"/>
  <c r="R961" i="5"/>
  <c r="O962" i="5"/>
  <c r="L962" i="5" s="1"/>
  <c r="R962" i="5"/>
  <c r="O963" i="5"/>
  <c r="L963" i="5" s="1"/>
  <c r="R963" i="5"/>
  <c r="O964" i="5"/>
  <c r="L964" i="5" s="1"/>
  <c r="R964" i="5"/>
  <c r="O965" i="5"/>
  <c r="L965" i="5" s="1"/>
  <c r="R965" i="5"/>
  <c r="O966" i="5"/>
  <c r="L966" i="5" s="1"/>
  <c r="R966" i="5"/>
  <c r="O967" i="5"/>
  <c r="L967" i="5" s="1"/>
  <c r="R967" i="5"/>
  <c r="O968" i="5"/>
  <c r="L968" i="5" s="1"/>
  <c r="R968" i="5"/>
  <c r="O969" i="5"/>
  <c r="L969" i="5" s="1"/>
  <c r="R969" i="5"/>
  <c r="O970" i="5"/>
  <c r="L970" i="5" s="1"/>
  <c r="R970" i="5"/>
  <c r="O971" i="5"/>
  <c r="L971" i="5" s="1"/>
  <c r="R971" i="5"/>
  <c r="O972" i="5"/>
  <c r="L972" i="5" s="1"/>
  <c r="R972" i="5"/>
  <c r="O973" i="5"/>
  <c r="L973" i="5" s="1"/>
  <c r="R973" i="5"/>
  <c r="O974" i="5"/>
  <c r="L974" i="5" s="1"/>
  <c r="R974" i="5"/>
  <c r="O975" i="5"/>
  <c r="L975" i="5" s="1"/>
  <c r="R975" i="5"/>
  <c r="O976" i="5"/>
  <c r="L976" i="5" s="1"/>
  <c r="R976" i="5"/>
  <c r="O977" i="5"/>
  <c r="L977" i="5" s="1"/>
  <c r="R977" i="5"/>
  <c r="O978" i="5"/>
  <c r="L978" i="5" s="1"/>
  <c r="R978" i="5"/>
  <c r="O979" i="5"/>
  <c r="L979" i="5" s="1"/>
  <c r="R979" i="5"/>
  <c r="O980" i="5"/>
  <c r="L980" i="5" s="1"/>
  <c r="R980" i="5"/>
  <c r="O981" i="5"/>
  <c r="L981" i="5" s="1"/>
  <c r="R981" i="5"/>
  <c r="O982" i="5"/>
  <c r="L982" i="5" s="1"/>
  <c r="R982" i="5"/>
  <c r="O983" i="5"/>
  <c r="L983" i="5" s="1"/>
  <c r="R983" i="5"/>
  <c r="O984" i="5"/>
  <c r="L984" i="5" s="1"/>
  <c r="R984" i="5"/>
  <c r="O985" i="5"/>
  <c r="L985" i="5" s="1"/>
  <c r="R985" i="5"/>
  <c r="O986" i="5"/>
  <c r="L986" i="5" s="1"/>
  <c r="R986" i="5"/>
  <c r="O987" i="5"/>
  <c r="L987" i="5" s="1"/>
  <c r="R987" i="5"/>
  <c r="O988" i="5"/>
  <c r="L988" i="5" s="1"/>
  <c r="R988" i="5"/>
  <c r="O989" i="5"/>
  <c r="L989" i="5" s="1"/>
  <c r="R989" i="5"/>
  <c r="O990" i="5"/>
  <c r="L990" i="5" s="1"/>
  <c r="R990" i="5"/>
  <c r="O991" i="5"/>
  <c r="L991" i="5" s="1"/>
  <c r="R991" i="5"/>
  <c r="O992" i="5"/>
  <c r="L992" i="5" s="1"/>
  <c r="R992" i="5"/>
  <c r="O993" i="5"/>
  <c r="L993" i="5" s="1"/>
  <c r="R993" i="5"/>
  <c r="O994" i="5"/>
  <c r="L994" i="5" s="1"/>
  <c r="R994" i="5"/>
  <c r="O995" i="5"/>
  <c r="L995" i="5" s="1"/>
  <c r="R995" i="5"/>
  <c r="O996" i="5"/>
  <c r="L996" i="5" s="1"/>
  <c r="R996" i="5"/>
  <c r="O997" i="5"/>
  <c r="L997" i="5" s="1"/>
  <c r="R997" i="5"/>
  <c r="O998" i="5"/>
  <c r="L998" i="5" s="1"/>
  <c r="R998" i="5"/>
  <c r="O999" i="5"/>
  <c r="L999" i="5" s="1"/>
  <c r="R999" i="5"/>
  <c r="O1000" i="5"/>
  <c r="L1000" i="5" s="1"/>
  <c r="R1000" i="5"/>
  <c r="O1001" i="5"/>
  <c r="L1001" i="5" s="1"/>
  <c r="R1001" i="5"/>
  <c r="O1002" i="5"/>
  <c r="L1002" i="5" s="1"/>
  <c r="R1002" i="5"/>
  <c r="O1003" i="5"/>
  <c r="L1003" i="5" s="1"/>
  <c r="R1003" i="5"/>
  <c r="O1004" i="5"/>
  <c r="L1004" i="5" s="1"/>
  <c r="R1004" i="5"/>
  <c r="J4" i="6"/>
  <c r="I4" i="6" s="1"/>
  <c r="J5" i="6"/>
  <c r="I5" i="6" s="1"/>
  <c r="Q7" i="6"/>
  <c r="T7" i="6" s="1"/>
  <c r="N7" i="6"/>
  <c r="K7" i="6" s="1"/>
  <c r="J9" i="6"/>
  <c r="I9" i="6" s="1"/>
  <c r="Q11" i="6"/>
  <c r="T11" i="6" s="1"/>
  <c r="N11" i="6"/>
  <c r="K11" i="6" s="1"/>
  <c r="J13" i="6"/>
  <c r="I13" i="6" s="1"/>
  <c r="Q15" i="6"/>
  <c r="T15" i="6" s="1"/>
  <c r="N15" i="6"/>
  <c r="K15" i="6" s="1"/>
  <c r="J17" i="6"/>
  <c r="I17" i="6" s="1"/>
  <c r="Q19" i="6"/>
  <c r="T19" i="6" s="1"/>
  <c r="N19" i="6"/>
  <c r="K19" i="6" s="1"/>
  <c r="J21" i="6"/>
  <c r="I21" i="6" s="1"/>
  <c r="Q23" i="6"/>
  <c r="T23" i="6" s="1"/>
  <c r="N23" i="6"/>
  <c r="K23" i="6" s="1"/>
  <c r="J25" i="6"/>
  <c r="I25" i="6" s="1"/>
  <c r="Q27" i="6"/>
  <c r="T27" i="6" s="1"/>
  <c r="N27" i="6"/>
  <c r="K27" i="6" s="1"/>
  <c r="J29" i="6"/>
  <c r="I29" i="6" s="1"/>
  <c r="Q31" i="6"/>
  <c r="N31" i="6"/>
  <c r="K31" i="6" s="1"/>
  <c r="J33" i="6"/>
  <c r="I33" i="6" s="1"/>
  <c r="Q35" i="6"/>
  <c r="N35" i="6"/>
  <c r="K35" i="6" s="1"/>
  <c r="J37" i="6"/>
  <c r="I37" i="6" s="1"/>
  <c r="Q39" i="6"/>
  <c r="N39" i="6"/>
  <c r="K39" i="6" s="1"/>
  <c r="J41" i="6"/>
  <c r="I41" i="6" s="1"/>
  <c r="Q43" i="6"/>
  <c r="N43" i="6"/>
  <c r="K43" i="6" s="1"/>
  <c r="J45" i="6"/>
  <c r="I45" i="6" s="1"/>
  <c r="Q47" i="6"/>
  <c r="N47" i="6"/>
  <c r="K47" i="6" s="1"/>
  <c r="J49" i="6"/>
  <c r="I49" i="6" s="1"/>
  <c r="Q51" i="6"/>
  <c r="N51" i="6"/>
  <c r="K51" i="6" s="1"/>
  <c r="J53" i="6"/>
  <c r="I53" i="6" s="1"/>
  <c r="Q55" i="6"/>
  <c r="N55" i="6"/>
  <c r="K55" i="6" s="1"/>
  <c r="J57" i="6"/>
  <c r="I57" i="6" s="1"/>
  <c r="Q59" i="6"/>
  <c r="N59" i="6"/>
  <c r="K59" i="6" s="1"/>
  <c r="J61" i="6"/>
  <c r="I61" i="6" s="1"/>
  <c r="Q63" i="6"/>
  <c r="N63" i="6"/>
  <c r="K63" i="6" s="1"/>
  <c r="J65" i="6"/>
  <c r="I65" i="6" s="1"/>
  <c r="Q67" i="6"/>
  <c r="N67" i="6"/>
  <c r="K67" i="6" s="1"/>
  <c r="J69" i="6"/>
  <c r="I69" i="6" s="1"/>
  <c r="Q71" i="6"/>
  <c r="N71" i="6"/>
  <c r="K71" i="6" s="1"/>
  <c r="J73" i="6"/>
  <c r="I73" i="6" s="1"/>
  <c r="Q75" i="6"/>
  <c r="N75" i="6"/>
  <c r="K75" i="6" s="1"/>
  <c r="J77" i="6"/>
  <c r="I77" i="6" s="1"/>
  <c r="Q79" i="6"/>
  <c r="N79" i="6"/>
  <c r="K79" i="6" s="1"/>
  <c r="J81" i="6"/>
  <c r="I81" i="6" s="1"/>
  <c r="Q83" i="6"/>
  <c r="N83" i="6"/>
  <c r="K83" i="6" s="1"/>
  <c r="J85" i="6"/>
  <c r="I85" i="6" s="1"/>
  <c r="Q87" i="6"/>
  <c r="N87" i="6"/>
  <c r="K87" i="6" s="1"/>
  <c r="J89" i="6"/>
  <c r="I89" i="6" s="1"/>
  <c r="Q91" i="6"/>
  <c r="N91" i="6"/>
  <c r="K91" i="6" s="1"/>
  <c r="J93" i="6"/>
  <c r="I93" i="6" s="1"/>
  <c r="Q95" i="6"/>
  <c r="N95" i="6"/>
  <c r="K95" i="6" s="1"/>
  <c r="J97" i="6"/>
  <c r="I97" i="6" s="1"/>
  <c r="Q99" i="6"/>
  <c r="N99" i="6"/>
  <c r="K99" i="6" s="1"/>
  <c r="J101" i="6"/>
  <c r="I101" i="6" s="1"/>
  <c r="Q103" i="6"/>
  <c r="N103" i="6"/>
  <c r="K103" i="6" s="1"/>
  <c r="J105" i="6"/>
  <c r="I105" i="6" s="1"/>
  <c r="Q107" i="6"/>
  <c r="N107" i="6"/>
  <c r="K107" i="6" s="1"/>
  <c r="J109" i="6"/>
  <c r="I109" i="6" s="1"/>
  <c r="Q111" i="6"/>
  <c r="N111" i="6"/>
  <c r="K111" i="6" s="1"/>
  <c r="J113" i="6"/>
  <c r="I113" i="6" s="1"/>
  <c r="Q115" i="6"/>
  <c r="N115" i="6"/>
  <c r="K115" i="6" s="1"/>
  <c r="J117" i="6"/>
  <c r="I117" i="6" s="1"/>
  <c r="Q119" i="6"/>
  <c r="N119" i="6"/>
  <c r="K119" i="6" s="1"/>
  <c r="J121" i="6"/>
  <c r="I121" i="6" s="1"/>
  <c r="Q123" i="6"/>
  <c r="N123" i="6"/>
  <c r="K123" i="6" s="1"/>
  <c r="J125" i="6"/>
  <c r="I125" i="6" s="1"/>
  <c r="Q127" i="6"/>
  <c r="N127" i="6"/>
  <c r="K127" i="6" s="1"/>
  <c r="J129" i="6"/>
  <c r="I129" i="6" s="1"/>
  <c r="Q131" i="6"/>
  <c r="N131" i="6"/>
  <c r="K131" i="6" s="1"/>
  <c r="J133" i="6"/>
  <c r="I133" i="6" s="1"/>
  <c r="Q135" i="6"/>
  <c r="N135" i="6"/>
  <c r="K135" i="6" s="1"/>
  <c r="J137" i="6"/>
  <c r="I137" i="6" s="1"/>
  <c r="Q139" i="6"/>
  <c r="N139" i="6"/>
  <c r="K139" i="6" s="1"/>
  <c r="J141" i="6"/>
  <c r="I141" i="6" s="1"/>
  <c r="Q143" i="6"/>
  <c r="N143" i="6"/>
  <c r="K143" i="6" s="1"/>
  <c r="J145" i="6"/>
  <c r="I145" i="6" s="1"/>
  <c r="Q147" i="6"/>
  <c r="N147" i="6"/>
  <c r="K147" i="6" s="1"/>
  <c r="J149" i="6"/>
  <c r="I149" i="6" s="1"/>
  <c r="Q151" i="6"/>
  <c r="N151" i="6"/>
  <c r="K151" i="6" s="1"/>
  <c r="J153" i="6"/>
  <c r="I153" i="6" s="1"/>
  <c r="Q155" i="6"/>
  <c r="N155" i="6"/>
  <c r="K155" i="6" s="1"/>
  <c r="J157" i="6"/>
  <c r="I157" i="6" s="1"/>
  <c r="Q159" i="6"/>
  <c r="N159" i="6"/>
  <c r="K159" i="6" s="1"/>
  <c r="J161" i="6"/>
  <c r="I161" i="6" s="1"/>
  <c r="Q163" i="6"/>
  <c r="N163" i="6"/>
  <c r="K163" i="6" s="1"/>
  <c r="J165" i="6"/>
  <c r="I165" i="6" s="1"/>
  <c r="Q167" i="6"/>
  <c r="N167" i="6"/>
  <c r="K167" i="6" s="1"/>
  <c r="J169" i="6"/>
  <c r="I169" i="6" s="1"/>
  <c r="Q171" i="6"/>
  <c r="N171" i="6"/>
  <c r="K171" i="6" s="1"/>
  <c r="J173" i="6"/>
  <c r="I173" i="6" s="1"/>
  <c r="Q175" i="6"/>
  <c r="N175" i="6"/>
  <c r="K175" i="6" s="1"/>
  <c r="J177" i="6"/>
  <c r="I177" i="6" s="1"/>
  <c r="Q179" i="6"/>
  <c r="N179" i="6"/>
  <c r="K179" i="6" s="1"/>
  <c r="J181" i="6"/>
  <c r="I181" i="6" s="1"/>
  <c r="Q183" i="6"/>
  <c r="N183" i="6"/>
  <c r="K183" i="6" s="1"/>
  <c r="J185" i="6"/>
  <c r="I185" i="6" s="1"/>
  <c r="Q187" i="6"/>
  <c r="N187" i="6"/>
  <c r="K187" i="6" s="1"/>
  <c r="J189" i="6"/>
  <c r="I189" i="6" s="1"/>
  <c r="Q191" i="6"/>
  <c r="N191" i="6"/>
  <c r="K191" i="6" s="1"/>
  <c r="J193" i="6"/>
  <c r="I193" i="6" s="1"/>
  <c r="Q195" i="6"/>
  <c r="N195" i="6"/>
  <c r="K195" i="6" s="1"/>
  <c r="J197" i="6"/>
  <c r="I197" i="6" s="1"/>
  <c r="Q199" i="6"/>
  <c r="N199" i="6"/>
  <c r="K199" i="6" s="1"/>
  <c r="J201" i="6"/>
  <c r="I201" i="6" s="1"/>
  <c r="Q203" i="6"/>
  <c r="N203" i="6"/>
  <c r="K203" i="6" s="1"/>
  <c r="J205" i="6"/>
  <c r="I205" i="6" s="1"/>
  <c r="Q207" i="6"/>
  <c r="N207" i="6"/>
  <c r="K207" i="6" s="1"/>
  <c r="J209" i="6"/>
  <c r="I209" i="6" s="1"/>
  <c r="Q211" i="6"/>
  <c r="N211" i="6"/>
  <c r="K211" i="6" s="1"/>
  <c r="J213" i="6"/>
  <c r="I213" i="6" s="1"/>
  <c r="Q215" i="6"/>
  <c r="N215" i="6"/>
  <c r="K215" i="6" s="1"/>
  <c r="J217" i="6"/>
  <c r="I217" i="6" s="1"/>
  <c r="Q219" i="6"/>
  <c r="N219" i="6"/>
  <c r="K219" i="6" s="1"/>
  <c r="J221" i="6"/>
  <c r="I221" i="6" s="1"/>
  <c r="Q223" i="6"/>
  <c r="N223" i="6"/>
  <c r="K223" i="6" s="1"/>
  <c r="J225" i="6"/>
  <c r="I225" i="6" s="1"/>
  <c r="Q227" i="6"/>
  <c r="N227" i="6"/>
  <c r="K227" i="6" s="1"/>
  <c r="J229" i="6"/>
  <c r="I229" i="6" s="1"/>
  <c r="Q231" i="6"/>
  <c r="N231" i="6"/>
  <c r="K231" i="6" s="1"/>
  <c r="J233" i="6"/>
  <c r="I233" i="6" s="1"/>
  <c r="R8" i="6"/>
  <c r="U8" i="6" s="1"/>
  <c r="R16" i="6"/>
  <c r="R20" i="6"/>
  <c r="R28" i="6"/>
  <c r="U28" i="6" s="1"/>
  <c r="R36" i="6"/>
  <c r="U36" i="6" s="1"/>
  <c r="R40" i="6"/>
  <c r="U40" i="6" s="1"/>
  <c r="R44" i="6"/>
  <c r="U44" i="6" s="1"/>
  <c r="R48" i="6"/>
  <c r="U48" i="6" s="1"/>
  <c r="R52" i="6"/>
  <c r="U52" i="6" s="1"/>
  <c r="R60" i="6"/>
  <c r="U60" i="6" s="1"/>
  <c r="R64" i="6"/>
  <c r="U64" i="6" s="1"/>
  <c r="R68" i="6"/>
  <c r="U68" i="6" s="1"/>
  <c r="R76" i="6"/>
  <c r="U76" i="6" s="1"/>
  <c r="R80" i="6"/>
  <c r="U80" i="6" s="1"/>
  <c r="R88" i="6"/>
  <c r="U88" i="6" s="1"/>
  <c r="R104" i="6"/>
  <c r="U104" i="6" s="1"/>
  <c r="R108" i="6"/>
  <c r="U108" i="6" s="1"/>
  <c r="R112" i="6"/>
  <c r="U112" i="6" s="1"/>
  <c r="R116" i="6"/>
  <c r="U116" i="6" s="1"/>
  <c r="R120" i="6"/>
  <c r="U120" i="6" s="1"/>
  <c r="R124" i="6"/>
  <c r="U124" i="6" s="1"/>
  <c r="R128" i="6"/>
  <c r="U128" i="6" s="1"/>
  <c r="R132" i="6"/>
  <c r="U132" i="6" s="1"/>
  <c r="R136" i="6"/>
  <c r="U136" i="6" s="1"/>
  <c r="R140" i="6"/>
  <c r="U140" i="6" s="1"/>
  <c r="R144" i="6"/>
  <c r="U144" i="6" s="1"/>
  <c r="R148" i="6"/>
  <c r="U148" i="6" s="1"/>
  <c r="R156" i="6"/>
  <c r="U156" i="6" s="1"/>
  <c r="R160" i="6"/>
  <c r="U160" i="6" s="1"/>
  <c r="R164" i="6"/>
  <c r="U164" i="6" s="1"/>
  <c r="R172" i="6"/>
  <c r="U172" i="6" s="1"/>
  <c r="R176" i="6"/>
  <c r="U176" i="6" s="1"/>
  <c r="R188" i="6"/>
  <c r="U188" i="6" s="1"/>
  <c r="R192" i="6"/>
  <c r="U192" i="6" s="1"/>
  <c r="R200" i="6"/>
  <c r="U200" i="6" s="1"/>
  <c r="R204" i="6"/>
  <c r="U204" i="6" s="1"/>
  <c r="R208" i="6"/>
  <c r="U208" i="6" s="1"/>
  <c r="R224" i="6"/>
  <c r="U224" i="6" s="1"/>
  <c r="R228" i="6"/>
  <c r="U228" i="6" s="1"/>
  <c r="Q4" i="6"/>
  <c r="T4" i="6" s="1"/>
  <c r="N4" i="6"/>
  <c r="K4" i="6" s="1"/>
  <c r="Q5" i="6"/>
  <c r="T5" i="6" s="1"/>
  <c r="N5" i="6"/>
  <c r="K5" i="6" s="1"/>
  <c r="J7" i="6"/>
  <c r="I7" i="6" s="1"/>
  <c r="Q9" i="6"/>
  <c r="T9" i="6" s="1"/>
  <c r="N9" i="6"/>
  <c r="K9" i="6" s="1"/>
  <c r="J11" i="6"/>
  <c r="I11" i="6" s="1"/>
  <c r="Q13" i="6"/>
  <c r="T13" i="6" s="1"/>
  <c r="N13" i="6"/>
  <c r="K13" i="6" s="1"/>
  <c r="J15" i="6"/>
  <c r="I15" i="6" s="1"/>
  <c r="Q17" i="6"/>
  <c r="T17" i="6" s="1"/>
  <c r="N17" i="6"/>
  <c r="K17" i="6" s="1"/>
  <c r="J19" i="6"/>
  <c r="I19" i="6" s="1"/>
  <c r="Q21" i="6"/>
  <c r="T21" i="6" s="1"/>
  <c r="N21" i="6"/>
  <c r="K21" i="6" s="1"/>
  <c r="J23" i="6"/>
  <c r="I23" i="6" s="1"/>
  <c r="Q25" i="6"/>
  <c r="T25" i="6" s="1"/>
  <c r="N25" i="6"/>
  <c r="K25" i="6" s="1"/>
  <c r="J27" i="6"/>
  <c r="I27" i="6" s="1"/>
  <c r="Q29" i="6"/>
  <c r="N29" i="6"/>
  <c r="K29" i="6" s="1"/>
  <c r="L31" i="6"/>
  <c r="S31" i="6" s="1"/>
  <c r="V31" i="6" s="1"/>
  <c r="J31" i="6"/>
  <c r="I31" i="6" s="1"/>
  <c r="Q33" i="6"/>
  <c r="N33" i="6"/>
  <c r="K33" i="6" s="1"/>
  <c r="J35" i="6"/>
  <c r="I35" i="6" s="1"/>
  <c r="R35" i="6" s="1"/>
  <c r="U35" i="6" s="1"/>
  <c r="Q37" i="6"/>
  <c r="N37" i="6"/>
  <c r="K37" i="6" s="1"/>
  <c r="J39" i="6"/>
  <c r="I39" i="6" s="1"/>
  <c r="Q41" i="6"/>
  <c r="N41" i="6"/>
  <c r="K41" i="6" s="1"/>
  <c r="J43" i="6"/>
  <c r="I43" i="6" s="1"/>
  <c r="Q45" i="6"/>
  <c r="N45" i="6"/>
  <c r="K45" i="6" s="1"/>
  <c r="L47" i="6"/>
  <c r="S47" i="6" s="1"/>
  <c r="V47" i="6" s="1"/>
  <c r="J47" i="6"/>
  <c r="I47" i="6" s="1"/>
  <c r="Q49" i="6"/>
  <c r="N49" i="6"/>
  <c r="K49" i="6" s="1"/>
  <c r="J51" i="6"/>
  <c r="I51" i="6" s="1"/>
  <c r="Q53" i="6"/>
  <c r="N53" i="6"/>
  <c r="K53" i="6" s="1"/>
  <c r="J55" i="6"/>
  <c r="I55" i="6" s="1"/>
  <c r="Q57" i="6"/>
  <c r="N57" i="6"/>
  <c r="K57" i="6" s="1"/>
  <c r="J59" i="6"/>
  <c r="I59" i="6" s="1"/>
  <c r="Q61" i="6"/>
  <c r="N61" i="6"/>
  <c r="K61" i="6" s="1"/>
  <c r="L63" i="6"/>
  <c r="S63" i="6" s="1"/>
  <c r="V63" i="6" s="1"/>
  <c r="J63" i="6"/>
  <c r="I63" i="6" s="1"/>
  <c r="Q65" i="6"/>
  <c r="N65" i="6"/>
  <c r="K65" i="6" s="1"/>
  <c r="J67" i="6"/>
  <c r="I67" i="6" s="1"/>
  <c r="R67" i="6" s="1"/>
  <c r="U67" i="6" s="1"/>
  <c r="Q69" i="6"/>
  <c r="N69" i="6"/>
  <c r="K69" i="6" s="1"/>
  <c r="J71" i="6"/>
  <c r="I71" i="6" s="1"/>
  <c r="Q73" i="6"/>
  <c r="N73" i="6"/>
  <c r="K73" i="6" s="1"/>
  <c r="J75" i="6"/>
  <c r="I75" i="6" s="1"/>
  <c r="Q77" i="6"/>
  <c r="N77" i="6"/>
  <c r="K77" i="6" s="1"/>
  <c r="L79" i="6"/>
  <c r="S79" i="6" s="1"/>
  <c r="V79" i="6" s="1"/>
  <c r="J79" i="6"/>
  <c r="I79" i="6" s="1"/>
  <c r="Q81" i="6"/>
  <c r="N81" i="6"/>
  <c r="K81" i="6" s="1"/>
  <c r="J83" i="6"/>
  <c r="I83" i="6" s="1"/>
  <c r="Q85" i="6"/>
  <c r="N85" i="6"/>
  <c r="K85" i="6" s="1"/>
  <c r="J87" i="6"/>
  <c r="I87" i="6" s="1"/>
  <c r="Q89" i="6"/>
  <c r="N89" i="6"/>
  <c r="K89" i="6" s="1"/>
  <c r="J91" i="6"/>
  <c r="I91" i="6" s="1"/>
  <c r="Q93" i="6"/>
  <c r="N93" i="6"/>
  <c r="K93" i="6" s="1"/>
  <c r="L95" i="6"/>
  <c r="S95" i="6" s="1"/>
  <c r="V95" i="6" s="1"/>
  <c r="J95" i="6"/>
  <c r="I95" i="6" s="1"/>
  <c r="Q97" i="6"/>
  <c r="N97" i="6"/>
  <c r="K97" i="6" s="1"/>
  <c r="J99" i="6"/>
  <c r="I99" i="6" s="1"/>
  <c r="R99" i="6" s="1"/>
  <c r="U99" i="6" s="1"/>
  <c r="Q101" i="6"/>
  <c r="N101" i="6"/>
  <c r="K101" i="6" s="1"/>
  <c r="J103" i="6"/>
  <c r="I103" i="6" s="1"/>
  <c r="Q105" i="6"/>
  <c r="N105" i="6"/>
  <c r="K105" i="6" s="1"/>
  <c r="J107" i="6"/>
  <c r="I107" i="6" s="1"/>
  <c r="Q109" i="6"/>
  <c r="N109" i="6"/>
  <c r="K109" i="6" s="1"/>
  <c r="L111" i="6"/>
  <c r="S111" i="6" s="1"/>
  <c r="V111" i="6" s="1"/>
  <c r="J111" i="6"/>
  <c r="I111" i="6" s="1"/>
  <c r="Q113" i="6"/>
  <c r="N113" i="6"/>
  <c r="K113" i="6" s="1"/>
  <c r="J115" i="6"/>
  <c r="I115" i="6" s="1"/>
  <c r="Q117" i="6"/>
  <c r="N117" i="6"/>
  <c r="K117" i="6" s="1"/>
  <c r="J119" i="6"/>
  <c r="I119" i="6" s="1"/>
  <c r="Q121" i="6"/>
  <c r="N121" i="6"/>
  <c r="K121" i="6" s="1"/>
  <c r="J123" i="6"/>
  <c r="I123" i="6" s="1"/>
  <c r="Q125" i="6"/>
  <c r="N125" i="6"/>
  <c r="K125" i="6" s="1"/>
  <c r="L127" i="6"/>
  <c r="S127" i="6" s="1"/>
  <c r="V127" i="6" s="1"/>
  <c r="J127" i="6"/>
  <c r="I127" i="6" s="1"/>
  <c r="Q129" i="6"/>
  <c r="N129" i="6"/>
  <c r="K129" i="6" s="1"/>
  <c r="J131" i="6"/>
  <c r="I131" i="6" s="1"/>
  <c r="R131" i="6" s="1"/>
  <c r="U131" i="6" s="1"/>
  <c r="Q133" i="6"/>
  <c r="N133" i="6"/>
  <c r="K133" i="6" s="1"/>
  <c r="L135" i="6"/>
  <c r="S135" i="6" s="1"/>
  <c r="V135" i="6" s="1"/>
  <c r="J135" i="6"/>
  <c r="I135" i="6" s="1"/>
  <c r="Q137" i="6"/>
  <c r="N137" i="6"/>
  <c r="K137" i="6" s="1"/>
  <c r="J139" i="6"/>
  <c r="I139" i="6" s="1"/>
  <c r="Q141" i="6"/>
  <c r="N141" i="6"/>
  <c r="K141" i="6" s="1"/>
  <c r="L143" i="6"/>
  <c r="S143" i="6" s="1"/>
  <c r="V143" i="6" s="1"/>
  <c r="J143" i="6"/>
  <c r="I143" i="6" s="1"/>
  <c r="Q145" i="6"/>
  <c r="N145" i="6"/>
  <c r="K145" i="6" s="1"/>
  <c r="J147" i="6"/>
  <c r="I147" i="6" s="1"/>
  <c r="Q149" i="6"/>
  <c r="N149" i="6"/>
  <c r="K149" i="6" s="1"/>
  <c r="J151" i="6"/>
  <c r="I151" i="6" s="1"/>
  <c r="Q153" i="6"/>
  <c r="N153" i="6"/>
  <c r="K153" i="6" s="1"/>
  <c r="J155" i="6"/>
  <c r="I155" i="6" s="1"/>
  <c r="Q157" i="6"/>
  <c r="N157" i="6"/>
  <c r="K157" i="6" s="1"/>
  <c r="L159" i="6"/>
  <c r="S159" i="6" s="1"/>
  <c r="V159" i="6" s="1"/>
  <c r="J159" i="6"/>
  <c r="I159" i="6" s="1"/>
  <c r="Q161" i="6"/>
  <c r="N161" i="6"/>
  <c r="K161" i="6" s="1"/>
  <c r="J163" i="6"/>
  <c r="I163" i="6" s="1"/>
  <c r="R163" i="6" s="1"/>
  <c r="U163" i="6" s="1"/>
  <c r="Q165" i="6"/>
  <c r="N165" i="6"/>
  <c r="K165" i="6" s="1"/>
  <c r="J167" i="6"/>
  <c r="I167" i="6" s="1"/>
  <c r="Q169" i="6"/>
  <c r="N169" i="6"/>
  <c r="K169" i="6" s="1"/>
  <c r="J171" i="6"/>
  <c r="I171" i="6" s="1"/>
  <c r="Q173" i="6"/>
  <c r="N173" i="6"/>
  <c r="K173" i="6" s="1"/>
  <c r="L175" i="6"/>
  <c r="S175" i="6" s="1"/>
  <c r="V175" i="6" s="1"/>
  <c r="J175" i="6"/>
  <c r="I175" i="6" s="1"/>
  <c r="Q177" i="6"/>
  <c r="N177" i="6"/>
  <c r="K177" i="6" s="1"/>
  <c r="J179" i="6"/>
  <c r="I179" i="6" s="1"/>
  <c r="Q181" i="6"/>
  <c r="N181" i="6"/>
  <c r="K181" i="6" s="1"/>
  <c r="J183" i="6"/>
  <c r="I183" i="6" s="1"/>
  <c r="Q185" i="6"/>
  <c r="N185" i="6"/>
  <c r="K185" i="6" s="1"/>
  <c r="J187" i="6"/>
  <c r="I187" i="6" s="1"/>
  <c r="Q189" i="6"/>
  <c r="N189" i="6"/>
  <c r="K189" i="6" s="1"/>
  <c r="L191" i="6"/>
  <c r="S191" i="6" s="1"/>
  <c r="V191" i="6" s="1"/>
  <c r="J191" i="6"/>
  <c r="I191" i="6" s="1"/>
  <c r="Q193" i="6"/>
  <c r="N193" i="6"/>
  <c r="K193" i="6" s="1"/>
  <c r="J195" i="6"/>
  <c r="I195" i="6" s="1"/>
  <c r="R195" i="6" s="1"/>
  <c r="U195" i="6" s="1"/>
  <c r="Q197" i="6"/>
  <c r="N197" i="6"/>
  <c r="K197" i="6" s="1"/>
  <c r="J199" i="6"/>
  <c r="I199" i="6" s="1"/>
  <c r="Q201" i="6"/>
  <c r="N201" i="6"/>
  <c r="K201" i="6" s="1"/>
  <c r="J203" i="6"/>
  <c r="I203" i="6" s="1"/>
  <c r="Q205" i="6"/>
  <c r="N205" i="6"/>
  <c r="K205" i="6" s="1"/>
  <c r="L207" i="6"/>
  <c r="S207" i="6" s="1"/>
  <c r="V207" i="6" s="1"/>
  <c r="J207" i="6"/>
  <c r="I207" i="6" s="1"/>
  <c r="Q209" i="6"/>
  <c r="N209" i="6"/>
  <c r="K209" i="6" s="1"/>
  <c r="J211" i="6"/>
  <c r="I211" i="6" s="1"/>
  <c r="Q213" i="6"/>
  <c r="N213" i="6"/>
  <c r="K213" i="6" s="1"/>
  <c r="J215" i="6"/>
  <c r="I215" i="6" s="1"/>
  <c r="Q217" i="6"/>
  <c r="N217" i="6"/>
  <c r="K217" i="6" s="1"/>
  <c r="J219" i="6"/>
  <c r="I219" i="6" s="1"/>
  <c r="Q221" i="6"/>
  <c r="N221" i="6"/>
  <c r="K221" i="6" s="1"/>
  <c r="L223" i="6"/>
  <c r="S223" i="6" s="1"/>
  <c r="V223" i="6" s="1"/>
  <c r="J223" i="6"/>
  <c r="I223" i="6" s="1"/>
  <c r="Q225" i="6"/>
  <c r="N225" i="6"/>
  <c r="K225" i="6" s="1"/>
  <c r="J227" i="6"/>
  <c r="I227" i="6" s="1"/>
  <c r="R227" i="6" s="1"/>
  <c r="U227" i="6" s="1"/>
  <c r="Q229" i="6"/>
  <c r="N229" i="6"/>
  <c r="K229" i="6" s="1"/>
  <c r="J231" i="6"/>
  <c r="I231" i="6" s="1"/>
  <c r="Q233" i="6"/>
  <c r="N233" i="6"/>
  <c r="K233" i="6" s="1"/>
  <c r="R30" i="6"/>
  <c r="U30" i="6" s="1"/>
  <c r="R70" i="6"/>
  <c r="U70" i="6" s="1"/>
  <c r="R78" i="6"/>
  <c r="U78" i="6" s="1"/>
  <c r="R86" i="6"/>
  <c r="U86" i="6" s="1"/>
  <c r="R94" i="6"/>
  <c r="U94" i="6" s="1"/>
  <c r="R102" i="6"/>
  <c r="U102" i="6" s="1"/>
  <c r="R154" i="6"/>
  <c r="U154" i="6" s="1"/>
  <c r="R186" i="6"/>
  <c r="U186" i="6" s="1"/>
  <c r="R234" i="6"/>
  <c r="U234" i="6" s="1"/>
  <c r="R240" i="6"/>
  <c r="U240" i="6" s="1"/>
  <c r="R248" i="6"/>
  <c r="U248" i="6" s="1"/>
  <c r="R250" i="6"/>
  <c r="U250" i="6" s="1"/>
  <c r="R256" i="6"/>
  <c r="U256" i="6" s="1"/>
  <c r="R268" i="6"/>
  <c r="U268" i="6" s="1"/>
  <c r="R274" i="6"/>
  <c r="U274" i="6" s="1"/>
  <c r="R276" i="6"/>
  <c r="U276" i="6" s="1"/>
  <c r="R280" i="6"/>
  <c r="U280" i="6" s="1"/>
  <c r="R282" i="6"/>
  <c r="U282" i="6" s="1"/>
  <c r="R290" i="6"/>
  <c r="U290" i="6" s="1"/>
  <c r="R294" i="6"/>
  <c r="U294" i="6" s="1"/>
  <c r="R306" i="6"/>
  <c r="U306" i="6" s="1"/>
  <c r="R308" i="6"/>
  <c r="U308" i="6" s="1"/>
  <c r="R312" i="6"/>
  <c r="U312" i="6" s="1"/>
  <c r="R316" i="6"/>
  <c r="U316" i="6" s="1"/>
  <c r="R324" i="6"/>
  <c r="U324" i="6" s="1"/>
  <c r="R352" i="6"/>
  <c r="U352" i="6" s="1"/>
  <c r="R356" i="6"/>
  <c r="U356" i="6" s="1"/>
  <c r="R358" i="6"/>
  <c r="U358" i="6" s="1"/>
  <c r="R360" i="6"/>
  <c r="U360" i="6" s="1"/>
  <c r="R362" i="6"/>
  <c r="U362" i="6" s="1"/>
  <c r="R364" i="6"/>
  <c r="U364" i="6" s="1"/>
  <c r="R374" i="6"/>
  <c r="U374" i="6" s="1"/>
  <c r="R376" i="6"/>
  <c r="U376" i="6" s="1"/>
  <c r="R380" i="6"/>
  <c r="U380" i="6" s="1"/>
  <c r="R392" i="6"/>
  <c r="U392" i="6" s="1"/>
  <c r="R444" i="6"/>
  <c r="U444" i="6" s="1"/>
  <c r="R446" i="6"/>
  <c r="U446" i="6" s="1"/>
  <c r="R448" i="6"/>
  <c r="U448" i="6" s="1"/>
  <c r="R450" i="6"/>
  <c r="U450" i="6" s="1"/>
  <c r="R452" i="6"/>
  <c r="U452" i="6" s="1"/>
  <c r="R454" i="6"/>
  <c r="U454" i="6" s="1"/>
  <c r="R456" i="6"/>
  <c r="U456" i="6" s="1"/>
  <c r="R458" i="6"/>
  <c r="U458" i="6" s="1"/>
  <c r="R460" i="6"/>
  <c r="U460" i="6" s="1"/>
  <c r="R462" i="6"/>
  <c r="U462" i="6" s="1"/>
  <c r="R464" i="6"/>
  <c r="U464" i="6" s="1"/>
  <c r="R466" i="6"/>
  <c r="U466" i="6" s="1"/>
  <c r="R512" i="6"/>
  <c r="U512" i="6" s="1"/>
  <c r="R516" i="6"/>
  <c r="U516" i="6" s="1"/>
  <c r="R518" i="6"/>
  <c r="U518" i="6" s="1"/>
  <c r="R520" i="6"/>
  <c r="U520" i="6" s="1"/>
  <c r="R524" i="6"/>
  <c r="U524" i="6" s="1"/>
  <c r="R526" i="6"/>
  <c r="U526" i="6" s="1"/>
  <c r="R528" i="6"/>
  <c r="U528" i="6" s="1"/>
  <c r="R530" i="6"/>
  <c r="U530" i="6" s="1"/>
  <c r="R532" i="6"/>
  <c r="U532" i="6" s="1"/>
  <c r="R534" i="6"/>
  <c r="U534" i="6" s="1"/>
  <c r="R542" i="6"/>
  <c r="U542" i="6" s="1"/>
  <c r="R544" i="6"/>
  <c r="U544" i="6" s="1"/>
  <c r="R546" i="6"/>
  <c r="U546" i="6" s="1"/>
  <c r="R548" i="6"/>
  <c r="U548" i="6" s="1"/>
  <c r="R550" i="6"/>
  <c r="U550" i="6" s="1"/>
  <c r="R552" i="6"/>
  <c r="U552" i="6" s="1"/>
  <c r="R554" i="6"/>
  <c r="U554" i="6" s="1"/>
  <c r="R558" i="6"/>
  <c r="U558" i="6" s="1"/>
  <c r="R560" i="6"/>
  <c r="U560" i="6" s="1"/>
  <c r="R562" i="6"/>
  <c r="U562" i="6" s="1"/>
  <c r="R578" i="6"/>
  <c r="U578" i="6" s="1"/>
  <c r="R580" i="6"/>
  <c r="U580" i="6" s="1"/>
  <c r="R582" i="6"/>
  <c r="U582" i="6" s="1"/>
  <c r="R584" i="6"/>
  <c r="U584" i="6" s="1"/>
  <c r="R586" i="6"/>
  <c r="U586" i="6" s="1"/>
  <c r="R588" i="6"/>
  <c r="U588" i="6" s="1"/>
  <c r="R590" i="6"/>
  <c r="U590" i="6" s="1"/>
  <c r="R592" i="6"/>
  <c r="U592" i="6" s="1"/>
  <c r="R594" i="6"/>
  <c r="U594" i="6" s="1"/>
  <c r="R596" i="6"/>
  <c r="U596" i="6" s="1"/>
  <c r="R598" i="6"/>
  <c r="U598" i="6" s="1"/>
  <c r="R600" i="6"/>
  <c r="U600" i="6" s="1"/>
  <c r="R602" i="6"/>
  <c r="U602" i="6" s="1"/>
  <c r="R604" i="6"/>
  <c r="U604" i="6" s="1"/>
  <c r="R608" i="6"/>
  <c r="U608" i="6" s="1"/>
  <c r="R610" i="6"/>
  <c r="U610" i="6" s="1"/>
  <c r="R612" i="6"/>
  <c r="U612" i="6" s="1"/>
  <c r="R614" i="6"/>
  <c r="U614" i="6" s="1"/>
  <c r="R616" i="6"/>
  <c r="U616" i="6" s="1"/>
  <c r="R618" i="6"/>
  <c r="U618" i="6" s="1"/>
  <c r="R620" i="6"/>
  <c r="U620" i="6" s="1"/>
  <c r="R622" i="6"/>
  <c r="U622" i="6" s="1"/>
  <c r="R624" i="6"/>
  <c r="U624" i="6" s="1"/>
  <c r="R626" i="6"/>
  <c r="U626" i="6" s="1"/>
  <c r="R628" i="6"/>
  <c r="U628" i="6" s="1"/>
  <c r="R630" i="6"/>
  <c r="U630" i="6" s="1"/>
  <c r="R634" i="6"/>
  <c r="U634" i="6" s="1"/>
  <c r="R636" i="6"/>
  <c r="U636" i="6" s="1"/>
  <c r="R642" i="6"/>
  <c r="U642" i="6" s="1"/>
  <c r="R644" i="6"/>
  <c r="U644" i="6" s="1"/>
  <c r="R646" i="6"/>
  <c r="U646" i="6" s="1"/>
  <c r="R648" i="6"/>
  <c r="U648" i="6" s="1"/>
  <c r="R650" i="6"/>
  <c r="U650" i="6" s="1"/>
  <c r="R654" i="6"/>
  <c r="U654" i="6" s="1"/>
  <c r="R656" i="6"/>
  <c r="U656" i="6" s="1"/>
  <c r="R658" i="6"/>
  <c r="U658" i="6" s="1"/>
  <c r="R660" i="6"/>
  <c r="U660" i="6" s="1"/>
  <c r="R834" i="6"/>
  <c r="U834" i="6" s="1"/>
  <c r="R836" i="6"/>
  <c r="U836" i="6" s="1"/>
  <c r="R838" i="6"/>
  <c r="U838" i="6" s="1"/>
  <c r="R840" i="6"/>
  <c r="U840" i="6" s="1"/>
  <c r="R842" i="6"/>
  <c r="U842" i="6" s="1"/>
  <c r="R846" i="6"/>
  <c r="U846" i="6" s="1"/>
  <c r="R848" i="6"/>
  <c r="U848" i="6" s="1"/>
  <c r="R850" i="6"/>
  <c r="U850" i="6" s="1"/>
  <c r="R852" i="6"/>
  <c r="U852" i="6" s="1"/>
  <c r="R854" i="6"/>
  <c r="U854" i="6" s="1"/>
  <c r="R858" i="6"/>
  <c r="U858" i="6" s="1"/>
  <c r="R860" i="6"/>
  <c r="U860" i="6" s="1"/>
  <c r="R862" i="6"/>
  <c r="U862" i="6" s="1"/>
  <c r="R864" i="6"/>
  <c r="U864" i="6" s="1"/>
  <c r="R866" i="6"/>
  <c r="U866" i="6" s="1"/>
  <c r="R868" i="6"/>
  <c r="U868" i="6" s="1"/>
  <c r="R870" i="6"/>
  <c r="U870" i="6" s="1"/>
  <c r="R872" i="6"/>
  <c r="U872" i="6" s="1"/>
  <c r="R874" i="6"/>
  <c r="U874" i="6" s="1"/>
  <c r="R886" i="6"/>
  <c r="U886" i="6" s="1"/>
  <c r="R888" i="6"/>
  <c r="U888" i="6" s="1"/>
  <c r="R890" i="6"/>
  <c r="U890" i="6" s="1"/>
  <c r="R894" i="6"/>
  <c r="U894" i="6" s="1"/>
  <c r="R896" i="6"/>
  <c r="U896" i="6" s="1"/>
  <c r="R898" i="6"/>
  <c r="U898" i="6" s="1"/>
  <c r="R900" i="6"/>
  <c r="U900" i="6" s="1"/>
  <c r="R902" i="6"/>
  <c r="U902" i="6" s="1"/>
  <c r="R904" i="6"/>
  <c r="U904" i="6" s="1"/>
  <c r="R906" i="6"/>
  <c r="U906" i="6" s="1"/>
  <c r="R910" i="6"/>
  <c r="U910" i="6" s="1"/>
  <c r="R912" i="6"/>
  <c r="U912" i="6" s="1"/>
  <c r="R914" i="6"/>
  <c r="U914" i="6" s="1"/>
  <c r="R916" i="6"/>
  <c r="U916" i="6" s="1"/>
  <c r="R924" i="6"/>
  <c r="U924" i="6" s="1"/>
  <c r="R926" i="6"/>
  <c r="U926" i="6" s="1"/>
  <c r="R930" i="6"/>
  <c r="U930" i="6" s="1"/>
  <c r="R932" i="6"/>
  <c r="U932" i="6" s="1"/>
  <c r="R934" i="6"/>
  <c r="U934" i="6" s="1"/>
  <c r="R936" i="6"/>
  <c r="U936" i="6" s="1"/>
  <c r="R938" i="6"/>
  <c r="U938" i="6" s="1"/>
  <c r="R940" i="6"/>
  <c r="U940" i="6" s="1"/>
  <c r="R942" i="6"/>
  <c r="U942" i="6" s="1"/>
  <c r="R964" i="6"/>
  <c r="U964" i="6" s="1"/>
  <c r="R966" i="6"/>
  <c r="U966" i="6" s="1"/>
  <c r="R968" i="6"/>
  <c r="U968" i="6" s="1"/>
  <c r="R970" i="6"/>
  <c r="U970" i="6" s="1"/>
  <c r="R972" i="6"/>
  <c r="U972" i="6" s="1"/>
  <c r="R974" i="6"/>
  <c r="U974" i="6" s="1"/>
  <c r="R976" i="6"/>
  <c r="U976" i="6" s="1"/>
  <c r="R978" i="6"/>
  <c r="U978" i="6" s="1"/>
  <c r="R980" i="6"/>
  <c r="U980" i="6" s="1"/>
  <c r="R982" i="6"/>
  <c r="U982" i="6" s="1"/>
  <c r="R992" i="6"/>
  <c r="U992" i="6" s="1"/>
  <c r="R994" i="6"/>
  <c r="U994" i="6" s="1"/>
  <c r="R996" i="6"/>
  <c r="U996" i="6" s="1"/>
  <c r="R998" i="6"/>
  <c r="U998" i="6" s="1"/>
  <c r="J235" i="6"/>
  <c r="I235" i="6" s="1"/>
  <c r="N235" i="6"/>
  <c r="K235" i="6" s="1"/>
  <c r="J237" i="6"/>
  <c r="I237" i="6" s="1"/>
  <c r="N237" i="6"/>
  <c r="K237" i="6" s="1"/>
  <c r="J239" i="6"/>
  <c r="I239" i="6" s="1"/>
  <c r="N239" i="6"/>
  <c r="K239" i="6" s="1"/>
  <c r="J241" i="6"/>
  <c r="I241" i="6" s="1"/>
  <c r="N241" i="6"/>
  <c r="K241" i="6" s="1"/>
  <c r="J243" i="6"/>
  <c r="I243" i="6" s="1"/>
  <c r="N243" i="6"/>
  <c r="K243" i="6" s="1"/>
  <c r="J245" i="6"/>
  <c r="I245" i="6" s="1"/>
  <c r="N245" i="6"/>
  <c r="K245" i="6" s="1"/>
  <c r="J247" i="6"/>
  <c r="I247" i="6" s="1"/>
  <c r="N247" i="6"/>
  <c r="K247" i="6" s="1"/>
  <c r="J249" i="6"/>
  <c r="I249" i="6" s="1"/>
  <c r="N249" i="6"/>
  <c r="K249" i="6" s="1"/>
  <c r="J251" i="6"/>
  <c r="I251" i="6" s="1"/>
  <c r="N251" i="6"/>
  <c r="K251" i="6" s="1"/>
  <c r="J253" i="6"/>
  <c r="I253" i="6" s="1"/>
  <c r="N253" i="6"/>
  <c r="K253" i="6" s="1"/>
  <c r="J255" i="6"/>
  <c r="I255" i="6" s="1"/>
  <c r="N255" i="6"/>
  <c r="K255" i="6" s="1"/>
  <c r="J257" i="6"/>
  <c r="I257" i="6" s="1"/>
  <c r="N257" i="6"/>
  <c r="K257" i="6" s="1"/>
  <c r="J259" i="6"/>
  <c r="I259" i="6" s="1"/>
  <c r="N259" i="6"/>
  <c r="K259" i="6" s="1"/>
  <c r="J261" i="6"/>
  <c r="I261" i="6" s="1"/>
  <c r="N261" i="6"/>
  <c r="K261" i="6" s="1"/>
  <c r="J263" i="6"/>
  <c r="I263" i="6" s="1"/>
  <c r="N263" i="6"/>
  <c r="K263" i="6" s="1"/>
  <c r="J265" i="6"/>
  <c r="I265" i="6" s="1"/>
  <c r="N265" i="6"/>
  <c r="K265" i="6" s="1"/>
  <c r="J267" i="6"/>
  <c r="I267" i="6" s="1"/>
  <c r="N267" i="6"/>
  <c r="K267" i="6" s="1"/>
  <c r="J269" i="6"/>
  <c r="I269" i="6" s="1"/>
  <c r="N269" i="6"/>
  <c r="K269" i="6" s="1"/>
  <c r="J271" i="6"/>
  <c r="I271" i="6" s="1"/>
  <c r="N271" i="6"/>
  <c r="K271" i="6" s="1"/>
  <c r="J273" i="6"/>
  <c r="I273" i="6" s="1"/>
  <c r="N273" i="6"/>
  <c r="K273" i="6" s="1"/>
  <c r="J275" i="6"/>
  <c r="I275" i="6" s="1"/>
  <c r="N275" i="6"/>
  <c r="K275" i="6" s="1"/>
  <c r="J277" i="6"/>
  <c r="I277" i="6" s="1"/>
  <c r="N277" i="6"/>
  <c r="K277" i="6" s="1"/>
  <c r="J279" i="6"/>
  <c r="I279" i="6" s="1"/>
  <c r="N279" i="6"/>
  <c r="K279" i="6" s="1"/>
  <c r="J281" i="6"/>
  <c r="I281" i="6" s="1"/>
  <c r="N281" i="6"/>
  <c r="K281" i="6" s="1"/>
  <c r="J283" i="6"/>
  <c r="I283" i="6" s="1"/>
  <c r="N283" i="6"/>
  <c r="K283" i="6" s="1"/>
  <c r="J285" i="6"/>
  <c r="I285" i="6" s="1"/>
  <c r="N285" i="6"/>
  <c r="K285" i="6" s="1"/>
  <c r="J287" i="6"/>
  <c r="I287" i="6" s="1"/>
  <c r="N287" i="6"/>
  <c r="K287" i="6" s="1"/>
  <c r="J289" i="6"/>
  <c r="I289" i="6" s="1"/>
  <c r="N289" i="6"/>
  <c r="K289" i="6" s="1"/>
  <c r="J291" i="6"/>
  <c r="I291" i="6" s="1"/>
  <c r="N291" i="6"/>
  <c r="K291" i="6" s="1"/>
  <c r="J293" i="6"/>
  <c r="I293" i="6" s="1"/>
  <c r="N293" i="6"/>
  <c r="K293" i="6" s="1"/>
  <c r="J295" i="6"/>
  <c r="I295" i="6" s="1"/>
  <c r="N295" i="6"/>
  <c r="K295" i="6" s="1"/>
  <c r="J297" i="6"/>
  <c r="I297" i="6" s="1"/>
  <c r="N297" i="6"/>
  <c r="K297" i="6" s="1"/>
  <c r="J299" i="6"/>
  <c r="I299" i="6" s="1"/>
  <c r="N299" i="6"/>
  <c r="K299" i="6" s="1"/>
  <c r="J301" i="6"/>
  <c r="I301" i="6" s="1"/>
  <c r="N301" i="6"/>
  <c r="K301" i="6" s="1"/>
  <c r="J303" i="6"/>
  <c r="I303" i="6" s="1"/>
  <c r="N303" i="6"/>
  <c r="K303" i="6" s="1"/>
  <c r="J305" i="6"/>
  <c r="I305" i="6" s="1"/>
  <c r="N305" i="6"/>
  <c r="K305" i="6" s="1"/>
  <c r="J307" i="6"/>
  <c r="I307" i="6" s="1"/>
  <c r="N307" i="6"/>
  <c r="K307" i="6" s="1"/>
  <c r="J309" i="6"/>
  <c r="I309" i="6" s="1"/>
  <c r="N309" i="6"/>
  <c r="K309" i="6" s="1"/>
  <c r="J311" i="6"/>
  <c r="I311" i="6" s="1"/>
  <c r="N311" i="6"/>
  <c r="K311" i="6" s="1"/>
  <c r="J313" i="6"/>
  <c r="I313" i="6" s="1"/>
  <c r="N313" i="6"/>
  <c r="K313" i="6" s="1"/>
  <c r="J315" i="6"/>
  <c r="I315" i="6" s="1"/>
  <c r="N315" i="6"/>
  <c r="K315" i="6" s="1"/>
  <c r="J317" i="6"/>
  <c r="I317" i="6" s="1"/>
  <c r="N317" i="6"/>
  <c r="K317" i="6" s="1"/>
  <c r="J319" i="6"/>
  <c r="I319" i="6" s="1"/>
  <c r="N319" i="6"/>
  <c r="K319" i="6" s="1"/>
  <c r="J321" i="6"/>
  <c r="I321" i="6" s="1"/>
  <c r="N321" i="6"/>
  <c r="K321" i="6" s="1"/>
  <c r="J323" i="6"/>
  <c r="I323" i="6" s="1"/>
  <c r="N323" i="6"/>
  <c r="K323" i="6" s="1"/>
  <c r="J325" i="6"/>
  <c r="I325" i="6" s="1"/>
  <c r="N325" i="6"/>
  <c r="K325" i="6" s="1"/>
  <c r="J327" i="6"/>
  <c r="I327" i="6" s="1"/>
  <c r="N327" i="6"/>
  <c r="K327" i="6" s="1"/>
  <c r="J329" i="6"/>
  <c r="I329" i="6" s="1"/>
  <c r="N329" i="6"/>
  <c r="K329" i="6" s="1"/>
  <c r="J331" i="6"/>
  <c r="I331" i="6" s="1"/>
  <c r="N331" i="6"/>
  <c r="K331" i="6" s="1"/>
  <c r="J333" i="6"/>
  <c r="I333" i="6" s="1"/>
  <c r="N333" i="6"/>
  <c r="K333" i="6" s="1"/>
  <c r="J335" i="6"/>
  <c r="I335" i="6" s="1"/>
  <c r="N335" i="6"/>
  <c r="K335" i="6" s="1"/>
  <c r="J337" i="6"/>
  <c r="I337" i="6" s="1"/>
  <c r="N337" i="6"/>
  <c r="K337" i="6" s="1"/>
  <c r="J339" i="6"/>
  <c r="I339" i="6" s="1"/>
  <c r="N339" i="6"/>
  <c r="K339" i="6" s="1"/>
  <c r="J341" i="6"/>
  <c r="I341" i="6" s="1"/>
  <c r="N341" i="6"/>
  <c r="K341" i="6" s="1"/>
  <c r="J343" i="6"/>
  <c r="I343" i="6" s="1"/>
  <c r="N343" i="6"/>
  <c r="K343" i="6" s="1"/>
  <c r="J345" i="6"/>
  <c r="I345" i="6" s="1"/>
  <c r="N345" i="6"/>
  <c r="K345" i="6" s="1"/>
  <c r="J347" i="6"/>
  <c r="I347" i="6" s="1"/>
  <c r="N347" i="6"/>
  <c r="K347" i="6" s="1"/>
  <c r="J349" i="6"/>
  <c r="I349" i="6" s="1"/>
  <c r="N349" i="6"/>
  <c r="K349" i="6" s="1"/>
  <c r="J351" i="6"/>
  <c r="I351" i="6" s="1"/>
  <c r="N351" i="6"/>
  <c r="K351" i="6" s="1"/>
  <c r="J353" i="6"/>
  <c r="I353" i="6" s="1"/>
  <c r="N353" i="6"/>
  <c r="K353" i="6" s="1"/>
  <c r="J355" i="6"/>
  <c r="I355" i="6" s="1"/>
  <c r="N355" i="6"/>
  <c r="K355" i="6" s="1"/>
  <c r="J357" i="6"/>
  <c r="I357" i="6" s="1"/>
  <c r="N357" i="6"/>
  <c r="K357" i="6" s="1"/>
  <c r="J359" i="6"/>
  <c r="I359" i="6" s="1"/>
  <c r="N359" i="6"/>
  <c r="K359" i="6" s="1"/>
  <c r="J361" i="6"/>
  <c r="I361" i="6" s="1"/>
  <c r="N361" i="6"/>
  <c r="K361" i="6" s="1"/>
  <c r="J363" i="6"/>
  <c r="I363" i="6" s="1"/>
  <c r="N363" i="6"/>
  <c r="K363" i="6" s="1"/>
  <c r="J365" i="6"/>
  <c r="I365" i="6" s="1"/>
  <c r="N365" i="6"/>
  <c r="K365" i="6" s="1"/>
  <c r="J367" i="6"/>
  <c r="I367" i="6" s="1"/>
  <c r="N367" i="6"/>
  <c r="K367" i="6" s="1"/>
  <c r="J369" i="6"/>
  <c r="I369" i="6" s="1"/>
  <c r="N369" i="6"/>
  <c r="K369" i="6" s="1"/>
  <c r="J371" i="6"/>
  <c r="I371" i="6" s="1"/>
  <c r="N371" i="6"/>
  <c r="K371" i="6" s="1"/>
  <c r="J373" i="6"/>
  <c r="I373" i="6" s="1"/>
  <c r="N373" i="6"/>
  <c r="K373" i="6" s="1"/>
  <c r="J375" i="6"/>
  <c r="I375" i="6" s="1"/>
  <c r="N375" i="6"/>
  <c r="K375" i="6" s="1"/>
  <c r="J377" i="6"/>
  <c r="I377" i="6" s="1"/>
  <c r="N377" i="6"/>
  <c r="K377" i="6" s="1"/>
  <c r="J379" i="6"/>
  <c r="I379" i="6" s="1"/>
  <c r="N379" i="6"/>
  <c r="K379" i="6" s="1"/>
  <c r="J381" i="6"/>
  <c r="I381" i="6" s="1"/>
  <c r="N381" i="6"/>
  <c r="K381" i="6" s="1"/>
  <c r="J383" i="6"/>
  <c r="I383" i="6" s="1"/>
  <c r="N383" i="6"/>
  <c r="K383" i="6" s="1"/>
  <c r="J385" i="6"/>
  <c r="I385" i="6" s="1"/>
  <c r="N385" i="6"/>
  <c r="K385" i="6" s="1"/>
  <c r="J387" i="6"/>
  <c r="I387" i="6" s="1"/>
  <c r="N387" i="6"/>
  <c r="K387" i="6" s="1"/>
  <c r="J389" i="6"/>
  <c r="I389" i="6" s="1"/>
  <c r="N389" i="6"/>
  <c r="K389" i="6" s="1"/>
  <c r="J391" i="6"/>
  <c r="I391" i="6" s="1"/>
  <c r="N391" i="6"/>
  <c r="K391" i="6" s="1"/>
  <c r="J393" i="6"/>
  <c r="I393" i="6" s="1"/>
  <c r="N393" i="6"/>
  <c r="K393" i="6" s="1"/>
  <c r="J395" i="6"/>
  <c r="I395" i="6" s="1"/>
  <c r="N395" i="6"/>
  <c r="K395" i="6" s="1"/>
  <c r="J397" i="6"/>
  <c r="I397" i="6" s="1"/>
  <c r="N397" i="6"/>
  <c r="K397" i="6" s="1"/>
  <c r="J399" i="6"/>
  <c r="I399" i="6" s="1"/>
  <c r="N399" i="6"/>
  <c r="K399" i="6" s="1"/>
  <c r="J401" i="6"/>
  <c r="I401" i="6" s="1"/>
  <c r="N401" i="6"/>
  <c r="K401" i="6" s="1"/>
  <c r="J403" i="6"/>
  <c r="I403" i="6" s="1"/>
  <c r="N403" i="6"/>
  <c r="K403" i="6" s="1"/>
  <c r="J405" i="6"/>
  <c r="I405" i="6" s="1"/>
  <c r="N405" i="6"/>
  <c r="K405" i="6" s="1"/>
  <c r="J407" i="6"/>
  <c r="I407" i="6" s="1"/>
  <c r="N407" i="6"/>
  <c r="K407" i="6" s="1"/>
  <c r="J409" i="6"/>
  <c r="I409" i="6" s="1"/>
  <c r="N409" i="6"/>
  <c r="K409" i="6" s="1"/>
  <c r="J411" i="6"/>
  <c r="I411" i="6" s="1"/>
  <c r="N411" i="6"/>
  <c r="K411" i="6" s="1"/>
  <c r="J413" i="6"/>
  <c r="I413" i="6" s="1"/>
  <c r="N413" i="6"/>
  <c r="K413" i="6" s="1"/>
  <c r="J415" i="6"/>
  <c r="I415" i="6" s="1"/>
  <c r="N415" i="6"/>
  <c r="K415" i="6" s="1"/>
  <c r="J417" i="6"/>
  <c r="I417" i="6" s="1"/>
  <c r="N417" i="6"/>
  <c r="K417" i="6" s="1"/>
  <c r="J419" i="6"/>
  <c r="I419" i="6" s="1"/>
  <c r="N419" i="6"/>
  <c r="K419" i="6" s="1"/>
  <c r="J421" i="6"/>
  <c r="I421" i="6" s="1"/>
  <c r="N421" i="6"/>
  <c r="K421" i="6" s="1"/>
  <c r="J423" i="6"/>
  <c r="I423" i="6" s="1"/>
  <c r="N423" i="6"/>
  <c r="K423" i="6" s="1"/>
  <c r="J425" i="6"/>
  <c r="I425" i="6" s="1"/>
  <c r="N425" i="6"/>
  <c r="K425" i="6" s="1"/>
  <c r="J427" i="6"/>
  <c r="I427" i="6" s="1"/>
  <c r="N427" i="6"/>
  <c r="K427" i="6" s="1"/>
  <c r="J429" i="6"/>
  <c r="I429" i="6" s="1"/>
  <c r="N429" i="6"/>
  <c r="K429" i="6" s="1"/>
  <c r="J431" i="6"/>
  <c r="I431" i="6" s="1"/>
  <c r="N431" i="6"/>
  <c r="K431" i="6" s="1"/>
  <c r="J433" i="6"/>
  <c r="I433" i="6" s="1"/>
  <c r="N433" i="6"/>
  <c r="K433" i="6" s="1"/>
  <c r="J435" i="6"/>
  <c r="I435" i="6" s="1"/>
  <c r="N435" i="6"/>
  <c r="K435" i="6" s="1"/>
  <c r="J437" i="6"/>
  <c r="I437" i="6" s="1"/>
  <c r="N437" i="6"/>
  <c r="K437" i="6" s="1"/>
  <c r="J439" i="6"/>
  <c r="I439" i="6" s="1"/>
  <c r="N439" i="6"/>
  <c r="K439" i="6" s="1"/>
  <c r="J441" i="6"/>
  <c r="I441" i="6" s="1"/>
  <c r="N441" i="6"/>
  <c r="K441" i="6" s="1"/>
  <c r="J443" i="6"/>
  <c r="I443" i="6" s="1"/>
  <c r="N443" i="6"/>
  <c r="K443" i="6" s="1"/>
  <c r="J445" i="6"/>
  <c r="I445" i="6" s="1"/>
  <c r="N445" i="6"/>
  <c r="K445" i="6" s="1"/>
  <c r="J447" i="6"/>
  <c r="I447" i="6" s="1"/>
  <c r="N447" i="6"/>
  <c r="K447" i="6" s="1"/>
  <c r="J449" i="6"/>
  <c r="I449" i="6" s="1"/>
  <c r="N449" i="6"/>
  <c r="K449" i="6" s="1"/>
  <c r="J451" i="6"/>
  <c r="I451" i="6" s="1"/>
  <c r="N451" i="6"/>
  <c r="K451" i="6" s="1"/>
  <c r="J453" i="6"/>
  <c r="I453" i="6" s="1"/>
  <c r="N453" i="6"/>
  <c r="K453" i="6" s="1"/>
  <c r="J455" i="6"/>
  <c r="I455" i="6" s="1"/>
  <c r="N455" i="6"/>
  <c r="K455" i="6" s="1"/>
  <c r="J457" i="6"/>
  <c r="I457" i="6" s="1"/>
  <c r="N457" i="6"/>
  <c r="K457" i="6" s="1"/>
  <c r="J459" i="6"/>
  <c r="I459" i="6" s="1"/>
  <c r="N459" i="6"/>
  <c r="K459" i="6" s="1"/>
  <c r="J461" i="6"/>
  <c r="I461" i="6" s="1"/>
  <c r="N461" i="6"/>
  <c r="K461" i="6" s="1"/>
  <c r="J463" i="6"/>
  <c r="I463" i="6" s="1"/>
  <c r="N463" i="6"/>
  <c r="K463" i="6" s="1"/>
  <c r="J465" i="6"/>
  <c r="I465" i="6" s="1"/>
  <c r="N465" i="6"/>
  <c r="K465" i="6" s="1"/>
  <c r="J467" i="6"/>
  <c r="I467" i="6" s="1"/>
  <c r="N467" i="6"/>
  <c r="K467" i="6" s="1"/>
  <c r="J469" i="6"/>
  <c r="I469" i="6" s="1"/>
  <c r="N469" i="6"/>
  <c r="K469" i="6" s="1"/>
  <c r="J471" i="6"/>
  <c r="I471" i="6" s="1"/>
  <c r="N471" i="6"/>
  <c r="K471" i="6" s="1"/>
  <c r="J473" i="6"/>
  <c r="I473" i="6" s="1"/>
  <c r="N473" i="6"/>
  <c r="K473" i="6" s="1"/>
  <c r="J475" i="6"/>
  <c r="I475" i="6" s="1"/>
  <c r="N475" i="6"/>
  <c r="K475" i="6" s="1"/>
  <c r="J477" i="6"/>
  <c r="I477" i="6" s="1"/>
  <c r="N477" i="6"/>
  <c r="K477" i="6" s="1"/>
  <c r="J479" i="6"/>
  <c r="I479" i="6" s="1"/>
  <c r="N479" i="6"/>
  <c r="K479" i="6" s="1"/>
  <c r="J481" i="6"/>
  <c r="I481" i="6" s="1"/>
  <c r="N481" i="6"/>
  <c r="K481" i="6" s="1"/>
  <c r="J483" i="6"/>
  <c r="I483" i="6" s="1"/>
  <c r="N483" i="6"/>
  <c r="K483" i="6" s="1"/>
  <c r="J485" i="6"/>
  <c r="I485" i="6" s="1"/>
  <c r="N485" i="6"/>
  <c r="K485" i="6" s="1"/>
  <c r="J487" i="6"/>
  <c r="I487" i="6" s="1"/>
  <c r="N487" i="6"/>
  <c r="K487" i="6" s="1"/>
  <c r="J489" i="6"/>
  <c r="I489" i="6" s="1"/>
  <c r="N489" i="6"/>
  <c r="K489" i="6" s="1"/>
  <c r="J491" i="6"/>
  <c r="I491" i="6" s="1"/>
  <c r="N491" i="6"/>
  <c r="K491" i="6" s="1"/>
  <c r="J493" i="6"/>
  <c r="I493" i="6" s="1"/>
  <c r="N493" i="6"/>
  <c r="K493" i="6" s="1"/>
  <c r="J495" i="6"/>
  <c r="I495" i="6" s="1"/>
  <c r="N495" i="6"/>
  <c r="K495" i="6" s="1"/>
  <c r="J497" i="6"/>
  <c r="I497" i="6" s="1"/>
  <c r="N497" i="6"/>
  <c r="K497" i="6" s="1"/>
  <c r="J499" i="6"/>
  <c r="I499" i="6" s="1"/>
  <c r="N499" i="6"/>
  <c r="K499" i="6" s="1"/>
  <c r="J501" i="6"/>
  <c r="I501" i="6" s="1"/>
  <c r="N501" i="6"/>
  <c r="K501" i="6" s="1"/>
  <c r="J503" i="6"/>
  <c r="I503" i="6" s="1"/>
  <c r="N503" i="6"/>
  <c r="K503" i="6" s="1"/>
  <c r="J505" i="6"/>
  <c r="I505" i="6" s="1"/>
  <c r="N505" i="6"/>
  <c r="K505" i="6" s="1"/>
  <c r="J507" i="6"/>
  <c r="I507" i="6" s="1"/>
  <c r="N507" i="6"/>
  <c r="K507" i="6" s="1"/>
  <c r="J509" i="6"/>
  <c r="I509" i="6" s="1"/>
  <c r="N509" i="6"/>
  <c r="K509" i="6" s="1"/>
  <c r="J511" i="6"/>
  <c r="I511" i="6" s="1"/>
  <c r="N511" i="6"/>
  <c r="K511" i="6" s="1"/>
  <c r="J513" i="6"/>
  <c r="I513" i="6" s="1"/>
  <c r="N513" i="6"/>
  <c r="K513" i="6" s="1"/>
  <c r="J515" i="6"/>
  <c r="I515" i="6" s="1"/>
  <c r="N515" i="6"/>
  <c r="K515" i="6" s="1"/>
  <c r="J517" i="6"/>
  <c r="I517" i="6" s="1"/>
  <c r="N517" i="6"/>
  <c r="K517" i="6" s="1"/>
  <c r="J519" i="6"/>
  <c r="I519" i="6" s="1"/>
  <c r="N519" i="6"/>
  <c r="K519" i="6" s="1"/>
  <c r="J521" i="6"/>
  <c r="I521" i="6" s="1"/>
  <c r="N521" i="6"/>
  <c r="K521" i="6" s="1"/>
  <c r="J523" i="6"/>
  <c r="I523" i="6" s="1"/>
  <c r="N523" i="6"/>
  <c r="K523" i="6" s="1"/>
  <c r="J525" i="6"/>
  <c r="I525" i="6" s="1"/>
  <c r="N525" i="6"/>
  <c r="K525" i="6" s="1"/>
  <c r="J527" i="6"/>
  <c r="I527" i="6" s="1"/>
  <c r="N527" i="6"/>
  <c r="K527" i="6" s="1"/>
  <c r="J529" i="6"/>
  <c r="I529" i="6" s="1"/>
  <c r="N529" i="6"/>
  <c r="K529" i="6" s="1"/>
  <c r="J531" i="6"/>
  <c r="I531" i="6" s="1"/>
  <c r="N531" i="6"/>
  <c r="K531" i="6" s="1"/>
  <c r="J533" i="6"/>
  <c r="I533" i="6" s="1"/>
  <c r="N533" i="6"/>
  <c r="K533" i="6" s="1"/>
  <c r="J535" i="6"/>
  <c r="I535" i="6" s="1"/>
  <c r="N535" i="6"/>
  <c r="K535" i="6" s="1"/>
  <c r="J537" i="6"/>
  <c r="I537" i="6" s="1"/>
  <c r="N537" i="6"/>
  <c r="K537" i="6" s="1"/>
  <c r="J539" i="6"/>
  <c r="I539" i="6" s="1"/>
  <c r="N539" i="6"/>
  <c r="K539" i="6" s="1"/>
  <c r="J541" i="6"/>
  <c r="I541" i="6" s="1"/>
  <c r="N541" i="6"/>
  <c r="K541" i="6" s="1"/>
  <c r="J543" i="6"/>
  <c r="I543" i="6" s="1"/>
  <c r="N543" i="6"/>
  <c r="K543" i="6" s="1"/>
  <c r="J545" i="6"/>
  <c r="I545" i="6" s="1"/>
  <c r="N545" i="6"/>
  <c r="K545" i="6" s="1"/>
  <c r="J547" i="6"/>
  <c r="I547" i="6" s="1"/>
  <c r="N547" i="6"/>
  <c r="K547" i="6" s="1"/>
  <c r="J549" i="6"/>
  <c r="I549" i="6" s="1"/>
  <c r="N549" i="6"/>
  <c r="K549" i="6" s="1"/>
  <c r="J551" i="6"/>
  <c r="I551" i="6" s="1"/>
  <c r="N551" i="6"/>
  <c r="K551" i="6" s="1"/>
  <c r="J553" i="6"/>
  <c r="I553" i="6" s="1"/>
  <c r="N553" i="6"/>
  <c r="K553" i="6" s="1"/>
  <c r="J555" i="6"/>
  <c r="I555" i="6" s="1"/>
  <c r="N555" i="6"/>
  <c r="K555" i="6" s="1"/>
  <c r="J557" i="6"/>
  <c r="I557" i="6" s="1"/>
  <c r="N557" i="6"/>
  <c r="K557" i="6" s="1"/>
  <c r="J559" i="6"/>
  <c r="I559" i="6" s="1"/>
  <c r="N559" i="6"/>
  <c r="K559" i="6" s="1"/>
  <c r="J561" i="6"/>
  <c r="I561" i="6" s="1"/>
  <c r="N561" i="6"/>
  <c r="K561" i="6" s="1"/>
  <c r="J563" i="6"/>
  <c r="I563" i="6" s="1"/>
  <c r="N563" i="6"/>
  <c r="K563" i="6" s="1"/>
  <c r="J565" i="6"/>
  <c r="I565" i="6" s="1"/>
  <c r="N565" i="6"/>
  <c r="K565" i="6" s="1"/>
  <c r="J567" i="6"/>
  <c r="I567" i="6" s="1"/>
  <c r="N567" i="6"/>
  <c r="K567" i="6" s="1"/>
  <c r="J569" i="6"/>
  <c r="I569" i="6" s="1"/>
  <c r="N569" i="6"/>
  <c r="K569" i="6" s="1"/>
  <c r="J571" i="6"/>
  <c r="I571" i="6" s="1"/>
  <c r="N571" i="6"/>
  <c r="K571" i="6" s="1"/>
  <c r="J573" i="6"/>
  <c r="I573" i="6" s="1"/>
  <c r="N573" i="6"/>
  <c r="K573" i="6" s="1"/>
  <c r="J575" i="6"/>
  <c r="I575" i="6" s="1"/>
  <c r="N575" i="6"/>
  <c r="K575" i="6" s="1"/>
  <c r="J577" i="6"/>
  <c r="I577" i="6" s="1"/>
  <c r="N577" i="6"/>
  <c r="K577" i="6" s="1"/>
  <c r="J579" i="6"/>
  <c r="I579" i="6" s="1"/>
  <c r="N579" i="6"/>
  <c r="K579" i="6" s="1"/>
  <c r="J581" i="6"/>
  <c r="I581" i="6" s="1"/>
  <c r="N581" i="6"/>
  <c r="K581" i="6" s="1"/>
  <c r="J583" i="6"/>
  <c r="I583" i="6" s="1"/>
  <c r="N583" i="6"/>
  <c r="K583" i="6" s="1"/>
  <c r="J585" i="6"/>
  <c r="I585" i="6" s="1"/>
  <c r="N585" i="6"/>
  <c r="K585" i="6" s="1"/>
  <c r="J587" i="6"/>
  <c r="I587" i="6" s="1"/>
  <c r="N587" i="6"/>
  <c r="K587" i="6" s="1"/>
  <c r="J589" i="6"/>
  <c r="I589" i="6" s="1"/>
  <c r="N589" i="6"/>
  <c r="K589" i="6" s="1"/>
  <c r="J591" i="6"/>
  <c r="I591" i="6" s="1"/>
  <c r="N591" i="6"/>
  <c r="K591" i="6" s="1"/>
  <c r="J593" i="6"/>
  <c r="I593" i="6" s="1"/>
  <c r="N593" i="6"/>
  <c r="K593" i="6" s="1"/>
  <c r="J595" i="6"/>
  <c r="I595" i="6" s="1"/>
  <c r="N595" i="6"/>
  <c r="K595" i="6" s="1"/>
  <c r="J597" i="6"/>
  <c r="I597" i="6" s="1"/>
  <c r="N597" i="6"/>
  <c r="K597" i="6" s="1"/>
  <c r="J599" i="6"/>
  <c r="I599" i="6" s="1"/>
  <c r="N599" i="6"/>
  <c r="K599" i="6" s="1"/>
  <c r="J601" i="6"/>
  <c r="I601" i="6" s="1"/>
  <c r="N601" i="6"/>
  <c r="K601" i="6" s="1"/>
  <c r="J603" i="6"/>
  <c r="I603" i="6" s="1"/>
  <c r="N603" i="6"/>
  <c r="K603" i="6" s="1"/>
  <c r="J605" i="6"/>
  <c r="I605" i="6" s="1"/>
  <c r="N605" i="6"/>
  <c r="K605" i="6" s="1"/>
  <c r="J607" i="6"/>
  <c r="I607" i="6" s="1"/>
  <c r="N607" i="6"/>
  <c r="K607" i="6" s="1"/>
  <c r="J609" i="6"/>
  <c r="I609" i="6" s="1"/>
  <c r="N609" i="6"/>
  <c r="K609" i="6" s="1"/>
  <c r="J611" i="6"/>
  <c r="I611" i="6" s="1"/>
  <c r="N611" i="6"/>
  <c r="K611" i="6" s="1"/>
  <c r="J613" i="6"/>
  <c r="I613" i="6" s="1"/>
  <c r="N613" i="6"/>
  <c r="K613" i="6" s="1"/>
  <c r="J615" i="6"/>
  <c r="I615" i="6" s="1"/>
  <c r="N615" i="6"/>
  <c r="K615" i="6" s="1"/>
  <c r="J617" i="6"/>
  <c r="I617" i="6" s="1"/>
  <c r="N617" i="6"/>
  <c r="K617" i="6" s="1"/>
  <c r="J619" i="6"/>
  <c r="I619" i="6" s="1"/>
  <c r="N619" i="6"/>
  <c r="K619" i="6" s="1"/>
  <c r="J621" i="6"/>
  <c r="I621" i="6" s="1"/>
  <c r="N621" i="6"/>
  <c r="K621" i="6" s="1"/>
  <c r="J623" i="6"/>
  <c r="I623" i="6" s="1"/>
  <c r="N623" i="6"/>
  <c r="K623" i="6" s="1"/>
  <c r="J625" i="6"/>
  <c r="I625" i="6" s="1"/>
  <c r="N625" i="6"/>
  <c r="K625" i="6" s="1"/>
  <c r="J627" i="6"/>
  <c r="I627" i="6" s="1"/>
  <c r="N627" i="6"/>
  <c r="K627" i="6" s="1"/>
  <c r="J629" i="6"/>
  <c r="I629" i="6" s="1"/>
  <c r="N629" i="6"/>
  <c r="K629" i="6" s="1"/>
  <c r="J631" i="6"/>
  <c r="I631" i="6" s="1"/>
  <c r="N631" i="6"/>
  <c r="K631" i="6" s="1"/>
  <c r="J633" i="6"/>
  <c r="I633" i="6" s="1"/>
  <c r="N633" i="6"/>
  <c r="K633" i="6" s="1"/>
  <c r="J635" i="6"/>
  <c r="I635" i="6" s="1"/>
  <c r="N635" i="6"/>
  <c r="K635" i="6" s="1"/>
  <c r="J637" i="6"/>
  <c r="I637" i="6" s="1"/>
  <c r="N637" i="6"/>
  <c r="K637" i="6" s="1"/>
  <c r="J639" i="6"/>
  <c r="I639" i="6" s="1"/>
  <c r="N639" i="6"/>
  <c r="K639" i="6" s="1"/>
  <c r="J641" i="6"/>
  <c r="I641" i="6" s="1"/>
  <c r="N641" i="6"/>
  <c r="K641" i="6" s="1"/>
  <c r="J643" i="6"/>
  <c r="I643" i="6" s="1"/>
  <c r="N643" i="6"/>
  <c r="K643" i="6" s="1"/>
  <c r="J645" i="6"/>
  <c r="I645" i="6" s="1"/>
  <c r="N645" i="6"/>
  <c r="K645" i="6" s="1"/>
  <c r="J647" i="6"/>
  <c r="I647" i="6" s="1"/>
  <c r="N647" i="6"/>
  <c r="K647" i="6" s="1"/>
  <c r="J649" i="6"/>
  <c r="I649" i="6" s="1"/>
  <c r="N649" i="6"/>
  <c r="K649" i="6" s="1"/>
  <c r="J651" i="6"/>
  <c r="I651" i="6" s="1"/>
  <c r="N651" i="6"/>
  <c r="K651" i="6" s="1"/>
  <c r="J653" i="6"/>
  <c r="I653" i="6" s="1"/>
  <c r="N653" i="6"/>
  <c r="K653" i="6" s="1"/>
  <c r="J655" i="6"/>
  <c r="I655" i="6" s="1"/>
  <c r="N655" i="6"/>
  <c r="K655" i="6" s="1"/>
  <c r="J657" i="6"/>
  <c r="I657" i="6" s="1"/>
  <c r="N657" i="6"/>
  <c r="K657" i="6" s="1"/>
  <c r="J659" i="6"/>
  <c r="I659" i="6" s="1"/>
  <c r="N659" i="6"/>
  <c r="K659" i="6" s="1"/>
  <c r="J661" i="6"/>
  <c r="I661" i="6" s="1"/>
  <c r="N661" i="6"/>
  <c r="K661" i="6" s="1"/>
  <c r="J663" i="6"/>
  <c r="I663" i="6" s="1"/>
  <c r="N663" i="6"/>
  <c r="K663" i="6" s="1"/>
  <c r="J665" i="6"/>
  <c r="I665" i="6" s="1"/>
  <c r="N665" i="6"/>
  <c r="K665" i="6" s="1"/>
  <c r="J667" i="6"/>
  <c r="I667" i="6" s="1"/>
  <c r="N667" i="6"/>
  <c r="K667" i="6" s="1"/>
  <c r="J669" i="6"/>
  <c r="I669" i="6" s="1"/>
  <c r="N669" i="6"/>
  <c r="K669" i="6" s="1"/>
  <c r="J671" i="6"/>
  <c r="I671" i="6" s="1"/>
  <c r="N671" i="6"/>
  <c r="K671" i="6" s="1"/>
  <c r="J673" i="6"/>
  <c r="I673" i="6" s="1"/>
  <c r="N673" i="6"/>
  <c r="K673" i="6" s="1"/>
  <c r="J675" i="6"/>
  <c r="I675" i="6" s="1"/>
  <c r="N675" i="6"/>
  <c r="K675" i="6" s="1"/>
  <c r="J677" i="6"/>
  <c r="I677" i="6" s="1"/>
  <c r="N677" i="6"/>
  <c r="K677" i="6" s="1"/>
  <c r="J679" i="6"/>
  <c r="I679" i="6" s="1"/>
  <c r="N679" i="6"/>
  <c r="K679" i="6" s="1"/>
  <c r="J681" i="6"/>
  <c r="I681" i="6" s="1"/>
  <c r="N681" i="6"/>
  <c r="K681" i="6" s="1"/>
  <c r="J683" i="6"/>
  <c r="I683" i="6" s="1"/>
  <c r="N683" i="6"/>
  <c r="K683" i="6" s="1"/>
  <c r="J685" i="6"/>
  <c r="I685" i="6" s="1"/>
  <c r="N685" i="6"/>
  <c r="K685" i="6" s="1"/>
  <c r="J687" i="6"/>
  <c r="I687" i="6" s="1"/>
  <c r="N687" i="6"/>
  <c r="K687" i="6" s="1"/>
  <c r="J689" i="6"/>
  <c r="I689" i="6" s="1"/>
  <c r="N689" i="6"/>
  <c r="K689" i="6" s="1"/>
  <c r="J691" i="6"/>
  <c r="I691" i="6" s="1"/>
  <c r="N691" i="6"/>
  <c r="K691" i="6" s="1"/>
  <c r="J693" i="6"/>
  <c r="I693" i="6" s="1"/>
  <c r="N693" i="6"/>
  <c r="K693" i="6" s="1"/>
  <c r="J695" i="6"/>
  <c r="I695" i="6" s="1"/>
  <c r="N695" i="6"/>
  <c r="K695" i="6" s="1"/>
  <c r="J697" i="6"/>
  <c r="I697" i="6" s="1"/>
  <c r="N697" i="6"/>
  <c r="K697" i="6" s="1"/>
  <c r="J699" i="6"/>
  <c r="I699" i="6" s="1"/>
  <c r="N699" i="6"/>
  <c r="K699" i="6" s="1"/>
  <c r="J701" i="6"/>
  <c r="I701" i="6" s="1"/>
  <c r="N701" i="6"/>
  <c r="K701" i="6" s="1"/>
  <c r="J703" i="6"/>
  <c r="I703" i="6" s="1"/>
  <c r="N703" i="6"/>
  <c r="K703" i="6" s="1"/>
  <c r="J705" i="6"/>
  <c r="I705" i="6" s="1"/>
  <c r="N705" i="6"/>
  <c r="K705" i="6" s="1"/>
  <c r="J707" i="6"/>
  <c r="I707" i="6" s="1"/>
  <c r="N707" i="6"/>
  <c r="K707" i="6" s="1"/>
  <c r="J709" i="6"/>
  <c r="I709" i="6" s="1"/>
  <c r="N709" i="6"/>
  <c r="K709" i="6" s="1"/>
  <c r="J711" i="6"/>
  <c r="I711" i="6" s="1"/>
  <c r="N711" i="6"/>
  <c r="K711" i="6" s="1"/>
  <c r="J713" i="6"/>
  <c r="I713" i="6" s="1"/>
  <c r="N713" i="6"/>
  <c r="K713" i="6" s="1"/>
  <c r="J715" i="6"/>
  <c r="I715" i="6" s="1"/>
  <c r="N715" i="6"/>
  <c r="K715" i="6" s="1"/>
  <c r="J717" i="6"/>
  <c r="I717" i="6" s="1"/>
  <c r="N717" i="6"/>
  <c r="K717" i="6" s="1"/>
  <c r="J719" i="6"/>
  <c r="I719" i="6" s="1"/>
  <c r="N719" i="6"/>
  <c r="K719" i="6" s="1"/>
  <c r="J721" i="6"/>
  <c r="I721" i="6" s="1"/>
  <c r="N721" i="6"/>
  <c r="K721" i="6" s="1"/>
  <c r="J723" i="6"/>
  <c r="I723" i="6" s="1"/>
  <c r="N723" i="6"/>
  <c r="K723" i="6" s="1"/>
  <c r="J725" i="6"/>
  <c r="I725" i="6" s="1"/>
  <c r="N725" i="6"/>
  <c r="K725" i="6" s="1"/>
  <c r="J727" i="6"/>
  <c r="I727" i="6" s="1"/>
  <c r="N727" i="6"/>
  <c r="K727" i="6" s="1"/>
  <c r="J729" i="6"/>
  <c r="I729" i="6" s="1"/>
  <c r="N729" i="6"/>
  <c r="K729" i="6" s="1"/>
  <c r="J731" i="6"/>
  <c r="I731" i="6" s="1"/>
  <c r="N731" i="6"/>
  <c r="K731" i="6" s="1"/>
  <c r="J733" i="6"/>
  <c r="I733" i="6" s="1"/>
  <c r="N733" i="6"/>
  <c r="K733" i="6" s="1"/>
  <c r="J735" i="6"/>
  <c r="I735" i="6" s="1"/>
  <c r="N735" i="6"/>
  <c r="K735" i="6" s="1"/>
  <c r="J737" i="6"/>
  <c r="I737" i="6" s="1"/>
  <c r="N737" i="6"/>
  <c r="K737" i="6" s="1"/>
  <c r="J739" i="6"/>
  <c r="I739" i="6" s="1"/>
  <c r="N739" i="6"/>
  <c r="K739" i="6" s="1"/>
  <c r="J741" i="6"/>
  <c r="I741" i="6" s="1"/>
  <c r="N741" i="6"/>
  <c r="K741" i="6" s="1"/>
  <c r="J743" i="6"/>
  <c r="I743" i="6" s="1"/>
  <c r="N743" i="6"/>
  <c r="K743" i="6" s="1"/>
  <c r="J745" i="6"/>
  <c r="I745" i="6" s="1"/>
  <c r="N745" i="6"/>
  <c r="K745" i="6" s="1"/>
  <c r="J747" i="6"/>
  <c r="I747" i="6" s="1"/>
  <c r="N747" i="6"/>
  <c r="K747" i="6" s="1"/>
  <c r="J749" i="6"/>
  <c r="I749" i="6" s="1"/>
  <c r="N749" i="6"/>
  <c r="K749" i="6" s="1"/>
  <c r="J751" i="6"/>
  <c r="I751" i="6" s="1"/>
  <c r="N751" i="6"/>
  <c r="K751" i="6" s="1"/>
  <c r="J753" i="6"/>
  <c r="I753" i="6" s="1"/>
  <c r="N753" i="6"/>
  <c r="K753" i="6" s="1"/>
  <c r="J755" i="6"/>
  <c r="I755" i="6" s="1"/>
  <c r="N755" i="6"/>
  <c r="K755" i="6" s="1"/>
  <c r="J757" i="6"/>
  <c r="I757" i="6" s="1"/>
  <c r="N757" i="6"/>
  <c r="K757" i="6" s="1"/>
  <c r="J759" i="6"/>
  <c r="I759" i="6" s="1"/>
  <c r="N759" i="6"/>
  <c r="K759" i="6" s="1"/>
  <c r="J761" i="6"/>
  <c r="I761" i="6" s="1"/>
  <c r="N761" i="6"/>
  <c r="K761" i="6" s="1"/>
  <c r="J763" i="6"/>
  <c r="I763" i="6" s="1"/>
  <c r="N763" i="6"/>
  <c r="K763" i="6" s="1"/>
  <c r="J765" i="6"/>
  <c r="I765" i="6" s="1"/>
  <c r="N765" i="6"/>
  <c r="K765" i="6" s="1"/>
  <c r="J767" i="6"/>
  <c r="I767" i="6" s="1"/>
  <c r="N767" i="6"/>
  <c r="K767" i="6" s="1"/>
  <c r="J769" i="6"/>
  <c r="I769" i="6" s="1"/>
  <c r="N769" i="6"/>
  <c r="K769" i="6" s="1"/>
  <c r="J771" i="6"/>
  <c r="I771" i="6" s="1"/>
  <c r="N771" i="6"/>
  <c r="K771" i="6" s="1"/>
  <c r="J773" i="6"/>
  <c r="I773" i="6" s="1"/>
  <c r="N773" i="6"/>
  <c r="K773" i="6" s="1"/>
  <c r="J775" i="6"/>
  <c r="I775" i="6" s="1"/>
  <c r="N775" i="6"/>
  <c r="K775" i="6" s="1"/>
  <c r="J777" i="6"/>
  <c r="I777" i="6" s="1"/>
  <c r="N777" i="6"/>
  <c r="K777" i="6" s="1"/>
  <c r="J779" i="6"/>
  <c r="I779" i="6" s="1"/>
  <c r="N779" i="6"/>
  <c r="K779" i="6" s="1"/>
  <c r="J781" i="6"/>
  <c r="I781" i="6" s="1"/>
  <c r="N781" i="6"/>
  <c r="K781" i="6" s="1"/>
  <c r="J783" i="6"/>
  <c r="I783" i="6" s="1"/>
  <c r="N783" i="6"/>
  <c r="K783" i="6" s="1"/>
  <c r="J785" i="6"/>
  <c r="I785" i="6" s="1"/>
  <c r="N785" i="6"/>
  <c r="K785" i="6" s="1"/>
  <c r="J787" i="6"/>
  <c r="I787" i="6" s="1"/>
  <c r="N787" i="6"/>
  <c r="K787" i="6" s="1"/>
  <c r="J789" i="6"/>
  <c r="I789" i="6" s="1"/>
  <c r="N789" i="6"/>
  <c r="K789" i="6" s="1"/>
  <c r="J791" i="6"/>
  <c r="I791" i="6" s="1"/>
  <c r="N791" i="6"/>
  <c r="K791" i="6" s="1"/>
  <c r="J793" i="6"/>
  <c r="I793" i="6" s="1"/>
  <c r="N793" i="6"/>
  <c r="K793" i="6" s="1"/>
  <c r="J795" i="6"/>
  <c r="I795" i="6" s="1"/>
  <c r="N795" i="6"/>
  <c r="K795" i="6" s="1"/>
  <c r="J797" i="6"/>
  <c r="I797" i="6" s="1"/>
  <c r="N797" i="6"/>
  <c r="K797" i="6" s="1"/>
  <c r="J799" i="6"/>
  <c r="I799" i="6" s="1"/>
  <c r="N799" i="6"/>
  <c r="K799" i="6" s="1"/>
  <c r="J801" i="6"/>
  <c r="I801" i="6" s="1"/>
  <c r="N801" i="6"/>
  <c r="K801" i="6" s="1"/>
  <c r="J803" i="6"/>
  <c r="I803" i="6" s="1"/>
  <c r="N803" i="6"/>
  <c r="K803" i="6" s="1"/>
  <c r="J805" i="6"/>
  <c r="I805" i="6" s="1"/>
  <c r="N805" i="6"/>
  <c r="K805" i="6" s="1"/>
  <c r="J807" i="6"/>
  <c r="I807" i="6" s="1"/>
  <c r="N807" i="6"/>
  <c r="K807" i="6" s="1"/>
  <c r="J809" i="6"/>
  <c r="I809" i="6" s="1"/>
  <c r="N809" i="6"/>
  <c r="K809" i="6" s="1"/>
  <c r="J811" i="6"/>
  <c r="I811" i="6" s="1"/>
  <c r="N811" i="6"/>
  <c r="K811" i="6" s="1"/>
  <c r="J813" i="6"/>
  <c r="I813" i="6" s="1"/>
  <c r="N813" i="6"/>
  <c r="K813" i="6" s="1"/>
  <c r="J815" i="6"/>
  <c r="I815" i="6" s="1"/>
  <c r="N815" i="6"/>
  <c r="K815" i="6" s="1"/>
  <c r="J817" i="6"/>
  <c r="I817" i="6" s="1"/>
  <c r="N817" i="6"/>
  <c r="K817" i="6" s="1"/>
  <c r="J819" i="6"/>
  <c r="I819" i="6" s="1"/>
  <c r="N819" i="6"/>
  <c r="K819" i="6" s="1"/>
  <c r="J821" i="6"/>
  <c r="I821" i="6" s="1"/>
  <c r="N821" i="6"/>
  <c r="K821" i="6" s="1"/>
  <c r="J823" i="6"/>
  <c r="I823" i="6" s="1"/>
  <c r="N823" i="6"/>
  <c r="K823" i="6" s="1"/>
  <c r="J825" i="6"/>
  <c r="I825" i="6" s="1"/>
  <c r="N825" i="6"/>
  <c r="K825" i="6" s="1"/>
  <c r="J827" i="6"/>
  <c r="I827" i="6" s="1"/>
  <c r="N827" i="6"/>
  <c r="K827" i="6" s="1"/>
  <c r="J829" i="6"/>
  <c r="I829" i="6" s="1"/>
  <c r="N829" i="6"/>
  <c r="K829" i="6" s="1"/>
  <c r="J831" i="6"/>
  <c r="I831" i="6" s="1"/>
  <c r="N831" i="6"/>
  <c r="K831" i="6" s="1"/>
  <c r="J833" i="6"/>
  <c r="I833" i="6" s="1"/>
  <c r="N833" i="6"/>
  <c r="K833" i="6" s="1"/>
  <c r="J835" i="6"/>
  <c r="I835" i="6" s="1"/>
  <c r="N835" i="6"/>
  <c r="K835" i="6" s="1"/>
  <c r="J837" i="6"/>
  <c r="I837" i="6" s="1"/>
  <c r="N837" i="6"/>
  <c r="K837" i="6" s="1"/>
  <c r="J839" i="6"/>
  <c r="I839" i="6" s="1"/>
  <c r="N839" i="6"/>
  <c r="K839" i="6" s="1"/>
  <c r="J841" i="6"/>
  <c r="I841" i="6" s="1"/>
  <c r="N841" i="6"/>
  <c r="K841" i="6" s="1"/>
  <c r="J843" i="6"/>
  <c r="I843" i="6" s="1"/>
  <c r="N843" i="6"/>
  <c r="K843" i="6" s="1"/>
  <c r="J845" i="6"/>
  <c r="I845" i="6" s="1"/>
  <c r="N845" i="6"/>
  <c r="K845" i="6" s="1"/>
  <c r="J847" i="6"/>
  <c r="I847" i="6" s="1"/>
  <c r="N847" i="6"/>
  <c r="K847" i="6" s="1"/>
  <c r="J849" i="6"/>
  <c r="I849" i="6" s="1"/>
  <c r="N849" i="6"/>
  <c r="K849" i="6" s="1"/>
  <c r="J851" i="6"/>
  <c r="I851" i="6" s="1"/>
  <c r="N851" i="6"/>
  <c r="K851" i="6" s="1"/>
  <c r="J853" i="6"/>
  <c r="I853" i="6" s="1"/>
  <c r="N853" i="6"/>
  <c r="K853" i="6" s="1"/>
  <c r="J855" i="6"/>
  <c r="I855" i="6" s="1"/>
  <c r="N855" i="6"/>
  <c r="K855" i="6" s="1"/>
  <c r="J857" i="6"/>
  <c r="I857" i="6" s="1"/>
  <c r="N857" i="6"/>
  <c r="K857" i="6" s="1"/>
  <c r="J859" i="6"/>
  <c r="I859" i="6" s="1"/>
  <c r="N859" i="6"/>
  <c r="K859" i="6" s="1"/>
  <c r="J861" i="6"/>
  <c r="I861" i="6" s="1"/>
  <c r="N861" i="6"/>
  <c r="K861" i="6" s="1"/>
  <c r="J863" i="6"/>
  <c r="I863" i="6" s="1"/>
  <c r="N863" i="6"/>
  <c r="K863" i="6" s="1"/>
  <c r="J865" i="6"/>
  <c r="I865" i="6" s="1"/>
  <c r="N865" i="6"/>
  <c r="K865" i="6" s="1"/>
  <c r="J867" i="6"/>
  <c r="I867" i="6" s="1"/>
  <c r="N867" i="6"/>
  <c r="K867" i="6" s="1"/>
  <c r="J869" i="6"/>
  <c r="I869" i="6" s="1"/>
  <c r="N869" i="6"/>
  <c r="K869" i="6" s="1"/>
  <c r="J871" i="6"/>
  <c r="I871" i="6" s="1"/>
  <c r="N871" i="6"/>
  <c r="K871" i="6" s="1"/>
  <c r="J873" i="6"/>
  <c r="I873" i="6" s="1"/>
  <c r="N873" i="6"/>
  <c r="K873" i="6" s="1"/>
  <c r="J875" i="6"/>
  <c r="I875" i="6" s="1"/>
  <c r="N875" i="6"/>
  <c r="K875" i="6" s="1"/>
  <c r="J877" i="6"/>
  <c r="I877" i="6" s="1"/>
  <c r="N877" i="6"/>
  <c r="K877" i="6" s="1"/>
  <c r="J879" i="6"/>
  <c r="I879" i="6" s="1"/>
  <c r="N879" i="6"/>
  <c r="K879" i="6" s="1"/>
  <c r="J881" i="6"/>
  <c r="I881" i="6" s="1"/>
  <c r="N881" i="6"/>
  <c r="K881" i="6" s="1"/>
  <c r="J883" i="6"/>
  <c r="I883" i="6" s="1"/>
  <c r="N883" i="6"/>
  <c r="K883" i="6" s="1"/>
  <c r="J885" i="6"/>
  <c r="I885" i="6" s="1"/>
  <c r="N885" i="6"/>
  <c r="K885" i="6" s="1"/>
  <c r="J887" i="6"/>
  <c r="I887" i="6" s="1"/>
  <c r="N887" i="6"/>
  <c r="K887" i="6" s="1"/>
  <c r="J889" i="6"/>
  <c r="I889" i="6" s="1"/>
  <c r="N889" i="6"/>
  <c r="K889" i="6" s="1"/>
  <c r="J891" i="6"/>
  <c r="I891" i="6" s="1"/>
  <c r="N891" i="6"/>
  <c r="K891" i="6" s="1"/>
  <c r="J893" i="6"/>
  <c r="I893" i="6" s="1"/>
  <c r="N893" i="6"/>
  <c r="K893" i="6" s="1"/>
  <c r="J895" i="6"/>
  <c r="I895" i="6" s="1"/>
  <c r="N895" i="6"/>
  <c r="K895" i="6" s="1"/>
  <c r="J897" i="6"/>
  <c r="I897" i="6" s="1"/>
  <c r="N897" i="6"/>
  <c r="K897" i="6" s="1"/>
  <c r="J899" i="6"/>
  <c r="I899" i="6" s="1"/>
  <c r="N899" i="6"/>
  <c r="K899" i="6" s="1"/>
  <c r="J901" i="6"/>
  <c r="I901" i="6" s="1"/>
  <c r="N901" i="6"/>
  <c r="K901" i="6" s="1"/>
  <c r="J903" i="6"/>
  <c r="I903" i="6" s="1"/>
  <c r="N903" i="6"/>
  <c r="K903" i="6" s="1"/>
  <c r="J905" i="6"/>
  <c r="I905" i="6" s="1"/>
  <c r="N905" i="6"/>
  <c r="K905" i="6" s="1"/>
  <c r="J907" i="6"/>
  <c r="I907" i="6" s="1"/>
  <c r="N907" i="6"/>
  <c r="K907" i="6" s="1"/>
  <c r="J909" i="6"/>
  <c r="I909" i="6" s="1"/>
  <c r="N909" i="6"/>
  <c r="K909" i="6" s="1"/>
  <c r="J911" i="6"/>
  <c r="I911" i="6" s="1"/>
  <c r="N911" i="6"/>
  <c r="K911" i="6" s="1"/>
  <c r="J913" i="6"/>
  <c r="I913" i="6" s="1"/>
  <c r="N913" i="6"/>
  <c r="K913" i="6" s="1"/>
  <c r="J915" i="6"/>
  <c r="I915" i="6" s="1"/>
  <c r="N915" i="6"/>
  <c r="K915" i="6" s="1"/>
  <c r="J917" i="6"/>
  <c r="I917" i="6" s="1"/>
  <c r="N917" i="6"/>
  <c r="K917" i="6" s="1"/>
  <c r="J919" i="6"/>
  <c r="I919" i="6" s="1"/>
  <c r="N919" i="6"/>
  <c r="K919" i="6" s="1"/>
  <c r="J921" i="6"/>
  <c r="I921" i="6" s="1"/>
  <c r="N921" i="6"/>
  <c r="K921" i="6" s="1"/>
  <c r="J923" i="6"/>
  <c r="I923" i="6" s="1"/>
  <c r="N923" i="6"/>
  <c r="K923" i="6" s="1"/>
  <c r="J925" i="6"/>
  <c r="I925" i="6" s="1"/>
  <c r="N925" i="6"/>
  <c r="K925" i="6" s="1"/>
  <c r="J927" i="6"/>
  <c r="I927" i="6" s="1"/>
  <c r="N927" i="6"/>
  <c r="K927" i="6" s="1"/>
  <c r="J929" i="6"/>
  <c r="I929" i="6" s="1"/>
  <c r="N929" i="6"/>
  <c r="K929" i="6" s="1"/>
  <c r="J931" i="6"/>
  <c r="I931" i="6" s="1"/>
  <c r="N931" i="6"/>
  <c r="K931" i="6" s="1"/>
  <c r="J933" i="6"/>
  <c r="I933" i="6" s="1"/>
  <c r="N933" i="6"/>
  <c r="K933" i="6" s="1"/>
  <c r="J935" i="6"/>
  <c r="I935" i="6" s="1"/>
  <c r="N935" i="6"/>
  <c r="K935" i="6" s="1"/>
  <c r="J937" i="6"/>
  <c r="I937" i="6" s="1"/>
  <c r="N937" i="6"/>
  <c r="K937" i="6" s="1"/>
  <c r="J939" i="6"/>
  <c r="I939" i="6" s="1"/>
  <c r="N939" i="6"/>
  <c r="K939" i="6" s="1"/>
  <c r="J941" i="6"/>
  <c r="I941" i="6" s="1"/>
  <c r="N941" i="6"/>
  <c r="K941" i="6" s="1"/>
  <c r="J943" i="6"/>
  <c r="I943" i="6" s="1"/>
  <c r="N943" i="6"/>
  <c r="K943" i="6" s="1"/>
  <c r="J945" i="6"/>
  <c r="I945" i="6" s="1"/>
  <c r="N945" i="6"/>
  <c r="K945" i="6" s="1"/>
  <c r="J947" i="6"/>
  <c r="I947" i="6" s="1"/>
  <c r="N947" i="6"/>
  <c r="K947" i="6" s="1"/>
  <c r="J949" i="6"/>
  <c r="I949" i="6" s="1"/>
  <c r="N949" i="6"/>
  <c r="K949" i="6" s="1"/>
  <c r="J951" i="6"/>
  <c r="I951" i="6" s="1"/>
  <c r="N951" i="6"/>
  <c r="K951" i="6" s="1"/>
  <c r="J953" i="6"/>
  <c r="I953" i="6" s="1"/>
  <c r="N953" i="6"/>
  <c r="K953" i="6" s="1"/>
  <c r="J955" i="6"/>
  <c r="I955" i="6" s="1"/>
  <c r="N955" i="6"/>
  <c r="K955" i="6" s="1"/>
  <c r="J957" i="6"/>
  <c r="I957" i="6" s="1"/>
  <c r="N957" i="6"/>
  <c r="K957" i="6" s="1"/>
  <c r="J959" i="6"/>
  <c r="I959" i="6" s="1"/>
  <c r="N959" i="6"/>
  <c r="K959" i="6" s="1"/>
  <c r="J961" i="6"/>
  <c r="I961" i="6" s="1"/>
  <c r="N961" i="6"/>
  <c r="K961" i="6" s="1"/>
  <c r="J963" i="6"/>
  <c r="I963" i="6" s="1"/>
  <c r="N963" i="6"/>
  <c r="K963" i="6" s="1"/>
  <c r="J965" i="6"/>
  <c r="I965" i="6" s="1"/>
  <c r="N965" i="6"/>
  <c r="K965" i="6" s="1"/>
  <c r="J967" i="6"/>
  <c r="I967" i="6" s="1"/>
  <c r="N967" i="6"/>
  <c r="K967" i="6" s="1"/>
  <c r="J969" i="6"/>
  <c r="I969" i="6" s="1"/>
  <c r="N969" i="6"/>
  <c r="K969" i="6" s="1"/>
  <c r="J971" i="6"/>
  <c r="I971" i="6" s="1"/>
  <c r="N971" i="6"/>
  <c r="K971" i="6" s="1"/>
  <c r="J973" i="6"/>
  <c r="I973" i="6" s="1"/>
  <c r="N973" i="6"/>
  <c r="K973" i="6" s="1"/>
  <c r="J975" i="6"/>
  <c r="I975" i="6" s="1"/>
  <c r="N975" i="6"/>
  <c r="K975" i="6" s="1"/>
  <c r="J977" i="6"/>
  <c r="I977" i="6" s="1"/>
  <c r="N977" i="6"/>
  <c r="K977" i="6" s="1"/>
  <c r="J979" i="6"/>
  <c r="I979" i="6" s="1"/>
  <c r="N979" i="6"/>
  <c r="K979" i="6" s="1"/>
  <c r="J981" i="6"/>
  <c r="I981" i="6" s="1"/>
  <c r="N981" i="6"/>
  <c r="K981" i="6" s="1"/>
  <c r="J983" i="6"/>
  <c r="I983" i="6" s="1"/>
  <c r="N983" i="6"/>
  <c r="K983" i="6" s="1"/>
  <c r="J985" i="6"/>
  <c r="I985" i="6" s="1"/>
  <c r="N985" i="6"/>
  <c r="K985" i="6" s="1"/>
  <c r="J987" i="6"/>
  <c r="I987" i="6" s="1"/>
  <c r="N987" i="6"/>
  <c r="K987" i="6" s="1"/>
  <c r="J989" i="6"/>
  <c r="I989" i="6" s="1"/>
  <c r="N989" i="6"/>
  <c r="K989" i="6" s="1"/>
  <c r="J991" i="6"/>
  <c r="I991" i="6" s="1"/>
  <c r="N991" i="6"/>
  <c r="K991" i="6" s="1"/>
  <c r="J993" i="6"/>
  <c r="I993" i="6" s="1"/>
  <c r="N993" i="6"/>
  <c r="K993" i="6" s="1"/>
  <c r="J995" i="6"/>
  <c r="I995" i="6" s="1"/>
  <c r="N995" i="6"/>
  <c r="K995" i="6" s="1"/>
  <c r="J997" i="6"/>
  <c r="I997" i="6" s="1"/>
  <c r="N997" i="6"/>
  <c r="K997" i="6" s="1"/>
  <c r="J999" i="6"/>
  <c r="I999" i="6" s="1"/>
  <c r="N999" i="6"/>
  <c r="K999" i="6" s="1"/>
  <c r="J1001" i="6"/>
  <c r="I1001" i="6" s="1"/>
  <c r="N1001" i="6"/>
  <c r="K1001" i="6" s="1"/>
  <c r="J1003" i="6"/>
  <c r="I1003" i="6" s="1"/>
  <c r="N1003" i="6"/>
  <c r="K1003" i="6" s="1"/>
  <c r="IN2" i="7"/>
  <c r="IM2" i="7" s="1"/>
  <c r="IE100" i="7"/>
  <c r="IE13" i="7" s="1"/>
  <c r="IA100" i="7"/>
  <c r="IA13" i="7" s="1"/>
  <c r="HW100" i="7"/>
  <c r="HW13" i="7" s="1"/>
  <c r="HS100" i="7"/>
  <c r="HS13" i="7" s="1"/>
  <c r="HO100" i="7"/>
  <c r="HO13" i="7" s="1"/>
  <c r="HK100" i="7"/>
  <c r="HK13" i="7" s="1"/>
  <c r="HG100" i="7"/>
  <c r="HG13" i="7" s="1"/>
  <c r="HC100" i="7"/>
  <c r="HC13" i="7" s="1"/>
  <c r="GY100" i="7"/>
  <c r="GY13" i="7" s="1"/>
  <c r="GU100" i="7"/>
  <c r="GU13" i="7" s="1"/>
  <c r="GQ100" i="7"/>
  <c r="GQ13" i="7" s="1"/>
  <c r="GM100" i="7"/>
  <c r="GM13" i="7" s="1"/>
  <c r="GI100" i="7"/>
  <c r="GI13" i="7" s="1"/>
  <c r="GE100" i="7"/>
  <c r="GE13" i="7" s="1"/>
  <c r="GA100" i="7"/>
  <c r="GA13" i="7" s="1"/>
  <c r="FW100" i="7"/>
  <c r="FW13" i="7" s="1"/>
  <c r="FS100" i="7"/>
  <c r="FS13" i="7" s="1"/>
  <c r="FO100" i="7"/>
  <c r="FO13" i="7" s="1"/>
  <c r="FK100" i="7"/>
  <c r="FK13" i="7" s="1"/>
  <c r="FG100" i="7"/>
  <c r="FG13" i="7" s="1"/>
  <c r="FC100" i="7"/>
  <c r="FC13" i="7" s="1"/>
  <c r="EY100" i="7"/>
  <c r="EY13" i="7" s="1"/>
  <c r="EU100" i="7"/>
  <c r="EU13" i="7" s="1"/>
  <c r="EQ100" i="7"/>
  <c r="EQ13" i="7" s="1"/>
  <c r="EM100" i="7"/>
  <c r="EM13" i="7" s="1"/>
  <c r="EI100" i="7"/>
  <c r="EI13" i="7" s="1"/>
  <c r="EE100" i="7"/>
  <c r="EE13" i="7" s="1"/>
  <c r="EA100" i="7"/>
  <c r="EA13" i="7" s="1"/>
  <c r="DW100" i="7"/>
  <c r="DW13" i="7" s="1"/>
  <c r="DS100" i="7"/>
  <c r="DS13" i="7" s="1"/>
  <c r="DO100" i="7"/>
  <c r="DO13" i="7" s="1"/>
  <c r="DK100" i="7"/>
  <c r="DK13" i="7" s="1"/>
  <c r="DG100" i="7"/>
  <c r="DG13" i="7" s="1"/>
  <c r="DC100" i="7"/>
  <c r="DC13" i="7" s="1"/>
  <c r="CY100" i="7"/>
  <c r="CY13" i="7" s="1"/>
  <c r="CU100" i="7"/>
  <c r="CU13" i="7" s="1"/>
  <c r="CQ100" i="7"/>
  <c r="CQ13" i="7" s="1"/>
  <c r="CM100" i="7"/>
  <c r="CM13" i="7" s="1"/>
  <c r="CI100" i="7"/>
  <c r="CI13" i="7" s="1"/>
  <c r="CE100" i="7"/>
  <c r="CE13" i="7" s="1"/>
  <c r="CA100" i="7"/>
  <c r="CA13" i="7" s="1"/>
  <c r="BW100" i="7"/>
  <c r="BW13" i="7" s="1"/>
  <c r="BS100" i="7"/>
  <c r="BS13" i="7" s="1"/>
  <c r="IG100" i="7"/>
  <c r="IG13" i="7" s="1"/>
  <c r="IC100" i="7"/>
  <c r="IC13" i="7" s="1"/>
  <c r="HY100" i="7"/>
  <c r="HY13" i="7" s="1"/>
  <c r="HU100" i="7"/>
  <c r="HU13" i="7" s="1"/>
  <c r="HQ100" i="7"/>
  <c r="HQ13" i="7" s="1"/>
  <c r="HM100" i="7"/>
  <c r="HM13" i="7" s="1"/>
  <c r="HI100" i="7"/>
  <c r="HI13" i="7" s="1"/>
  <c r="HE100" i="7"/>
  <c r="HE13" i="7" s="1"/>
  <c r="HA100" i="7"/>
  <c r="HA13" i="7" s="1"/>
  <c r="GW100" i="7"/>
  <c r="GW13" i="7" s="1"/>
  <c r="GS100" i="7"/>
  <c r="GS13" i="7" s="1"/>
  <c r="GO100" i="7"/>
  <c r="GO13" i="7" s="1"/>
  <c r="GK100" i="7"/>
  <c r="GK13" i="7" s="1"/>
  <c r="GG100" i="7"/>
  <c r="GG13" i="7" s="1"/>
  <c r="GC100" i="7"/>
  <c r="GC13" i="7" s="1"/>
  <c r="FY100" i="7"/>
  <c r="FY13" i="7" s="1"/>
  <c r="FU100" i="7"/>
  <c r="FU13" i="7" s="1"/>
  <c r="FQ100" i="7"/>
  <c r="FQ13" i="7" s="1"/>
  <c r="FM100" i="7"/>
  <c r="FM13" i="7" s="1"/>
  <c r="FI100" i="7"/>
  <c r="FI13" i="7" s="1"/>
  <c r="FE100" i="7"/>
  <c r="FE13" i="7" s="1"/>
  <c r="FA100" i="7"/>
  <c r="FA13" i="7" s="1"/>
  <c r="EW100" i="7"/>
  <c r="EW13" i="7" s="1"/>
  <c r="ES100" i="7"/>
  <c r="ES13" i="7" s="1"/>
  <c r="EO100" i="7"/>
  <c r="EO13" i="7" s="1"/>
  <c r="EK100" i="7"/>
  <c r="EK13" i="7" s="1"/>
  <c r="EG100" i="7"/>
  <c r="EG13" i="7" s="1"/>
  <c r="EC100" i="7"/>
  <c r="EC13" i="7" s="1"/>
  <c r="DY100" i="7"/>
  <c r="DY13" i="7" s="1"/>
  <c r="DU100" i="7"/>
  <c r="DU13" i="7" s="1"/>
  <c r="DQ100" i="7"/>
  <c r="DQ13" i="7" s="1"/>
  <c r="DM100" i="7"/>
  <c r="DM13" i="7" s="1"/>
  <c r="DI100" i="7"/>
  <c r="DI13" i="7" s="1"/>
  <c r="DE100" i="7"/>
  <c r="DE13" i="7" s="1"/>
  <c r="DA100" i="7"/>
  <c r="DA13" i="7" s="1"/>
  <c r="CW100" i="7"/>
  <c r="CW13" i="7" s="1"/>
  <c r="CS100" i="7"/>
  <c r="CS13" i="7" s="1"/>
  <c r="CO100" i="7"/>
  <c r="CO13" i="7" s="1"/>
  <c r="CK100" i="7"/>
  <c r="CK13" i="7" s="1"/>
  <c r="CG100" i="7"/>
  <c r="CG13" i="7" s="1"/>
  <c r="CC100" i="7"/>
  <c r="CC13" i="7" s="1"/>
  <c r="BY100" i="7"/>
  <c r="BY13" i="7" s="1"/>
  <c r="BU100" i="7"/>
  <c r="BU13" i="7" s="1"/>
  <c r="BQ100" i="7"/>
  <c r="BQ13" i="7" s="1"/>
  <c r="IR2" i="7"/>
  <c r="IO2" i="7" s="1"/>
  <c r="F39" i="7"/>
  <c r="L167" i="6" l="1"/>
  <c r="S167" i="6" s="1"/>
  <c r="V167" i="6" s="1"/>
  <c r="L39" i="6"/>
  <c r="S39" i="6" s="1"/>
  <c r="V39" i="6" s="1"/>
  <c r="O259" i="5"/>
  <c r="L259" i="5" s="1"/>
  <c r="R259" i="5"/>
  <c r="U259" i="5" s="1"/>
  <c r="C259" i="5" s="1"/>
  <c r="B259" i="5" s="1"/>
  <c r="O251" i="5"/>
  <c r="L251" i="5" s="1"/>
  <c r="R251" i="5"/>
  <c r="O243" i="5"/>
  <c r="L243" i="5" s="1"/>
  <c r="R243" i="5"/>
  <c r="U243" i="5" s="1"/>
  <c r="C243" i="5" s="1"/>
  <c r="B243" i="5" s="1"/>
  <c r="O235" i="5"/>
  <c r="L235" i="5" s="1"/>
  <c r="R235" i="5"/>
  <c r="O227" i="5"/>
  <c r="L227" i="5" s="1"/>
  <c r="R227" i="5"/>
  <c r="U227" i="5" s="1"/>
  <c r="C227" i="5" s="1"/>
  <c r="B227" i="5" s="1"/>
  <c r="O219" i="5"/>
  <c r="L219" i="5" s="1"/>
  <c r="R219" i="5"/>
  <c r="O211" i="5"/>
  <c r="L211" i="5" s="1"/>
  <c r="R211" i="5"/>
  <c r="U211" i="5" s="1"/>
  <c r="C211" i="5" s="1"/>
  <c r="B211" i="5" s="1"/>
  <c r="O203" i="5"/>
  <c r="L203" i="5" s="1"/>
  <c r="R203" i="5"/>
  <c r="O195" i="5"/>
  <c r="L195" i="5" s="1"/>
  <c r="R195" i="5"/>
  <c r="O187" i="5"/>
  <c r="L187" i="5" s="1"/>
  <c r="R187" i="5"/>
  <c r="O179" i="5"/>
  <c r="L179" i="5" s="1"/>
  <c r="R179" i="5"/>
  <c r="O171" i="5"/>
  <c r="L171" i="5" s="1"/>
  <c r="R171" i="5"/>
  <c r="O163" i="5"/>
  <c r="L163" i="5" s="1"/>
  <c r="R163" i="5"/>
  <c r="O155" i="5"/>
  <c r="L155" i="5" s="1"/>
  <c r="R155" i="5"/>
  <c r="O147" i="5"/>
  <c r="L147" i="5" s="1"/>
  <c r="R147" i="5"/>
  <c r="U147" i="5" s="1"/>
  <c r="C147" i="5" s="1"/>
  <c r="B147" i="5" s="1"/>
  <c r="O139" i="5"/>
  <c r="L139" i="5" s="1"/>
  <c r="R139" i="5"/>
  <c r="O131" i="5"/>
  <c r="L131" i="5" s="1"/>
  <c r="R131" i="5"/>
  <c r="U131" i="5" s="1"/>
  <c r="C131" i="5" s="1"/>
  <c r="B131" i="5" s="1"/>
  <c r="O123" i="5"/>
  <c r="L123" i="5" s="1"/>
  <c r="R123" i="5"/>
  <c r="O115" i="5"/>
  <c r="L115" i="5" s="1"/>
  <c r="R115" i="5"/>
  <c r="U115" i="5" s="1"/>
  <c r="C115" i="5" s="1"/>
  <c r="B115" i="5" s="1"/>
  <c r="O107" i="5"/>
  <c r="L107" i="5" s="1"/>
  <c r="R107" i="5"/>
  <c r="O99" i="5"/>
  <c r="L99" i="5" s="1"/>
  <c r="R99" i="5"/>
  <c r="U99" i="5" s="1"/>
  <c r="C99" i="5" s="1"/>
  <c r="B99" i="5" s="1"/>
  <c r="O91" i="5"/>
  <c r="L91" i="5" s="1"/>
  <c r="R91" i="5"/>
  <c r="O83" i="5"/>
  <c r="L83" i="5" s="1"/>
  <c r="R83" i="5"/>
  <c r="U83" i="5" s="1"/>
  <c r="C83" i="5" s="1"/>
  <c r="B83" i="5" s="1"/>
  <c r="O75" i="5"/>
  <c r="L75" i="5" s="1"/>
  <c r="R75" i="5"/>
  <c r="O67" i="5"/>
  <c r="L67" i="5" s="1"/>
  <c r="R67" i="5"/>
  <c r="U67" i="5" s="1"/>
  <c r="C67" i="5" s="1"/>
  <c r="B67" i="5" s="1"/>
  <c r="O59" i="5"/>
  <c r="L59" i="5" s="1"/>
  <c r="R59" i="5"/>
  <c r="O51" i="5"/>
  <c r="L51" i="5" s="1"/>
  <c r="R51" i="5"/>
  <c r="U51" i="5" s="1"/>
  <c r="C51" i="5" s="1"/>
  <c r="B51" i="5" s="1"/>
  <c r="O43" i="5"/>
  <c r="L43" i="5" s="1"/>
  <c r="R43" i="5"/>
  <c r="O35" i="5"/>
  <c r="L35" i="5" s="1"/>
  <c r="R35" i="5"/>
  <c r="U35" i="5" s="1"/>
  <c r="R17" i="5"/>
  <c r="U17" i="5" s="1"/>
  <c r="O17" i="5"/>
  <c r="L17" i="5" s="1"/>
  <c r="O9" i="5"/>
  <c r="L9" i="5" s="1"/>
  <c r="R9" i="5"/>
  <c r="U9" i="5" s="1"/>
  <c r="L199" i="6"/>
  <c r="S199" i="6" s="1"/>
  <c r="V199" i="6" s="1"/>
  <c r="L71" i="6"/>
  <c r="S71" i="6" s="1"/>
  <c r="V71" i="6" s="1"/>
  <c r="R366" i="6"/>
  <c r="U366" i="6" s="1"/>
  <c r="L231" i="6"/>
  <c r="S231" i="6" s="1"/>
  <c r="V231" i="6" s="1"/>
  <c r="L103" i="6"/>
  <c r="S103" i="6" s="1"/>
  <c r="V103" i="6" s="1"/>
  <c r="R24" i="5"/>
  <c r="U24" i="5" s="1"/>
  <c r="O24" i="5"/>
  <c r="L24" i="5" s="1"/>
  <c r="R20" i="5"/>
  <c r="U20" i="5" s="1"/>
  <c r="O20" i="5"/>
  <c r="L20" i="5" s="1"/>
  <c r="R12" i="5"/>
  <c r="U12" i="5" s="1"/>
  <c r="O12" i="5"/>
  <c r="L12" i="5" s="1"/>
  <c r="R966" i="4"/>
  <c r="U966" i="4" s="1"/>
  <c r="R1002" i="4"/>
  <c r="U1002" i="4" s="1"/>
  <c r="R962" i="4"/>
  <c r="U962" i="4" s="1"/>
  <c r="R940" i="4"/>
  <c r="U940" i="4" s="1"/>
  <c r="R924" i="4"/>
  <c r="U924" i="4" s="1"/>
  <c r="R216" i="6"/>
  <c r="U216" i="6" s="1"/>
  <c r="R96" i="6"/>
  <c r="U96" i="6" s="1"/>
  <c r="R996" i="4"/>
  <c r="U996" i="4" s="1"/>
  <c r="R980" i="4"/>
  <c r="U980" i="4" s="1"/>
  <c r="R964" i="4"/>
  <c r="U964" i="4" s="1"/>
  <c r="R944" i="4"/>
  <c r="U944" i="4" s="1"/>
  <c r="R928" i="4"/>
  <c r="U928" i="4" s="1"/>
  <c r="R912" i="4"/>
  <c r="U912" i="4" s="1"/>
  <c r="R896" i="4"/>
  <c r="U896" i="4" s="1"/>
  <c r="R880" i="4"/>
  <c r="U880" i="4" s="1"/>
  <c r="R864" i="4"/>
  <c r="U864" i="4" s="1"/>
  <c r="R848" i="4"/>
  <c r="U848" i="4" s="1"/>
  <c r="L706" i="4"/>
  <c r="S706" i="4" s="1"/>
  <c r="V706" i="4" s="1"/>
  <c r="L674" i="4"/>
  <c r="S674" i="4" s="1"/>
  <c r="V674" i="4" s="1"/>
  <c r="R606" i="4"/>
  <c r="U606" i="4" s="1"/>
  <c r="R564" i="4"/>
  <c r="U564" i="4" s="1"/>
  <c r="R556" i="4"/>
  <c r="U556" i="4" s="1"/>
  <c r="R548" i="4"/>
  <c r="U548" i="4" s="1"/>
  <c r="L948" i="6"/>
  <c r="S948" i="6" s="1"/>
  <c r="V948" i="6" s="1"/>
  <c r="L916" i="6"/>
  <c r="S916" i="6" s="1"/>
  <c r="V916" i="6" s="1"/>
  <c r="L884" i="6"/>
  <c r="S884" i="6" s="1"/>
  <c r="V884" i="6" s="1"/>
  <c r="L852" i="6"/>
  <c r="S852" i="6" s="1"/>
  <c r="V852" i="6" s="1"/>
  <c r="L570" i="6"/>
  <c r="S570" i="6" s="1"/>
  <c r="V570" i="6" s="1"/>
  <c r="L538" i="6"/>
  <c r="S538" i="6" s="1"/>
  <c r="V538" i="6" s="1"/>
  <c r="L506" i="6"/>
  <c r="S506" i="6" s="1"/>
  <c r="V506" i="6" s="1"/>
  <c r="L332" i="6"/>
  <c r="S332" i="6" s="1"/>
  <c r="V332" i="6" s="1"/>
  <c r="L300" i="6"/>
  <c r="S300" i="6" s="1"/>
  <c r="V300" i="6" s="1"/>
  <c r="L268" i="6"/>
  <c r="S268" i="6" s="1"/>
  <c r="V268" i="6" s="1"/>
  <c r="L236" i="6"/>
  <c r="S236" i="6" s="1"/>
  <c r="V236" i="6" s="1"/>
  <c r="R908" i="4"/>
  <c r="U908" i="4" s="1"/>
  <c r="R892" i="4"/>
  <c r="U892" i="4" s="1"/>
  <c r="R876" i="4"/>
  <c r="U876" i="4" s="1"/>
  <c r="R860" i="4"/>
  <c r="U860" i="4" s="1"/>
  <c r="R844" i="4"/>
  <c r="U844" i="4" s="1"/>
  <c r="R914" i="4"/>
  <c r="U914" i="4" s="1"/>
  <c r="R898" i="4"/>
  <c r="U898" i="4" s="1"/>
  <c r="R882" i="4"/>
  <c r="U882" i="4" s="1"/>
  <c r="R866" i="4"/>
  <c r="U866" i="4" s="1"/>
  <c r="R850" i="4"/>
  <c r="U850" i="4" s="1"/>
  <c r="R952" i="4"/>
  <c r="U952" i="4" s="1"/>
  <c r="R936" i="4"/>
  <c r="U936" i="4" s="1"/>
  <c r="R920" i="4"/>
  <c r="U920" i="4" s="1"/>
  <c r="R904" i="4"/>
  <c r="U904" i="4" s="1"/>
  <c r="R888" i="4"/>
  <c r="U888" i="4" s="1"/>
  <c r="R872" i="4"/>
  <c r="U872" i="4" s="1"/>
  <c r="R856" i="4"/>
  <c r="U856" i="4" s="1"/>
  <c r="R840" i="4"/>
  <c r="U840" i="4" s="1"/>
  <c r="L722" i="4"/>
  <c r="S722" i="4" s="1"/>
  <c r="V722" i="4" s="1"/>
  <c r="L690" i="4"/>
  <c r="S690" i="4" s="1"/>
  <c r="V690" i="4" s="1"/>
  <c r="R662" i="4"/>
  <c r="U662" i="4" s="1"/>
  <c r="R646" i="4"/>
  <c r="U646" i="4" s="1"/>
  <c r="R584" i="4"/>
  <c r="U584" i="4" s="1"/>
  <c r="R203" i="6"/>
  <c r="U203" i="6" s="1"/>
  <c r="R171" i="6"/>
  <c r="U171" i="6" s="1"/>
  <c r="R139" i="6"/>
  <c r="U139" i="6" s="1"/>
  <c r="R107" i="6"/>
  <c r="U107" i="6" s="1"/>
  <c r="R75" i="6"/>
  <c r="U75" i="6" s="1"/>
  <c r="R43" i="6"/>
  <c r="U43" i="6" s="1"/>
  <c r="R168" i="6"/>
  <c r="U168" i="6" s="1"/>
  <c r="R152" i="6"/>
  <c r="U152" i="6" s="1"/>
  <c r="L948" i="4"/>
  <c r="S948" i="4" s="1"/>
  <c r="V948" i="4" s="1"/>
  <c r="L940" i="4"/>
  <c r="S940" i="4" s="1"/>
  <c r="V940" i="4" s="1"/>
  <c r="L932" i="4"/>
  <c r="S932" i="4" s="1"/>
  <c r="V932" i="4" s="1"/>
  <c r="L924" i="4"/>
  <c r="S924" i="4" s="1"/>
  <c r="V924" i="4" s="1"/>
  <c r="L916" i="4"/>
  <c r="S916" i="4" s="1"/>
  <c r="V916" i="4" s="1"/>
  <c r="L908" i="4"/>
  <c r="S908" i="4" s="1"/>
  <c r="V908" i="4" s="1"/>
  <c r="L900" i="4"/>
  <c r="S900" i="4" s="1"/>
  <c r="V900" i="4" s="1"/>
  <c r="L892" i="4"/>
  <c r="S892" i="4" s="1"/>
  <c r="V892" i="4" s="1"/>
  <c r="L884" i="4"/>
  <c r="S884" i="4" s="1"/>
  <c r="V884" i="4" s="1"/>
  <c r="L876" i="4"/>
  <c r="S876" i="4" s="1"/>
  <c r="V876" i="4" s="1"/>
  <c r="L868" i="4"/>
  <c r="S868" i="4" s="1"/>
  <c r="V868" i="4" s="1"/>
  <c r="L860" i="4"/>
  <c r="S860" i="4" s="1"/>
  <c r="V860" i="4" s="1"/>
  <c r="L852" i="4"/>
  <c r="S852" i="4" s="1"/>
  <c r="V852" i="4" s="1"/>
  <c r="L844" i="4"/>
  <c r="S844" i="4" s="1"/>
  <c r="V844" i="4" s="1"/>
  <c r="L836" i="4"/>
  <c r="S836" i="4" s="1"/>
  <c r="V836" i="4" s="1"/>
  <c r="L662" i="4"/>
  <c r="S662" i="4" s="1"/>
  <c r="V662" i="4" s="1"/>
  <c r="L654" i="4"/>
  <c r="S654" i="4" s="1"/>
  <c r="V654" i="4" s="1"/>
  <c r="L646" i="4"/>
  <c r="S646" i="4" s="1"/>
  <c r="V646" i="4" s="1"/>
  <c r="L638" i="4"/>
  <c r="S638" i="4" s="1"/>
  <c r="V638" i="4" s="1"/>
  <c r="L630" i="4"/>
  <c r="S630" i="4" s="1"/>
  <c r="V630" i="4" s="1"/>
  <c r="L622" i="4"/>
  <c r="S622" i="4" s="1"/>
  <c r="V622" i="4" s="1"/>
  <c r="L614" i="4"/>
  <c r="S614" i="4" s="1"/>
  <c r="V614" i="4" s="1"/>
  <c r="L606" i="4"/>
  <c r="S606" i="4" s="1"/>
  <c r="V606" i="4" s="1"/>
  <c r="L598" i="4"/>
  <c r="S598" i="4" s="1"/>
  <c r="V598" i="4" s="1"/>
  <c r="L590" i="4"/>
  <c r="S590" i="4" s="1"/>
  <c r="V590" i="4" s="1"/>
  <c r="L582" i="4"/>
  <c r="S582" i="4" s="1"/>
  <c r="V582" i="4" s="1"/>
  <c r="L574" i="4"/>
  <c r="S574" i="4" s="1"/>
  <c r="V574" i="4" s="1"/>
  <c r="L566" i="4"/>
  <c r="S566" i="4" s="1"/>
  <c r="V566" i="4" s="1"/>
  <c r="L558" i="4"/>
  <c r="S558" i="4" s="1"/>
  <c r="V558" i="4" s="1"/>
  <c r="L550" i="4"/>
  <c r="S550" i="4" s="1"/>
  <c r="V550" i="4" s="1"/>
  <c r="R211" i="6"/>
  <c r="U211" i="6" s="1"/>
  <c r="R179" i="6"/>
  <c r="U179" i="6" s="1"/>
  <c r="R147" i="6"/>
  <c r="U147" i="6" s="1"/>
  <c r="R115" i="6"/>
  <c r="U115" i="6" s="1"/>
  <c r="R83" i="6"/>
  <c r="U83" i="6" s="1"/>
  <c r="R51" i="6"/>
  <c r="U51" i="6" s="1"/>
  <c r="R978" i="4"/>
  <c r="U978" i="4" s="1"/>
  <c r="L726" i="4"/>
  <c r="S726" i="4" s="1"/>
  <c r="V726" i="4" s="1"/>
  <c r="L718" i="4"/>
  <c r="S718" i="4" s="1"/>
  <c r="V718" i="4" s="1"/>
  <c r="L710" i="4"/>
  <c r="S710" i="4" s="1"/>
  <c r="V710" i="4" s="1"/>
  <c r="L702" i="4"/>
  <c r="S702" i="4" s="1"/>
  <c r="V702" i="4" s="1"/>
  <c r="L694" i="4"/>
  <c r="S694" i="4" s="1"/>
  <c r="V694" i="4" s="1"/>
  <c r="L686" i="4"/>
  <c r="S686" i="4" s="1"/>
  <c r="V686" i="4" s="1"/>
  <c r="L678" i="4"/>
  <c r="S678" i="4" s="1"/>
  <c r="V678" i="4" s="1"/>
  <c r="L670" i="4"/>
  <c r="S670" i="4" s="1"/>
  <c r="V670" i="4" s="1"/>
  <c r="R638" i="4"/>
  <c r="U638" i="4" s="1"/>
  <c r="R630" i="4"/>
  <c r="U630" i="4" s="1"/>
  <c r="R614" i="4"/>
  <c r="U614" i="4" s="1"/>
  <c r="R598" i="4"/>
  <c r="U598" i="4" s="1"/>
  <c r="R590" i="4"/>
  <c r="U590" i="4" s="1"/>
  <c r="R582" i="4"/>
  <c r="U582" i="4" s="1"/>
  <c r="R574" i="4"/>
  <c r="U574" i="4" s="1"/>
  <c r="R566" i="4"/>
  <c r="U566" i="4" s="1"/>
  <c r="R558" i="4"/>
  <c r="U558" i="4" s="1"/>
  <c r="R550" i="4"/>
  <c r="U550" i="4" s="1"/>
  <c r="R219" i="6"/>
  <c r="U219" i="6" s="1"/>
  <c r="L215" i="6"/>
  <c r="S215" i="6" s="1"/>
  <c r="V215" i="6" s="1"/>
  <c r="R187" i="6"/>
  <c r="U187" i="6" s="1"/>
  <c r="L183" i="6"/>
  <c r="S183" i="6" s="1"/>
  <c r="V183" i="6" s="1"/>
  <c r="R155" i="6"/>
  <c r="U155" i="6" s="1"/>
  <c r="L151" i="6"/>
  <c r="S151" i="6" s="1"/>
  <c r="V151" i="6" s="1"/>
  <c r="R123" i="6"/>
  <c r="U123" i="6" s="1"/>
  <c r="L119" i="6"/>
  <c r="S119" i="6" s="1"/>
  <c r="V119" i="6" s="1"/>
  <c r="R91" i="6"/>
  <c r="U91" i="6" s="1"/>
  <c r="L87" i="6"/>
  <c r="S87" i="6" s="1"/>
  <c r="V87" i="6" s="1"/>
  <c r="R59" i="6"/>
  <c r="U59" i="6" s="1"/>
  <c r="L55" i="6"/>
  <c r="S55" i="6" s="1"/>
  <c r="V55" i="6" s="1"/>
  <c r="R27" i="6"/>
  <c r="U27" i="6" s="1"/>
  <c r="L7" i="6"/>
  <c r="S7" i="6" s="1"/>
  <c r="V7" i="6" s="1"/>
  <c r="R72" i="6"/>
  <c r="U72" i="6" s="1"/>
  <c r="R1000" i="4"/>
  <c r="U1000" i="4" s="1"/>
  <c r="R992" i="4"/>
  <c r="U992" i="4" s="1"/>
  <c r="R984" i="4"/>
  <c r="U984" i="4" s="1"/>
  <c r="R976" i="4"/>
  <c r="U976" i="4" s="1"/>
  <c r="R968" i="4"/>
  <c r="U968" i="4" s="1"/>
  <c r="R960" i="4"/>
  <c r="U960" i="4" s="1"/>
  <c r="L952" i="4"/>
  <c r="S952" i="4" s="1"/>
  <c r="V952" i="4" s="1"/>
  <c r="L944" i="4"/>
  <c r="S944" i="4" s="1"/>
  <c r="V944" i="4" s="1"/>
  <c r="L936" i="4"/>
  <c r="S936" i="4" s="1"/>
  <c r="V936" i="4" s="1"/>
  <c r="L928" i="4"/>
  <c r="S928" i="4" s="1"/>
  <c r="V928" i="4" s="1"/>
  <c r="L920" i="4"/>
  <c r="S920" i="4" s="1"/>
  <c r="V920" i="4" s="1"/>
  <c r="L912" i="4"/>
  <c r="S912" i="4" s="1"/>
  <c r="V912" i="4" s="1"/>
  <c r="L904" i="4"/>
  <c r="S904" i="4" s="1"/>
  <c r="V904" i="4" s="1"/>
  <c r="L896" i="4"/>
  <c r="S896" i="4" s="1"/>
  <c r="V896" i="4" s="1"/>
  <c r="L888" i="4"/>
  <c r="S888" i="4" s="1"/>
  <c r="V888" i="4" s="1"/>
  <c r="L880" i="4"/>
  <c r="S880" i="4" s="1"/>
  <c r="V880" i="4" s="1"/>
  <c r="L872" i="4"/>
  <c r="S872" i="4" s="1"/>
  <c r="V872" i="4" s="1"/>
  <c r="L864" i="4"/>
  <c r="S864" i="4" s="1"/>
  <c r="V864" i="4" s="1"/>
  <c r="L856" i="4"/>
  <c r="S856" i="4" s="1"/>
  <c r="V856" i="4" s="1"/>
  <c r="L848" i="4"/>
  <c r="S848" i="4" s="1"/>
  <c r="V848" i="4" s="1"/>
  <c r="L840" i="4"/>
  <c r="S840" i="4" s="1"/>
  <c r="V840" i="4" s="1"/>
  <c r="R834" i="4"/>
  <c r="U834" i="4" s="1"/>
  <c r="R826" i="4"/>
  <c r="U826" i="4" s="1"/>
  <c r="R818" i="4"/>
  <c r="U818" i="4" s="1"/>
  <c r="R810" i="4"/>
  <c r="U810" i="4" s="1"/>
  <c r="R770" i="4"/>
  <c r="U770" i="4" s="1"/>
  <c r="R746" i="4"/>
  <c r="U746" i="4" s="1"/>
  <c r="R738" i="4"/>
  <c r="U738" i="4" s="1"/>
  <c r="L666" i="4"/>
  <c r="S666" i="4" s="1"/>
  <c r="V666" i="4" s="1"/>
  <c r="L658" i="4"/>
  <c r="S658" i="4" s="1"/>
  <c r="V658" i="4" s="1"/>
  <c r="L650" i="4"/>
  <c r="S650" i="4" s="1"/>
  <c r="V650" i="4" s="1"/>
  <c r="L642" i="4"/>
  <c r="S642" i="4" s="1"/>
  <c r="V642" i="4" s="1"/>
  <c r="L634" i="4"/>
  <c r="S634" i="4" s="1"/>
  <c r="V634" i="4" s="1"/>
  <c r="L626" i="4"/>
  <c r="S626" i="4" s="1"/>
  <c r="V626" i="4" s="1"/>
  <c r="L618" i="4"/>
  <c r="S618" i="4" s="1"/>
  <c r="V618" i="4" s="1"/>
  <c r="L610" i="4"/>
  <c r="S610" i="4" s="1"/>
  <c r="V610" i="4" s="1"/>
  <c r="L602" i="4"/>
  <c r="S602" i="4" s="1"/>
  <c r="V602" i="4" s="1"/>
  <c r="L594" i="4"/>
  <c r="S594" i="4" s="1"/>
  <c r="V594" i="4" s="1"/>
  <c r="L586" i="4"/>
  <c r="S586" i="4" s="1"/>
  <c r="V586" i="4" s="1"/>
  <c r="L578" i="4"/>
  <c r="S578" i="4" s="1"/>
  <c r="V578" i="4" s="1"/>
  <c r="L570" i="4"/>
  <c r="S570" i="4" s="1"/>
  <c r="V570" i="4" s="1"/>
  <c r="L562" i="4"/>
  <c r="S562" i="4" s="1"/>
  <c r="V562" i="4" s="1"/>
  <c r="L554" i="4"/>
  <c r="S554" i="4" s="1"/>
  <c r="V554" i="4" s="1"/>
  <c r="L546" i="4"/>
  <c r="S546" i="4" s="1"/>
  <c r="V546" i="4" s="1"/>
  <c r="O6" i="5"/>
  <c r="L6" i="5" s="1"/>
  <c r="T233" i="6"/>
  <c r="C233" i="6" s="1"/>
  <c r="B233" i="6" s="1"/>
  <c r="T229" i="6"/>
  <c r="C229" i="6" s="1"/>
  <c r="B229" i="6" s="1"/>
  <c r="L227" i="6"/>
  <c r="S227" i="6" s="1"/>
  <c r="V227" i="6" s="1"/>
  <c r="T225" i="6"/>
  <c r="C225" i="6" s="1"/>
  <c r="B225" i="6" s="1"/>
  <c r="T221" i="6"/>
  <c r="C221" i="6" s="1"/>
  <c r="B221" i="6" s="1"/>
  <c r="L219" i="6"/>
  <c r="S219" i="6" s="1"/>
  <c r="V219" i="6" s="1"/>
  <c r="T217" i="6"/>
  <c r="C217" i="6" s="1"/>
  <c r="B217" i="6" s="1"/>
  <c r="T213" i="6"/>
  <c r="C213" i="6" s="1"/>
  <c r="B213" i="6" s="1"/>
  <c r="L211" i="6"/>
  <c r="S211" i="6" s="1"/>
  <c r="V211" i="6" s="1"/>
  <c r="T209" i="6"/>
  <c r="C209" i="6" s="1"/>
  <c r="B209" i="6" s="1"/>
  <c r="T205" i="6"/>
  <c r="C205" i="6" s="1"/>
  <c r="B205" i="6" s="1"/>
  <c r="L203" i="6"/>
  <c r="S203" i="6" s="1"/>
  <c r="V203" i="6" s="1"/>
  <c r="T201" i="6"/>
  <c r="C201" i="6" s="1"/>
  <c r="B201" i="6" s="1"/>
  <c r="T197" i="6"/>
  <c r="C197" i="6" s="1"/>
  <c r="B197" i="6" s="1"/>
  <c r="L195" i="6"/>
  <c r="S195" i="6" s="1"/>
  <c r="V195" i="6" s="1"/>
  <c r="T193" i="6"/>
  <c r="C193" i="6" s="1"/>
  <c r="B193" i="6" s="1"/>
  <c r="T189" i="6"/>
  <c r="C189" i="6" s="1"/>
  <c r="B189" i="6" s="1"/>
  <c r="L187" i="6"/>
  <c r="S187" i="6" s="1"/>
  <c r="V187" i="6" s="1"/>
  <c r="T185" i="6"/>
  <c r="C185" i="6" s="1"/>
  <c r="B185" i="6" s="1"/>
  <c r="T181" i="6"/>
  <c r="C181" i="6" s="1"/>
  <c r="B181" i="6" s="1"/>
  <c r="L179" i="6"/>
  <c r="S179" i="6" s="1"/>
  <c r="V179" i="6" s="1"/>
  <c r="T177" i="6"/>
  <c r="C177" i="6" s="1"/>
  <c r="B177" i="6" s="1"/>
  <c r="T173" i="6"/>
  <c r="C173" i="6" s="1"/>
  <c r="B173" i="6" s="1"/>
  <c r="L171" i="6"/>
  <c r="S171" i="6" s="1"/>
  <c r="V171" i="6" s="1"/>
  <c r="T169" i="6"/>
  <c r="C169" i="6" s="1"/>
  <c r="B169" i="6" s="1"/>
  <c r="T165" i="6"/>
  <c r="C165" i="6" s="1"/>
  <c r="B165" i="6" s="1"/>
  <c r="L163" i="6"/>
  <c r="S163" i="6" s="1"/>
  <c r="V163" i="6" s="1"/>
  <c r="T161" i="6"/>
  <c r="C161" i="6" s="1"/>
  <c r="B161" i="6" s="1"/>
  <c r="T157" i="6"/>
  <c r="C157" i="6" s="1"/>
  <c r="B157" i="6" s="1"/>
  <c r="L155" i="6"/>
  <c r="S155" i="6" s="1"/>
  <c r="V155" i="6" s="1"/>
  <c r="T153" i="6"/>
  <c r="C153" i="6" s="1"/>
  <c r="B153" i="6" s="1"/>
  <c r="T149" i="6"/>
  <c r="C149" i="6" s="1"/>
  <c r="B149" i="6" s="1"/>
  <c r="L147" i="6"/>
  <c r="S147" i="6" s="1"/>
  <c r="V147" i="6" s="1"/>
  <c r="T145" i="6"/>
  <c r="C145" i="6" s="1"/>
  <c r="B145" i="6" s="1"/>
  <c r="T141" i="6"/>
  <c r="C141" i="6" s="1"/>
  <c r="B141" i="6" s="1"/>
  <c r="L139" i="6"/>
  <c r="S139" i="6" s="1"/>
  <c r="V139" i="6" s="1"/>
  <c r="T137" i="6"/>
  <c r="C137" i="6" s="1"/>
  <c r="B137" i="6" s="1"/>
  <c r="T133" i="6"/>
  <c r="C133" i="6" s="1"/>
  <c r="B133" i="6" s="1"/>
  <c r="L131" i="6"/>
  <c r="S131" i="6" s="1"/>
  <c r="V131" i="6" s="1"/>
  <c r="T129" i="6"/>
  <c r="C129" i="6" s="1"/>
  <c r="B129" i="6" s="1"/>
  <c r="T125" i="6"/>
  <c r="C125" i="6" s="1"/>
  <c r="B125" i="6" s="1"/>
  <c r="L123" i="6"/>
  <c r="S123" i="6" s="1"/>
  <c r="V123" i="6" s="1"/>
  <c r="T121" i="6"/>
  <c r="C121" i="6" s="1"/>
  <c r="B121" i="6" s="1"/>
  <c r="T117" i="6"/>
  <c r="C117" i="6" s="1"/>
  <c r="B117" i="6" s="1"/>
  <c r="L115" i="6"/>
  <c r="S115" i="6" s="1"/>
  <c r="V115" i="6" s="1"/>
  <c r="T113" i="6"/>
  <c r="C113" i="6" s="1"/>
  <c r="B113" i="6" s="1"/>
  <c r="T109" i="6"/>
  <c r="C109" i="6" s="1"/>
  <c r="B109" i="6" s="1"/>
  <c r="L107" i="6"/>
  <c r="S107" i="6" s="1"/>
  <c r="V107" i="6" s="1"/>
  <c r="T105" i="6"/>
  <c r="C105" i="6" s="1"/>
  <c r="B105" i="6" s="1"/>
  <c r="T101" i="6"/>
  <c r="C101" i="6" s="1"/>
  <c r="B101" i="6" s="1"/>
  <c r="L99" i="6"/>
  <c r="S99" i="6" s="1"/>
  <c r="V99" i="6" s="1"/>
  <c r="T97" i="6"/>
  <c r="C97" i="6" s="1"/>
  <c r="B97" i="6" s="1"/>
  <c r="T93" i="6"/>
  <c r="C93" i="6" s="1"/>
  <c r="B93" i="6" s="1"/>
  <c r="L91" i="6"/>
  <c r="S91" i="6" s="1"/>
  <c r="V91" i="6" s="1"/>
  <c r="T89" i="6"/>
  <c r="C89" i="6" s="1"/>
  <c r="B89" i="6" s="1"/>
  <c r="T85" i="6"/>
  <c r="C85" i="6" s="1"/>
  <c r="B85" i="6" s="1"/>
  <c r="L83" i="6"/>
  <c r="S83" i="6" s="1"/>
  <c r="V83" i="6" s="1"/>
  <c r="T81" i="6"/>
  <c r="C81" i="6" s="1"/>
  <c r="B81" i="6" s="1"/>
  <c r="T77" i="6"/>
  <c r="C77" i="6" s="1"/>
  <c r="B77" i="6" s="1"/>
  <c r="L75" i="6"/>
  <c r="S75" i="6" s="1"/>
  <c r="V75" i="6" s="1"/>
  <c r="T73" i="6"/>
  <c r="C73" i="6" s="1"/>
  <c r="B73" i="6" s="1"/>
  <c r="T69" i="6"/>
  <c r="C69" i="6" s="1"/>
  <c r="B69" i="6" s="1"/>
  <c r="L67" i="6"/>
  <c r="S67" i="6" s="1"/>
  <c r="V67" i="6" s="1"/>
  <c r="T65" i="6"/>
  <c r="C65" i="6" s="1"/>
  <c r="B65" i="6" s="1"/>
  <c r="T61" i="6"/>
  <c r="C61" i="6" s="1"/>
  <c r="B61" i="6" s="1"/>
  <c r="L59" i="6"/>
  <c r="S59" i="6" s="1"/>
  <c r="V59" i="6" s="1"/>
  <c r="T57" i="6"/>
  <c r="C57" i="6" s="1"/>
  <c r="B57" i="6" s="1"/>
  <c r="L51" i="6"/>
  <c r="S51" i="6" s="1"/>
  <c r="V51" i="6" s="1"/>
  <c r="L43" i="6"/>
  <c r="S43" i="6" s="1"/>
  <c r="V43" i="6" s="1"/>
  <c r="L35" i="6"/>
  <c r="S35" i="6" s="1"/>
  <c r="V35" i="6" s="1"/>
  <c r="L27" i="6"/>
  <c r="S27" i="6" s="1"/>
  <c r="V27" i="6" s="1"/>
  <c r="R19" i="6"/>
  <c r="U19" i="6" s="1"/>
  <c r="R11" i="6"/>
  <c r="U11" i="6" s="1"/>
  <c r="T227" i="6"/>
  <c r="C227" i="6" s="1"/>
  <c r="B227" i="6" s="1"/>
  <c r="T219" i="6"/>
  <c r="C219" i="6" s="1"/>
  <c r="B219" i="6" s="1"/>
  <c r="T211" i="6"/>
  <c r="C211" i="6" s="1"/>
  <c r="B211" i="6" s="1"/>
  <c r="T203" i="6"/>
  <c r="C203" i="6" s="1"/>
  <c r="B203" i="6" s="1"/>
  <c r="T195" i="6"/>
  <c r="C195" i="6" s="1"/>
  <c r="B195" i="6" s="1"/>
  <c r="T187" i="6"/>
  <c r="C187" i="6" s="1"/>
  <c r="B187" i="6" s="1"/>
  <c r="T179" i="6"/>
  <c r="C179" i="6" s="1"/>
  <c r="B179" i="6" s="1"/>
  <c r="T171" i="6"/>
  <c r="C171" i="6" s="1"/>
  <c r="B171" i="6" s="1"/>
  <c r="T163" i="6"/>
  <c r="C163" i="6" s="1"/>
  <c r="B163" i="6" s="1"/>
  <c r="T155" i="6"/>
  <c r="C155" i="6" s="1"/>
  <c r="B155" i="6" s="1"/>
  <c r="T147" i="6"/>
  <c r="C147" i="6" s="1"/>
  <c r="B147" i="6" s="1"/>
  <c r="T139" i="6"/>
  <c r="C139" i="6" s="1"/>
  <c r="B139" i="6" s="1"/>
  <c r="T131" i="6"/>
  <c r="C131" i="6" s="1"/>
  <c r="B131" i="6" s="1"/>
  <c r="T123" i="6"/>
  <c r="C123" i="6" s="1"/>
  <c r="B123" i="6" s="1"/>
  <c r="T115" i="6"/>
  <c r="C115" i="6" s="1"/>
  <c r="B115" i="6" s="1"/>
  <c r="T107" i="6"/>
  <c r="C107" i="6" s="1"/>
  <c r="B107" i="6" s="1"/>
  <c r="T99" i="6"/>
  <c r="C99" i="6" s="1"/>
  <c r="B99" i="6" s="1"/>
  <c r="T91" i="6"/>
  <c r="C91" i="6" s="1"/>
  <c r="B91" i="6" s="1"/>
  <c r="T83" i="6"/>
  <c r="C83" i="6" s="1"/>
  <c r="B83" i="6" s="1"/>
  <c r="T75" i="6"/>
  <c r="C75" i="6" s="1"/>
  <c r="B75" i="6" s="1"/>
  <c r="T67" i="6"/>
  <c r="C67" i="6" s="1"/>
  <c r="B67" i="6" s="1"/>
  <c r="T59" i="6"/>
  <c r="C59" i="6" s="1"/>
  <c r="B59" i="6" s="1"/>
  <c r="U1004" i="5"/>
  <c r="C1004" i="5" s="1"/>
  <c r="B1004" i="5" s="1"/>
  <c r="U1003" i="5"/>
  <c r="C1003" i="5" s="1"/>
  <c r="B1003" i="5" s="1"/>
  <c r="U1002" i="5"/>
  <c r="C1002" i="5" s="1"/>
  <c r="B1002" i="5" s="1"/>
  <c r="U1001" i="5"/>
  <c r="C1001" i="5" s="1"/>
  <c r="B1001" i="5" s="1"/>
  <c r="U1000" i="5"/>
  <c r="C1000" i="5" s="1"/>
  <c r="B1000" i="5" s="1"/>
  <c r="U999" i="5"/>
  <c r="C999" i="5" s="1"/>
  <c r="B999" i="5" s="1"/>
  <c r="U998" i="5"/>
  <c r="C998" i="5" s="1"/>
  <c r="B998" i="5" s="1"/>
  <c r="U997" i="5"/>
  <c r="C997" i="5" s="1"/>
  <c r="B997" i="5" s="1"/>
  <c r="U996" i="5"/>
  <c r="C996" i="5" s="1"/>
  <c r="B996" i="5" s="1"/>
  <c r="U995" i="5"/>
  <c r="C995" i="5" s="1"/>
  <c r="B995" i="5" s="1"/>
  <c r="U994" i="5"/>
  <c r="C994" i="5" s="1"/>
  <c r="B994" i="5" s="1"/>
  <c r="U993" i="5"/>
  <c r="C993" i="5" s="1"/>
  <c r="B993" i="5" s="1"/>
  <c r="U992" i="5"/>
  <c r="C992" i="5" s="1"/>
  <c r="B992" i="5" s="1"/>
  <c r="U991" i="5"/>
  <c r="C991" i="5" s="1"/>
  <c r="B991" i="5" s="1"/>
  <c r="U990" i="5"/>
  <c r="C990" i="5" s="1"/>
  <c r="B990" i="5" s="1"/>
  <c r="U989" i="5"/>
  <c r="C989" i="5" s="1"/>
  <c r="B989" i="5" s="1"/>
  <c r="U988" i="5"/>
  <c r="C988" i="5" s="1"/>
  <c r="B988" i="5" s="1"/>
  <c r="U987" i="5"/>
  <c r="C987" i="5" s="1"/>
  <c r="B987" i="5" s="1"/>
  <c r="U986" i="5"/>
  <c r="C986" i="5" s="1"/>
  <c r="B986" i="5" s="1"/>
  <c r="U985" i="5"/>
  <c r="C985" i="5" s="1"/>
  <c r="B985" i="5" s="1"/>
  <c r="U984" i="5"/>
  <c r="C984" i="5" s="1"/>
  <c r="B984" i="5" s="1"/>
  <c r="U983" i="5"/>
  <c r="C983" i="5" s="1"/>
  <c r="B983" i="5" s="1"/>
  <c r="U982" i="5"/>
  <c r="C982" i="5" s="1"/>
  <c r="B982" i="5" s="1"/>
  <c r="U981" i="5"/>
  <c r="C981" i="5" s="1"/>
  <c r="B981" i="5" s="1"/>
  <c r="U980" i="5"/>
  <c r="C980" i="5" s="1"/>
  <c r="B980" i="5" s="1"/>
  <c r="U979" i="5"/>
  <c r="C979" i="5" s="1"/>
  <c r="B979" i="5" s="1"/>
  <c r="U978" i="5"/>
  <c r="C978" i="5" s="1"/>
  <c r="B978" i="5" s="1"/>
  <c r="U977" i="5"/>
  <c r="C977" i="5" s="1"/>
  <c r="B977" i="5" s="1"/>
  <c r="U976" i="5"/>
  <c r="C976" i="5" s="1"/>
  <c r="B976" i="5" s="1"/>
  <c r="U975" i="5"/>
  <c r="C975" i="5" s="1"/>
  <c r="B975" i="5" s="1"/>
  <c r="U974" i="5"/>
  <c r="C974" i="5" s="1"/>
  <c r="B974" i="5" s="1"/>
  <c r="U973" i="5"/>
  <c r="C973" i="5" s="1"/>
  <c r="B973" i="5" s="1"/>
  <c r="U972" i="5"/>
  <c r="C972" i="5" s="1"/>
  <c r="B972" i="5" s="1"/>
  <c r="U971" i="5"/>
  <c r="C971" i="5" s="1"/>
  <c r="B971" i="5" s="1"/>
  <c r="U970" i="5"/>
  <c r="C970" i="5" s="1"/>
  <c r="B970" i="5" s="1"/>
  <c r="U969" i="5"/>
  <c r="C969" i="5" s="1"/>
  <c r="B969" i="5" s="1"/>
  <c r="U968" i="5"/>
  <c r="C968" i="5" s="1"/>
  <c r="B968" i="5" s="1"/>
  <c r="U967" i="5"/>
  <c r="C967" i="5" s="1"/>
  <c r="B967" i="5" s="1"/>
  <c r="U966" i="5"/>
  <c r="C966" i="5" s="1"/>
  <c r="B966" i="5" s="1"/>
  <c r="U965" i="5"/>
  <c r="C965" i="5" s="1"/>
  <c r="B965" i="5" s="1"/>
  <c r="U964" i="5"/>
  <c r="C964" i="5" s="1"/>
  <c r="B964" i="5" s="1"/>
  <c r="U963" i="5"/>
  <c r="C963" i="5" s="1"/>
  <c r="B963" i="5" s="1"/>
  <c r="U962" i="5"/>
  <c r="C962" i="5" s="1"/>
  <c r="B962" i="5" s="1"/>
  <c r="U961" i="5"/>
  <c r="C961" i="5" s="1"/>
  <c r="B961" i="5" s="1"/>
  <c r="U960" i="5"/>
  <c r="C960" i="5" s="1"/>
  <c r="B960" i="5" s="1"/>
  <c r="U959" i="5"/>
  <c r="C959" i="5" s="1"/>
  <c r="B959" i="5" s="1"/>
  <c r="U958" i="5"/>
  <c r="C958" i="5" s="1"/>
  <c r="B958" i="5" s="1"/>
  <c r="U957" i="5"/>
  <c r="C957" i="5" s="1"/>
  <c r="B957" i="5" s="1"/>
  <c r="U956" i="5"/>
  <c r="C956" i="5" s="1"/>
  <c r="B956" i="5" s="1"/>
  <c r="U955" i="5"/>
  <c r="C955" i="5" s="1"/>
  <c r="B955" i="5" s="1"/>
  <c r="U954" i="5"/>
  <c r="C954" i="5" s="1"/>
  <c r="B954" i="5" s="1"/>
  <c r="U953" i="5"/>
  <c r="C953" i="5" s="1"/>
  <c r="B953" i="5" s="1"/>
  <c r="U952" i="5"/>
  <c r="C952" i="5" s="1"/>
  <c r="B952" i="5" s="1"/>
  <c r="U951" i="5"/>
  <c r="C951" i="5" s="1"/>
  <c r="B951" i="5" s="1"/>
  <c r="U950" i="5"/>
  <c r="C950" i="5" s="1"/>
  <c r="B950" i="5" s="1"/>
  <c r="U949" i="5"/>
  <c r="C949" i="5" s="1"/>
  <c r="B949" i="5" s="1"/>
  <c r="U948" i="5"/>
  <c r="C948" i="5" s="1"/>
  <c r="B948" i="5" s="1"/>
  <c r="U947" i="5"/>
  <c r="C947" i="5" s="1"/>
  <c r="B947" i="5" s="1"/>
  <c r="U946" i="5"/>
  <c r="C946" i="5" s="1"/>
  <c r="B946" i="5" s="1"/>
  <c r="U945" i="5"/>
  <c r="C945" i="5" s="1"/>
  <c r="B945" i="5" s="1"/>
  <c r="U944" i="5"/>
  <c r="C944" i="5" s="1"/>
  <c r="B944" i="5" s="1"/>
  <c r="U943" i="5"/>
  <c r="C943" i="5" s="1"/>
  <c r="B943" i="5" s="1"/>
  <c r="U942" i="5"/>
  <c r="C942" i="5" s="1"/>
  <c r="B942" i="5" s="1"/>
  <c r="U941" i="5"/>
  <c r="C941" i="5" s="1"/>
  <c r="B941" i="5" s="1"/>
  <c r="U940" i="5"/>
  <c r="C940" i="5" s="1"/>
  <c r="B940" i="5" s="1"/>
  <c r="U939" i="5"/>
  <c r="C939" i="5" s="1"/>
  <c r="B939" i="5" s="1"/>
  <c r="U938" i="5"/>
  <c r="C938" i="5" s="1"/>
  <c r="B938" i="5" s="1"/>
  <c r="U937" i="5"/>
  <c r="C937" i="5" s="1"/>
  <c r="B937" i="5" s="1"/>
  <c r="U936" i="5"/>
  <c r="C936" i="5" s="1"/>
  <c r="B936" i="5" s="1"/>
  <c r="U935" i="5"/>
  <c r="C935" i="5" s="1"/>
  <c r="B935" i="5" s="1"/>
  <c r="U934" i="5"/>
  <c r="C934" i="5" s="1"/>
  <c r="B934" i="5" s="1"/>
  <c r="U933" i="5"/>
  <c r="C933" i="5" s="1"/>
  <c r="B933" i="5" s="1"/>
  <c r="U932" i="5"/>
  <c r="C932" i="5" s="1"/>
  <c r="B932" i="5" s="1"/>
  <c r="U931" i="5"/>
  <c r="C931" i="5" s="1"/>
  <c r="B931" i="5" s="1"/>
  <c r="U930" i="5"/>
  <c r="C930" i="5" s="1"/>
  <c r="B930" i="5" s="1"/>
  <c r="U929" i="5"/>
  <c r="C929" i="5" s="1"/>
  <c r="B929" i="5" s="1"/>
  <c r="U928" i="5"/>
  <c r="C928" i="5" s="1"/>
  <c r="B928" i="5" s="1"/>
  <c r="U927" i="5"/>
  <c r="C927" i="5" s="1"/>
  <c r="B927" i="5" s="1"/>
  <c r="U926" i="5"/>
  <c r="C926" i="5" s="1"/>
  <c r="B926" i="5" s="1"/>
  <c r="U925" i="5"/>
  <c r="C925" i="5" s="1"/>
  <c r="B925" i="5" s="1"/>
  <c r="U924" i="5"/>
  <c r="C924" i="5" s="1"/>
  <c r="B924" i="5" s="1"/>
  <c r="U923" i="5"/>
  <c r="C923" i="5" s="1"/>
  <c r="B923" i="5" s="1"/>
  <c r="U922" i="5"/>
  <c r="C922" i="5" s="1"/>
  <c r="B922" i="5" s="1"/>
  <c r="U921" i="5"/>
  <c r="C921" i="5" s="1"/>
  <c r="B921" i="5" s="1"/>
  <c r="U920" i="5"/>
  <c r="C920" i="5" s="1"/>
  <c r="B920" i="5" s="1"/>
  <c r="U919" i="5"/>
  <c r="C919" i="5" s="1"/>
  <c r="B919" i="5" s="1"/>
  <c r="U918" i="5"/>
  <c r="C918" i="5" s="1"/>
  <c r="B918" i="5" s="1"/>
  <c r="U917" i="5"/>
  <c r="C917" i="5" s="1"/>
  <c r="B917" i="5" s="1"/>
  <c r="U916" i="5"/>
  <c r="C916" i="5" s="1"/>
  <c r="B916" i="5" s="1"/>
  <c r="U915" i="5"/>
  <c r="C915" i="5" s="1"/>
  <c r="B915" i="5" s="1"/>
  <c r="U914" i="5"/>
  <c r="C914" i="5" s="1"/>
  <c r="B914" i="5" s="1"/>
  <c r="U913" i="5"/>
  <c r="C913" i="5" s="1"/>
  <c r="B913" i="5" s="1"/>
  <c r="U912" i="5"/>
  <c r="C912" i="5" s="1"/>
  <c r="B912" i="5" s="1"/>
  <c r="U911" i="5"/>
  <c r="C911" i="5" s="1"/>
  <c r="B911" i="5" s="1"/>
  <c r="U910" i="5"/>
  <c r="C910" i="5" s="1"/>
  <c r="B910" i="5" s="1"/>
  <c r="U909" i="5"/>
  <c r="C909" i="5" s="1"/>
  <c r="B909" i="5" s="1"/>
  <c r="U908" i="5"/>
  <c r="C908" i="5" s="1"/>
  <c r="B908" i="5" s="1"/>
  <c r="U907" i="5"/>
  <c r="C907" i="5" s="1"/>
  <c r="B907" i="5" s="1"/>
  <c r="U906" i="5"/>
  <c r="C906" i="5" s="1"/>
  <c r="B906" i="5" s="1"/>
  <c r="U905" i="5"/>
  <c r="C905" i="5" s="1"/>
  <c r="B905" i="5" s="1"/>
  <c r="U904" i="5"/>
  <c r="C904" i="5" s="1"/>
  <c r="B904" i="5" s="1"/>
  <c r="U903" i="5"/>
  <c r="C903" i="5" s="1"/>
  <c r="B903" i="5" s="1"/>
  <c r="U902" i="5"/>
  <c r="C902" i="5" s="1"/>
  <c r="B902" i="5" s="1"/>
  <c r="U901" i="5"/>
  <c r="C901" i="5" s="1"/>
  <c r="B901" i="5" s="1"/>
  <c r="U900" i="5"/>
  <c r="C900" i="5" s="1"/>
  <c r="B900" i="5" s="1"/>
  <c r="U899" i="5"/>
  <c r="C899" i="5" s="1"/>
  <c r="B899" i="5" s="1"/>
  <c r="U898" i="5"/>
  <c r="C898" i="5" s="1"/>
  <c r="B898" i="5" s="1"/>
  <c r="U897" i="5"/>
  <c r="C897" i="5" s="1"/>
  <c r="B897" i="5" s="1"/>
  <c r="U896" i="5"/>
  <c r="C896" i="5" s="1"/>
  <c r="B896" i="5" s="1"/>
  <c r="U895" i="5"/>
  <c r="C895" i="5" s="1"/>
  <c r="B895" i="5" s="1"/>
  <c r="U894" i="5"/>
  <c r="C894" i="5" s="1"/>
  <c r="B894" i="5" s="1"/>
  <c r="U893" i="5"/>
  <c r="C893" i="5" s="1"/>
  <c r="B893" i="5" s="1"/>
  <c r="U892" i="5"/>
  <c r="C892" i="5" s="1"/>
  <c r="B892" i="5" s="1"/>
  <c r="U891" i="5"/>
  <c r="C891" i="5" s="1"/>
  <c r="B891" i="5" s="1"/>
  <c r="U890" i="5"/>
  <c r="C890" i="5" s="1"/>
  <c r="B890" i="5" s="1"/>
  <c r="U889" i="5"/>
  <c r="C889" i="5" s="1"/>
  <c r="B889" i="5" s="1"/>
  <c r="U888" i="5"/>
  <c r="C888" i="5" s="1"/>
  <c r="B888" i="5" s="1"/>
  <c r="U887" i="5"/>
  <c r="C887" i="5" s="1"/>
  <c r="B887" i="5" s="1"/>
  <c r="U886" i="5"/>
  <c r="C886" i="5" s="1"/>
  <c r="B886" i="5" s="1"/>
  <c r="U885" i="5"/>
  <c r="C885" i="5" s="1"/>
  <c r="B885" i="5" s="1"/>
  <c r="U884" i="5"/>
  <c r="C884" i="5" s="1"/>
  <c r="B884" i="5" s="1"/>
  <c r="U883" i="5"/>
  <c r="C883" i="5" s="1"/>
  <c r="B883" i="5" s="1"/>
  <c r="U882" i="5"/>
  <c r="C882" i="5" s="1"/>
  <c r="B882" i="5" s="1"/>
  <c r="U881" i="5"/>
  <c r="C881" i="5" s="1"/>
  <c r="B881" i="5" s="1"/>
  <c r="U880" i="5"/>
  <c r="C880" i="5" s="1"/>
  <c r="B880" i="5" s="1"/>
  <c r="U879" i="5"/>
  <c r="C879" i="5" s="1"/>
  <c r="B879" i="5" s="1"/>
  <c r="U878" i="5"/>
  <c r="C878" i="5" s="1"/>
  <c r="B878" i="5" s="1"/>
  <c r="U877" i="5"/>
  <c r="C877" i="5" s="1"/>
  <c r="B877" i="5" s="1"/>
  <c r="U876" i="5"/>
  <c r="C876" i="5" s="1"/>
  <c r="B876" i="5" s="1"/>
  <c r="U875" i="5"/>
  <c r="C875" i="5" s="1"/>
  <c r="B875" i="5" s="1"/>
  <c r="U874" i="5"/>
  <c r="C874" i="5" s="1"/>
  <c r="B874" i="5" s="1"/>
  <c r="U873" i="5"/>
  <c r="C873" i="5" s="1"/>
  <c r="B873" i="5" s="1"/>
  <c r="U872" i="5"/>
  <c r="C872" i="5" s="1"/>
  <c r="B872" i="5" s="1"/>
  <c r="U871" i="5"/>
  <c r="C871" i="5" s="1"/>
  <c r="B871" i="5" s="1"/>
  <c r="U870" i="5"/>
  <c r="C870" i="5" s="1"/>
  <c r="B870" i="5" s="1"/>
  <c r="U869" i="5"/>
  <c r="C869" i="5" s="1"/>
  <c r="B869" i="5" s="1"/>
  <c r="U868" i="5"/>
  <c r="C868" i="5" s="1"/>
  <c r="B868" i="5" s="1"/>
  <c r="U867" i="5"/>
  <c r="C867" i="5" s="1"/>
  <c r="B867" i="5" s="1"/>
  <c r="U866" i="5"/>
  <c r="C866" i="5" s="1"/>
  <c r="B866" i="5" s="1"/>
  <c r="U865" i="5"/>
  <c r="C865" i="5" s="1"/>
  <c r="B865" i="5" s="1"/>
  <c r="U864" i="5"/>
  <c r="C864" i="5" s="1"/>
  <c r="B864" i="5" s="1"/>
  <c r="U863" i="5"/>
  <c r="C863" i="5" s="1"/>
  <c r="B863" i="5" s="1"/>
  <c r="U862" i="5"/>
  <c r="C862" i="5" s="1"/>
  <c r="B862" i="5" s="1"/>
  <c r="U861" i="5"/>
  <c r="C861" i="5" s="1"/>
  <c r="B861" i="5" s="1"/>
  <c r="U860" i="5"/>
  <c r="C860" i="5" s="1"/>
  <c r="B860" i="5" s="1"/>
  <c r="U859" i="5"/>
  <c r="C859" i="5" s="1"/>
  <c r="B859" i="5" s="1"/>
  <c r="U858" i="5"/>
  <c r="C858" i="5" s="1"/>
  <c r="B858" i="5" s="1"/>
  <c r="U857" i="5"/>
  <c r="C857" i="5" s="1"/>
  <c r="B857" i="5" s="1"/>
  <c r="U856" i="5"/>
  <c r="C856" i="5" s="1"/>
  <c r="B856" i="5" s="1"/>
  <c r="U855" i="5"/>
  <c r="C855" i="5" s="1"/>
  <c r="B855" i="5" s="1"/>
  <c r="U854" i="5"/>
  <c r="C854" i="5" s="1"/>
  <c r="B854" i="5" s="1"/>
  <c r="U853" i="5"/>
  <c r="C853" i="5" s="1"/>
  <c r="B853" i="5" s="1"/>
  <c r="U852" i="5"/>
  <c r="C852" i="5" s="1"/>
  <c r="B852" i="5" s="1"/>
  <c r="U851" i="5"/>
  <c r="C851" i="5" s="1"/>
  <c r="B851" i="5" s="1"/>
  <c r="U850" i="5"/>
  <c r="C850" i="5" s="1"/>
  <c r="B850" i="5" s="1"/>
  <c r="U849" i="5"/>
  <c r="C849" i="5" s="1"/>
  <c r="B849" i="5" s="1"/>
  <c r="U848" i="5"/>
  <c r="C848" i="5" s="1"/>
  <c r="B848" i="5" s="1"/>
  <c r="U847" i="5"/>
  <c r="C847" i="5" s="1"/>
  <c r="B847" i="5" s="1"/>
  <c r="U846" i="5"/>
  <c r="C846" i="5" s="1"/>
  <c r="B846" i="5" s="1"/>
  <c r="U845" i="5"/>
  <c r="C845" i="5" s="1"/>
  <c r="B845" i="5" s="1"/>
  <c r="U844" i="5"/>
  <c r="C844" i="5" s="1"/>
  <c r="B844" i="5" s="1"/>
  <c r="U843" i="5"/>
  <c r="C843" i="5" s="1"/>
  <c r="B843" i="5" s="1"/>
  <c r="U842" i="5"/>
  <c r="C842" i="5" s="1"/>
  <c r="B842" i="5" s="1"/>
  <c r="U841" i="5"/>
  <c r="C841" i="5" s="1"/>
  <c r="B841" i="5" s="1"/>
  <c r="U840" i="5"/>
  <c r="C840" i="5" s="1"/>
  <c r="B840" i="5" s="1"/>
  <c r="U839" i="5"/>
  <c r="C839" i="5" s="1"/>
  <c r="B839" i="5" s="1"/>
  <c r="U838" i="5"/>
  <c r="C838" i="5" s="1"/>
  <c r="B838" i="5" s="1"/>
  <c r="U837" i="5"/>
  <c r="C837" i="5" s="1"/>
  <c r="B837" i="5" s="1"/>
  <c r="U836" i="5"/>
  <c r="C836" i="5" s="1"/>
  <c r="B836" i="5" s="1"/>
  <c r="U835" i="5"/>
  <c r="C835" i="5" s="1"/>
  <c r="B835" i="5" s="1"/>
  <c r="U834" i="5"/>
  <c r="C834" i="5" s="1"/>
  <c r="B834" i="5" s="1"/>
  <c r="U833" i="5"/>
  <c r="C833" i="5" s="1"/>
  <c r="B833" i="5" s="1"/>
  <c r="U832" i="5"/>
  <c r="C832" i="5" s="1"/>
  <c r="B832" i="5" s="1"/>
  <c r="U831" i="5"/>
  <c r="C831" i="5" s="1"/>
  <c r="B831" i="5" s="1"/>
  <c r="U830" i="5"/>
  <c r="C830" i="5" s="1"/>
  <c r="B830" i="5" s="1"/>
  <c r="U829" i="5"/>
  <c r="C829" i="5" s="1"/>
  <c r="B829" i="5" s="1"/>
  <c r="U828" i="5"/>
  <c r="C828" i="5" s="1"/>
  <c r="B828" i="5" s="1"/>
  <c r="U827" i="5"/>
  <c r="C827" i="5" s="1"/>
  <c r="B827" i="5" s="1"/>
  <c r="U826" i="5"/>
  <c r="C826" i="5" s="1"/>
  <c r="B826" i="5" s="1"/>
  <c r="U825" i="5"/>
  <c r="C825" i="5" s="1"/>
  <c r="B825" i="5" s="1"/>
  <c r="U824" i="5"/>
  <c r="C824" i="5" s="1"/>
  <c r="B824" i="5" s="1"/>
  <c r="U823" i="5"/>
  <c r="C823" i="5" s="1"/>
  <c r="B823" i="5" s="1"/>
  <c r="U822" i="5"/>
  <c r="C822" i="5" s="1"/>
  <c r="B822" i="5" s="1"/>
  <c r="U821" i="5"/>
  <c r="C821" i="5" s="1"/>
  <c r="B821" i="5" s="1"/>
  <c r="U820" i="5"/>
  <c r="C820" i="5" s="1"/>
  <c r="B820" i="5" s="1"/>
  <c r="U819" i="5"/>
  <c r="C819" i="5" s="1"/>
  <c r="B819" i="5" s="1"/>
  <c r="U818" i="5"/>
  <c r="C818" i="5" s="1"/>
  <c r="B818" i="5" s="1"/>
  <c r="U817" i="5"/>
  <c r="C817" i="5" s="1"/>
  <c r="B817" i="5" s="1"/>
  <c r="U816" i="5"/>
  <c r="C816" i="5" s="1"/>
  <c r="B816" i="5" s="1"/>
  <c r="U815" i="5"/>
  <c r="C815" i="5" s="1"/>
  <c r="B815" i="5" s="1"/>
  <c r="U814" i="5"/>
  <c r="C814" i="5" s="1"/>
  <c r="B814" i="5" s="1"/>
  <c r="U813" i="5"/>
  <c r="C813" i="5" s="1"/>
  <c r="B813" i="5" s="1"/>
  <c r="U812" i="5"/>
  <c r="C812" i="5" s="1"/>
  <c r="B812" i="5" s="1"/>
  <c r="U811" i="5"/>
  <c r="C811" i="5" s="1"/>
  <c r="B811" i="5" s="1"/>
  <c r="U810" i="5"/>
  <c r="C810" i="5" s="1"/>
  <c r="B810" i="5" s="1"/>
  <c r="U809" i="5"/>
  <c r="C809" i="5" s="1"/>
  <c r="B809" i="5" s="1"/>
  <c r="U808" i="5"/>
  <c r="C808" i="5" s="1"/>
  <c r="B808" i="5" s="1"/>
  <c r="U807" i="5"/>
  <c r="C807" i="5" s="1"/>
  <c r="B807" i="5" s="1"/>
  <c r="U806" i="5"/>
  <c r="C806" i="5" s="1"/>
  <c r="B806" i="5" s="1"/>
  <c r="U805" i="5"/>
  <c r="C805" i="5" s="1"/>
  <c r="B805" i="5" s="1"/>
  <c r="U804" i="5"/>
  <c r="C804" i="5" s="1"/>
  <c r="B804" i="5" s="1"/>
  <c r="U803" i="5"/>
  <c r="C803" i="5" s="1"/>
  <c r="B803" i="5" s="1"/>
  <c r="U802" i="5"/>
  <c r="C802" i="5" s="1"/>
  <c r="B802" i="5" s="1"/>
  <c r="U801" i="5"/>
  <c r="C801" i="5" s="1"/>
  <c r="B801" i="5" s="1"/>
  <c r="U800" i="5"/>
  <c r="C800" i="5" s="1"/>
  <c r="B800" i="5" s="1"/>
  <c r="U799" i="5"/>
  <c r="C799" i="5" s="1"/>
  <c r="B799" i="5" s="1"/>
  <c r="U798" i="5"/>
  <c r="C798" i="5" s="1"/>
  <c r="B798" i="5" s="1"/>
  <c r="U797" i="5"/>
  <c r="C797" i="5" s="1"/>
  <c r="B797" i="5" s="1"/>
  <c r="U796" i="5"/>
  <c r="C796" i="5" s="1"/>
  <c r="B796" i="5" s="1"/>
  <c r="U795" i="5"/>
  <c r="C795" i="5" s="1"/>
  <c r="B795" i="5" s="1"/>
  <c r="U794" i="5"/>
  <c r="C794" i="5" s="1"/>
  <c r="B794" i="5" s="1"/>
  <c r="U793" i="5"/>
  <c r="C793" i="5" s="1"/>
  <c r="B793" i="5" s="1"/>
  <c r="U792" i="5"/>
  <c r="C792" i="5" s="1"/>
  <c r="B792" i="5" s="1"/>
  <c r="U791" i="5"/>
  <c r="C791" i="5" s="1"/>
  <c r="B791" i="5" s="1"/>
  <c r="U790" i="5"/>
  <c r="C790" i="5" s="1"/>
  <c r="B790" i="5" s="1"/>
  <c r="U789" i="5"/>
  <c r="C789" i="5" s="1"/>
  <c r="B789" i="5" s="1"/>
  <c r="U788" i="5"/>
  <c r="C788" i="5" s="1"/>
  <c r="B788" i="5" s="1"/>
  <c r="U787" i="5"/>
  <c r="C787" i="5" s="1"/>
  <c r="B787" i="5" s="1"/>
  <c r="U786" i="5"/>
  <c r="C786" i="5" s="1"/>
  <c r="B786" i="5" s="1"/>
  <c r="U785" i="5"/>
  <c r="C785" i="5" s="1"/>
  <c r="B785" i="5" s="1"/>
  <c r="U784" i="5"/>
  <c r="C784" i="5" s="1"/>
  <c r="B784" i="5" s="1"/>
  <c r="U783" i="5"/>
  <c r="C783" i="5" s="1"/>
  <c r="B783" i="5" s="1"/>
  <c r="U782" i="5"/>
  <c r="C782" i="5" s="1"/>
  <c r="B782" i="5" s="1"/>
  <c r="U781" i="5"/>
  <c r="C781" i="5" s="1"/>
  <c r="B781" i="5" s="1"/>
  <c r="U780" i="5"/>
  <c r="C780" i="5" s="1"/>
  <c r="B780" i="5" s="1"/>
  <c r="U779" i="5"/>
  <c r="C779" i="5" s="1"/>
  <c r="B779" i="5" s="1"/>
  <c r="U778" i="5"/>
  <c r="C778" i="5" s="1"/>
  <c r="B778" i="5" s="1"/>
  <c r="U777" i="5"/>
  <c r="C777" i="5" s="1"/>
  <c r="B777" i="5" s="1"/>
  <c r="U776" i="5"/>
  <c r="C776" i="5" s="1"/>
  <c r="B776" i="5" s="1"/>
  <c r="U775" i="5"/>
  <c r="C775" i="5" s="1"/>
  <c r="B775" i="5" s="1"/>
  <c r="U774" i="5"/>
  <c r="C774" i="5" s="1"/>
  <c r="B774" i="5" s="1"/>
  <c r="U773" i="5"/>
  <c r="C773" i="5" s="1"/>
  <c r="B773" i="5" s="1"/>
  <c r="U772" i="5"/>
  <c r="C772" i="5" s="1"/>
  <c r="B772" i="5" s="1"/>
  <c r="U771" i="5"/>
  <c r="C771" i="5" s="1"/>
  <c r="B771" i="5" s="1"/>
  <c r="U770" i="5"/>
  <c r="C770" i="5" s="1"/>
  <c r="B770" i="5" s="1"/>
  <c r="U769" i="5"/>
  <c r="C769" i="5" s="1"/>
  <c r="B769" i="5" s="1"/>
  <c r="U768" i="5"/>
  <c r="C768" i="5" s="1"/>
  <c r="B768" i="5" s="1"/>
  <c r="U767" i="5"/>
  <c r="C767" i="5" s="1"/>
  <c r="B767" i="5" s="1"/>
  <c r="U766" i="5"/>
  <c r="C766" i="5" s="1"/>
  <c r="B766" i="5" s="1"/>
  <c r="U765" i="5"/>
  <c r="C765" i="5" s="1"/>
  <c r="B765" i="5" s="1"/>
  <c r="U764" i="5"/>
  <c r="C764" i="5" s="1"/>
  <c r="B764" i="5" s="1"/>
  <c r="U763" i="5"/>
  <c r="C763" i="5" s="1"/>
  <c r="B763" i="5" s="1"/>
  <c r="U762" i="5"/>
  <c r="C762" i="5" s="1"/>
  <c r="B762" i="5" s="1"/>
  <c r="U761" i="5"/>
  <c r="C761" i="5" s="1"/>
  <c r="B761" i="5" s="1"/>
  <c r="U760" i="5"/>
  <c r="C760" i="5" s="1"/>
  <c r="B760" i="5" s="1"/>
  <c r="U759" i="5"/>
  <c r="C759" i="5" s="1"/>
  <c r="B759" i="5" s="1"/>
  <c r="U758" i="5"/>
  <c r="C758" i="5" s="1"/>
  <c r="B758" i="5" s="1"/>
  <c r="U757" i="5"/>
  <c r="C757" i="5" s="1"/>
  <c r="B757" i="5" s="1"/>
  <c r="U756" i="5"/>
  <c r="C756" i="5" s="1"/>
  <c r="B756" i="5" s="1"/>
  <c r="U755" i="5"/>
  <c r="C755" i="5" s="1"/>
  <c r="B755" i="5" s="1"/>
  <c r="U754" i="5"/>
  <c r="C754" i="5" s="1"/>
  <c r="B754" i="5" s="1"/>
  <c r="U753" i="5"/>
  <c r="C753" i="5" s="1"/>
  <c r="B753" i="5" s="1"/>
  <c r="U752" i="5"/>
  <c r="C752" i="5" s="1"/>
  <c r="B752" i="5" s="1"/>
  <c r="U751" i="5"/>
  <c r="C751" i="5" s="1"/>
  <c r="B751" i="5" s="1"/>
  <c r="U750" i="5"/>
  <c r="C750" i="5" s="1"/>
  <c r="B750" i="5" s="1"/>
  <c r="U749" i="5"/>
  <c r="C749" i="5" s="1"/>
  <c r="B749" i="5" s="1"/>
  <c r="U748" i="5"/>
  <c r="C748" i="5" s="1"/>
  <c r="B748" i="5" s="1"/>
  <c r="U747" i="5"/>
  <c r="C747" i="5" s="1"/>
  <c r="B747" i="5" s="1"/>
  <c r="U746" i="5"/>
  <c r="C746" i="5" s="1"/>
  <c r="B746" i="5" s="1"/>
  <c r="U745" i="5"/>
  <c r="C745" i="5" s="1"/>
  <c r="B745" i="5" s="1"/>
  <c r="U744" i="5"/>
  <c r="C744" i="5" s="1"/>
  <c r="B744" i="5" s="1"/>
  <c r="U743" i="5"/>
  <c r="C743" i="5" s="1"/>
  <c r="B743" i="5" s="1"/>
  <c r="U742" i="5"/>
  <c r="C742" i="5" s="1"/>
  <c r="B742" i="5" s="1"/>
  <c r="U741" i="5"/>
  <c r="C741" i="5" s="1"/>
  <c r="B741" i="5" s="1"/>
  <c r="U740" i="5"/>
  <c r="C740" i="5" s="1"/>
  <c r="B740" i="5" s="1"/>
  <c r="U739" i="5"/>
  <c r="C739" i="5" s="1"/>
  <c r="B739" i="5" s="1"/>
  <c r="U738" i="5"/>
  <c r="C738" i="5" s="1"/>
  <c r="B738" i="5" s="1"/>
  <c r="U737" i="5"/>
  <c r="C737" i="5" s="1"/>
  <c r="B737" i="5" s="1"/>
  <c r="U736" i="5"/>
  <c r="C736" i="5" s="1"/>
  <c r="B736" i="5" s="1"/>
  <c r="U735" i="5"/>
  <c r="C735" i="5" s="1"/>
  <c r="B735" i="5" s="1"/>
  <c r="U734" i="5"/>
  <c r="C734" i="5" s="1"/>
  <c r="B734" i="5" s="1"/>
  <c r="U733" i="5"/>
  <c r="C733" i="5" s="1"/>
  <c r="B733" i="5" s="1"/>
  <c r="U732" i="5"/>
  <c r="C732" i="5" s="1"/>
  <c r="B732" i="5" s="1"/>
  <c r="U731" i="5"/>
  <c r="C731" i="5" s="1"/>
  <c r="B731" i="5" s="1"/>
  <c r="U730" i="5"/>
  <c r="C730" i="5" s="1"/>
  <c r="B730" i="5" s="1"/>
  <c r="U729" i="5"/>
  <c r="C729" i="5" s="1"/>
  <c r="B729" i="5" s="1"/>
  <c r="U728" i="5"/>
  <c r="C728" i="5" s="1"/>
  <c r="B728" i="5" s="1"/>
  <c r="U727" i="5"/>
  <c r="C727" i="5" s="1"/>
  <c r="B727" i="5" s="1"/>
  <c r="U726" i="5"/>
  <c r="C726" i="5" s="1"/>
  <c r="B726" i="5" s="1"/>
  <c r="U725" i="5"/>
  <c r="C725" i="5" s="1"/>
  <c r="B725" i="5" s="1"/>
  <c r="U724" i="5"/>
  <c r="C724" i="5" s="1"/>
  <c r="B724" i="5" s="1"/>
  <c r="U723" i="5"/>
  <c r="C723" i="5" s="1"/>
  <c r="B723" i="5" s="1"/>
  <c r="U722" i="5"/>
  <c r="C722" i="5" s="1"/>
  <c r="B722" i="5" s="1"/>
  <c r="U721" i="5"/>
  <c r="C721" i="5" s="1"/>
  <c r="B721" i="5" s="1"/>
  <c r="U720" i="5"/>
  <c r="C720" i="5" s="1"/>
  <c r="B720" i="5" s="1"/>
  <c r="U719" i="5"/>
  <c r="C719" i="5" s="1"/>
  <c r="B719" i="5" s="1"/>
  <c r="U718" i="5"/>
  <c r="C718" i="5" s="1"/>
  <c r="B718" i="5" s="1"/>
  <c r="U717" i="5"/>
  <c r="C717" i="5" s="1"/>
  <c r="B717" i="5" s="1"/>
  <c r="U716" i="5"/>
  <c r="C716" i="5" s="1"/>
  <c r="B716" i="5" s="1"/>
  <c r="U715" i="5"/>
  <c r="C715" i="5" s="1"/>
  <c r="B715" i="5" s="1"/>
  <c r="U714" i="5"/>
  <c r="C714" i="5" s="1"/>
  <c r="B714" i="5" s="1"/>
  <c r="U713" i="5"/>
  <c r="C713" i="5" s="1"/>
  <c r="B713" i="5" s="1"/>
  <c r="U712" i="5"/>
  <c r="C712" i="5" s="1"/>
  <c r="B712" i="5" s="1"/>
  <c r="U711" i="5"/>
  <c r="C711" i="5" s="1"/>
  <c r="B711" i="5" s="1"/>
  <c r="U710" i="5"/>
  <c r="C710" i="5" s="1"/>
  <c r="B710" i="5" s="1"/>
  <c r="U709" i="5"/>
  <c r="C709" i="5" s="1"/>
  <c r="B709" i="5" s="1"/>
  <c r="U708" i="5"/>
  <c r="C708" i="5" s="1"/>
  <c r="B708" i="5" s="1"/>
  <c r="U707" i="5"/>
  <c r="C707" i="5" s="1"/>
  <c r="B707" i="5" s="1"/>
  <c r="U706" i="5"/>
  <c r="C706" i="5" s="1"/>
  <c r="B706" i="5" s="1"/>
  <c r="U705" i="5"/>
  <c r="C705" i="5" s="1"/>
  <c r="B705" i="5" s="1"/>
  <c r="U704" i="5"/>
  <c r="C704" i="5" s="1"/>
  <c r="B704" i="5" s="1"/>
  <c r="U703" i="5"/>
  <c r="C703" i="5" s="1"/>
  <c r="B703" i="5" s="1"/>
  <c r="U702" i="5"/>
  <c r="C702" i="5" s="1"/>
  <c r="B702" i="5" s="1"/>
  <c r="U701" i="5"/>
  <c r="C701" i="5" s="1"/>
  <c r="B701" i="5" s="1"/>
  <c r="U700" i="5"/>
  <c r="C700" i="5" s="1"/>
  <c r="B700" i="5" s="1"/>
  <c r="U699" i="5"/>
  <c r="C699" i="5" s="1"/>
  <c r="B699" i="5" s="1"/>
  <c r="U698" i="5"/>
  <c r="C698" i="5" s="1"/>
  <c r="B698" i="5" s="1"/>
  <c r="U697" i="5"/>
  <c r="C697" i="5" s="1"/>
  <c r="B697" i="5" s="1"/>
  <c r="U696" i="5"/>
  <c r="C696" i="5" s="1"/>
  <c r="B696" i="5" s="1"/>
  <c r="U695" i="5"/>
  <c r="C695" i="5" s="1"/>
  <c r="B695" i="5" s="1"/>
  <c r="U694" i="5"/>
  <c r="C694" i="5" s="1"/>
  <c r="B694" i="5" s="1"/>
  <c r="U693" i="5"/>
  <c r="C693" i="5" s="1"/>
  <c r="B693" i="5" s="1"/>
  <c r="U692" i="5"/>
  <c r="C692" i="5" s="1"/>
  <c r="B692" i="5" s="1"/>
  <c r="U691" i="5"/>
  <c r="C691" i="5" s="1"/>
  <c r="B691" i="5" s="1"/>
  <c r="U690" i="5"/>
  <c r="C690" i="5" s="1"/>
  <c r="B690" i="5" s="1"/>
  <c r="U689" i="5"/>
  <c r="C689" i="5" s="1"/>
  <c r="B689" i="5" s="1"/>
  <c r="U688" i="5"/>
  <c r="C688" i="5" s="1"/>
  <c r="B688" i="5" s="1"/>
  <c r="U687" i="5"/>
  <c r="C687" i="5" s="1"/>
  <c r="B687" i="5" s="1"/>
  <c r="U686" i="5"/>
  <c r="C686" i="5" s="1"/>
  <c r="B686" i="5" s="1"/>
  <c r="U685" i="5"/>
  <c r="C685" i="5" s="1"/>
  <c r="B685" i="5" s="1"/>
  <c r="U684" i="5"/>
  <c r="C684" i="5" s="1"/>
  <c r="B684" i="5" s="1"/>
  <c r="U683" i="5"/>
  <c r="C683" i="5" s="1"/>
  <c r="B683" i="5" s="1"/>
  <c r="U682" i="5"/>
  <c r="C682" i="5" s="1"/>
  <c r="B682" i="5" s="1"/>
  <c r="U681" i="5"/>
  <c r="C681" i="5" s="1"/>
  <c r="B681" i="5" s="1"/>
  <c r="U680" i="5"/>
  <c r="C680" i="5" s="1"/>
  <c r="B680" i="5" s="1"/>
  <c r="U679" i="5"/>
  <c r="C679" i="5" s="1"/>
  <c r="B679" i="5" s="1"/>
  <c r="U678" i="5"/>
  <c r="C678" i="5" s="1"/>
  <c r="B678" i="5" s="1"/>
  <c r="U677" i="5"/>
  <c r="C677" i="5" s="1"/>
  <c r="B677" i="5" s="1"/>
  <c r="U676" i="5"/>
  <c r="C676" i="5" s="1"/>
  <c r="B676" i="5" s="1"/>
  <c r="U675" i="5"/>
  <c r="C675" i="5" s="1"/>
  <c r="B675" i="5" s="1"/>
  <c r="U674" i="5"/>
  <c r="C674" i="5" s="1"/>
  <c r="B674" i="5" s="1"/>
  <c r="U673" i="5"/>
  <c r="C673" i="5" s="1"/>
  <c r="B673" i="5" s="1"/>
  <c r="U672" i="5"/>
  <c r="C672" i="5" s="1"/>
  <c r="B672" i="5" s="1"/>
  <c r="U671" i="5"/>
  <c r="C671" i="5" s="1"/>
  <c r="B671" i="5" s="1"/>
  <c r="U670" i="5"/>
  <c r="C670" i="5" s="1"/>
  <c r="B670" i="5" s="1"/>
  <c r="U669" i="5"/>
  <c r="C669" i="5" s="1"/>
  <c r="B669" i="5" s="1"/>
  <c r="U668" i="5"/>
  <c r="C668" i="5" s="1"/>
  <c r="B668" i="5" s="1"/>
  <c r="U667" i="5"/>
  <c r="C667" i="5" s="1"/>
  <c r="B667" i="5" s="1"/>
  <c r="U666" i="5"/>
  <c r="C666" i="5" s="1"/>
  <c r="B666" i="5" s="1"/>
  <c r="U665" i="5"/>
  <c r="C665" i="5" s="1"/>
  <c r="B665" i="5" s="1"/>
  <c r="U664" i="5"/>
  <c r="C664" i="5" s="1"/>
  <c r="B664" i="5" s="1"/>
  <c r="U663" i="5"/>
  <c r="C663" i="5" s="1"/>
  <c r="B663" i="5" s="1"/>
  <c r="U662" i="5"/>
  <c r="C662" i="5" s="1"/>
  <c r="B662" i="5" s="1"/>
  <c r="U661" i="5"/>
  <c r="C661" i="5" s="1"/>
  <c r="B661" i="5" s="1"/>
  <c r="U660" i="5"/>
  <c r="C660" i="5" s="1"/>
  <c r="B660" i="5" s="1"/>
  <c r="U659" i="5"/>
  <c r="C659" i="5" s="1"/>
  <c r="B659" i="5" s="1"/>
  <c r="U658" i="5"/>
  <c r="C658" i="5" s="1"/>
  <c r="B658" i="5" s="1"/>
  <c r="U657" i="5"/>
  <c r="C657" i="5" s="1"/>
  <c r="B657" i="5" s="1"/>
  <c r="U656" i="5"/>
  <c r="C656" i="5" s="1"/>
  <c r="B656" i="5" s="1"/>
  <c r="U655" i="5"/>
  <c r="C655" i="5" s="1"/>
  <c r="B655" i="5" s="1"/>
  <c r="U654" i="5"/>
  <c r="C654" i="5" s="1"/>
  <c r="B654" i="5" s="1"/>
  <c r="U653" i="5"/>
  <c r="C653" i="5" s="1"/>
  <c r="B653" i="5" s="1"/>
  <c r="U652" i="5"/>
  <c r="C652" i="5" s="1"/>
  <c r="B652" i="5" s="1"/>
  <c r="U651" i="5"/>
  <c r="C651" i="5" s="1"/>
  <c r="B651" i="5" s="1"/>
  <c r="U650" i="5"/>
  <c r="C650" i="5" s="1"/>
  <c r="B650" i="5" s="1"/>
  <c r="U649" i="5"/>
  <c r="C649" i="5" s="1"/>
  <c r="B649" i="5" s="1"/>
  <c r="U648" i="5"/>
  <c r="C648" i="5" s="1"/>
  <c r="B648" i="5" s="1"/>
  <c r="U647" i="5"/>
  <c r="C647" i="5" s="1"/>
  <c r="B647" i="5" s="1"/>
  <c r="U646" i="5"/>
  <c r="C646" i="5" s="1"/>
  <c r="B646" i="5" s="1"/>
  <c r="U645" i="5"/>
  <c r="C645" i="5" s="1"/>
  <c r="B645" i="5" s="1"/>
  <c r="U644" i="5"/>
  <c r="C644" i="5" s="1"/>
  <c r="B644" i="5" s="1"/>
  <c r="U643" i="5"/>
  <c r="C643" i="5" s="1"/>
  <c r="B643" i="5" s="1"/>
  <c r="U642" i="5"/>
  <c r="C642" i="5" s="1"/>
  <c r="B642" i="5" s="1"/>
  <c r="U641" i="5"/>
  <c r="C641" i="5" s="1"/>
  <c r="B641" i="5" s="1"/>
  <c r="U640" i="5"/>
  <c r="C640" i="5" s="1"/>
  <c r="B640" i="5" s="1"/>
  <c r="U639" i="5"/>
  <c r="C639" i="5" s="1"/>
  <c r="B639" i="5" s="1"/>
  <c r="U638" i="5"/>
  <c r="C638" i="5" s="1"/>
  <c r="B638" i="5" s="1"/>
  <c r="U637" i="5"/>
  <c r="C637" i="5" s="1"/>
  <c r="B637" i="5" s="1"/>
  <c r="U636" i="5"/>
  <c r="C636" i="5" s="1"/>
  <c r="B636" i="5" s="1"/>
  <c r="U635" i="5"/>
  <c r="C635" i="5" s="1"/>
  <c r="B635" i="5" s="1"/>
  <c r="U634" i="5"/>
  <c r="C634" i="5" s="1"/>
  <c r="B634" i="5" s="1"/>
  <c r="U633" i="5"/>
  <c r="C633" i="5" s="1"/>
  <c r="B633" i="5" s="1"/>
  <c r="U632" i="5"/>
  <c r="C632" i="5" s="1"/>
  <c r="B632" i="5" s="1"/>
  <c r="U631" i="5"/>
  <c r="C631" i="5" s="1"/>
  <c r="B631" i="5" s="1"/>
  <c r="U630" i="5"/>
  <c r="C630" i="5" s="1"/>
  <c r="B630" i="5" s="1"/>
  <c r="U629" i="5"/>
  <c r="C629" i="5" s="1"/>
  <c r="B629" i="5" s="1"/>
  <c r="U628" i="5"/>
  <c r="C628" i="5" s="1"/>
  <c r="B628" i="5" s="1"/>
  <c r="U627" i="5"/>
  <c r="C627" i="5" s="1"/>
  <c r="B627" i="5" s="1"/>
  <c r="U626" i="5"/>
  <c r="C626" i="5" s="1"/>
  <c r="B626" i="5" s="1"/>
  <c r="U625" i="5"/>
  <c r="C625" i="5" s="1"/>
  <c r="B625" i="5" s="1"/>
  <c r="U624" i="5"/>
  <c r="C624" i="5" s="1"/>
  <c r="B624" i="5" s="1"/>
  <c r="U623" i="5"/>
  <c r="C623" i="5" s="1"/>
  <c r="B623" i="5" s="1"/>
  <c r="U622" i="5"/>
  <c r="C622" i="5" s="1"/>
  <c r="B622" i="5" s="1"/>
  <c r="U621" i="5"/>
  <c r="C621" i="5" s="1"/>
  <c r="B621" i="5" s="1"/>
  <c r="U620" i="5"/>
  <c r="C620" i="5" s="1"/>
  <c r="B620" i="5" s="1"/>
  <c r="U619" i="5"/>
  <c r="C619" i="5" s="1"/>
  <c r="B619" i="5" s="1"/>
  <c r="U618" i="5"/>
  <c r="C618" i="5" s="1"/>
  <c r="B618" i="5" s="1"/>
  <c r="U617" i="5"/>
  <c r="C617" i="5" s="1"/>
  <c r="B617" i="5" s="1"/>
  <c r="U616" i="5"/>
  <c r="C616" i="5" s="1"/>
  <c r="B616" i="5" s="1"/>
  <c r="U615" i="5"/>
  <c r="C615" i="5" s="1"/>
  <c r="B615" i="5" s="1"/>
  <c r="U614" i="5"/>
  <c r="C614" i="5" s="1"/>
  <c r="B614" i="5" s="1"/>
  <c r="U613" i="5"/>
  <c r="C613" i="5" s="1"/>
  <c r="B613" i="5" s="1"/>
  <c r="U612" i="5"/>
  <c r="C612" i="5" s="1"/>
  <c r="B612" i="5" s="1"/>
  <c r="U611" i="5"/>
  <c r="C611" i="5" s="1"/>
  <c r="B611" i="5" s="1"/>
  <c r="U610" i="5"/>
  <c r="C610" i="5" s="1"/>
  <c r="B610" i="5" s="1"/>
  <c r="U609" i="5"/>
  <c r="C609" i="5" s="1"/>
  <c r="B609" i="5" s="1"/>
  <c r="U608" i="5"/>
  <c r="C608" i="5" s="1"/>
  <c r="B608" i="5" s="1"/>
  <c r="U607" i="5"/>
  <c r="C607" i="5" s="1"/>
  <c r="B607" i="5" s="1"/>
  <c r="U606" i="5"/>
  <c r="C606" i="5" s="1"/>
  <c r="B606" i="5" s="1"/>
  <c r="U605" i="5"/>
  <c r="C605" i="5" s="1"/>
  <c r="B605" i="5" s="1"/>
  <c r="U604" i="5"/>
  <c r="C604" i="5" s="1"/>
  <c r="B604" i="5" s="1"/>
  <c r="U603" i="5"/>
  <c r="C603" i="5" s="1"/>
  <c r="B603" i="5" s="1"/>
  <c r="U602" i="5"/>
  <c r="C602" i="5" s="1"/>
  <c r="B602" i="5" s="1"/>
  <c r="U601" i="5"/>
  <c r="C601" i="5" s="1"/>
  <c r="B601" i="5" s="1"/>
  <c r="U600" i="5"/>
  <c r="C600" i="5" s="1"/>
  <c r="B600" i="5" s="1"/>
  <c r="U599" i="5"/>
  <c r="C599" i="5" s="1"/>
  <c r="B599" i="5" s="1"/>
  <c r="U598" i="5"/>
  <c r="C598" i="5" s="1"/>
  <c r="B598" i="5" s="1"/>
  <c r="U597" i="5"/>
  <c r="C597" i="5" s="1"/>
  <c r="B597" i="5" s="1"/>
  <c r="U596" i="5"/>
  <c r="C596" i="5" s="1"/>
  <c r="B596" i="5" s="1"/>
  <c r="U595" i="5"/>
  <c r="C595" i="5" s="1"/>
  <c r="B595" i="5" s="1"/>
  <c r="U594" i="5"/>
  <c r="C594" i="5" s="1"/>
  <c r="B594" i="5" s="1"/>
  <c r="U593" i="5"/>
  <c r="C593" i="5" s="1"/>
  <c r="B593" i="5" s="1"/>
  <c r="U592" i="5"/>
  <c r="C592" i="5" s="1"/>
  <c r="B592" i="5" s="1"/>
  <c r="U591" i="5"/>
  <c r="C591" i="5" s="1"/>
  <c r="B591" i="5" s="1"/>
  <c r="U590" i="5"/>
  <c r="C590" i="5" s="1"/>
  <c r="B590" i="5" s="1"/>
  <c r="U589" i="5"/>
  <c r="C589" i="5" s="1"/>
  <c r="B589" i="5" s="1"/>
  <c r="U588" i="5"/>
  <c r="C588" i="5" s="1"/>
  <c r="B588" i="5" s="1"/>
  <c r="U587" i="5"/>
  <c r="C587" i="5" s="1"/>
  <c r="B587" i="5" s="1"/>
  <c r="U586" i="5"/>
  <c r="C586" i="5" s="1"/>
  <c r="B586" i="5" s="1"/>
  <c r="U585" i="5"/>
  <c r="C585" i="5" s="1"/>
  <c r="B585" i="5" s="1"/>
  <c r="U584" i="5"/>
  <c r="C584" i="5" s="1"/>
  <c r="B584" i="5" s="1"/>
  <c r="U583" i="5"/>
  <c r="C583" i="5" s="1"/>
  <c r="B583" i="5" s="1"/>
  <c r="U582" i="5"/>
  <c r="C582" i="5" s="1"/>
  <c r="B582" i="5" s="1"/>
  <c r="U581" i="5"/>
  <c r="C581" i="5" s="1"/>
  <c r="B581" i="5" s="1"/>
  <c r="U580" i="5"/>
  <c r="C580" i="5" s="1"/>
  <c r="B580" i="5" s="1"/>
  <c r="U579" i="5"/>
  <c r="C579" i="5" s="1"/>
  <c r="B579" i="5" s="1"/>
  <c r="U578" i="5"/>
  <c r="C578" i="5" s="1"/>
  <c r="B578" i="5" s="1"/>
  <c r="U577" i="5"/>
  <c r="C577" i="5" s="1"/>
  <c r="B577" i="5" s="1"/>
  <c r="U576" i="5"/>
  <c r="C576" i="5" s="1"/>
  <c r="B576" i="5" s="1"/>
  <c r="U575" i="5"/>
  <c r="C575" i="5" s="1"/>
  <c r="B575" i="5" s="1"/>
  <c r="U574" i="5"/>
  <c r="C574" i="5" s="1"/>
  <c r="B574" i="5" s="1"/>
  <c r="U573" i="5"/>
  <c r="C573" i="5" s="1"/>
  <c r="B573" i="5" s="1"/>
  <c r="U572" i="5"/>
  <c r="C572" i="5" s="1"/>
  <c r="B572" i="5" s="1"/>
  <c r="U571" i="5"/>
  <c r="C571" i="5" s="1"/>
  <c r="B571" i="5" s="1"/>
  <c r="U570" i="5"/>
  <c r="C570" i="5" s="1"/>
  <c r="B570" i="5" s="1"/>
  <c r="U569" i="5"/>
  <c r="C569" i="5" s="1"/>
  <c r="B569" i="5" s="1"/>
  <c r="U568" i="5"/>
  <c r="C568" i="5" s="1"/>
  <c r="B568" i="5" s="1"/>
  <c r="U567" i="5"/>
  <c r="C567" i="5" s="1"/>
  <c r="B567" i="5" s="1"/>
  <c r="U566" i="5"/>
  <c r="C566" i="5" s="1"/>
  <c r="B566" i="5" s="1"/>
  <c r="U565" i="5"/>
  <c r="C565" i="5" s="1"/>
  <c r="B565" i="5" s="1"/>
  <c r="U564" i="5"/>
  <c r="C564" i="5" s="1"/>
  <c r="B564" i="5" s="1"/>
  <c r="U563" i="5"/>
  <c r="C563" i="5" s="1"/>
  <c r="B563" i="5" s="1"/>
  <c r="U562" i="5"/>
  <c r="C562" i="5" s="1"/>
  <c r="B562" i="5" s="1"/>
  <c r="U561" i="5"/>
  <c r="C561" i="5" s="1"/>
  <c r="B561" i="5" s="1"/>
  <c r="U560" i="5"/>
  <c r="C560" i="5" s="1"/>
  <c r="B560" i="5" s="1"/>
  <c r="U559" i="5"/>
  <c r="C559" i="5" s="1"/>
  <c r="B559" i="5" s="1"/>
  <c r="U558" i="5"/>
  <c r="C558" i="5" s="1"/>
  <c r="B558" i="5" s="1"/>
  <c r="U557" i="5"/>
  <c r="C557" i="5" s="1"/>
  <c r="B557" i="5" s="1"/>
  <c r="U556" i="5"/>
  <c r="C556" i="5" s="1"/>
  <c r="B556" i="5" s="1"/>
  <c r="U555" i="5"/>
  <c r="C555" i="5" s="1"/>
  <c r="B555" i="5" s="1"/>
  <c r="U554" i="5"/>
  <c r="C554" i="5" s="1"/>
  <c r="B554" i="5" s="1"/>
  <c r="U553" i="5"/>
  <c r="C553" i="5" s="1"/>
  <c r="B553" i="5" s="1"/>
  <c r="U552" i="5"/>
  <c r="C552" i="5" s="1"/>
  <c r="B552" i="5" s="1"/>
  <c r="U551" i="5"/>
  <c r="C551" i="5" s="1"/>
  <c r="B551" i="5" s="1"/>
  <c r="U550" i="5"/>
  <c r="C550" i="5" s="1"/>
  <c r="B550" i="5" s="1"/>
  <c r="U549" i="5"/>
  <c r="C549" i="5" s="1"/>
  <c r="B549" i="5" s="1"/>
  <c r="U548" i="5"/>
  <c r="C548" i="5" s="1"/>
  <c r="B548" i="5" s="1"/>
  <c r="U547" i="5"/>
  <c r="C547" i="5" s="1"/>
  <c r="B547" i="5" s="1"/>
  <c r="U546" i="5"/>
  <c r="C546" i="5" s="1"/>
  <c r="B546" i="5" s="1"/>
  <c r="U545" i="5"/>
  <c r="C545" i="5" s="1"/>
  <c r="B545" i="5" s="1"/>
  <c r="U544" i="5"/>
  <c r="C544" i="5" s="1"/>
  <c r="B544" i="5" s="1"/>
  <c r="U543" i="5"/>
  <c r="C543" i="5" s="1"/>
  <c r="B543" i="5" s="1"/>
  <c r="U542" i="5"/>
  <c r="C542" i="5" s="1"/>
  <c r="B542" i="5" s="1"/>
  <c r="U541" i="5"/>
  <c r="C541" i="5" s="1"/>
  <c r="B541" i="5" s="1"/>
  <c r="U540" i="5"/>
  <c r="C540" i="5" s="1"/>
  <c r="B540" i="5" s="1"/>
  <c r="U539" i="5"/>
  <c r="C539" i="5" s="1"/>
  <c r="B539" i="5" s="1"/>
  <c r="U538" i="5"/>
  <c r="C538" i="5" s="1"/>
  <c r="B538" i="5" s="1"/>
  <c r="U537" i="5"/>
  <c r="C537" i="5" s="1"/>
  <c r="B537" i="5" s="1"/>
  <c r="U536" i="5"/>
  <c r="C536" i="5" s="1"/>
  <c r="B536" i="5" s="1"/>
  <c r="C535" i="5"/>
  <c r="B535" i="5" s="1"/>
  <c r="U535" i="5"/>
  <c r="U534" i="5"/>
  <c r="C534" i="5" s="1"/>
  <c r="B534" i="5" s="1"/>
  <c r="U533" i="5"/>
  <c r="C533" i="5" s="1"/>
  <c r="B533" i="5" s="1"/>
  <c r="U532" i="5"/>
  <c r="C532" i="5" s="1"/>
  <c r="B532" i="5" s="1"/>
  <c r="U531" i="5"/>
  <c r="C531" i="5" s="1"/>
  <c r="B531" i="5" s="1"/>
  <c r="U530" i="5"/>
  <c r="C530" i="5" s="1"/>
  <c r="B530" i="5" s="1"/>
  <c r="U529" i="5"/>
  <c r="C529" i="5" s="1"/>
  <c r="B529" i="5" s="1"/>
  <c r="U528" i="5"/>
  <c r="C528" i="5" s="1"/>
  <c r="B528" i="5" s="1"/>
  <c r="C527" i="5"/>
  <c r="B527" i="5" s="1"/>
  <c r="U527" i="5"/>
  <c r="U526" i="5"/>
  <c r="C526" i="5" s="1"/>
  <c r="B526" i="5" s="1"/>
  <c r="U525" i="5"/>
  <c r="C525" i="5" s="1"/>
  <c r="B525" i="5" s="1"/>
  <c r="U524" i="5"/>
  <c r="C524" i="5" s="1"/>
  <c r="B524" i="5" s="1"/>
  <c r="U523" i="5"/>
  <c r="C523" i="5" s="1"/>
  <c r="B523" i="5" s="1"/>
  <c r="U522" i="5"/>
  <c r="C522" i="5" s="1"/>
  <c r="B522" i="5" s="1"/>
  <c r="C521" i="5"/>
  <c r="B521" i="5" s="1"/>
  <c r="U521" i="5"/>
  <c r="U520" i="5"/>
  <c r="C520" i="5" s="1"/>
  <c r="B520" i="5" s="1"/>
  <c r="C519" i="5"/>
  <c r="B519" i="5" s="1"/>
  <c r="U519" i="5"/>
  <c r="U518" i="5"/>
  <c r="C518" i="5" s="1"/>
  <c r="B518" i="5" s="1"/>
  <c r="U517" i="5"/>
  <c r="C517" i="5" s="1"/>
  <c r="B517" i="5" s="1"/>
  <c r="U516" i="5"/>
  <c r="C516" i="5" s="1"/>
  <c r="B516" i="5" s="1"/>
  <c r="U515" i="5"/>
  <c r="C515" i="5" s="1"/>
  <c r="B515" i="5" s="1"/>
  <c r="U514" i="5"/>
  <c r="C514" i="5" s="1"/>
  <c r="B514" i="5" s="1"/>
  <c r="C513" i="5"/>
  <c r="B513" i="5" s="1"/>
  <c r="U513" i="5"/>
  <c r="U512" i="5"/>
  <c r="C512" i="5" s="1"/>
  <c r="B512" i="5" s="1"/>
  <c r="C511" i="5"/>
  <c r="B511" i="5" s="1"/>
  <c r="U511" i="5"/>
  <c r="U510" i="5"/>
  <c r="C510" i="5" s="1"/>
  <c r="B510" i="5" s="1"/>
  <c r="U509" i="5"/>
  <c r="C509" i="5" s="1"/>
  <c r="B509" i="5" s="1"/>
  <c r="U508" i="5"/>
  <c r="C508" i="5" s="1"/>
  <c r="B508" i="5" s="1"/>
  <c r="U507" i="5"/>
  <c r="C507" i="5" s="1"/>
  <c r="B507" i="5" s="1"/>
  <c r="U506" i="5"/>
  <c r="C506" i="5" s="1"/>
  <c r="B506" i="5" s="1"/>
  <c r="C505" i="5"/>
  <c r="B505" i="5" s="1"/>
  <c r="U505" i="5"/>
  <c r="U504" i="5"/>
  <c r="C504" i="5" s="1"/>
  <c r="B504" i="5" s="1"/>
  <c r="C503" i="5"/>
  <c r="B503" i="5" s="1"/>
  <c r="U503" i="5"/>
  <c r="U502" i="5"/>
  <c r="C502" i="5" s="1"/>
  <c r="B502" i="5" s="1"/>
  <c r="U501" i="5"/>
  <c r="C501" i="5" s="1"/>
  <c r="B501" i="5" s="1"/>
  <c r="U500" i="5"/>
  <c r="C500" i="5" s="1"/>
  <c r="B500" i="5" s="1"/>
  <c r="U499" i="5"/>
  <c r="C499" i="5" s="1"/>
  <c r="B499" i="5" s="1"/>
  <c r="U498" i="5"/>
  <c r="C498" i="5" s="1"/>
  <c r="B498" i="5" s="1"/>
  <c r="C497" i="5"/>
  <c r="B497" i="5" s="1"/>
  <c r="U497" i="5"/>
  <c r="U496" i="5"/>
  <c r="C496" i="5" s="1"/>
  <c r="B496" i="5" s="1"/>
  <c r="C495" i="5"/>
  <c r="B495" i="5" s="1"/>
  <c r="U495" i="5"/>
  <c r="U494" i="5"/>
  <c r="C494" i="5" s="1"/>
  <c r="B494" i="5" s="1"/>
  <c r="U493" i="5"/>
  <c r="C493" i="5" s="1"/>
  <c r="B493" i="5" s="1"/>
  <c r="U492" i="5"/>
  <c r="C492" i="5" s="1"/>
  <c r="B492" i="5" s="1"/>
  <c r="U491" i="5"/>
  <c r="C491" i="5" s="1"/>
  <c r="B491" i="5" s="1"/>
  <c r="U490" i="5"/>
  <c r="C490" i="5" s="1"/>
  <c r="B490" i="5" s="1"/>
  <c r="C489" i="5"/>
  <c r="B489" i="5" s="1"/>
  <c r="U489" i="5"/>
  <c r="U488" i="5"/>
  <c r="C488" i="5" s="1"/>
  <c r="B488" i="5" s="1"/>
  <c r="C487" i="5"/>
  <c r="B487" i="5" s="1"/>
  <c r="U487" i="5"/>
  <c r="U486" i="5"/>
  <c r="C486" i="5" s="1"/>
  <c r="B486" i="5" s="1"/>
  <c r="U485" i="5"/>
  <c r="C485" i="5" s="1"/>
  <c r="B485" i="5" s="1"/>
  <c r="U484" i="5"/>
  <c r="C484" i="5" s="1"/>
  <c r="B484" i="5" s="1"/>
  <c r="U483" i="5"/>
  <c r="C483" i="5" s="1"/>
  <c r="B483" i="5" s="1"/>
  <c r="U482" i="5"/>
  <c r="C482" i="5" s="1"/>
  <c r="B482" i="5" s="1"/>
  <c r="C481" i="5"/>
  <c r="B481" i="5" s="1"/>
  <c r="U481" i="5"/>
  <c r="U480" i="5"/>
  <c r="C480" i="5" s="1"/>
  <c r="B480" i="5" s="1"/>
  <c r="C479" i="5"/>
  <c r="B479" i="5" s="1"/>
  <c r="U479" i="5"/>
  <c r="U478" i="5"/>
  <c r="C478" i="5" s="1"/>
  <c r="B478" i="5" s="1"/>
  <c r="U477" i="5"/>
  <c r="C477" i="5" s="1"/>
  <c r="B477" i="5" s="1"/>
  <c r="U476" i="5"/>
  <c r="C476" i="5" s="1"/>
  <c r="B476" i="5" s="1"/>
  <c r="U475" i="5"/>
  <c r="C475" i="5" s="1"/>
  <c r="B475" i="5" s="1"/>
  <c r="U474" i="5"/>
  <c r="C474" i="5" s="1"/>
  <c r="B474" i="5" s="1"/>
  <c r="C473" i="5"/>
  <c r="B473" i="5" s="1"/>
  <c r="U473" i="5"/>
  <c r="U472" i="5"/>
  <c r="C472" i="5" s="1"/>
  <c r="B472" i="5" s="1"/>
  <c r="C471" i="5"/>
  <c r="B471" i="5" s="1"/>
  <c r="U471" i="5"/>
  <c r="U470" i="5"/>
  <c r="C470" i="5" s="1"/>
  <c r="B470" i="5" s="1"/>
  <c r="U469" i="5"/>
  <c r="C469" i="5" s="1"/>
  <c r="B469" i="5" s="1"/>
  <c r="U468" i="5"/>
  <c r="C468" i="5" s="1"/>
  <c r="B468" i="5" s="1"/>
  <c r="U467" i="5"/>
  <c r="C467" i="5" s="1"/>
  <c r="B467" i="5" s="1"/>
  <c r="U466" i="5"/>
  <c r="C466" i="5" s="1"/>
  <c r="B466" i="5" s="1"/>
  <c r="C465" i="5"/>
  <c r="B465" i="5" s="1"/>
  <c r="U465" i="5"/>
  <c r="U464" i="5"/>
  <c r="C464" i="5" s="1"/>
  <c r="B464" i="5" s="1"/>
  <c r="C463" i="5"/>
  <c r="B463" i="5" s="1"/>
  <c r="U463" i="5"/>
  <c r="U462" i="5"/>
  <c r="C462" i="5" s="1"/>
  <c r="B462" i="5" s="1"/>
  <c r="U461" i="5"/>
  <c r="C461" i="5" s="1"/>
  <c r="B461" i="5" s="1"/>
  <c r="U460" i="5"/>
  <c r="C460" i="5" s="1"/>
  <c r="B460" i="5" s="1"/>
  <c r="U459" i="5"/>
  <c r="C459" i="5" s="1"/>
  <c r="B459" i="5" s="1"/>
  <c r="U458" i="5"/>
  <c r="C458" i="5" s="1"/>
  <c r="B458" i="5" s="1"/>
  <c r="C457" i="5"/>
  <c r="B457" i="5" s="1"/>
  <c r="U457" i="5"/>
  <c r="U456" i="5"/>
  <c r="C456" i="5" s="1"/>
  <c r="B456" i="5" s="1"/>
  <c r="C455" i="5"/>
  <c r="B455" i="5" s="1"/>
  <c r="U455" i="5"/>
  <c r="U454" i="5"/>
  <c r="C454" i="5" s="1"/>
  <c r="B454" i="5" s="1"/>
  <c r="U453" i="5"/>
  <c r="C453" i="5" s="1"/>
  <c r="B453" i="5" s="1"/>
  <c r="U452" i="5"/>
  <c r="C452" i="5" s="1"/>
  <c r="B452" i="5" s="1"/>
  <c r="U451" i="5"/>
  <c r="C451" i="5" s="1"/>
  <c r="B451" i="5" s="1"/>
  <c r="U450" i="5"/>
  <c r="C450" i="5" s="1"/>
  <c r="B450" i="5" s="1"/>
  <c r="C449" i="5"/>
  <c r="B449" i="5" s="1"/>
  <c r="U449" i="5"/>
  <c r="U448" i="5"/>
  <c r="C448" i="5" s="1"/>
  <c r="B448" i="5" s="1"/>
  <c r="C447" i="5"/>
  <c r="B447" i="5" s="1"/>
  <c r="U447" i="5"/>
  <c r="U446" i="5"/>
  <c r="C446" i="5" s="1"/>
  <c r="B446" i="5" s="1"/>
  <c r="U445" i="5"/>
  <c r="C445" i="5" s="1"/>
  <c r="B445" i="5" s="1"/>
  <c r="U444" i="5"/>
  <c r="C444" i="5" s="1"/>
  <c r="B444" i="5" s="1"/>
  <c r="U443" i="5"/>
  <c r="C443" i="5" s="1"/>
  <c r="B443" i="5" s="1"/>
  <c r="U442" i="5"/>
  <c r="C442" i="5" s="1"/>
  <c r="B442" i="5" s="1"/>
  <c r="C441" i="5"/>
  <c r="B441" i="5" s="1"/>
  <c r="U441" i="5"/>
  <c r="U440" i="5"/>
  <c r="C440" i="5" s="1"/>
  <c r="B440" i="5" s="1"/>
  <c r="C439" i="5"/>
  <c r="B439" i="5" s="1"/>
  <c r="U439" i="5"/>
  <c r="U438" i="5"/>
  <c r="C438" i="5" s="1"/>
  <c r="B438" i="5" s="1"/>
  <c r="U437" i="5"/>
  <c r="C437" i="5" s="1"/>
  <c r="B437" i="5" s="1"/>
  <c r="U436" i="5"/>
  <c r="C436" i="5" s="1"/>
  <c r="B436" i="5" s="1"/>
  <c r="U435" i="5"/>
  <c r="C435" i="5" s="1"/>
  <c r="B435" i="5" s="1"/>
  <c r="U434" i="5"/>
  <c r="C434" i="5" s="1"/>
  <c r="B434" i="5" s="1"/>
  <c r="C433" i="5"/>
  <c r="B433" i="5" s="1"/>
  <c r="U433" i="5"/>
  <c r="U432" i="5"/>
  <c r="C432" i="5" s="1"/>
  <c r="B432" i="5" s="1"/>
  <c r="C431" i="5"/>
  <c r="B431" i="5" s="1"/>
  <c r="U431" i="5"/>
  <c r="U430" i="5"/>
  <c r="C430" i="5" s="1"/>
  <c r="B430" i="5" s="1"/>
  <c r="U429" i="5"/>
  <c r="C429" i="5" s="1"/>
  <c r="B429" i="5" s="1"/>
  <c r="U428" i="5"/>
  <c r="C428" i="5" s="1"/>
  <c r="B428" i="5" s="1"/>
  <c r="U427" i="5"/>
  <c r="C427" i="5" s="1"/>
  <c r="B427" i="5" s="1"/>
  <c r="U426" i="5"/>
  <c r="C426" i="5" s="1"/>
  <c r="B426" i="5" s="1"/>
  <c r="C425" i="5"/>
  <c r="B425" i="5" s="1"/>
  <c r="U425" i="5"/>
  <c r="U424" i="5"/>
  <c r="C424" i="5" s="1"/>
  <c r="B424" i="5" s="1"/>
  <c r="C423" i="5"/>
  <c r="B423" i="5" s="1"/>
  <c r="U423" i="5"/>
  <c r="U422" i="5"/>
  <c r="C422" i="5" s="1"/>
  <c r="B422" i="5" s="1"/>
  <c r="U421" i="5"/>
  <c r="C421" i="5" s="1"/>
  <c r="B421" i="5" s="1"/>
  <c r="U420" i="5"/>
  <c r="C420" i="5" s="1"/>
  <c r="B420" i="5" s="1"/>
  <c r="U419" i="5"/>
  <c r="C419" i="5" s="1"/>
  <c r="B419" i="5" s="1"/>
  <c r="U418" i="5"/>
  <c r="C418" i="5" s="1"/>
  <c r="B418" i="5" s="1"/>
  <c r="C417" i="5"/>
  <c r="B417" i="5" s="1"/>
  <c r="U417" i="5"/>
  <c r="U416" i="5"/>
  <c r="C416" i="5" s="1"/>
  <c r="B416" i="5" s="1"/>
  <c r="C415" i="5"/>
  <c r="B415" i="5" s="1"/>
  <c r="U415" i="5"/>
  <c r="U414" i="5"/>
  <c r="C414" i="5" s="1"/>
  <c r="B414" i="5" s="1"/>
  <c r="U413" i="5"/>
  <c r="C413" i="5" s="1"/>
  <c r="B413" i="5" s="1"/>
  <c r="U412" i="5"/>
  <c r="C412" i="5" s="1"/>
  <c r="B412" i="5" s="1"/>
  <c r="U411" i="5"/>
  <c r="C411" i="5" s="1"/>
  <c r="B411" i="5" s="1"/>
  <c r="U410" i="5"/>
  <c r="C410" i="5" s="1"/>
  <c r="B410" i="5" s="1"/>
  <c r="C409" i="5"/>
  <c r="B409" i="5" s="1"/>
  <c r="U409" i="5"/>
  <c r="U408" i="5"/>
  <c r="C408" i="5" s="1"/>
  <c r="B408" i="5" s="1"/>
  <c r="C407" i="5"/>
  <c r="B407" i="5" s="1"/>
  <c r="U407" i="5"/>
  <c r="U406" i="5"/>
  <c r="C406" i="5" s="1"/>
  <c r="B406" i="5" s="1"/>
  <c r="U405" i="5"/>
  <c r="C405" i="5" s="1"/>
  <c r="B405" i="5" s="1"/>
  <c r="U404" i="5"/>
  <c r="C404" i="5" s="1"/>
  <c r="B404" i="5" s="1"/>
  <c r="U403" i="5"/>
  <c r="C403" i="5" s="1"/>
  <c r="B403" i="5" s="1"/>
  <c r="U402" i="5"/>
  <c r="C402" i="5" s="1"/>
  <c r="B402" i="5" s="1"/>
  <c r="C401" i="5"/>
  <c r="B401" i="5" s="1"/>
  <c r="U401" i="5"/>
  <c r="U400" i="5"/>
  <c r="C400" i="5" s="1"/>
  <c r="B400" i="5" s="1"/>
  <c r="C399" i="5"/>
  <c r="B399" i="5" s="1"/>
  <c r="U399" i="5"/>
  <c r="U398" i="5"/>
  <c r="C398" i="5" s="1"/>
  <c r="B398" i="5" s="1"/>
  <c r="U397" i="5"/>
  <c r="C397" i="5" s="1"/>
  <c r="B397" i="5" s="1"/>
  <c r="U396" i="5"/>
  <c r="C396" i="5" s="1"/>
  <c r="B396" i="5" s="1"/>
  <c r="U395" i="5"/>
  <c r="C395" i="5" s="1"/>
  <c r="B395" i="5" s="1"/>
  <c r="U394" i="5"/>
  <c r="C394" i="5" s="1"/>
  <c r="B394" i="5" s="1"/>
  <c r="C393" i="5"/>
  <c r="B393" i="5" s="1"/>
  <c r="U393" i="5"/>
  <c r="U392" i="5"/>
  <c r="C392" i="5" s="1"/>
  <c r="B392" i="5" s="1"/>
  <c r="C391" i="5"/>
  <c r="B391" i="5" s="1"/>
  <c r="U391" i="5"/>
  <c r="U390" i="5"/>
  <c r="C390" i="5" s="1"/>
  <c r="B390" i="5" s="1"/>
  <c r="U389" i="5"/>
  <c r="C389" i="5" s="1"/>
  <c r="B389" i="5" s="1"/>
  <c r="U388" i="5"/>
  <c r="C388" i="5" s="1"/>
  <c r="B388" i="5" s="1"/>
  <c r="U387" i="5"/>
  <c r="C387" i="5" s="1"/>
  <c r="B387" i="5" s="1"/>
  <c r="U386" i="5"/>
  <c r="C386" i="5" s="1"/>
  <c r="B386" i="5" s="1"/>
  <c r="C385" i="5"/>
  <c r="B385" i="5" s="1"/>
  <c r="U385" i="5"/>
  <c r="U384" i="5"/>
  <c r="C384" i="5" s="1"/>
  <c r="B384" i="5" s="1"/>
  <c r="C383" i="5"/>
  <c r="B383" i="5" s="1"/>
  <c r="U383" i="5"/>
  <c r="U382" i="5"/>
  <c r="C382" i="5" s="1"/>
  <c r="B382" i="5" s="1"/>
  <c r="U381" i="5"/>
  <c r="C381" i="5" s="1"/>
  <c r="B381" i="5" s="1"/>
  <c r="U380" i="5"/>
  <c r="C380" i="5" s="1"/>
  <c r="B380" i="5" s="1"/>
  <c r="U379" i="5"/>
  <c r="C379" i="5" s="1"/>
  <c r="B379" i="5" s="1"/>
  <c r="U378" i="5"/>
  <c r="C378" i="5" s="1"/>
  <c r="B378" i="5" s="1"/>
  <c r="C377" i="5"/>
  <c r="B377" i="5" s="1"/>
  <c r="U377" i="5"/>
  <c r="U376" i="5"/>
  <c r="C376" i="5" s="1"/>
  <c r="B376" i="5" s="1"/>
  <c r="C375" i="5"/>
  <c r="B375" i="5" s="1"/>
  <c r="U375" i="5"/>
  <c r="U374" i="5"/>
  <c r="C374" i="5" s="1"/>
  <c r="B374" i="5" s="1"/>
  <c r="U373" i="5"/>
  <c r="C373" i="5" s="1"/>
  <c r="B373" i="5" s="1"/>
  <c r="U372" i="5"/>
  <c r="C372" i="5" s="1"/>
  <c r="B372" i="5" s="1"/>
  <c r="U371" i="5"/>
  <c r="C371" i="5" s="1"/>
  <c r="B371" i="5" s="1"/>
  <c r="U370" i="5"/>
  <c r="C370" i="5" s="1"/>
  <c r="B370" i="5" s="1"/>
  <c r="C369" i="5"/>
  <c r="B369" i="5" s="1"/>
  <c r="U369" i="5"/>
  <c r="U368" i="5"/>
  <c r="C368" i="5" s="1"/>
  <c r="B368" i="5" s="1"/>
  <c r="C367" i="5"/>
  <c r="B367" i="5" s="1"/>
  <c r="U367" i="5"/>
  <c r="U366" i="5"/>
  <c r="C366" i="5" s="1"/>
  <c r="B366" i="5" s="1"/>
  <c r="U365" i="5"/>
  <c r="C365" i="5" s="1"/>
  <c r="B365" i="5" s="1"/>
  <c r="U364" i="5"/>
  <c r="C364" i="5" s="1"/>
  <c r="B364" i="5" s="1"/>
  <c r="U363" i="5"/>
  <c r="C363" i="5" s="1"/>
  <c r="B363" i="5" s="1"/>
  <c r="U362" i="5"/>
  <c r="C362" i="5" s="1"/>
  <c r="B362" i="5" s="1"/>
  <c r="C361" i="5"/>
  <c r="B361" i="5" s="1"/>
  <c r="U361" i="5"/>
  <c r="U360" i="5"/>
  <c r="C360" i="5" s="1"/>
  <c r="B360" i="5" s="1"/>
  <c r="C359" i="5"/>
  <c r="B359" i="5" s="1"/>
  <c r="U359" i="5"/>
  <c r="U358" i="5"/>
  <c r="C358" i="5" s="1"/>
  <c r="B358" i="5" s="1"/>
  <c r="U357" i="5"/>
  <c r="C357" i="5" s="1"/>
  <c r="B357" i="5" s="1"/>
  <c r="U356" i="5"/>
  <c r="C356" i="5" s="1"/>
  <c r="B356" i="5" s="1"/>
  <c r="U355" i="5"/>
  <c r="C355" i="5" s="1"/>
  <c r="B355" i="5" s="1"/>
  <c r="U354" i="5"/>
  <c r="C354" i="5" s="1"/>
  <c r="B354" i="5" s="1"/>
  <c r="C353" i="5"/>
  <c r="B353" i="5" s="1"/>
  <c r="U353" i="5"/>
  <c r="U352" i="5"/>
  <c r="C352" i="5" s="1"/>
  <c r="B352" i="5" s="1"/>
  <c r="C351" i="5"/>
  <c r="B351" i="5" s="1"/>
  <c r="U351" i="5"/>
  <c r="U350" i="5"/>
  <c r="C350" i="5" s="1"/>
  <c r="B350" i="5" s="1"/>
  <c r="U349" i="5"/>
  <c r="C349" i="5" s="1"/>
  <c r="B349" i="5" s="1"/>
  <c r="U348" i="5"/>
  <c r="C348" i="5" s="1"/>
  <c r="B348" i="5" s="1"/>
  <c r="U347" i="5"/>
  <c r="C347" i="5" s="1"/>
  <c r="B347" i="5" s="1"/>
  <c r="U346" i="5"/>
  <c r="C346" i="5" s="1"/>
  <c r="B346" i="5" s="1"/>
  <c r="C345" i="5"/>
  <c r="B345" i="5" s="1"/>
  <c r="U345" i="5"/>
  <c r="U344" i="5"/>
  <c r="C344" i="5" s="1"/>
  <c r="B344" i="5" s="1"/>
  <c r="C343" i="5"/>
  <c r="B343" i="5" s="1"/>
  <c r="U343" i="5"/>
  <c r="U342" i="5"/>
  <c r="C342" i="5" s="1"/>
  <c r="B342" i="5" s="1"/>
  <c r="U341" i="5"/>
  <c r="C341" i="5" s="1"/>
  <c r="B341" i="5" s="1"/>
  <c r="U340" i="5"/>
  <c r="C340" i="5" s="1"/>
  <c r="B340" i="5" s="1"/>
  <c r="U339" i="5"/>
  <c r="C339" i="5" s="1"/>
  <c r="B339" i="5" s="1"/>
  <c r="U338" i="5"/>
  <c r="C338" i="5" s="1"/>
  <c r="B338" i="5" s="1"/>
  <c r="C337" i="5"/>
  <c r="B337" i="5" s="1"/>
  <c r="U337" i="5"/>
  <c r="U336" i="5"/>
  <c r="C336" i="5" s="1"/>
  <c r="B336" i="5" s="1"/>
  <c r="C335" i="5"/>
  <c r="B335" i="5" s="1"/>
  <c r="U335" i="5"/>
  <c r="U334" i="5"/>
  <c r="C334" i="5" s="1"/>
  <c r="B334" i="5" s="1"/>
  <c r="U333" i="5"/>
  <c r="C333" i="5" s="1"/>
  <c r="B333" i="5" s="1"/>
  <c r="U332" i="5"/>
  <c r="C332" i="5" s="1"/>
  <c r="B332" i="5" s="1"/>
  <c r="U331" i="5"/>
  <c r="C331" i="5" s="1"/>
  <c r="B331" i="5" s="1"/>
  <c r="U330" i="5"/>
  <c r="C330" i="5" s="1"/>
  <c r="B330" i="5" s="1"/>
  <c r="C329" i="5"/>
  <c r="B329" i="5" s="1"/>
  <c r="U329" i="5"/>
  <c r="U328" i="5"/>
  <c r="C328" i="5" s="1"/>
  <c r="B328" i="5" s="1"/>
  <c r="C327" i="5"/>
  <c r="B327" i="5" s="1"/>
  <c r="U327" i="5"/>
  <c r="U326" i="5"/>
  <c r="C326" i="5" s="1"/>
  <c r="B326" i="5" s="1"/>
  <c r="U325" i="5"/>
  <c r="C325" i="5" s="1"/>
  <c r="B325" i="5" s="1"/>
  <c r="U324" i="5"/>
  <c r="C324" i="5" s="1"/>
  <c r="B324" i="5" s="1"/>
  <c r="U323" i="5"/>
  <c r="C323" i="5" s="1"/>
  <c r="B323" i="5" s="1"/>
  <c r="U322" i="5"/>
  <c r="C322" i="5" s="1"/>
  <c r="B322" i="5" s="1"/>
  <c r="C321" i="5"/>
  <c r="B321" i="5" s="1"/>
  <c r="U321" i="5"/>
  <c r="U320" i="5"/>
  <c r="C320" i="5" s="1"/>
  <c r="B320" i="5" s="1"/>
  <c r="C319" i="5"/>
  <c r="B319" i="5" s="1"/>
  <c r="U319" i="5"/>
  <c r="U318" i="5"/>
  <c r="C318" i="5" s="1"/>
  <c r="B318" i="5" s="1"/>
  <c r="U317" i="5"/>
  <c r="C317" i="5" s="1"/>
  <c r="B317" i="5" s="1"/>
  <c r="U316" i="5"/>
  <c r="C316" i="5" s="1"/>
  <c r="B316" i="5" s="1"/>
  <c r="U315" i="5"/>
  <c r="C315" i="5" s="1"/>
  <c r="B315" i="5" s="1"/>
  <c r="U314" i="5"/>
  <c r="C314" i="5" s="1"/>
  <c r="B314" i="5" s="1"/>
  <c r="C313" i="5"/>
  <c r="B313" i="5" s="1"/>
  <c r="U313" i="5"/>
  <c r="U312" i="5"/>
  <c r="C312" i="5" s="1"/>
  <c r="B312" i="5" s="1"/>
  <c r="C311" i="5"/>
  <c r="B311" i="5" s="1"/>
  <c r="U311" i="5"/>
  <c r="U310" i="5"/>
  <c r="C310" i="5" s="1"/>
  <c r="B310" i="5" s="1"/>
  <c r="U309" i="5"/>
  <c r="C309" i="5" s="1"/>
  <c r="B309" i="5" s="1"/>
  <c r="U308" i="5"/>
  <c r="C308" i="5" s="1"/>
  <c r="B308" i="5" s="1"/>
  <c r="U307" i="5"/>
  <c r="C307" i="5" s="1"/>
  <c r="B307" i="5" s="1"/>
  <c r="U306" i="5"/>
  <c r="C306" i="5" s="1"/>
  <c r="B306" i="5" s="1"/>
  <c r="C305" i="5"/>
  <c r="B305" i="5" s="1"/>
  <c r="U305" i="5"/>
  <c r="U304" i="5"/>
  <c r="C304" i="5" s="1"/>
  <c r="B304" i="5" s="1"/>
  <c r="C303" i="5"/>
  <c r="B303" i="5" s="1"/>
  <c r="U303" i="5"/>
  <c r="U302" i="5"/>
  <c r="C302" i="5" s="1"/>
  <c r="B302" i="5" s="1"/>
  <c r="U301" i="5"/>
  <c r="C301" i="5" s="1"/>
  <c r="B301" i="5" s="1"/>
  <c r="U300" i="5"/>
  <c r="C300" i="5" s="1"/>
  <c r="B300" i="5" s="1"/>
  <c r="U299" i="5"/>
  <c r="C299" i="5" s="1"/>
  <c r="B299" i="5" s="1"/>
  <c r="U298" i="5"/>
  <c r="C298" i="5" s="1"/>
  <c r="B298" i="5" s="1"/>
  <c r="C297" i="5"/>
  <c r="B297" i="5" s="1"/>
  <c r="U297" i="5"/>
  <c r="U296" i="5"/>
  <c r="C296" i="5" s="1"/>
  <c r="B296" i="5" s="1"/>
  <c r="C295" i="5"/>
  <c r="B295" i="5" s="1"/>
  <c r="U295" i="5"/>
  <c r="U294" i="5"/>
  <c r="C294" i="5" s="1"/>
  <c r="B294" i="5" s="1"/>
  <c r="U293" i="5"/>
  <c r="C293" i="5" s="1"/>
  <c r="B293" i="5" s="1"/>
  <c r="U292" i="5"/>
  <c r="C292" i="5" s="1"/>
  <c r="B292" i="5" s="1"/>
  <c r="C291" i="5"/>
  <c r="B291" i="5" s="1"/>
  <c r="U291" i="5"/>
  <c r="U290" i="5"/>
  <c r="C290" i="5" s="1"/>
  <c r="B290" i="5" s="1"/>
  <c r="C289" i="5"/>
  <c r="B289" i="5" s="1"/>
  <c r="U289" i="5"/>
  <c r="U288" i="5"/>
  <c r="C288" i="5" s="1"/>
  <c r="B288" i="5" s="1"/>
  <c r="C287" i="5"/>
  <c r="B287" i="5" s="1"/>
  <c r="U287" i="5"/>
  <c r="U286" i="5"/>
  <c r="C286" i="5" s="1"/>
  <c r="B286" i="5" s="1"/>
  <c r="U285" i="5"/>
  <c r="C285" i="5" s="1"/>
  <c r="B285" i="5" s="1"/>
  <c r="U284" i="5"/>
  <c r="C284" i="5" s="1"/>
  <c r="B284" i="5" s="1"/>
  <c r="U283" i="5"/>
  <c r="C283" i="5" s="1"/>
  <c r="B283" i="5" s="1"/>
  <c r="U282" i="5"/>
  <c r="C282" i="5" s="1"/>
  <c r="B282" i="5" s="1"/>
  <c r="C281" i="5"/>
  <c r="B281" i="5" s="1"/>
  <c r="U281" i="5"/>
  <c r="U280" i="5"/>
  <c r="C280" i="5" s="1"/>
  <c r="B280" i="5" s="1"/>
  <c r="C279" i="5"/>
  <c r="B279" i="5" s="1"/>
  <c r="U279" i="5"/>
  <c r="U278" i="5"/>
  <c r="C278" i="5" s="1"/>
  <c r="B278" i="5" s="1"/>
  <c r="U277" i="5"/>
  <c r="C277" i="5" s="1"/>
  <c r="B277" i="5" s="1"/>
  <c r="U276" i="5"/>
  <c r="C276" i="5" s="1"/>
  <c r="B276" i="5" s="1"/>
  <c r="U275" i="5"/>
  <c r="C275" i="5" s="1"/>
  <c r="B275" i="5" s="1"/>
  <c r="U274" i="5"/>
  <c r="C274" i="5" s="1"/>
  <c r="B274" i="5" s="1"/>
  <c r="C273" i="5"/>
  <c r="B273" i="5" s="1"/>
  <c r="U273" i="5"/>
  <c r="U272" i="5"/>
  <c r="C272" i="5" s="1"/>
  <c r="B272" i="5" s="1"/>
  <c r="C271" i="5"/>
  <c r="B271" i="5" s="1"/>
  <c r="U271" i="5"/>
  <c r="U270" i="5"/>
  <c r="C270" i="5" s="1"/>
  <c r="B270" i="5" s="1"/>
  <c r="U269" i="5"/>
  <c r="C269" i="5" s="1"/>
  <c r="B269" i="5" s="1"/>
  <c r="U268" i="5"/>
  <c r="C268" i="5" s="1"/>
  <c r="B268" i="5" s="1"/>
  <c r="U267" i="5"/>
  <c r="C267" i="5" s="1"/>
  <c r="B267" i="5" s="1"/>
  <c r="U266" i="5"/>
  <c r="C266" i="5" s="1"/>
  <c r="B266" i="5" s="1"/>
  <c r="C265" i="5"/>
  <c r="B265" i="5" s="1"/>
  <c r="U265" i="5"/>
  <c r="U264" i="5"/>
  <c r="C264" i="5" s="1"/>
  <c r="B264" i="5" s="1"/>
  <c r="C263" i="5"/>
  <c r="B263" i="5" s="1"/>
  <c r="U263" i="5"/>
  <c r="U262" i="5"/>
  <c r="C262" i="5" s="1"/>
  <c r="B262" i="5" s="1"/>
  <c r="U261" i="5"/>
  <c r="C261" i="5" s="1"/>
  <c r="B261" i="5" s="1"/>
  <c r="U260" i="5"/>
  <c r="C260" i="5" s="1"/>
  <c r="B260" i="5" s="1"/>
  <c r="U258" i="5"/>
  <c r="C258" i="5" s="1"/>
  <c r="B258" i="5" s="1"/>
  <c r="C257" i="5"/>
  <c r="B257" i="5" s="1"/>
  <c r="U257" i="5"/>
  <c r="U256" i="5"/>
  <c r="C256" i="5" s="1"/>
  <c r="B256" i="5" s="1"/>
  <c r="C255" i="5"/>
  <c r="B255" i="5" s="1"/>
  <c r="U255" i="5"/>
  <c r="U254" i="5"/>
  <c r="C254" i="5" s="1"/>
  <c r="B254" i="5" s="1"/>
  <c r="U253" i="5"/>
  <c r="C253" i="5" s="1"/>
  <c r="B253" i="5" s="1"/>
  <c r="U252" i="5"/>
  <c r="C252" i="5" s="1"/>
  <c r="B252" i="5" s="1"/>
  <c r="U251" i="5"/>
  <c r="C251" i="5" s="1"/>
  <c r="B251" i="5" s="1"/>
  <c r="U250" i="5"/>
  <c r="C250" i="5" s="1"/>
  <c r="B250" i="5" s="1"/>
  <c r="C249" i="5"/>
  <c r="B249" i="5" s="1"/>
  <c r="U249" i="5"/>
  <c r="U248" i="5"/>
  <c r="C248" i="5" s="1"/>
  <c r="B248" i="5" s="1"/>
  <c r="C247" i="5"/>
  <c r="B247" i="5" s="1"/>
  <c r="U247" i="5"/>
  <c r="U246" i="5"/>
  <c r="C246" i="5" s="1"/>
  <c r="B246" i="5" s="1"/>
  <c r="U245" i="5"/>
  <c r="C245" i="5" s="1"/>
  <c r="B245" i="5" s="1"/>
  <c r="U244" i="5"/>
  <c r="C244" i="5" s="1"/>
  <c r="B244" i="5" s="1"/>
  <c r="U242" i="5"/>
  <c r="C242" i="5" s="1"/>
  <c r="B242" i="5" s="1"/>
  <c r="C241" i="5"/>
  <c r="B241" i="5" s="1"/>
  <c r="U241" i="5"/>
  <c r="U240" i="5"/>
  <c r="C240" i="5" s="1"/>
  <c r="B240" i="5" s="1"/>
  <c r="C239" i="5"/>
  <c r="B239" i="5" s="1"/>
  <c r="U239" i="5"/>
  <c r="U238" i="5"/>
  <c r="C238" i="5" s="1"/>
  <c r="B238" i="5" s="1"/>
  <c r="U237" i="5"/>
  <c r="C237" i="5" s="1"/>
  <c r="B237" i="5" s="1"/>
  <c r="U236" i="5"/>
  <c r="C236" i="5" s="1"/>
  <c r="B236" i="5" s="1"/>
  <c r="C235" i="5"/>
  <c r="B235" i="5" s="1"/>
  <c r="U235" i="5"/>
  <c r="U234" i="5"/>
  <c r="C234" i="5" s="1"/>
  <c r="B234" i="5" s="1"/>
  <c r="C233" i="5"/>
  <c r="B233" i="5" s="1"/>
  <c r="U233" i="5"/>
  <c r="U232" i="5"/>
  <c r="C232" i="5" s="1"/>
  <c r="B232" i="5" s="1"/>
  <c r="C231" i="5"/>
  <c r="B231" i="5" s="1"/>
  <c r="U231" i="5"/>
  <c r="U230" i="5"/>
  <c r="C230" i="5" s="1"/>
  <c r="B230" i="5" s="1"/>
  <c r="U229" i="5"/>
  <c r="C229" i="5" s="1"/>
  <c r="B229" i="5" s="1"/>
  <c r="U228" i="5"/>
  <c r="C228" i="5" s="1"/>
  <c r="B228" i="5" s="1"/>
  <c r="U226" i="5"/>
  <c r="C226" i="5" s="1"/>
  <c r="B226" i="5" s="1"/>
  <c r="C225" i="5"/>
  <c r="B225" i="5" s="1"/>
  <c r="U225" i="5"/>
  <c r="U224" i="5"/>
  <c r="C224" i="5" s="1"/>
  <c r="B224" i="5" s="1"/>
  <c r="C223" i="5"/>
  <c r="B223" i="5" s="1"/>
  <c r="U223" i="5"/>
  <c r="U222" i="5"/>
  <c r="C222" i="5" s="1"/>
  <c r="B222" i="5" s="1"/>
  <c r="U221" i="5"/>
  <c r="C221" i="5" s="1"/>
  <c r="B221" i="5" s="1"/>
  <c r="U220" i="5"/>
  <c r="C220" i="5" s="1"/>
  <c r="B220" i="5" s="1"/>
  <c r="C219" i="5"/>
  <c r="B219" i="5" s="1"/>
  <c r="U219" i="5"/>
  <c r="U218" i="5"/>
  <c r="C218" i="5" s="1"/>
  <c r="B218" i="5" s="1"/>
  <c r="C217" i="5"/>
  <c r="B217" i="5" s="1"/>
  <c r="U217" i="5"/>
  <c r="U216" i="5"/>
  <c r="C216" i="5" s="1"/>
  <c r="B216" i="5" s="1"/>
  <c r="C215" i="5"/>
  <c r="B215" i="5" s="1"/>
  <c r="U215" i="5"/>
  <c r="U214" i="5"/>
  <c r="C214" i="5" s="1"/>
  <c r="B214" i="5" s="1"/>
  <c r="U213" i="5"/>
  <c r="C213" i="5" s="1"/>
  <c r="B213" i="5" s="1"/>
  <c r="U212" i="5"/>
  <c r="C212" i="5" s="1"/>
  <c r="B212" i="5" s="1"/>
  <c r="U210" i="5"/>
  <c r="C210" i="5" s="1"/>
  <c r="B210" i="5" s="1"/>
  <c r="C209" i="5"/>
  <c r="B209" i="5" s="1"/>
  <c r="U209" i="5"/>
  <c r="U208" i="5"/>
  <c r="C208" i="5" s="1"/>
  <c r="B208" i="5" s="1"/>
  <c r="C207" i="5"/>
  <c r="B207" i="5" s="1"/>
  <c r="U207" i="5"/>
  <c r="U206" i="5"/>
  <c r="C206" i="5" s="1"/>
  <c r="B206" i="5" s="1"/>
  <c r="U205" i="5"/>
  <c r="C205" i="5" s="1"/>
  <c r="B205" i="5" s="1"/>
  <c r="U204" i="5"/>
  <c r="C204" i="5" s="1"/>
  <c r="B204" i="5" s="1"/>
  <c r="C203" i="5"/>
  <c r="B203" i="5" s="1"/>
  <c r="U203" i="5"/>
  <c r="U202" i="5"/>
  <c r="C202" i="5" s="1"/>
  <c r="B202" i="5" s="1"/>
  <c r="C201" i="5"/>
  <c r="B201" i="5" s="1"/>
  <c r="U201" i="5"/>
  <c r="U200" i="5"/>
  <c r="C200" i="5" s="1"/>
  <c r="B200" i="5" s="1"/>
  <c r="C199" i="5"/>
  <c r="B199" i="5" s="1"/>
  <c r="U199" i="5"/>
  <c r="U198" i="5"/>
  <c r="C198" i="5" s="1"/>
  <c r="B198" i="5" s="1"/>
  <c r="U197" i="5"/>
  <c r="C197" i="5" s="1"/>
  <c r="B197" i="5" s="1"/>
  <c r="C196" i="5"/>
  <c r="B196" i="5" s="1"/>
  <c r="U196" i="5"/>
  <c r="U195" i="5"/>
  <c r="C195" i="5" s="1"/>
  <c r="B195" i="5" s="1"/>
  <c r="C194" i="5"/>
  <c r="B194" i="5" s="1"/>
  <c r="U194" i="5"/>
  <c r="U193" i="5"/>
  <c r="C193" i="5" s="1"/>
  <c r="B193" i="5" s="1"/>
  <c r="C192" i="5"/>
  <c r="B192" i="5" s="1"/>
  <c r="U192" i="5"/>
  <c r="U191" i="5"/>
  <c r="C191" i="5" s="1"/>
  <c r="B191" i="5" s="1"/>
  <c r="C190" i="5"/>
  <c r="B190" i="5" s="1"/>
  <c r="U190" i="5"/>
  <c r="U189" i="5"/>
  <c r="C189" i="5" s="1"/>
  <c r="B189" i="5" s="1"/>
  <c r="C188" i="5"/>
  <c r="B188" i="5" s="1"/>
  <c r="U188" i="5"/>
  <c r="U187" i="5"/>
  <c r="C187" i="5" s="1"/>
  <c r="B187" i="5" s="1"/>
  <c r="C186" i="5"/>
  <c r="B186" i="5" s="1"/>
  <c r="U186" i="5"/>
  <c r="U185" i="5"/>
  <c r="C185" i="5" s="1"/>
  <c r="B185" i="5" s="1"/>
  <c r="C184" i="5"/>
  <c r="B184" i="5" s="1"/>
  <c r="U184" i="5"/>
  <c r="U183" i="5"/>
  <c r="C183" i="5" s="1"/>
  <c r="B183" i="5" s="1"/>
  <c r="C182" i="5"/>
  <c r="B182" i="5" s="1"/>
  <c r="U182" i="5"/>
  <c r="U181" i="5"/>
  <c r="C181" i="5" s="1"/>
  <c r="B181" i="5" s="1"/>
  <c r="C180" i="5"/>
  <c r="B180" i="5" s="1"/>
  <c r="U180" i="5"/>
  <c r="U179" i="5"/>
  <c r="C179" i="5" s="1"/>
  <c r="B179" i="5" s="1"/>
  <c r="C178" i="5"/>
  <c r="B178" i="5" s="1"/>
  <c r="U178" i="5"/>
  <c r="U177" i="5"/>
  <c r="C177" i="5" s="1"/>
  <c r="B177" i="5" s="1"/>
  <c r="C176" i="5"/>
  <c r="B176" i="5" s="1"/>
  <c r="U176" i="5"/>
  <c r="U175" i="5"/>
  <c r="C175" i="5" s="1"/>
  <c r="B175" i="5" s="1"/>
  <c r="C174" i="5"/>
  <c r="B174" i="5" s="1"/>
  <c r="U174" i="5"/>
  <c r="U173" i="5"/>
  <c r="C173" i="5" s="1"/>
  <c r="B173" i="5" s="1"/>
  <c r="C172" i="5"/>
  <c r="B172" i="5" s="1"/>
  <c r="U172" i="5"/>
  <c r="U171" i="5"/>
  <c r="C171" i="5" s="1"/>
  <c r="B171" i="5" s="1"/>
  <c r="C170" i="5"/>
  <c r="B170" i="5" s="1"/>
  <c r="U170" i="5"/>
  <c r="U169" i="5"/>
  <c r="C169" i="5" s="1"/>
  <c r="B169" i="5" s="1"/>
  <c r="C168" i="5"/>
  <c r="B168" i="5" s="1"/>
  <c r="U168" i="5"/>
  <c r="U167" i="5"/>
  <c r="C167" i="5" s="1"/>
  <c r="B167" i="5" s="1"/>
  <c r="C166" i="5"/>
  <c r="B166" i="5" s="1"/>
  <c r="U166" i="5"/>
  <c r="U165" i="5"/>
  <c r="C165" i="5" s="1"/>
  <c r="B165" i="5" s="1"/>
  <c r="C164" i="5"/>
  <c r="B164" i="5" s="1"/>
  <c r="U164" i="5"/>
  <c r="U163" i="5"/>
  <c r="C163" i="5" s="1"/>
  <c r="B163" i="5" s="1"/>
  <c r="C162" i="5"/>
  <c r="B162" i="5" s="1"/>
  <c r="U162" i="5"/>
  <c r="U161" i="5"/>
  <c r="C161" i="5" s="1"/>
  <c r="B161" i="5" s="1"/>
  <c r="C160" i="5"/>
  <c r="B160" i="5" s="1"/>
  <c r="U160" i="5"/>
  <c r="U159" i="5"/>
  <c r="C159" i="5" s="1"/>
  <c r="B159" i="5" s="1"/>
  <c r="C158" i="5"/>
  <c r="B158" i="5" s="1"/>
  <c r="U158" i="5"/>
  <c r="U157" i="5"/>
  <c r="C157" i="5" s="1"/>
  <c r="B157" i="5" s="1"/>
  <c r="C156" i="5"/>
  <c r="B156" i="5" s="1"/>
  <c r="U156" i="5"/>
  <c r="U155" i="5"/>
  <c r="C155" i="5" s="1"/>
  <c r="B155" i="5" s="1"/>
  <c r="U154" i="5"/>
  <c r="C154" i="5" s="1"/>
  <c r="B154" i="5" s="1"/>
  <c r="U153" i="5"/>
  <c r="C153" i="5" s="1"/>
  <c r="B153" i="5" s="1"/>
  <c r="C152" i="5"/>
  <c r="B152" i="5" s="1"/>
  <c r="U152" i="5"/>
  <c r="U151" i="5"/>
  <c r="C151" i="5" s="1"/>
  <c r="B151" i="5" s="1"/>
  <c r="C150" i="5"/>
  <c r="B150" i="5" s="1"/>
  <c r="U150" i="5"/>
  <c r="U149" i="5"/>
  <c r="C149" i="5" s="1"/>
  <c r="B149" i="5" s="1"/>
  <c r="C148" i="5"/>
  <c r="B148" i="5" s="1"/>
  <c r="U148" i="5"/>
  <c r="U146" i="5"/>
  <c r="C146" i="5" s="1"/>
  <c r="B146" i="5" s="1"/>
  <c r="U145" i="5"/>
  <c r="C145" i="5" s="1"/>
  <c r="B145" i="5" s="1"/>
  <c r="U144" i="5"/>
  <c r="C144" i="5" s="1"/>
  <c r="B144" i="5" s="1"/>
  <c r="U143" i="5"/>
  <c r="C143" i="5" s="1"/>
  <c r="B143" i="5" s="1"/>
  <c r="C142" i="5"/>
  <c r="B142" i="5" s="1"/>
  <c r="U142" i="5"/>
  <c r="U141" i="5"/>
  <c r="C141" i="5" s="1"/>
  <c r="B141" i="5" s="1"/>
  <c r="C140" i="5"/>
  <c r="B140" i="5" s="1"/>
  <c r="U140" i="5"/>
  <c r="U139" i="5"/>
  <c r="C139" i="5" s="1"/>
  <c r="B139" i="5" s="1"/>
  <c r="U138" i="5"/>
  <c r="C138" i="5" s="1"/>
  <c r="B138" i="5" s="1"/>
  <c r="U137" i="5"/>
  <c r="C137" i="5" s="1"/>
  <c r="B137" i="5" s="1"/>
  <c r="U136" i="5"/>
  <c r="C136" i="5" s="1"/>
  <c r="B136" i="5" s="1"/>
  <c r="U135" i="5"/>
  <c r="C135" i="5" s="1"/>
  <c r="B135" i="5" s="1"/>
  <c r="C134" i="5"/>
  <c r="B134" i="5" s="1"/>
  <c r="U134" i="5"/>
  <c r="U133" i="5"/>
  <c r="C133" i="5" s="1"/>
  <c r="B133" i="5" s="1"/>
  <c r="C132" i="5"/>
  <c r="B132" i="5" s="1"/>
  <c r="U132" i="5"/>
  <c r="U130" i="5"/>
  <c r="C130" i="5" s="1"/>
  <c r="B130" i="5" s="1"/>
  <c r="U129" i="5"/>
  <c r="C129" i="5" s="1"/>
  <c r="B129" i="5" s="1"/>
  <c r="U128" i="5"/>
  <c r="C128" i="5" s="1"/>
  <c r="B128" i="5" s="1"/>
  <c r="U127" i="5"/>
  <c r="C127" i="5" s="1"/>
  <c r="B127" i="5" s="1"/>
  <c r="C126" i="5"/>
  <c r="B126" i="5" s="1"/>
  <c r="U126" i="5"/>
  <c r="U125" i="5"/>
  <c r="C125" i="5" s="1"/>
  <c r="B125" i="5" s="1"/>
  <c r="C124" i="5"/>
  <c r="B124" i="5" s="1"/>
  <c r="U124" i="5"/>
  <c r="U123" i="5"/>
  <c r="C123" i="5" s="1"/>
  <c r="B123" i="5" s="1"/>
  <c r="U122" i="5"/>
  <c r="C122" i="5" s="1"/>
  <c r="B122" i="5" s="1"/>
  <c r="U121" i="5"/>
  <c r="C121" i="5" s="1"/>
  <c r="B121" i="5" s="1"/>
  <c r="U120" i="5"/>
  <c r="C120" i="5" s="1"/>
  <c r="B120" i="5" s="1"/>
  <c r="U119" i="5"/>
  <c r="C119" i="5" s="1"/>
  <c r="B119" i="5" s="1"/>
  <c r="C118" i="5"/>
  <c r="B118" i="5" s="1"/>
  <c r="U118" i="5"/>
  <c r="U117" i="5"/>
  <c r="C117" i="5" s="1"/>
  <c r="B117" i="5" s="1"/>
  <c r="C116" i="5"/>
  <c r="B116" i="5" s="1"/>
  <c r="U116" i="5"/>
  <c r="U114" i="5"/>
  <c r="C114" i="5" s="1"/>
  <c r="B114" i="5" s="1"/>
  <c r="U113" i="5"/>
  <c r="C113" i="5" s="1"/>
  <c r="B113" i="5" s="1"/>
  <c r="U112" i="5"/>
  <c r="C112" i="5" s="1"/>
  <c r="B112" i="5" s="1"/>
  <c r="U111" i="5"/>
  <c r="C111" i="5" s="1"/>
  <c r="B111" i="5" s="1"/>
  <c r="C110" i="5"/>
  <c r="B110" i="5" s="1"/>
  <c r="U110" i="5"/>
  <c r="U109" i="5"/>
  <c r="C109" i="5" s="1"/>
  <c r="B109" i="5" s="1"/>
  <c r="C108" i="5"/>
  <c r="B108" i="5" s="1"/>
  <c r="U108" i="5"/>
  <c r="U107" i="5"/>
  <c r="C107" i="5" s="1"/>
  <c r="B107" i="5" s="1"/>
  <c r="U106" i="5"/>
  <c r="C106" i="5" s="1"/>
  <c r="B106" i="5" s="1"/>
  <c r="U105" i="5"/>
  <c r="C105" i="5" s="1"/>
  <c r="B105" i="5" s="1"/>
  <c r="U104" i="5"/>
  <c r="C104" i="5" s="1"/>
  <c r="B104" i="5" s="1"/>
  <c r="U103" i="5"/>
  <c r="C103" i="5" s="1"/>
  <c r="B103" i="5" s="1"/>
  <c r="C102" i="5"/>
  <c r="B102" i="5" s="1"/>
  <c r="U102" i="5"/>
  <c r="U101" i="5"/>
  <c r="C101" i="5" s="1"/>
  <c r="B101" i="5" s="1"/>
  <c r="C100" i="5"/>
  <c r="B100" i="5" s="1"/>
  <c r="U100" i="5"/>
  <c r="U98" i="5"/>
  <c r="C98" i="5" s="1"/>
  <c r="B98" i="5" s="1"/>
  <c r="U97" i="5"/>
  <c r="C97" i="5" s="1"/>
  <c r="B97" i="5" s="1"/>
  <c r="U96" i="5"/>
  <c r="C96" i="5" s="1"/>
  <c r="B96" i="5" s="1"/>
  <c r="U95" i="5"/>
  <c r="C95" i="5" s="1"/>
  <c r="B95" i="5" s="1"/>
  <c r="C94" i="5"/>
  <c r="B94" i="5" s="1"/>
  <c r="U94" i="5"/>
  <c r="U93" i="5"/>
  <c r="C93" i="5" s="1"/>
  <c r="B93" i="5" s="1"/>
  <c r="C92" i="5"/>
  <c r="B92" i="5" s="1"/>
  <c r="U92" i="5"/>
  <c r="U91" i="5"/>
  <c r="C91" i="5" s="1"/>
  <c r="B91" i="5" s="1"/>
  <c r="U90" i="5"/>
  <c r="C90" i="5" s="1"/>
  <c r="B90" i="5" s="1"/>
  <c r="U89" i="5"/>
  <c r="C89" i="5" s="1"/>
  <c r="B89" i="5" s="1"/>
  <c r="U88" i="5"/>
  <c r="C88" i="5" s="1"/>
  <c r="B88" i="5" s="1"/>
  <c r="U87" i="5"/>
  <c r="C87" i="5" s="1"/>
  <c r="B87" i="5" s="1"/>
  <c r="C86" i="5"/>
  <c r="B86" i="5" s="1"/>
  <c r="U86" i="5"/>
  <c r="U85" i="5"/>
  <c r="C85" i="5" s="1"/>
  <c r="B85" i="5" s="1"/>
  <c r="C84" i="5"/>
  <c r="B84" i="5" s="1"/>
  <c r="U84" i="5"/>
  <c r="U82" i="5"/>
  <c r="C82" i="5" s="1"/>
  <c r="B82" i="5" s="1"/>
  <c r="U81" i="5"/>
  <c r="C81" i="5" s="1"/>
  <c r="B81" i="5" s="1"/>
  <c r="U80" i="5"/>
  <c r="C80" i="5" s="1"/>
  <c r="B80" i="5" s="1"/>
  <c r="U79" i="5"/>
  <c r="C79" i="5" s="1"/>
  <c r="B79" i="5" s="1"/>
  <c r="C78" i="5"/>
  <c r="B78" i="5" s="1"/>
  <c r="U78" i="5"/>
  <c r="U77" i="5"/>
  <c r="C77" i="5" s="1"/>
  <c r="B77" i="5" s="1"/>
  <c r="C76" i="5"/>
  <c r="B76" i="5" s="1"/>
  <c r="U76" i="5"/>
  <c r="U75" i="5"/>
  <c r="C75" i="5" s="1"/>
  <c r="B75" i="5" s="1"/>
  <c r="U74" i="5"/>
  <c r="C74" i="5" s="1"/>
  <c r="B74" i="5" s="1"/>
  <c r="U73" i="5"/>
  <c r="C73" i="5" s="1"/>
  <c r="B73" i="5" s="1"/>
  <c r="U72" i="5"/>
  <c r="C72" i="5" s="1"/>
  <c r="B72" i="5" s="1"/>
  <c r="U71" i="5"/>
  <c r="C71" i="5" s="1"/>
  <c r="B71" i="5" s="1"/>
  <c r="C70" i="5"/>
  <c r="B70" i="5" s="1"/>
  <c r="U70" i="5"/>
  <c r="U69" i="5"/>
  <c r="C69" i="5" s="1"/>
  <c r="B69" i="5" s="1"/>
  <c r="C68" i="5"/>
  <c r="B68" i="5" s="1"/>
  <c r="U68" i="5"/>
  <c r="U66" i="5"/>
  <c r="C66" i="5" s="1"/>
  <c r="B66" i="5" s="1"/>
  <c r="U65" i="5"/>
  <c r="C65" i="5" s="1"/>
  <c r="B65" i="5" s="1"/>
  <c r="U64" i="5"/>
  <c r="C64" i="5" s="1"/>
  <c r="B64" i="5" s="1"/>
  <c r="U63" i="5"/>
  <c r="C63" i="5" s="1"/>
  <c r="B63" i="5" s="1"/>
  <c r="C62" i="5"/>
  <c r="B62" i="5" s="1"/>
  <c r="U62" i="5"/>
  <c r="U61" i="5"/>
  <c r="C61" i="5" s="1"/>
  <c r="B61" i="5" s="1"/>
  <c r="C60" i="5"/>
  <c r="B60" i="5" s="1"/>
  <c r="U60" i="5"/>
  <c r="T732" i="4"/>
  <c r="C732" i="4" s="1"/>
  <c r="B732" i="4" s="1"/>
  <c r="T728" i="4"/>
  <c r="C728" i="4" s="1"/>
  <c r="B728" i="4" s="1"/>
  <c r="T724" i="4"/>
  <c r="C724" i="4" s="1"/>
  <c r="B724" i="4" s="1"/>
  <c r="T720" i="4"/>
  <c r="C720" i="4" s="1"/>
  <c r="B720" i="4" s="1"/>
  <c r="T716" i="4"/>
  <c r="C716" i="4" s="1"/>
  <c r="B716" i="4" s="1"/>
  <c r="T712" i="4"/>
  <c r="C712" i="4" s="1"/>
  <c r="B712" i="4" s="1"/>
  <c r="T708" i="4"/>
  <c r="C708" i="4" s="1"/>
  <c r="B708" i="4" s="1"/>
  <c r="T704" i="4"/>
  <c r="C704" i="4" s="1"/>
  <c r="B704" i="4" s="1"/>
  <c r="T700" i="4"/>
  <c r="C700" i="4" s="1"/>
  <c r="B700" i="4" s="1"/>
  <c r="T696" i="4"/>
  <c r="C696" i="4" s="1"/>
  <c r="B696" i="4" s="1"/>
  <c r="T692" i="4"/>
  <c r="C692" i="4" s="1"/>
  <c r="B692" i="4" s="1"/>
  <c r="T688" i="4"/>
  <c r="C688" i="4" s="1"/>
  <c r="B688" i="4" s="1"/>
  <c r="T684" i="4"/>
  <c r="C684" i="4" s="1"/>
  <c r="B684" i="4" s="1"/>
  <c r="T680" i="4"/>
  <c r="C680" i="4" s="1"/>
  <c r="B680" i="4" s="1"/>
  <c r="T676" i="4"/>
  <c r="C676" i="4" s="1"/>
  <c r="B676" i="4" s="1"/>
  <c r="T672" i="4"/>
  <c r="C672" i="4" s="1"/>
  <c r="B672" i="4" s="1"/>
  <c r="T668" i="4"/>
  <c r="C668" i="4" s="1"/>
  <c r="B668" i="4" s="1"/>
  <c r="T664" i="4"/>
  <c r="C664" i="4" s="1"/>
  <c r="B664" i="4" s="1"/>
  <c r="T660" i="4"/>
  <c r="C660" i="4" s="1"/>
  <c r="B660" i="4" s="1"/>
  <c r="T656" i="4"/>
  <c r="C656" i="4" s="1"/>
  <c r="B656" i="4" s="1"/>
  <c r="T652" i="4"/>
  <c r="C652" i="4" s="1"/>
  <c r="B652" i="4" s="1"/>
  <c r="T648" i="4"/>
  <c r="C648" i="4" s="1"/>
  <c r="B648" i="4" s="1"/>
  <c r="T644" i="4"/>
  <c r="C644" i="4" s="1"/>
  <c r="B644" i="4" s="1"/>
  <c r="T640" i="4"/>
  <c r="C640" i="4" s="1"/>
  <c r="B640" i="4" s="1"/>
  <c r="T636" i="4"/>
  <c r="C636" i="4" s="1"/>
  <c r="B636" i="4" s="1"/>
  <c r="T632" i="4"/>
  <c r="C632" i="4" s="1"/>
  <c r="B632" i="4" s="1"/>
  <c r="T628" i="4"/>
  <c r="C628" i="4" s="1"/>
  <c r="B628" i="4" s="1"/>
  <c r="T624" i="4"/>
  <c r="C624" i="4" s="1"/>
  <c r="B624" i="4" s="1"/>
  <c r="T620" i="4"/>
  <c r="C620" i="4" s="1"/>
  <c r="B620" i="4" s="1"/>
  <c r="T616" i="4"/>
  <c r="C616" i="4" s="1"/>
  <c r="B616" i="4" s="1"/>
  <c r="T612" i="4"/>
  <c r="C612" i="4" s="1"/>
  <c r="B612" i="4" s="1"/>
  <c r="T608" i="4"/>
  <c r="C608" i="4" s="1"/>
  <c r="B608" i="4" s="1"/>
  <c r="T604" i="4"/>
  <c r="C604" i="4" s="1"/>
  <c r="B604" i="4" s="1"/>
  <c r="T600" i="4"/>
  <c r="C600" i="4" s="1"/>
  <c r="B600" i="4" s="1"/>
  <c r="T596" i="4"/>
  <c r="C596" i="4" s="1"/>
  <c r="B596" i="4" s="1"/>
  <c r="T592" i="4"/>
  <c r="C592" i="4" s="1"/>
  <c r="B592" i="4" s="1"/>
  <c r="T588" i="4"/>
  <c r="C588" i="4" s="1"/>
  <c r="B588" i="4" s="1"/>
  <c r="T584" i="4"/>
  <c r="C584" i="4" s="1"/>
  <c r="B584" i="4" s="1"/>
  <c r="T580" i="4"/>
  <c r="C580" i="4" s="1"/>
  <c r="B580" i="4" s="1"/>
  <c r="T576" i="4"/>
  <c r="C576" i="4" s="1"/>
  <c r="B576" i="4" s="1"/>
  <c r="T572" i="4"/>
  <c r="C572" i="4" s="1"/>
  <c r="B572" i="4" s="1"/>
  <c r="T568" i="4"/>
  <c r="C568" i="4" s="1"/>
  <c r="B568" i="4" s="1"/>
  <c r="T564" i="4"/>
  <c r="C564" i="4" s="1"/>
  <c r="B564" i="4" s="1"/>
  <c r="T560" i="4"/>
  <c r="C560" i="4" s="1"/>
  <c r="B560" i="4" s="1"/>
  <c r="T556" i="4"/>
  <c r="C556" i="4" s="1"/>
  <c r="B556" i="4" s="1"/>
  <c r="T552" i="4"/>
  <c r="C552" i="4" s="1"/>
  <c r="B552" i="4" s="1"/>
  <c r="T548" i="4"/>
  <c r="C548" i="4" s="1"/>
  <c r="B548" i="4" s="1"/>
  <c r="T544" i="4"/>
  <c r="C544" i="4" s="1"/>
  <c r="B544" i="4" s="1"/>
  <c r="L944" i="6"/>
  <c r="S944" i="6" s="1"/>
  <c r="V944" i="6" s="1"/>
  <c r="L936" i="6"/>
  <c r="S936" i="6" s="1"/>
  <c r="V936" i="6" s="1"/>
  <c r="L928" i="6"/>
  <c r="S928" i="6" s="1"/>
  <c r="V928" i="6" s="1"/>
  <c r="L920" i="6"/>
  <c r="S920" i="6" s="1"/>
  <c r="V920" i="6" s="1"/>
  <c r="L912" i="6"/>
  <c r="S912" i="6" s="1"/>
  <c r="V912" i="6" s="1"/>
  <c r="L904" i="6"/>
  <c r="S904" i="6" s="1"/>
  <c r="V904" i="6" s="1"/>
  <c r="L896" i="6"/>
  <c r="S896" i="6" s="1"/>
  <c r="V896" i="6" s="1"/>
  <c r="L888" i="6"/>
  <c r="S888" i="6" s="1"/>
  <c r="V888" i="6" s="1"/>
  <c r="L880" i="6"/>
  <c r="S880" i="6" s="1"/>
  <c r="V880" i="6" s="1"/>
  <c r="L872" i="6"/>
  <c r="S872" i="6" s="1"/>
  <c r="V872" i="6" s="1"/>
  <c r="L864" i="6"/>
  <c r="S864" i="6" s="1"/>
  <c r="V864" i="6" s="1"/>
  <c r="L856" i="6"/>
  <c r="S856" i="6" s="1"/>
  <c r="V856" i="6" s="1"/>
  <c r="L848" i="6"/>
  <c r="S848" i="6" s="1"/>
  <c r="V848" i="6" s="1"/>
  <c r="L840" i="6"/>
  <c r="S840" i="6" s="1"/>
  <c r="V840" i="6" s="1"/>
  <c r="T948" i="6"/>
  <c r="C948" i="6" s="1"/>
  <c r="B948" i="6" s="1"/>
  <c r="T944" i="6"/>
  <c r="C944" i="6" s="1"/>
  <c r="B944" i="6" s="1"/>
  <c r="T940" i="6"/>
  <c r="C940" i="6" s="1"/>
  <c r="B940" i="6" s="1"/>
  <c r="T936" i="6"/>
  <c r="C936" i="6" s="1"/>
  <c r="B936" i="6" s="1"/>
  <c r="T932" i="6"/>
  <c r="C932" i="6" s="1"/>
  <c r="B932" i="6" s="1"/>
  <c r="T928" i="6"/>
  <c r="C928" i="6" s="1"/>
  <c r="B928" i="6" s="1"/>
  <c r="T924" i="6"/>
  <c r="C924" i="6" s="1"/>
  <c r="B924" i="6" s="1"/>
  <c r="T920" i="6"/>
  <c r="C920" i="6" s="1"/>
  <c r="B920" i="6" s="1"/>
  <c r="T916" i="6"/>
  <c r="C916" i="6" s="1"/>
  <c r="B916" i="6" s="1"/>
  <c r="T912" i="6"/>
  <c r="C912" i="6" s="1"/>
  <c r="B912" i="6" s="1"/>
  <c r="T908" i="6"/>
  <c r="C908" i="6" s="1"/>
  <c r="B908" i="6" s="1"/>
  <c r="T904" i="6"/>
  <c r="C904" i="6" s="1"/>
  <c r="B904" i="6" s="1"/>
  <c r="T900" i="6"/>
  <c r="C900" i="6" s="1"/>
  <c r="B900" i="6" s="1"/>
  <c r="T896" i="6"/>
  <c r="C896" i="6" s="1"/>
  <c r="B896" i="6" s="1"/>
  <c r="T892" i="6"/>
  <c r="C892" i="6" s="1"/>
  <c r="B892" i="6" s="1"/>
  <c r="T888" i="6"/>
  <c r="C888" i="6" s="1"/>
  <c r="B888" i="6" s="1"/>
  <c r="T884" i="6"/>
  <c r="C884" i="6" s="1"/>
  <c r="B884" i="6" s="1"/>
  <c r="T880" i="6"/>
  <c r="C880" i="6" s="1"/>
  <c r="B880" i="6" s="1"/>
  <c r="T876" i="6"/>
  <c r="C876" i="6" s="1"/>
  <c r="B876" i="6" s="1"/>
  <c r="T872" i="6"/>
  <c r="C872" i="6" s="1"/>
  <c r="B872" i="6" s="1"/>
  <c r="T868" i="6"/>
  <c r="C868" i="6" s="1"/>
  <c r="B868" i="6" s="1"/>
  <c r="T864" i="6"/>
  <c r="C864" i="6" s="1"/>
  <c r="B864" i="6" s="1"/>
  <c r="T860" i="6"/>
  <c r="C860" i="6" s="1"/>
  <c r="B860" i="6" s="1"/>
  <c r="T856" i="6"/>
  <c r="C856" i="6" s="1"/>
  <c r="B856" i="6" s="1"/>
  <c r="T852" i="6"/>
  <c r="C852" i="6" s="1"/>
  <c r="B852" i="6" s="1"/>
  <c r="T848" i="6"/>
  <c r="C848" i="6" s="1"/>
  <c r="B848" i="6" s="1"/>
  <c r="T844" i="6"/>
  <c r="C844" i="6" s="1"/>
  <c r="B844" i="6" s="1"/>
  <c r="T840" i="6"/>
  <c r="C840" i="6" s="1"/>
  <c r="B840" i="6" s="1"/>
  <c r="T836" i="6"/>
  <c r="C836" i="6" s="1"/>
  <c r="B836" i="6" s="1"/>
  <c r="L598" i="6"/>
  <c r="S598" i="6" s="1"/>
  <c r="V598" i="6" s="1"/>
  <c r="L590" i="6"/>
  <c r="S590" i="6" s="1"/>
  <c r="V590" i="6" s="1"/>
  <c r="L582" i="6"/>
  <c r="S582" i="6" s="1"/>
  <c r="V582" i="6" s="1"/>
  <c r="L574" i="6"/>
  <c r="S574" i="6" s="1"/>
  <c r="V574" i="6" s="1"/>
  <c r="L566" i="6"/>
  <c r="S566" i="6" s="1"/>
  <c r="V566" i="6" s="1"/>
  <c r="L558" i="6"/>
  <c r="S558" i="6" s="1"/>
  <c r="V558" i="6" s="1"/>
  <c r="L550" i="6"/>
  <c r="S550" i="6" s="1"/>
  <c r="V550" i="6" s="1"/>
  <c r="L542" i="6"/>
  <c r="S542" i="6" s="1"/>
  <c r="V542" i="6" s="1"/>
  <c r="L534" i="6"/>
  <c r="S534" i="6" s="1"/>
  <c r="V534" i="6" s="1"/>
  <c r="L526" i="6"/>
  <c r="S526" i="6" s="1"/>
  <c r="V526" i="6" s="1"/>
  <c r="L518" i="6"/>
  <c r="S518" i="6" s="1"/>
  <c r="V518" i="6" s="1"/>
  <c r="L510" i="6"/>
  <c r="S510" i="6" s="1"/>
  <c r="V510" i="6" s="1"/>
  <c r="L502" i="6"/>
  <c r="S502" i="6" s="1"/>
  <c r="V502" i="6" s="1"/>
  <c r="L494" i="6"/>
  <c r="S494" i="6" s="1"/>
  <c r="V494" i="6" s="1"/>
  <c r="T600" i="6"/>
  <c r="C600" i="6" s="1"/>
  <c r="B600" i="6" s="1"/>
  <c r="T596" i="6"/>
  <c r="C596" i="6" s="1"/>
  <c r="B596" i="6" s="1"/>
  <c r="T592" i="6"/>
  <c r="C592" i="6" s="1"/>
  <c r="B592" i="6" s="1"/>
  <c r="T588" i="6"/>
  <c r="C588" i="6" s="1"/>
  <c r="B588" i="6" s="1"/>
  <c r="T584" i="6"/>
  <c r="C584" i="6" s="1"/>
  <c r="B584" i="6" s="1"/>
  <c r="T580" i="6"/>
  <c r="C580" i="6" s="1"/>
  <c r="B580" i="6" s="1"/>
  <c r="T576" i="6"/>
  <c r="C576" i="6" s="1"/>
  <c r="B576" i="6" s="1"/>
  <c r="T572" i="6"/>
  <c r="C572" i="6" s="1"/>
  <c r="B572" i="6" s="1"/>
  <c r="T568" i="6"/>
  <c r="C568" i="6" s="1"/>
  <c r="B568" i="6" s="1"/>
  <c r="T564" i="6"/>
  <c r="C564" i="6" s="1"/>
  <c r="B564" i="6" s="1"/>
  <c r="T560" i="6"/>
  <c r="C560" i="6" s="1"/>
  <c r="B560" i="6" s="1"/>
  <c r="T556" i="6"/>
  <c r="C556" i="6" s="1"/>
  <c r="B556" i="6" s="1"/>
  <c r="T552" i="6"/>
  <c r="C552" i="6" s="1"/>
  <c r="B552" i="6" s="1"/>
  <c r="T548" i="6"/>
  <c r="C548" i="6" s="1"/>
  <c r="B548" i="6" s="1"/>
  <c r="T544" i="6"/>
  <c r="C544" i="6" s="1"/>
  <c r="B544" i="6" s="1"/>
  <c r="T540" i="6"/>
  <c r="C540" i="6" s="1"/>
  <c r="B540" i="6" s="1"/>
  <c r="T536" i="6"/>
  <c r="C536" i="6" s="1"/>
  <c r="B536" i="6" s="1"/>
  <c r="T532" i="6"/>
  <c r="C532" i="6" s="1"/>
  <c r="B532" i="6" s="1"/>
  <c r="T528" i="6"/>
  <c r="C528" i="6" s="1"/>
  <c r="B528" i="6" s="1"/>
  <c r="T524" i="6"/>
  <c r="C524" i="6" s="1"/>
  <c r="B524" i="6" s="1"/>
  <c r="T520" i="6"/>
  <c r="C520" i="6" s="1"/>
  <c r="B520" i="6" s="1"/>
  <c r="T516" i="6"/>
  <c r="C516" i="6" s="1"/>
  <c r="B516" i="6" s="1"/>
  <c r="T512" i="6"/>
  <c r="C512" i="6" s="1"/>
  <c r="B512" i="6" s="1"/>
  <c r="T508" i="6"/>
  <c r="C508" i="6" s="1"/>
  <c r="B508" i="6" s="1"/>
  <c r="T504" i="6"/>
  <c r="C504" i="6" s="1"/>
  <c r="B504" i="6" s="1"/>
  <c r="T500" i="6"/>
  <c r="C500" i="6" s="1"/>
  <c r="B500" i="6" s="1"/>
  <c r="T496" i="6"/>
  <c r="C496" i="6" s="1"/>
  <c r="B496" i="6" s="1"/>
  <c r="T598" i="6"/>
  <c r="C598" i="6" s="1"/>
  <c r="B598" i="6" s="1"/>
  <c r="T594" i="6"/>
  <c r="C594" i="6" s="1"/>
  <c r="B594" i="6" s="1"/>
  <c r="T590" i="6"/>
  <c r="C590" i="6" s="1"/>
  <c r="B590" i="6" s="1"/>
  <c r="T586" i="6"/>
  <c r="C586" i="6" s="1"/>
  <c r="B586" i="6" s="1"/>
  <c r="T582" i="6"/>
  <c r="C582" i="6" s="1"/>
  <c r="B582" i="6" s="1"/>
  <c r="T578" i="6"/>
  <c r="C578" i="6" s="1"/>
  <c r="B578" i="6" s="1"/>
  <c r="T574" i="6"/>
  <c r="C574" i="6" s="1"/>
  <c r="B574" i="6" s="1"/>
  <c r="T570" i="6"/>
  <c r="C570" i="6" s="1"/>
  <c r="B570" i="6" s="1"/>
  <c r="T566" i="6"/>
  <c r="C566" i="6" s="1"/>
  <c r="B566" i="6" s="1"/>
  <c r="T562" i="6"/>
  <c r="C562" i="6" s="1"/>
  <c r="B562" i="6" s="1"/>
  <c r="T558" i="6"/>
  <c r="C558" i="6" s="1"/>
  <c r="B558" i="6" s="1"/>
  <c r="T554" i="6"/>
  <c r="C554" i="6" s="1"/>
  <c r="B554" i="6" s="1"/>
  <c r="T550" i="6"/>
  <c r="C550" i="6" s="1"/>
  <c r="B550" i="6" s="1"/>
  <c r="T546" i="6"/>
  <c r="C546" i="6" s="1"/>
  <c r="B546" i="6" s="1"/>
  <c r="T542" i="6"/>
  <c r="C542" i="6" s="1"/>
  <c r="B542" i="6" s="1"/>
  <c r="T538" i="6"/>
  <c r="C538" i="6" s="1"/>
  <c r="B538" i="6" s="1"/>
  <c r="T534" i="6"/>
  <c r="C534" i="6" s="1"/>
  <c r="B534" i="6" s="1"/>
  <c r="T530" i="6"/>
  <c r="C530" i="6" s="1"/>
  <c r="B530" i="6" s="1"/>
  <c r="T526" i="6"/>
  <c r="C526" i="6" s="1"/>
  <c r="B526" i="6" s="1"/>
  <c r="T522" i="6"/>
  <c r="C522" i="6" s="1"/>
  <c r="B522" i="6" s="1"/>
  <c r="T518" i="6"/>
  <c r="C518" i="6" s="1"/>
  <c r="B518" i="6" s="1"/>
  <c r="T514" i="6"/>
  <c r="C514" i="6" s="1"/>
  <c r="B514" i="6" s="1"/>
  <c r="T510" i="6"/>
  <c r="C510" i="6" s="1"/>
  <c r="B510" i="6" s="1"/>
  <c r="T506" i="6"/>
  <c r="C506" i="6" s="1"/>
  <c r="B506" i="6" s="1"/>
  <c r="T502" i="6"/>
  <c r="C502" i="6" s="1"/>
  <c r="B502" i="6" s="1"/>
  <c r="T498" i="6"/>
  <c r="C498" i="6" s="1"/>
  <c r="B498" i="6" s="1"/>
  <c r="T494" i="6"/>
  <c r="C494" i="6" s="1"/>
  <c r="B494" i="6" s="1"/>
  <c r="L344" i="6"/>
  <c r="S344" i="6" s="1"/>
  <c r="V344" i="6" s="1"/>
  <c r="L336" i="6"/>
  <c r="S336" i="6" s="1"/>
  <c r="V336" i="6" s="1"/>
  <c r="L328" i="6"/>
  <c r="S328" i="6" s="1"/>
  <c r="V328" i="6" s="1"/>
  <c r="L320" i="6"/>
  <c r="S320" i="6" s="1"/>
  <c r="V320" i="6" s="1"/>
  <c r="L312" i="6"/>
  <c r="S312" i="6" s="1"/>
  <c r="V312" i="6" s="1"/>
  <c r="L304" i="6"/>
  <c r="S304" i="6" s="1"/>
  <c r="V304" i="6" s="1"/>
  <c r="L296" i="6"/>
  <c r="S296" i="6" s="1"/>
  <c r="V296" i="6" s="1"/>
  <c r="L288" i="6"/>
  <c r="S288" i="6" s="1"/>
  <c r="V288" i="6" s="1"/>
  <c r="L280" i="6"/>
  <c r="S280" i="6" s="1"/>
  <c r="V280" i="6" s="1"/>
  <c r="L272" i="6"/>
  <c r="S272" i="6" s="1"/>
  <c r="V272" i="6" s="1"/>
  <c r="L264" i="6"/>
  <c r="S264" i="6" s="1"/>
  <c r="V264" i="6" s="1"/>
  <c r="L256" i="6"/>
  <c r="S256" i="6" s="1"/>
  <c r="V256" i="6" s="1"/>
  <c r="L248" i="6"/>
  <c r="S248" i="6" s="1"/>
  <c r="V248" i="6" s="1"/>
  <c r="L240" i="6"/>
  <c r="S240" i="6" s="1"/>
  <c r="V240" i="6" s="1"/>
  <c r="T348" i="6"/>
  <c r="C348" i="6" s="1"/>
  <c r="B348" i="6" s="1"/>
  <c r="T344" i="6"/>
  <c r="C344" i="6" s="1"/>
  <c r="B344" i="6" s="1"/>
  <c r="T340" i="6"/>
  <c r="C340" i="6" s="1"/>
  <c r="B340" i="6" s="1"/>
  <c r="T336" i="6"/>
  <c r="C336" i="6" s="1"/>
  <c r="B336" i="6" s="1"/>
  <c r="T332" i="6"/>
  <c r="C332" i="6" s="1"/>
  <c r="B332" i="6" s="1"/>
  <c r="T328" i="6"/>
  <c r="C328" i="6" s="1"/>
  <c r="B328" i="6" s="1"/>
  <c r="T324" i="6"/>
  <c r="C324" i="6" s="1"/>
  <c r="B324" i="6" s="1"/>
  <c r="T320" i="6"/>
  <c r="C320" i="6" s="1"/>
  <c r="B320" i="6" s="1"/>
  <c r="T316" i="6"/>
  <c r="C316" i="6" s="1"/>
  <c r="B316" i="6" s="1"/>
  <c r="T312" i="6"/>
  <c r="C312" i="6" s="1"/>
  <c r="B312" i="6" s="1"/>
  <c r="T308" i="6"/>
  <c r="C308" i="6" s="1"/>
  <c r="B308" i="6" s="1"/>
  <c r="T304" i="6"/>
  <c r="C304" i="6" s="1"/>
  <c r="B304" i="6" s="1"/>
  <c r="T300" i="6"/>
  <c r="C300" i="6" s="1"/>
  <c r="B300" i="6" s="1"/>
  <c r="T296" i="6"/>
  <c r="C296" i="6" s="1"/>
  <c r="B296" i="6" s="1"/>
  <c r="T292" i="6"/>
  <c r="C292" i="6" s="1"/>
  <c r="B292" i="6" s="1"/>
  <c r="T288" i="6"/>
  <c r="C288" i="6" s="1"/>
  <c r="B288" i="6" s="1"/>
  <c r="T284" i="6"/>
  <c r="C284" i="6" s="1"/>
  <c r="B284" i="6" s="1"/>
  <c r="T280" i="6"/>
  <c r="C280" i="6" s="1"/>
  <c r="B280" i="6" s="1"/>
  <c r="T276" i="6"/>
  <c r="C276" i="6" s="1"/>
  <c r="B276" i="6" s="1"/>
  <c r="T272" i="6"/>
  <c r="C272" i="6" s="1"/>
  <c r="B272" i="6" s="1"/>
  <c r="T268" i="6"/>
  <c r="C268" i="6" s="1"/>
  <c r="B268" i="6" s="1"/>
  <c r="T264" i="6"/>
  <c r="C264" i="6" s="1"/>
  <c r="B264" i="6" s="1"/>
  <c r="T260" i="6"/>
  <c r="C260" i="6" s="1"/>
  <c r="B260" i="6" s="1"/>
  <c r="T256" i="6"/>
  <c r="C256" i="6" s="1"/>
  <c r="B256" i="6" s="1"/>
  <c r="T252" i="6"/>
  <c r="C252" i="6" s="1"/>
  <c r="B252" i="6" s="1"/>
  <c r="T248" i="6"/>
  <c r="C248" i="6" s="1"/>
  <c r="B248" i="6" s="1"/>
  <c r="T244" i="6"/>
  <c r="C244" i="6" s="1"/>
  <c r="B244" i="6" s="1"/>
  <c r="T240" i="6"/>
  <c r="C240" i="6" s="1"/>
  <c r="B240" i="6" s="1"/>
  <c r="T236" i="6"/>
  <c r="C236" i="6" s="1"/>
  <c r="B236" i="6" s="1"/>
  <c r="T230" i="6"/>
  <c r="C230" i="6" s="1"/>
  <c r="B230" i="6" s="1"/>
  <c r="T231" i="6"/>
  <c r="C231" i="6" s="1"/>
  <c r="B231" i="6" s="1"/>
  <c r="T223" i="6"/>
  <c r="C223" i="6" s="1"/>
  <c r="B223" i="6" s="1"/>
  <c r="T215" i="6"/>
  <c r="C215" i="6" s="1"/>
  <c r="B215" i="6" s="1"/>
  <c r="T207" i="6"/>
  <c r="C207" i="6" s="1"/>
  <c r="B207" i="6" s="1"/>
  <c r="T199" i="6"/>
  <c r="C199" i="6" s="1"/>
  <c r="B199" i="6" s="1"/>
  <c r="T191" i="6"/>
  <c r="C191" i="6" s="1"/>
  <c r="B191" i="6" s="1"/>
  <c r="T183" i="6"/>
  <c r="C183" i="6" s="1"/>
  <c r="B183" i="6" s="1"/>
  <c r="T175" i="6"/>
  <c r="C175" i="6" s="1"/>
  <c r="B175" i="6" s="1"/>
  <c r="T167" i="6"/>
  <c r="C167" i="6" s="1"/>
  <c r="B167" i="6" s="1"/>
  <c r="T159" i="6"/>
  <c r="C159" i="6" s="1"/>
  <c r="B159" i="6" s="1"/>
  <c r="T151" i="6"/>
  <c r="C151" i="6" s="1"/>
  <c r="B151" i="6" s="1"/>
  <c r="C143" i="6"/>
  <c r="B143" i="6" s="1"/>
  <c r="T143" i="6"/>
  <c r="T135" i="6"/>
  <c r="C135" i="6" s="1"/>
  <c r="B135" i="6" s="1"/>
  <c r="T127" i="6"/>
  <c r="C127" i="6" s="1"/>
  <c r="B127" i="6" s="1"/>
  <c r="T119" i="6"/>
  <c r="C119" i="6" s="1"/>
  <c r="B119" i="6" s="1"/>
  <c r="C111" i="6"/>
  <c r="B111" i="6" s="1"/>
  <c r="T111" i="6"/>
  <c r="T103" i="6"/>
  <c r="C103" i="6" s="1"/>
  <c r="B103" i="6" s="1"/>
  <c r="T95" i="6"/>
  <c r="C95" i="6" s="1"/>
  <c r="B95" i="6" s="1"/>
  <c r="T87" i="6"/>
  <c r="C87" i="6" s="1"/>
  <c r="B87" i="6" s="1"/>
  <c r="T79" i="6"/>
  <c r="C79" i="6" s="1"/>
  <c r="B79" i="6" s="1"/>
  <c r="T71" i="6"/>
  <c r="C71" i="6" s="1"/>
  <c r="B71" i="6" s="1"/>
  <c r="C63" i="6"/>
  <c r="B63" i="6" s="1"/>
  <c r="T63" i="6"/>
  <c r="T950" i="4"/>
  <c r="C950" i="4" s="1"/>
  <c r="B950" i="4" s="1"/>
  <c r="T946" i="4"/>
  <c r="C946" i="4" s="1"/>
  <c r="B946" i="4" s="1"/>
  <c r="T942" i="4"/>
  <c r="C942" i="4" s="1"/>
  <c r="B942" i="4" s="1"/>
  <c r="T938" i="4"/>
  <c r="C938" i="4" s="1"/>
  <c r="B938" i="4" s="1"/>
  <c r="T934" i="4"/>
  <c r="C934" i="4" s="1"/>
  <c r="B934" i="4" s="1"/>
  <c r="T930" i="4"/>
  <c r="C930" i="4" s="1"/>
  <c r="B930" i="4" s="1"/>
  <c r="T926" i="4"/>
  <c r="C926" i="4" s="1"/>
  <c r="B926" i="4" s="1"/>
  <c r="C922" i="4"/>
  <c r="B922" i="4" s="1"/>
  <c r="T922" i="4"/>
  <c r="T918" i="4"/>
  <c r="C918" i="4" s="1"/>
  <c r="B918" i="4" s="1"/>
  <c r="C914" i="4"/>
  <c r="B914" i="4" s="1"/>
  <c r="T914" i="4"/>
  <c r="T910" i="4"/>
  <c r="C910" i="4" s="1"/>
  <c r="B910" i="4" s="1"/>
  <c r="T906" i="4"/>
  <c r="C906" i="4" s="1"/>
  <c r="B906" i="4" s="1"/>
  <c r="T902" i="4"/>
  <c r="C902" i="4" s="1"/>
  <c r="B902" i="4" s="1"/>
  <c r="T898" i="4"/>
  <c r="C898" i="4" s="1"/>
  <c r="B898" i="4" s="1"/>
  <c r="T894" i="4"/>
  <c r="C894" i="4" s="1"/>
  <c r="B894" i="4" s="1"/>
  <c r="C890" i="4"/>
  <c r="B890" i="4" s="1"/>
  <c r="T890" i="4"/>
  <c r="T886" i="4"/>
  <c r="C886" i="4" s="1"/>
  <c r="B886" i="4" s="1"/>
  <c r="T882" i="4"/>
  <c r="C882" i="4" s="1"/>
  <c r="B882" i="4" s="1"/>
  <c r="T878" i="4"/>
  <c r="C878" i="4" s="1"/>
  <c r="B878" i="4" s="1"/>
  <c r="T874" i="4"/>
  <c r="C874" i="4" s="1"/>
  <c r="B874" i="4" s="1"/>
  <c r="T870" i="4"/>
  <c r="C870" i="4" s="1"/>
  <c r="B870" i="4" s="1"/>
  <c r="C866" i="4"/>
  <c r="B866" i="4" s="1"/>
  <c r="T866" i="4"/>
  <c r="T862" i="4"/>
  <c r="C862" i="4" s="1"/>
  <c r="B862" i="4" s="1"/>
  <c r="T858" i="4"/>
  <c r="C858" i="4" s="1"/>
  <c r="B858" i="4" s="1"/>
  <c r="T854" i="4"/>
  <c r="C854" i="4" s="1"/>
  <c r="B854" i="4" s="1"/>
  <c r="C850" i="4"/>
  <c r="B850" i="4" s="1"/>
  <c r="T850" i="4"/>
  <c r="C846" i="4"/>
  <c r="B846" i="4" s="1"/>
  <c r="T846" i="4"/>
  <c r="C842" i="4"/>
  <c r="B842" i="4" s="1"/>
  <c r="T842" i="4"/>
  <c r="C838" i="4"/>
  <c r="B838" i="4" s="1"/>
  <c r="T838" i="4"/>
  <c r="T952" i="4"/>
  <c r="C952" i="4" s="1"/>
  <c r="B952" i="4" s="1"/>
  <c r="C948" i="4"/>
  <c r="B948" i="4" s="1"/>
  <c r="T948" i="4"/>
  <c r="T944" i="4"/>
  <c r="C944" i="4" s="1"/>
  <c r="B944" i="4" s="1"/>
  <c r="C940" i="4"/>
  <c r="B940" i="4" s="1"/>
  <c r="T940" i="4"/>
  <c r="T936" i="4"/>
  <c r="C936" i="4" s="1"/>
  <c r="B936" i="4" s="1"/>
  <c r="C932" i="4"/>
  <c r="B932" i="4" s="1"/>
  <c r="T932" i="4"/>
  <c r="T928" i="4"/>
  <c r="C928" i="4" s="1"/>
  <c r="B928" i="4" s="1"/>
  <c r="C924" i="4"/>
  <c r="B924" i="4" s="1"/>
  <c r="T924" i="4"/>
  <c r="T920" i="4"/>
  <c r="C920" i="4" s="1"/>
  <c r="B920" i="4" s="1"/>
  <c r="C916" i="4"/>
  <c r="B916" i="4" s="1"/>
  <c r="T916" i="4"/>
  <c r="T912" i="4"/>
  <c r="C912" i="4" s="1"/>
  <c r="B912" i="4" s="1"/>
  <c r="C908" i="4"/>
  <c r="B908" i="4" s="1"/>
  <c r="T908" i="4"/>
  <c r="T904" i="4"/>
  <c r="C904" i="4" s="1"/>
  <c r="B904" i="4" s="1"/>
  <c r="C900" i="4"/>
  <c r="B900" i="4" s="1"/>
  <c r="T900" i="4"/>
  <c r="T896" i="4"/>
  <c r="C896" i="4" s="1"/>
  <c r="B896" i="4" s="1"/>
  <c r="C892" i="4"/>
  <c r="B892" i="4" s="1"/>
  <c r="T892" i="4"/>
  <c r="T888" i="4"/>
  <c r="C888" i="4" s="1"/>
  <c r="B888" i="4" s="1"/>
  <c r="C884" i="4"/>
  <c r="B884" i="4" s="1"/>
  <c r="T884" i="4"/>
  <c r="T880" i="4"/>
  <c r="C880" i="4" s="1"/>
  <c r="B880" i="4" s="1"/>
  <c r="C876" i="4"/>
  <c r="B876" i="4" s="1"/>
  <c r="T876" i="4"/>
  <c r="T872" i="4"/>
  <c r="C872" i="4" s="1"/>
  <c r="B872" i="4" s="1"/>
  <c r="C868" i="4"/>
  <c r="B868" i="4" s="1"/>
  <c r="T868" i="4"/>
  <c r="T864" i="4"/>
  <c r="C864" i="4" s="1"/>
  <c r="B864" i="4" s="1"/>
  <c r="C860" i="4"/>
  <c r="B860" i="4" s="1"/>
  <c r="T860" i="4"/>
  <c r="T856" i="4"/>
  <c r="C856" i="4" s="1"/>
  <c r="B856" i="4" s="1"/>
  <c r="C852" i="4"/>
  <c r="B852" i="4" s="1"/>
  <c r="T852" i="4"/>
  <c r="T848" i="4"/>
  <c r="C848" i="4" s="1"/>
  <c r="B848" i="4" s="1"/>
  <c r="C844" i="4"/>
  <c r="B844" i="4" s="1"/>
  <c r="T844" i="4"/>
  <c r="T840" i="4"/>
  <c r="C840" i="4" s="1"/>
  <c r="B840" i="4" s="1"/>
  <c r="C836" i="4"/>
  <c r="B836" i="4" s="1"/>
  <c r="T836" i="4"/>
  <c r="T730" i="4"/>
  <c r="C730" i="4" s="1"/>
  <c r="B730" i="4" s="1"/>
  <c r="C726" i="4"/>
  <c r="B726" i="4" s="1"/>
  <c r="T726" i="4"/>
  <c r="T722" i="4"/>
  <c r="C722" i="4" s="1"/>
  <c r="B722" i="4" s="1"/>
  <c r="C718" i="4"/>
  <c r="B718" i="4" s="1"/>
  <c r="T718" i="4"/>
  <c r="T714" i="4"/>
  <c r="C714" i="4" s="1"/>
  <c r="B714" i="4" s="1"/>
  <c r="C710" i="4"/>
  <c r="B710" i="4" s="1"/>
  <c r="T710" i="4"/>
  <c r="T706" i="4"/>
  <c r="C706" i="4" s="1"/>
  <c r="B706" i="4" s="1"/>
  <c r="C702" i="4"/>
  <c r="B702" i="4" s="1"/>
  <c r="T702" i="4"/>
  <c r="T698" i="4"/>
  <c r="C698" i="4" s="1"/>
  <c r="B698" i="4" s="1"/>
  <c r="C694" i="4"/>
  <c r="B694" i="4" s="1"/>
  <c r="T694" i="4"/>
  <c r="T690" i="4"/>
  <c r="C690" i="4" s="1"/>
  <c r="B690" i="4" s="1"/>
  <c r="C686" i="4"/>
  <c r="B686" i="4" s="1"/>
  <c r="T686" i="4"/>
  <c r="T682" i="4"/>
  <c r="C682" i="4" s="1"/>
  <c r="B682" i="4" s="1"/>
  <c r="C678" i="4"/>
  <c r="B678" i="4" s="1"/>
  <c r="T678" i="4"/>
  <c r="T674" i="4"/>
  <c r="C674" i="4" s="1"/>
  <c r="B674" i="4" s="1"/>
  <c r="C670" i="4"/>
  <c r="B670" i="4" s="1"/>
  <c r="T670" i="4"/>
  <c r="T666" i="4"/>
  <c r="C666" i="4" s="1"/>
  <c r="B666" i="4" s="1"/>
  <c r="C662" i="4"/>
  <c r="B662" i="4" s="1"/>
  <c r="T662" i="4"/>
  <c r="T658" i="4"/>
  <c r="C658" i="4" s="1"/>
  <c r="B658" i="4" s="1"/>
  <c r="C654" i="4"/>
  <c r="B654" i="4" s="1"/>
  <c r="T654" i="4"/>
  <c r="T650" i="4"/>
  <c r="C650" i="4" s="1"/>
  <c r="B650" i="4" s="1"/>
  <c r="C646" i="4"/>
  <c r="B646" i="4" s="1"/>
  <c r="T646" i="4"/>
  <c r="T642" i="4"/>
  <c r="C642" i="4" s="1"/>
  <c r="B642" i="4" s="1"/>
  <c r="C638" i="4"/>
  <c r="B638" i="4" s="1"/>
  <c r="T638" i="4"/>
  <c r="T634" i="4"/>
  <c r="C634" i="4" s="1"/>
  <c r="B634" i="4" s="1"/>
  <c r="C630" i="4"/>
  <c r="B630" i="4" s="1"/>
  <c r="T630" i="4"/>
  <c r="T626" i="4"/>
  <c r="C626" i="4" s="1"/>
  <c r="B626" i="4" s="1"/>
  <c r="C622" i="4"/>
  <c r="B622" i="4" s="1"/>
  <c r="T622" i="4"/>
  <c r="T618" i="4"/>
  <c r="C618" i="4" s="1"/>
  <c r="B618" i="4" s="1"/>
  <c r="C614" i="4"/>
  <c r="B614" i="4" s="1"/>
  <c r="T614" i="4"/>
  <c r="T610" i="4"/>
  <c r="C610" i="4" s="1"/>
  <c r="B610" i="4" s="1"/>
  <c r="C606" i="4"/>
  <c r="B606" i="4" s="1"/>
  <c r="T606" i="4"/>
  <c r="T602" i="4"/>
  <c r="C602" i="4" s="1"/>
  <c r="B602" i="4" s="1"/>
  <c r="C598" i="4"/>
  <c r="B598" i="4" s="1"/>
  <c r="T598" i="4"/>
  <c r="T594" i="4"/>
  <c r="C594" i="4" s="1"/>
  <c r="B594" i="4" s="1"/>
  <c r="C590" i="4"/>
  <c r="B590" i="4" s="1"/>
  <c r="T590" i="4"/>
  <c r="T586" i="4"/>
  <c r="C586" i="4" s="1"/>
  <c r="B586" i="4" s="1"/>
  <c r="C582" i="4"/>
  <c r="B582" i="4" s="1"/>
  <c r="T582" i="4"/>
  <c r="T578" i="4"/>
  <c r="C578" i="4" s="1"/>
  <c r="B578" i="4" s="1"/>
  <c r="C574" i="4"/>
  <c r="B574" i="4" s="1"/>
  <c r="T574" i="4"/>
  <c r="T570" i="4"/>
  <c r="C570" i="4" s="1"/>
  <c r="B570" i="4" s="1"/>
  <c r="C566" i="4"/>
  <c r="B566" i="4" s="1"/>
  <c r="T566" i="4"/>
  <c r="T562" i="4"/>
  <c r="C562" i="4" s="1"/>
  <c r="B562" i="4" s="1"/>
  <c r="C558" i="4"/>
  <c r="B558" i="4" s="1"/>
  <c r="T558" i="4"/>
  <c r="T554" i="4"/>
  <c r="C554" i="4" s="1"/>
  <c r="B554" i="4" s="1"/>
  <c r="C550" i="4"/>
  <c r="B550" i="4" s="1"/>
  <c r="T550" i="4"/>
  <c r="T546" i="4"/>
  <c r="C546" i="4" s="1"/>
  <c r="B546" i="4" s="1"/>
  <c r="C542" i="4"/>
  <c r="B542" i="4" s="1"/>
  <c r="T542" i="4"/>
  <c r="T950" i="6"/>
  <c r="C950" i="6" s="1"/>
  <c r="B950" i="6" s="1"/>
  <c r="T946" i="6"/>
  <c r="C946" i="6" s="1"/>
  <c r="B946" i="6" s="1"/>
  <c r="C942" i="6"/>
  <c r="B942" i="6" s="1"/>
  <c r="T942" i="6"/>
  <c r="T938" i="6"/>
  <c r="C938" i="6" s="1"/>
  <c r="B938" i="6" s="1"/>
  <c r="C934" i="6"/>
  <c r="B934" i="6" s="1"/>
  <c r="T934" i="6"/>
  <c r="T930" i="6"/>
  <c r="C930" i="6" s="1"/>
  <c r="B930" i="6" s="1"/>
  <c r="T926" i="6"/>
  <c r="C926" i="6" s="1"/>
  <c r="B926" i="6" s="1"/>
  <c r="T922" i="6"/>
  <c r="C922" i="6" s="1"/>
  <c r="B922" i="6" s="1"/>
  <c r="T918" i="6"/>
  <c r="C918" i="6" s="1"/>
  <c r="B918" i="6" s="1"/>
  <c r="T914" i="6"/>
  <c r="C914" i="6" s="1"/>
  <c r="B914" i="6" s="1"/>
  <c r="C910" i="6"/>
  <c r="B910" i="6" s="1"/>
  <c r="T910" i="6"/>
  <c r="T906" i="6"/>
  <c r="C906" i="6" s="1"/>
  <c r="B906" i="6" s="1"/>
  <c r="C902" i="6"/>
  <c r="B902" i="6" s="1"/>
  <c r="T902" i="6"/>
  <c r="T898" i="6"/>
  <c r="C898" i="6" s="1"/>
  <c r="B898" i="6" s="1"/>
  <c r="T894" i="6"/>
  <c r="C894" i="6" s="1"/>
  <c r="B894" i="6" s="1"/>
  <c r="T890" i="6"/>
  <c r="C890" i="6" s="1"/>
  <c r="B890" i="6" s="1"/>
  <c r="T886" i="6"/>
  <c r="C886" i="6" s="1"/>
  <c r="B886" i="6" s="1"/>
  <c r="T882" i="6"/>
  <c r="C882" i="6" s="1"/>
  <c r="B882" i="6" s="1"/>
  <c r="C878" i="6"/>
  <c r="B878" i="6" s="1"/>
  <c r="T878" i="6"/>
  <c r="T874" i="6"/>
  <c r="C874" i="6" s="1"/>
  <c r="B874" i="6" s="1"/>
  <c r="C870" i="6"/>
  <c r="B870" i="6" s="1"/>
  <c r="T870" i="6"/>
  <c r="T866" i="6"/>
  <c r="C866" i="6" s="1"/>
  <c r="B866" i="6" s="1"/>
  <c r="T862" i="6"/>
  <c r="C862" i="6" s="1"/>
  <c r="B862" i="6" s="1"/>
  <c r="T858" i="6"/>
  <c r="C858" i="6" s="1"/>
  <c r="B858" i="6" s="1"/>
  <c r="T854" i="6"/>
  <c r="C854" i="6" s="1"/>
  <c r="B854" i="6" s="1"/>
  <c r="T850" i="6"/>
  <c r="C850" i="6" s="1"/>
  <c r="B850" i="6" s="1"/>
  <c r="C846" i="6"/>
  <c r="B846" i="6" s="1"/>
  <c r="T846" i="6"/>
  <c r="T842" i="6"/>
  <c r="C842" i="6" s="1"/>
  <c r="B842" i="6" s="1"/>
  <c r="C838" i="6"/>
  <c r="B838" i="6" s="1"/>
  <c r="T838" i="6"/>
  <c r="T834" i="6"/>
  <c r="C834" i="6" s="1"/>
  <c r="B834" i="6" s="1"/>
  <c r="T346" i="6"/>
  <c r="C346" i="6" s="1"/>
  <c r="B346" i="6" s="1"/>
  <c r="T342" i="6"/>
  <c r="C342" i="6" s="1"/>
  <c r="B342" i="6" s="1"/>
  <c r="T338" i="6"/>
  <c r="C338" i="6" s="1"/>
  <c r="B338" i="6" s="1"/>
  <c r="T334" i="6"/>
  <c r="C334" i="6" s="1"/>
  <c r="B334" i="6" s="1"/>
  <c r="C330" i="6"/>
  <c r="B330" i="6" s="1"/>
  <c r="T330" i="6"/>
  <c r="T326" i="6"/>
  <c r="C326" i="6" s="1"/>
  <c r="B326" i="6" s="1"/>
  <c r="C322" i="6"/>
  <c r="B322" i="6" s="1"/>
  <c r="T322" i="6"/>
  <c r="T318" i="6"/>
  <c r="C318" i="6" s="1"/>
  <c r="B318" i="6" s="1"/>
  <c r="T314" i="6"/>
  <c r="C314" i="6" s="1"/>
  <c r="B314" i="6" s="1"/>
  <c r="T310" i="6"/>
  <c r="C310" i="6" s="1"/>
  <c r="B310" i="6" s="1"/>
  <c r="T306" i="6"/>
  <c r="C306" i="6" s="1"/>
  <c r="B306" i="6" s="1"/>
  <c r="T302" i="6"/>
  <c r="C302" i="6" s="1"/>
  <c r="B302" i="6" s="1"/>
  <c r="C298" i="6"/>
  <c r="B298" i="6" s="1"/>
  <c r="T298" i="6"/>
  <c r="T294" i="6"/>
  <c r="C294" i="6" s="1"/>
  <c r="B294" i="6" s="1"/>
  <c r="C290" i="6"/>
  <c r="B290" i="6" s="1"/>
  <c r="T290" i="6"/>
  <c r="T286" i="6"/>
  <c r="C286" i="6" s="1"/>
  <c r="B286" i="6" s="1"/>
  <c r="T282" i="6"/>
  <c r="C282" i="6" s="1"/>
  <c r="B282" i="6" s="1"/>
  <c r="T278" i="6"/>
  <c r="C278" i="6" s="1"/>
  <c r="B278" i="6" s="1"/>
  <c r="T274" i="6"/>
  <c r="C274" i="6" s="1"/>
  <c r="B274" i="6" s="1"/>
  <c r="T270" i="6"/>
  <c r="C270" i="6" s="1"/>
  <c r="B270" i="6" s="1"/>
  <c r="C266" i="6"/>
  <c r="B266" i="6" s="1"/>
  <c r="T266" i="6"/>
  <c r="T262" i="6"/>
  <c r="C262" i="6" s="1"/>
  <c r="B262" i="6" s="1"/>
  <c r="C258" i="6"/>
  <c r="B258" i="6" s="1"/>
  <c r="T258" i="6"/>
  <c r="T254" i="6"/>
  <c r="C254" i="6" s="1"/>
  <c r="B254" i="6" s="1"/>
  <c r="T250" i="6"/>
  <c r="C250" i="6" s="1"/>
  <c r="B250" i="6" s="1"/>
  <c r="T246" i="6"/>
  <c r="C246" i="6" s="1"/>
  <c r="B246" i="6" s="1"/>
  <c r="T242" i="6"/>
  <c r="C242" i="6" s="1"/>
  <c r="B242" i="6" s="1"/>
  <c r="T238" i="6"/>
  <c r="C238" i="6" s="1"/>
  <c r="B238" i="6" s="1"/>
  <c r="C234" i="6"/>
  <c r="B234" i="6" s="1"/>
  <c r="T234" i="6"/>
  <c r="T226" i="6"/>
  <c r="C226" i="6" s="1"/>
  <c r="B226" i="6" s="1"/>
  <c r="C218" i="6"/>
  <c r="B218" i="6" s="1"/>
  <c r="T218" i="6"/>
  <c r="T210" i="6"/>
  <c r="C210" i="6" s="1"/>
  <c r="B210" i="6" s="1"/>
  <c r="T202" i="6"/>
  <c r="C202" i="6" s="1"/>
  <c r="B202" i="6" s="1"/>
  <c r="T194" i="6"/>
  <c r="C194" i="6" s="1"/>
  <c r="B194" i="6" s="1"/>
  <c r="T186" i="6"/>
  <c r="C186" i="6" s="1"/>
  <c r="B186" i="6" s="1"/>
  <c r="T178" i="6"/>
  <c r="C178" i="6" s="1"/>
  <c r="B178" i="6" s="1"/>
  <c r="C170" i="6"/>
  <c r="B170" i="6" s="1"/>
  <c r="T170" i="6"/>
  <c r="T162" i="6"/>
  <c r="C162" i="6" s="1"/>
  <c r="B162" i="6" s="1"/>
  <c r="C154" i="6"/>
  <c r="B154" i="6" s="1"/>
  <c r="T154" i="6"/>
  <c r="T146" i="6"/>
  <c r="C146" i="6" s="1"/>
  <c r="B146" i="6" s="1"/>
  <c r="T138" i="6"/>
  <c r="C138" i="6" s="1"/>
  <c r="B138" i="6" s="1"/>
  <c r="T130" i="6"/>
  <c r="C130" i="6" s="1"/>
  <c r="B130" i="6" s="1"/>
  <c r="O18" i="5"/>
  <c r="L18" i="5" s="1"/>
  <c r="T55" i="6"/>
  <c r="C55" i="6" s="1"/>
  <c r="B55" i="6" s="1"/>
  <c r="T53" i="6"/>
  <c r="C53" i="6" s="1"/>
  <c r="B53" i="6" s="1"/>
  <c r="T51" i="6"/>
  <c r="C51" i="6" s="1"/>
  <c r="B51" i="6" s="1"/>
  <c r="T49" i="6"/>
  <c r="C49" i="6" s="1"/>
  <c r="B49" i="6" s="1"/>
  <c r="T47" i="6"/>
  <c r="C47" i="6" s="1"/>
  <c r="B47" i="6" s="1"/>
  <c r="T45" i="6"/>
  <c r="C45" i="6" s="1"/>
  <c r="B45" i="6" s="1"/>
  <c r="R14" i="6"/>
  <c r="R16" i="5"/>
  <c r="U16" i="5" s="1"/>
  <c r="O13" i="5"/>
  <c r="L13" i="5" s="1"/>
  <c r="R10" i="5"/>
  <c r="U10" i="5" s="1"/>
  <c r="O8" i="5"/>
  <c r="L8" i="5" s="1"/>
  <c r="O5" i="5"/>
  <c r="L5" i="5" s="1"/>
  <c r="O11" i="5"/>
  <c r="L11" i="5" s="1"/>
  <c r="R7" i="5"/>
  <c r="U7" i="5" s="1"/>
  <c r="T43" i="6"/>
  <c r="C43" i="6" s="1"/>
  <c r="B43" i="6" s="1"/>
  <c r="T41" i="6"/>
  <c r="T39" i="6"/>
  <c r="T37" i="6"/>
  <c r="T33" i="6"/>
  <c r="T35" i="6"/>
  <c r="C35" i="6" s="1"/>
  <c r="B35" i="6" s="1"/>
  <c r="T31" i="6"/>
  <c r="T29" i="6"/>
  <c r="L23" i="6"/>
  <c r="S23" i="6" s="1"/>
  <c r="V23" i="6" s="1"/>
  <c r="U59" i="5"/>
  <c r="C59" i="5" s="1"/>
  <c r="B59" i="5" s="1"/>
  <c r="U58" i="5"/>
  <c r="C58" i="5" s="1"/>
  <c r="B58" i="5" s="1"/>
  <c r="U57" i="5"/>
  <c r="C57" i="5" s="1"/>
  <c r="B57" i="5" s="1"/>
  <c r="U56" i="5"/>
  <c r="C56" i="5" s="1"/>
  <c r="B56" i="5" s="1"/>
  <c r="U55" i="5"/>
  <c r="C55" i="5" s="1"/>
  <c r="B55" i="5" s="1"/>
  <c r="U54" i="5"/>
  <c r="U53" i="5"/>
  <c r="C53" i="5" s="1"/>
  <c r="B53" i="5" s="1"/>
  <c r="U52" i="5"/>
  <c r="C52" i="5" s="1"/>
  <c r="B52" i="5" s="1"/>
  <c r="U50" i="5"/>
  <c r="C50" i="5" s="1"/>
  <c r="B50" i="5" s="1"/>
  <c r="U49" i="5"/>
  <c r="C49" i="5" s="1"/>
  <c r="B49" i="5" s="1"/>
  <c r="U48" i="5"/>
  <c r="C48" i="5" s="1"/>
  <c r="B48" i="5" s="1"/>
  <c r="U47" i="5"/>
  <c r="U46" i="5"/>
  <c r="U45" i="5"/>
  <c r="U44" i="5"/>
  <c r="U43" i="5"/>
  <c r="U42" i="5"/>
  <c r="U41" i="5"/>
  <c r="U40" i="5"/>
  <c r="U39" i="5"/>
  <c r="U38" i="5"/>
  <c r="U37" i="5"/>
  <c r="U36" i="5"/>
  <c r="U34" i="5"/>
  <c r="U33" i="5"/>
  <c r="U32" i="5"/>
  <c r="U31" i="5"/>
  <c r="U30" i="5"/>
  <c r="U29" i="5"/>
  <c r="U28" i="5"/>
  <c r="U27" i="5"/>
  <c r="U26" i="5"/>
  <c r="L15" i="6"/>
  <c r="S15" i="6" s="1"/>
  <c r="V15" i="6" s="1"/>
  <c r="L19" i="6"/>
  <c r="S19" i="6" s="1"/>
  <c r="V19" i="6" s="1"/>
  <c r="L11" i="6"/>
  <c r="S11" i="6" s="1"/>
  <c r="V11" i="6" s="1"/>
  <c r="U20" i="6"/>
  <c r="U18" i="6"/>
  <c r="R10" i="6"/>
  <c r="U10" i="6" s="1"/>
  <c r="U16" i="6"/>
  <c r="U14" i="6"/>
  <c r="K832" i="6"/>
  <c r="R832" i="6" s="1"/>
  <c r="U832" i="6" s="1"/>
  <c r="L832" i="6"/>
  <c r="S832" i="6" s="1"/>
  <c r="V832" i="6" s="1"/>
  <c r="K830" i="6"/>
  <c r="R830" i="6" s="1"/>
  <c r="U830" i="6" s="1"/>
  <c r="L830" i="6"/>
  <c r="S830" i="6" s="1"/>
  <c r="V830" i="6" s="1"/>
  <c r="K828" i="6"/>
  <c r="R828" i="6" s="1"/>
  <c r="U828" i="6" s="1"/>
  <c r="L828" i="6"/>
  <c r="S828" i="6" s="1"/>
  <c r="V828" i="6" s="1"/>
  <c r="K826" i="6"/>
  <c r="R826" i="6" s="1"/>
  <c r="U826" i="6" s="1"/>
  <c r="L826" i="6"/>
  <c r="S826" i="6" s="1"/>
  <c r="V826" i="6" s="1"/>
  <c r="K824" i="6"/>
  <c r="R824" i="6" s="1"/>
  <c r="U824" i="6" s="1"/>
  <c r="L824" i="6"/>
  <c r="S824" i="6" s="1"/>
  <c r="V824" i="6" s="1"/>
  <c r="K822" i="6"/>
  <c r="R822" i="6" s="1"/>
  <c r="U822" i="6" s="1"/>
  <c r="L822" i="6"/>
  <c r="S822" i="6" s="1"/>
  <c r="V822" i="6" s="1"/>
  <c r="K820" i="6"/>
  <c r="R820" i="6" s="1"/>
  <c r="U820" i="6" s="1"/>
  <c r="L820" i="6"/>
  <c r="S820" i="6" s="1"/>
  <c r="V820" i="6" s="1"/>
  <c r="K818" i="6"/>
  <c r="R818" i="6" s="1"/>
  <c r="U818" i="6" s="1"/>
  <c r="L818" i="6"/>
  <c r="S818" i="6" s="1"/>
  <c r="V818" i="6" s="1"/>
  <c r="K816" i="6"/>
  <c r="R816" i="6" s="1"/>
  <c r="U816" i="6" s="1"/>
  <c r="L816" i="6"/>
  <c r="S816" i="6" s="1"/>
  <c r="V816" i="6" s="1"/>
  <c r="K814" i="6"/>
  <c r="R814" i="6" s="1"/>
  <c r="U814" i="6" s="1"/>
  <c r="L814" i="6"/>
  <c r="S814" i="6" s="1"/>
  <c r="V814" i="6" s="1"/>
  <c r="K812" i="6"/>
  <c r="R812" i="6" s="1"/>
  <c r="U812" i="6" s="1"/>
  <c r="L812" i="6"/>
  <c r="S812" i="6" s="1"/>
  <c r="V812" i="6" s="1"/>
  <c r="K810" i="6"/>
  <c r="R810" i="6" s="1"/>
  <c r="U810" i="6" s="1"/>
  <c r="L810" i="6"/>
  <c r="S810" i="6" s="1"/>
  <c r="V810" i="6" s="1"/>
  <c r="K808" i="6"/>
  <c r="R808" i="6" s="1"/>
  <c r="U808" i="6" s="1"/>
  <c r="L808" i="6"/>
  <c r="S808" i="6" s="1"/>
  <c r="V808" i="6" s="1"/>
  <c r="K806" i="6"/>
  <c r="R806" i="6" s="1"/>
  <c r="U806" i="6" s="1"/>
  <c r="L806" i="6"/>
  <c r="S806" i="6" s="1"/>
  <c r="V806" i="6" s="1"/>
  <c r="K804" i="6"/>
  <c r="R804" i="6" s="1"/>
  <c r="U804" i="6" s="1"/>
  <c r="L804" i="6"/>
  <c r="S804" i="6" s="1"/>
  <c r="V804" i="6" s="1"/>
  <c r="K802" i="6"/>
  <c r="R802" i="6" s="1"/>
  <c r="U802" i="6" s="1"/>
  <c r="L802" i="6"/>
  <c r="S802" i="6" s="1"/>
  <c r="V802" i="6" s="1"/>
  <c r="K800" i="6"/>
  <c r="R800" i="6" s="1"/>
  <c r="U800" i="6" s="1"/>
  <c r="L800" i="6"/>
  <c r="S800" i="6" s="1"/>
  <c r="V800" i="6" s="1"/>
  <c r="K798" i="6"/>
  <c r="R798" i="6" s="1"/>
  <c r="U798" i="6" s="1"/>
  <c r="L798" i="6"/>
  <c r="S798" i="6" s="1"/>
  <c r="V798" i="6" s="1"/>
  <c r="K796" i="6"/>
  <c r="R796" i="6" s="1"/>
  <c r="U796" i="6" s="1"/>
  <c r="L796" i="6"/>
  <c r="S796" i="6" s="1"/>
  <c r="V796" i="6" s="1"/>
  <c r="K794" i="6"/>
  <c r="R794" i="6" s="1"/>
  <c r="U794" i="6" s="1"/>
  <c r="L794" i="6"/>
  <c r="S794" i="6" s="1"/>
  <c r="V794" i="6" s="1"/>
  <c r="K792" i="6"/>
  <c r="R792" i="6" s="1"/>
  <c r="U792" i="6" s="1"/>
  <c r="L792" i="6"/>
  <c r="S792" i="6" s="1"/>
  <c r="V792" i="6" s="1"/>
  <c r="K790" i="6"/>
  <c r="R790" i="6" s="1"/>
  <c r="U790" i="6" s="1"/>
  <c r="L790" i="6"/>
  <c r="S790" i="6" s="1"/>
  <c r="V790" i="6" s="1"/>
  <c r="K788" i="6"/>
  <c r="R788" i="6" s="1"/>
  <c r="U788" i="6" s="1"/>
  <c r="L788" i="6"/>
  <c r="S788" i="6" s="1"/>
  <c r="V788" i="6" s="1"/>
  <c r="K786" i="6"/>
  <c r="R786" i="6" s="1"/>
  <c r="U786" i="6" s="1"/>
  <c r="L786" i="6"/>
  <c r="S786" i="6" s="1"/>
  <c r="V786" i="6" s="1"/>
  <c r="K784" i="6"/>
  <c r="R784" i="6" s="1"/>
  <c r="U784" i="6" s="1"/>
  <c r="L784" i="6"/>
  <c r="S784" i="6" s="1"/>
  <c r="V784" i="6" s="1"/>
  <c r="K782" i="6"/>
  <c r="R782" i="6" s="1"/>
  <c r="U782" i="6" s="1"/>
  <c r="L782" i="6"/>
  <c r="S782" i="6" s="1"/>
  <c r="V782" i="6" s="1"/>
  <c r="K780" i="6"/>
  <c r="R780" i="6" s="1"/>
  <c r="U780" i="6" s="1"/>
  <c r="L780" i="6"/>
  <c r="S780" i="6" s="1"/>
  <c r="V780" i="6" s="1"/>
  <c r="K778" i="6"/>
  <c r="R778" i="6" s="1"/>
  <c r="U778" i="6" s="1"/>
  <c r="L778" i="6"/>
  <c r="S778" i="6" s="1"/>
  <c r="V778" i="6" s="1"/>
  <c r="K776" i="6"/>
  <c r="R776" i="6" s="1"/>
  <c r="U776" i="6" s="1"/>
  <c r="L776" i="6"/>
  <c r="S776" i="6" s="1"/>
  <c r="V776" i="6" s="1"/>
  <c r="K774" i="6"/>
  <c r="R774" i="6" s="1"/>
  <c r="U774" i="6" s="1"/>
  <c r="L774" i="6"/>
  <c r="S774" i="6" s="1"/>
  <c r="V774" i="6" s="1"/>
  <c r="K772" i="6"/>
  <c r="R772" i="6" s="1"/>
  <c r="U772" i="6" s="1"/>
  <c r="L772" i="6"/>
  <c r="S772" i="6" s="1"/>
  <c r="V772" i="6" s="1"/>
  <c r="K770" i="6"/>
  <c r="R770" i="6" s="1"/>
  <c r="U770" i="6" s="1"/>
  <c r="L770" i="6"/>
  <c r="S770" i="6" s="1"/>
  <c r="V770" i="6" s="1"/>
  <c r="K768" i="6"/>
  <c r="R768" i="6" s="1"/>
  <c r="U768" i="6" s="1"/>
  <c r="L768" i="6"/>
  <c r="S768" i="6" s="1"/>
  <c r="V768" i="6" s="1"/>
  <c r="K766" i="6"/>
  <c r="R766" i="6" s="1"/>
  <c r="U766" i="6" s="1"/>
  <c r="L766" i="6"/>
  <c r="S766" i="6" s="1"/>
  <c r="V766" i="6" s="1"/>
  <c r="K764" i="6"/>
  <c r="R764" i="6" s="1"/>
  <c r="U764" i="6" s="1"/>
  <c r="L764" i="6"/>
  <c r="S764" i="6" s="1"/>
  <c r="V764" i="6" s="1"/>
  <c r="K762" i="6"/>
  <c r="R762" i="6" s="1"/>
  <c r="U762" i="6" s="1"/>
  <c r="L762" i="6"/>
  <c r="S762" i="6" s="1"/>
  <c r="V762" i="6" s="1"/>
  <c r="K760" i="6"/>
  <c r="R760" i="6" s="1"/>
  <c r="U760" i="6" s="1"/>
  <c r="L760" i="6"/>
  <c r="S760" i="6" s="1"/>
  <c r="V760" i="6" s="1"/>
  <c r="K758" i="6"/>
  <c r="R758" i="6" s="1"/>
  <c r="U758" i="6" s="1"/>
  <c r="L758" i="6"/>
  <c r="S758" i="6" s="1"/>
  <c r="V758" i="6" s="1"/>
  <c r="K756" i="6"/>
  <c r="R756" i="6" s="1"/>
  <c r="U756" i="6" s="1"/>
  <c r="L756" i="6"/>
  <c r="S756" i="6" s="1"/>
  <c r="V756" i="6" s="1"/>
  <c r="K754" i="6"/>
  <c r="R754" i="6" s="1"/>
  <c r="U754" i="6" s="1"/>
  <c r="L754" i="6"/>
  <c r="S754" i="6" s="1"/>
  <c r="V754" i="6" s="1"/>
  <c r="K752" i="6"/>
  <c r="R752" i="6" s="1"/>
  <c r="U752" i="6" s="1"/>
  <c r="L752" i="6"/>
  <c r="S752" i="6" s="1"/>
  <c r="V752" i="6" s="1"/>
  <c r="K750" i="6"/>
  <c r="R750" i="6" s="1"/>
  <c r="U750" i="6" s="1"/>
  <c r="L750" i="6"/>
  <c r="S750" i="6" s="1"/>
  <c r="V750" i="6" s="1"/>
  <c r="K748" i="6"/>
  <c r="R748" i="6" s="1"/>
  <c r="U748" i="6" s="1"/>
  <c r="L748" i="6"/>
  <c r="S748" i="6" s="1"/>
  <c r="V748" i="6" s="1"/>
  <c r="K746" i="6"/>
  <c r="R746" i="6" s="1"/>
  <c r="U746" i="6" s="1"/>
  <c r="L746" i="6"/>
  <c r="S746" i="6" s="1"/>
  <c r="V746" i="6" s="1"/>
  <c r="K744" i="6"/>
  <c r="R744" i="6" s="1"/>
  <c r="U744" i="6" s="1"/>
  <c r="L744" i="6"/>
  <c r="S744" i="6" s="1"/>
  <c r="V744" i="6" s="1"/>
  <c r="K742" i="6"/>
  <c r="R742" i="6" s="1"/>
  <c r="U742" i="6" s="1"/>
  <c r="L742" i="6"/>
  <c r="S742" i="6" s="1"/>
  <c r="V742" i="6" s="1"/>
  <c r="K740" i="6"/>
  <c r="R740" i="6" s="1"/>
  <c r="U740" i="6" s="1"/>
  <c r="L740" i="6"/>
  <c r="S740" i="6" s="1"/>
  <c r="V740" i="6" s="1"/>
  <c r="K738" i="6"/>
  <c r="R738" i="6" s="1"/>
  <c r="U738" i="6" s="1"/>
  <c r="L738" i="6"/>
  <c r="S738" i="6" s="1"/>
  <c r="V738" i="6" s="1"/>
  <c r="K736" i="6"/>
  <c r="R736" i="6" s="1"/>
  <c r="U736" i="6" s="1"/>
  <c r="L736" i="6"/>
  <c r="S736" i="6" s="1"/>
  <c r="V736" i="6" s="1"/>
  <c r="K734" i="6"/>
  <c r="R734" i="6" s="1"/>
  <c r="U734" i="6" s="1"/>
  <c r="L734" i="6"/>
  <c r="S734" i="6" s="1"/>
  <c r="V734" i="6" s="1"/>
  <c r="K732" i="6"/>
  <c r="R732" i="6" s="1"/>
  <c r="U732" i="6" s="1"/>
  <c r="L732" i="6"/>
  <c r="S732" i="6" s="1"/>
  <c r="V732" i="6" s="1"/>
  <c r="K730" i="6"/>
  <c r="R730" i="6" s="1"/>
  <c r="U730" i="6" s="1"/>
  <c r="L730" i="6"/>
  <c r="S730" i="6" s="1"/>
  <c r="V730" i="6" s="1"/>
  <c r="K728" i="6"/>
  <c r="R728" i="6" s="1"/>
  <c r="U728" i="6" s="1"/>
  <c r="L728" i="6"/>
  <c r="S728" i="6" s="1"/>
  <c r="V728" i="6" s="1"/>
  <c r="K726" i="6"/>
  <c r="R726" i="6" s="1"/>
  <c r="U726" i="6" s="1"/>
  <c r="L726" i="6"/>
  <c r="S726" i="6" s="1"/>
  <c r="V726" i="6" s="1"/>
  <c r="K724" i="6"/>
  <c r="R724" i="6" s="1"/>
  <c r="U724" i="6" s="1"/>
  <c r="L724" i="6"/>
  <c r="S724" i="6" s="1"/>
  <c r="V724" i="6" s="1"/>
  <c r="K722" i="6"/>
  <c r="R722" i="6" s="1"/>
  <c r="U722" i="6" s="1"/>
  <c r="L722" i="6"/>
  <c r="S722" i="6" s="1"/>
  <c r="V722" i="6" s="1"/>
  <c r="K720" i="6"/>
  <c r="R720" i="6" s="1"/>
  <c r="U720" i="6" s="1"/>
  <c r="L720" i="6"/>
  <c r="S720" i="6" s="1"/>
  <c r="V720" i="6" s="1"/>
  <c r="K718" i="6"/>
  <c r="R718" i="6" s="1"/>
  <c r="U718" i="6" s="1"/>
  <c r="L718" i="6"/>
  <c r="S718" i="6" s="1"/>
  <c r="V718" i="6" s="1"/>
  <c r="K716" i="6"/>
  <c r="R716" i="6" s="1"/>
  <c r="U716" i="6" s="1"/>
  <c r="L716" i="6"/>
  <c r="S716" i="6" s="1"/>
  <c r="V716" i="6" s="1"/>
  <c r="K714" i="6"/>
  <c r="R714" i="6" s="1"/>
  <c r="U714" i="6" s="1"/>
  <c r="L714" i="6"/>
  <c r="S714" i="6" s="1"/>
  <c r="V714" i="6" s="1"/>
  <c r="K712" i="6"/>
  <c r="R712" i="6" s="1"/>
  <c r="U712" i="6" s="1"/>
  <c r="L712" i="6"/>
  <c r="S712" i="6" s="1"/>
  <c r="V712" i="6" s="1"/>
  <c r="K710" i="6"/>
  <c r="R710" i="6" s="1"/>
  <c r="U710" i="6" s="1"/>
  <c r="L710" i="6"/>
  <c r="S710" i="6" s="1"/>
  <c r="V710" i="6" s="1"/>
  <c r="K708" i="6"/>
  <c r="R708" i="6" s="1"/>
  <c r="U708" i="6" s="1"/>
  <c r="L708" i="6"/>
  <c r="S708" i="6" s="1"/>
  <c r="V708" i="6" s="1"/>
  <c r="K706" i="6"/>
  <c r="R706" i="6" s="1"/>
  <c r="U706" i="6" s="1"/>
  <c r="L706" i="6"/>
  <c r="S706" i="6" s="1"/>
  <c r="V706" i="6" s="1"/>
  <c r="K704" i="6"/>
  <c r="R704" i="6" s="1"/>
  <c r="U704" i="6" s="1"/>
  <c r="L704" i="6"/>
  <c r="S704" i="6" s="1"/>
  <c r="V704" i="6" s="1"/>
  <c r="K702" i="6"/>
  <c r="R702" i="6" s="1"/>
  <c r="U702" i="6" s="1"/>
  <c r="L702" i="6"/>
  <c r="S702" i="6" s="1"/>
  <c r="V702" i="6" s="1"/>
  <c r="K700" i="6"/>
  <c r="R700" i="6" s="1"/>
  <c r="U700" i="6" s="1"/>
  <c r="L700" i="6"/>
  <c r="S700" i="6" s="1"/>
  <c r="V700" i="6" s="1"/>
  <c r="K698" i="6"/>
  <c r="R698" i="6" s="1"/>
  <c r="U698" i="6" s="1"/>
  <c r="L698" i="6"/>
  <c r="S698" i="6" s="1"/>
  <c r="V698" i="6" s="1"/>
  <c r="K696" i="6"/>
  <c r="R696" i="6" s="1"/>
  <c r="U696" i="6" s="1"/>
  <c r="L696" i="6"/>
  <c r="S696" i="6" s="1"/>
  <c r="V696" i="6" s="1"/>
  <c r="K694" i="6"/>
  <c r="R694" i="6" s="1"/>
  <c r="U694" i="6" s="1"/>
  <c r="L694" i="6"/>
  <c r="S694" i="6" s="1"/>
  <c r="V694" i="6" s="1"/>
  <c r="K692" i="6"/>
  <c r="R692" i="6" s="1"/>
  <c r="U692" i="6" s="1"/>
  <c r="L692" i="6"/>
  <c r="S692" i="6" s="1"/>
  <c r="V692" i="6" s="1"/>
  <c r="K690" i="6"/>
  <c r="R690" i="6" s="1"/>
  <c r="U690" i="6" s="1"/>
  <c r="L690" i="6"/>
  <c r="S690" i="6" s="1"/>
  <c r="V690" i="6" s="1"/>
  <c r="K688" i="6"/>
  <c r="R688" i="6" s="1"/>
  <c r="U688" i="6" s="1"/>
  <c r="L688" i="6"/>
  <c r="S688" i="6" s="1"/>
  <c r="V688" i="6" s="1"/>
  <c r="K686" i="6"/>
  <c r="R686" i="6" s="1"/>
  <c r="U686" i="6" s="1"/>
  <c r="L686" i="6"/>
  <c r="S686" i="6" s="1"/>
  <c r="V686" i="6" s="1"/>
  <c r="K684" i="6"/>
  <c r="R684" i="6" s="1"/>
  <c r="U684" i="6" s="1"/>
  <c r="L684" i="6"/>
  <c r="S684" i="6" s="1"/>
  <c r="V684" i="6" s="1"/>
  <c r="K682" i="6"/>
  <c r="R682" i="6" s="1"/>
  <c r="U682" i="6" s="1"/>
  <c r="L682" i="6"/>
  <c r="S682" i="6" s="1"/>
  <c r="V682" i="6" s="1"/>
  <c r="K680" i="6"/>
  <c r="R680" i="6" s="1"/>
  <c r="U680" i="6" s="1"/>
  <c r="L680" i="6"/>
  <c r="S680" i="6" s="1"/>
  <c r="V680" i="6" s="1"/>
  <c r="K678" i="6"/>
  <c r="R678" i="6" s="1"/>
  <c r="U678" i="6" s="1"/>
  <c r="L678" i="6"/>
  <c r="S678" i="6" s="1"/>
  <c r="V678" i="6" s="1"/>
  <c r="K676" i="6"/>
  <c r="R676" i="6" s="1"/>
  <c r="U676" i="6" s="1"/>
  <c r="L676" i="6"/>
  <c r="S676" i="6" s="1"/>
  <c r="V676" i="6" s="1"/>
  <c r="K674" i="6"/>
  <c r="R674" i="6" s="1"/>
  <c r="U674" i="6" s="1"/>
  <c r="L674" i="6"/>
  <c r="S674" i="6" s="1"/>
  <c r="V674" i="6" s="1"/>
  <c r="K672" i="6"/>
  <c r="R672" i="6" s="1"/>
  <c r="U672" i="6" s="1"/>
  <c r="L672" i="6"/>
  <c r="S672" i="6" s="1"/>
  <c r="V672" i="6" s="1"/>
  <c r="K670" i="6"/>
  <c r="R670" i="6" s="1"/>
  <c r="U670" i="6" s="1"/>
  <c r="L670" i="6"/>
  <c r="S670" i="6" s="1"/>
  <c r="V670" i="6" s="1"/>
  <c r="K668" i="6"/>
  <c r="R668" i="6" s="1"/>
  <c r="U668" i="6" s="1"/>
  <c r="L668" i="6"/>
  <c r="S668" i="6" s="1"/>
  <c r="V668" i="6" s="1"/>
  <c r="K666" i="6"/>
  <c r="R666" i="6" s="1"/>
  <c r="U666" i="6" s="1"/>
  <c r="L666" i="6"/>
  <c r="S666" i="6" s="1"/>
  <c r="V666" i="6" s="1"/>
  <c r="K664" i="6"/>
  <c r="R664" i="6" s="1"/>
  <c r="U664" i="6" s="1"/>
  <c r="L664" i="6"/>
  <c r="S664" i="6" s="1"/>
  <c r="V664" i="6" s="1"/>
  <c r="K222" i="6"/>
  <c r="R222" i="6" s="1"/>
  <c r="U222" i="6" s="1"/>
  <c r="L222" i="6"/>
  <c r="S222" i="6" s="1"/>
  <c r="V222" i="6" s="1"/>
  <c r="K214" i="6"/>
  <c r="R214" i="6" s="1"/>
  <c r="U214" i="6" s="1"/>
  <c r="L214" i="6"/>
  <c r="S214" i="6" s="1"/>
  <c r="V214" i="6" s="1"/>
  <c r="K206" i="6"/>
  <c r="R206" i="6" s="1"/>
  <c r="U206" i="6" s="1"/>
  <c r="L206" i="6"/>
  <c r="S206" i="6" s="1"/>
  <c r="V206" i="6" s="1"/>
  <c r="K198" i="6"/>
  <c r="R198" i="6" s="1"/>
  <c r="U198" i="6" s="1"/>
  <c r="L198" i="6"/>
  <c r="S198" i="6" s="1"/>
  <c r="V198" i="6" s="1"/>
  <c r="K190" i="6"/>
  <c r="R190" i="6" s="1"/>
  <c r="U190" i="6" s="1"/>
  <c r="L190" i="6"/>
  <c r="S190" i="6" s="1"/>
  <c r="V190" i="6" s="1"/>
  <c r="K182" i="6"/>
  <c r="R182" i="6" s="1"/>
  <c r="U182" i="6" s="1"/>
  <c r="L182" i="6"/>
  <c r="S182" i="6" s="1"/>
  <c r="V182" i="6" s="1"/>
  <c r="K174" i="6"/>
  <c r="R174" i="6" s="1"/>
  <c r="U174" i="6" s="1"/>
  <c r="L174" i="6"/>
  <c r="S174" i="6" s="1"/>
  <c r="V174" i="6" s="1"/>
  <c r="K166" i="6"/>
  <c r="R166" i="6" s="1"/>
  <c r="U166" i="6" s="1"/>
  <c r="L166" i="6"/>
  <c r="S166" i="6" s="1"/>
  <c r="V166" i="6" s="1"/>
  <c r="K158" i="6"/>
  <c r="R158" i="6" s="1"/>
  <c r="U158" i="6" s="1"/>
  <c r="L158" i="6"/>
  <c r="S158" i="6" s="1"/>
  <c r="V158" i="6" s="1"/>
  <c r="K150" i="6"/>
  <c r="R150" i="6" s="1"/>
  <c r="U150" i="6" s="1"/>
  <c r="L150" i="6"/>
  <c r="S150" i="6" s="1"/>
  <c r="V150" i="6" s="1"/>
  <c r="K142" i="6"/>
  <c r="R142" i="6" s="1"/>
  <c r="U142" i="6" s="1"/>
  <c r="L142" i="6"/>
  <c r="S142" i="6" s="1"/>
  <c r="V142" i="6" s="1"/>
  <c r="K134" i="6"/>
  <c r="R134" i="6" s="1"/>
  <c r="U134" i="6" s="1"/>
  <c r="L134" i="6"/>
  <c r="S134" i="6" s="1"/>
  <c r="V134" i="6" s="1"/>
  <c r="K122" i="6"/>
  <c r="R122" i="6" s="1"/>
  <c r="U122" i="6" s="1"/>
  <c r="L122" i="6"/>
  <c r="S122" i="6" s="1"/>
  <c r="V122" i="6" s="1"/>
  <c r="K114" i="6"/>
  <c r="R114" i="6" s="1"/>
  <c r="U114" i="6" s="1"/>
  <c r="L114" i="6"/>
  <c r="S114" i="6" s="1"/>
  <c r="V114" i="6" s="1"/>
  <c r="K106" i="6"/>
  <c r="R106" i="6" s="1"/>
  <c r="U106" i="6" s="1"/>
  <c r="L106" i="6"/>
  <c r="S106" i="6" s="1"/>
  <c r="V106" i="6" s="1"/>
  <c r="K98" i="6"/>
  <c r="R98" i="6" s="1"/>
  <c r="U98" i="6" s="1"/>
  <c r="L98" i="6"/>
  <c r="S98" i="6" s="1"/>
  <c r="V98" i="6" s="1"/>
  <c r="K90" i="6"/>
  <c r="R90" i="6" s="1"/>
  <c r="U90" i="6" s="1"/>
  <c r="L90" i="6"/>
  <c r="S90" i="6" s="1"/>
  <c r="V90" i="6" s="1"/>
  <c r="K82" i="6"/>
  <c r="R82" i="6" s="1"/>
  <c r="U82" i="6" s="1"/>
  <c r="L82" i="6"/>
  <c r="S82" i="6" s="1"/>
  <c r="V82" i="6" s="1"/>
  <c r="K74" i="6"/>
  <c r="R74" i="6" s="1"/>
  <c r="U74" i="6" s="1"/>
  <c r="L74" i="6"/>
  <c r="S74" i="6" s="1"/>
  <c r="V74" i="6" s="1"/>
  <c r="K66" i="6"/>
  <c r="R66" i="6" s="1"/>
  <c r="U66" i="6" s="1"/>
  <c r="L66" i="6"/>
  <c r="S66" i="6" s="1"/>
  <c r="V66" i="6" s="1"/>
  <c r="K58" i="6"/>
  <c r="R58" i="6" s="1"/>
  <c r="U58" i="6" s="1"/>
  <c r="L58" i="6"/>
  <c r="S58" i="6" s="1"/>
  <c r="V58" i="6" s="1"/>
  <c r="K50" i="6"/>
  <c r="R50" i="6" s="1"/>
  <c r="U50" i="6" s="1"/>
  <c r="C50" i="6" s="1"/>
  <c r="B50" i="6" s="1"/>
  <c r="L50" i="6"/>
  <c r="S50" i="6" s="1"/>
  <c r="V50" i="6" s="1"/>
  <c r="K42" i="6"/>
  <c r="R42" i="6" s="1"/>
  <c r="U42" i="6" s="1"/>
  <c r="C42" i="6" s="1"/>
  <c r="B42" i="6" s="1"/>
  <c r="L42" i="6"/>
  <c r="S42" i="6" s="1"/>
  <c r="V42" i="6" s="1"/>
  <c r="K34" i="6"/>
  <c r="R34" i="6" s="1"/>
  <c r="U34" i="6" s="1"/>
  <c r="L34" i="6"/>
  <c r="S34" i="6" s="1"/>
  <c r="V34" i="6" s="1"/>
  <c r="K230" i="6"/>
  <c r="R230" i="6" s="1"/>
  <c r="U230" i="6" s="1"/>
  <c r="L230" i="6"/>
  <c r="S230" i="6" s="1"/>
  <c r="V230" i="6" s="1"/>
  <c r="L658" i="6"/>
  <c r="S658" i="6" s="1"/>
  <c r="V658" i="6" s="1"/>
  <c r="L650" i="6"/>
  <c r="S650" i="6" s="1"/>
  <c r="V650" i="6" s="1"/>
  <c r="L642" i="6"/>
  <c r="S642" i="6" s="1"/>
  <c r="V642" i="6" s="1"/>
  <c r="L634" i="6"/>
  <c r="S634" i="6" s="1"/>
  <c r="V634" i="6" s="1"/>
  <c r="L626" i="6"/>
  <c r="S626" i="6" s="1"/>
  <c r="V626" i="6" s="1"/>
  <c r="L618" i="6"/>
  <c r="S618" i="6" s="1"/>
  <c r="V618" i="6" s="1"/>
  <c r="L610" i="6"/>
  <c r="S610" i="6" s="1"/>
  <c r="V610" i="6" s="1"/>
  <c r="L602" i="6"/>
  <c r="S602" i="6" s="1"/>
  <c r="V602" i="6" s="1"/>
  <c r="K662" i="6"/>
  <c r="R662" i="6" s="1"/>
  <c r="U662" i="6" s="1"/>
  <c r="L662" i="6"/>
  <c r="S662" i="6" s="1"/>
  <c r="V662" i="6" s="1"/>
  <c r="L838" i="6"/>
  <c r="S838" i="6" s="1"/>
  <c r="V838" i="6" s="1"/>
  <c r="L654" i="6"/>
  <c r="S654" i="6" s="1"/>
  <c r="V654" i="6" s="1"/>
  <c r="L646" i="6"/>
  <c r="S646" i="6" s="1"/>
  <c r="V646" i="6" s="1"/>
  <c r="L638" i="6"/>
  <c r="S638" i="6" s="1"/>
  <c r="V638" i="6" s="1"/>
  <c r="L630" i="6"/>
  <c r="S630" i="6" s="1"/>
  <c r="V630" i="6" s="1"/>
  <c r="L622" i="6"/>
  <c r="S622" i="6" s="1"/>
  <c r="V622" i="6" s="1"/>
  <c r="L614" i="6"/>
  <c r="S614" i="6" s="1"/>
  <c r="V614" i="6" s="1"/>
  <c r="L606" i="6"/>
  <c r="S606" i="6" s="1"/>
  <c r="V606" i="6" s="1"/>
  <c r="L660" i="6"/>
  <c r="S660" i="6" s="1"/>
  <c r="V660" i="6" s="1"/>
  <c r="L652" i="6"/>
  <c r="S652" i="6" s="1"/>
  <c r="V652" i="6" s="1"/>
  <c r="L644" i="6"/>
  <c r="S644" i="6" s="1"/>
  <c r="V644" i="6" s="1"/>
  <c r="L636" i="6"/>
  <c r="S636" i="6" s="1"/>
  <c r="V636" i="6" s="1"/>
  <c r="L628" i="6"/>
  <c r="S628" i="6" s="1"/>
  <c r="V628" i="6" s="1"/>
  <c r="L620" i="6"/>
  <c r="S620" i="6" s="1"/>
  <c r="V620" i="6" s="1"/>
  <c r="L612" i="6"/>
  <c r="S612" i="6" s="1"/>
  <c r="V612" i="6" s="1"/>
  <c r="L604" i="6"/>
  <c r="S604" i="6" s="1"/>
  <c r="V604" i="6" s="1"/>
  <c r="L596" i="6"/>
  <c r="S596" i="6" s="1"/>
  <c r="V596" i="6" s="1"/>
  <c r="L588" i="6"/>
  <c r="S588" i="6" s="1"/>
  <c r="V588" i="6" s="1"/>
  <c r="L580" i="6"/>
  <c r="S580" i="6" s="1"/>
  <c r="V580" i="6" s="1"/>
  <c r="L572" i="6"/>
  <c r="S572" i="6" s="1"/>
  <c r="V572" i="6" s="1"/>
  <c r="L564" i="6"/>
  <c r="S564" i="6" s="1"/>
  <c r="V564" i="6" s="1"/>
  <c r="L556" i="6"/>
  <c r="S556" i="6" s="1"/>
  <c r="V556" i="6" s="1"/>
  <c r="L548" i="6"/>
  <c r="S548" i="6" s="1"/>
  <c r="V548" i="6" s="1"/>
  <c r="L540" i="6"/>
  <c r="S540" i="6" s="1"/>
  <c r="V540" i="6" s="1"/>
  <c r="L532" i="6"/>
  <c r="S532" i="6" s="1"/>
  <c r="V532" i="6" s="1"/>
  <c r="L524" i="6"/>
  <c r="S524" i="6" s="1"/>
  <c r="V524" i="6" s="1"/>
  <c r="L516" i="6"/>
  <c r="S516" i="6" s="1"/>
  <c r="V516" i="6" s="1"/>
  <c r="L508" i="6"/>
  <c r="S508" i="6" s="1"/>
  <c r="V508" i="6" s="1"/>
  <c r="L500" i="6"/>
  <c r="S500" i="6" s="1"/>
  <c r="V500" i="6" s="1"/>
  <c r="L492" i="6"/>
  <c r="S492" i="6" s="1"/>
  <c r="V492" i="6" s="1"/>
  <c r="L484" i="6"/>
  <c r="S484" i="6" s="1"/>
  <c r="V484" i="6" s="1"/>
  <c r="L476" i="6"/>
  <c r="S476" i="6" s="1"/>
  <c r="V476" i="6" s="1"/>
  <c r="L468" i="6"/>
  <c r="S468" i="6" s="1"/>
  <c r="V468" i="6" s="1"/>
  <c r="L460" i="6"/>
  <c r="S460" i="6" s="1"/>
  <c r="V460" i="6" s="1"/>
  <c r="L452" i="6"/>
  <c r="S452" i="6" s="1"/>
  <c r="V452" i="6" s="1"/>
  <c r="L444" i="6"/>
  <c r="S444" i="6" s="1"/>
  <c r="V444" i="6" s="1"/>
  <c r="L436" i="6"/>
  <c r="S436" i="6" s="1"/>
  <c r="V436" i="6" s="1"/>
  <c r="L428" i="6"/>
  <c r="S428" i="6" s="1"/>
  <c r="V428" i="6" s="1"/>
  <c r="L420" i="6"/>
  <c r="S420" i="6" s="1"/>
  <c r="V420" i="6" s="1"/>
  <c r="L412" i="6"/>
  <c r="S412" i="6" s="1"/>
  <c r="V412" i="6" s="1"/>
  <c r="L404" i="6"/>
  <c r="S404" i="6" s="1"/>
  <c r="V404" i="6" s="1"/>
  <c r="L396" i="6"/>
  <c r="S396" i="6" s="1"/>
  <c r="V396" i="6" s="1"/>
  <c r="L388" i="6"/>
  <c r="S388" i="6" s="1"/>
  <c r="V388" i="6" s="1"/>
  <c r="L380" i="6"/>
  <c r="S380" i="6" s="1"/>
  <c r="V380" i="6" s="1"/>
  <c r="L372" i="6"/>
  <c r="S372" i="6" s="1"/>
  <c r="V372" i="6" s="1"/>
  <c r="L364" i="6"/>
  <c r="S364" i="6" s="1"/>
  <c r="V364" i="6" s="1"/>
  <c r="L356" i="6"/>
  <c r="S356" i="6" s="1"/>
  <c r="V356" i="6" s="1"/>
  <c r="L486" i="6"/>
  <c r="S486" i="6" s="1"/>
  <c r="V486" i="6" s="1"/>
  <c r="L478" i="6"/>
  <c r="S478" i="6" s="1"/>
  <c r="V478" i="6" s="1"/>
  <c r="L470" i="6"/>
  <c r="S470" i="6" s="1"/>
  <c r="V470" i="6" s="1"/>
  <c r="L462" i="6"/>
  <c r="S462" i="6" s="1"/>
  <c r="V462" i="6" s="1"/>
  <c r="L454" i="6"/>
  <c r="S454" i="6" s="1"/>
  <c r="V454" i="6" s="1"/>
  <c r="L446" i="6"/>
  <c r="S446" i="6" s="1"/>
  <c r="V446" i="6" s="1"/>
  <c r="L438" i="6"/>
  <c r="S438" i="6" s="1"/>
  <c r="V438" i="6" s="1"/>
  <c r="L430" i="6"/>
  <c r="S430" i="6" s="1"/>
  <c r="V430" i="6" s="1"/>
  <c r="L422" i="6"/>
  <c r="S422" i="6" s="1"/>
  <c r="V422" i="6" s="1"/>
  <c r="L414" i="6"/>
  <c r="S414" i="6" s="1"/>
  <c r="V414" i="6" s="1"/>
  <c r="L406" i="6"/>
  <c r="S406" i="6" s="1"/>
  <c r="V406" i="6" s="1"/>
  <c r="L398" i="6"/>
  <c r="S398" i="6" s="1"/>
  <c r="V398" i="6" s="1"/>
  <c r="L390" i="6"/>
  <c r="S390" i="6" s="1"/>
  <c r="V390" i="6" s="1"/>
  <c r="L382" i="6"/>
  <c r="S382" i="6" s="1"/>
  <c r="V382" i="6" s="1"/>
  <c r="L374" i="6"/>
  <c r="S374" i="6" s="1"/>
  <c r="V374" i="6" s="1"/>
  <c r="L366" i="6"/>
  <c r="S366" i="6" s="1"/>
  <c r="V366" i="6" s="1"/>
  <c r="L358" i="6"/>
  <c r="S358" i="6" s="1"/>
  <c r="V358" i="6" s="1"/>
  <c r="L350" i="6"/>
  <c r="S350" i="6" s="1"/>
  <c r="V350" i="6" s="1"/>
  <c r="L342" i="6"/>
  <c r="S342" i="6" s="1"/>
  <c r="V342" i="6" s="1"/>
  <c r="L334" i="6"/>
  <c r="S334" i="6" s="1"/>
  <c r="V334" i="6" s="1"/>
  <c r="L326" i="6"/>
  <c r="S326" i="6" s="1"/>
  <c r="V326" i="6" s="1"/>
  <c r="L318" i="6"/>
  <c r="S318" i="6" s="1"/>
  <c r="V318" i="6" s="1"/>
  <c r="L310" i="6"/>
  <c r="S310" i="6" s="1"/>
  <c r="V310" i="6" s="1"/>
  <c r="L302" i="6"/>
  <c r="S302" i="6" s="1"/>
  <c r="V302" i="6" s="1"/>
  <c r="L294" i="6"/>
  <c r="S294" i="6" s="1"/>
  <c r="V294" i="6" s="1"/>
  <c r="L286" i="6"/>
  <c r="S286" i="6" s="1"/>
  <c r="V286" i="6" s="1"/>
  <c r="L278" i="6"/>
  <c r="S278" i="6" s="1"/>
  <c r="V278" i="6" s="1"/>
  <c r="L270" i="6"/>
  <c r="S270" i="6" s="1"/>
  <c r="V270" i="6" s="1"/>
  <c r="L262" i="6"/>
  <c r="S262" i="6" s="1"/>
  <c r="V262" i="6" s="1"/>
  <c r="L254" i="6"/>
  <c r="S254" i="6" s="1"/>
  <c r="V254" i="6" s="1"/>
  <c r="L246" i="6"/>
  <c r="S246" i="6" s="1"/>
  <c r="V246" i="6" s="1"/>
  <c r="L238" i="6"/>
  <c r="S238" i="6" s="1"/>
  <c r="V238" i="6" s="1"/>
  <c r="L226" i="6"/>
  <c r="S226" i="6" s="1"/>
  <c r="V226" i="6" s="1"/>
  <c r="L210" i="6"/>
  <c r="S210" i="6" s="1"/>
  <c r="V210" i="6" s="1"/>
  <c r="L194" i="6"/>
  <c r="S194" i="6" s="1"/>
  <c r="V194" i="6" s="1"/>
  <c r="L178" i="6"/>
  <c r="S178" i="6" s="1"/>
  <c r="V178" i="6" s="1"/>
  <c r="L162" i="6"/>
  <c r="S162" i="6" s="1"/>
  <c r="V162" i="6" s="1"/>
  <c r="L146" i="6"/>
  <c r="S146" i="6" s="1"/>
  <c r="V146" i="6" s="1"/>
  <c r="L130" i="6"/>
  <c r="S130" i="6" s="1"/>
  <c r="V130" i="6" s="1"/>
  <c r="L126" i="6"/>
  <c r="S126" i="6" s="1"/>
  <c r="V126" i="6" s="1"/>
  <c r="L110" i="6"/>
  <c r="S110" i="6" s="1"/>
  <c r="V110" i="6" s="1"/>
  <c r="L94" i="6"/>
  <c r="S94" i="6" s="1"/>
  <c r="V94" i="6" s="1"/>
  <c r="L78" i="6"/>
  <c r="S78" i="6" s="1"/>
  <c r="V78" i="6" s="1"/>
  <c r="L62" i="6"/>
  <c r="S62" i="6" s="1"/>
  <c r="V62" i="6" s="1"/>
  <c r="L46" i="6"/>
  <c r="S46" i="6" s="1"/>
  <c r="V46" i="6" s="1"/>
  <c r="C46" i="6" s="1"/>
  <c r="B46" i="6" s="1"/>
  <c r="L30" i="6"/>
  <c r="S30" i="6" s="1"/>
  <c r="V30" i="6" s="1"/>
  <c r="C30" i="6" s="1"/>
  <c r="B30" i="6" s="1"/>
  <c r="R231" i="6"/>
  <c r="U231" i="6" s="1"/>
  <c r="R223" i="6"/>
  <c r="U223" i="6" s="1"/>
  <c r="R215" i="6"/>
  <c r="U215" i="6" s="1"/>
  <c r="R207" i="6"/>
  <c r="U207" i="6" s="1"/>
  <c r="R199" i="6"/>
  <c r="U199" i="6" s="1"/>
  <c r="R191" i="6"/>
  <c r="U191" i="6" s="1"/>
  <c r="R183" i="6"/>
  <c r="U183" i="6" s="1"/>
  <c r="R175" i="6"/>
  <c r="U175" i="6" s="1"/>
  <c r="R167" i="6"/>
  <c r="U167" i="6" s="1"/>
  <c r="R159" i="6"/>
  <c r="U159" i="6" s="1"/>
  <c r="R151" i="6"/>
  <c r="U151" i="6" s="1"/>
  <c r="R143" i="6"/>
  <c r="U143" i="6" s="1"/>
  <c r="R135" i="6"/>
  <c r="U135" i="6" s="1"/>
  <c r="R127" i="6"/>
  <c r="U127" i="6" s="1"/>
  <c r="R119" i="6"/>
  <c r="U119" i="6" s="1"/>
  <c r="R111" i="6"/>
  <c r="U111" i="6" s="1"/>
  <c r="R103" i="6"/>
  <c r="U103" i="6" s="1"/>
  <c r="R95" i="6"/>
  <c r="U95" i="6" s="1"/>
  <c r="R87" i="6"/>
  <c r="U87" i="6" s="1"/>
  <c r="R79" i="6"/>
  <c r="U79" i="6" s="1"/>
  <c r="R71" i="6"/>
  <c r="U71" i="6" s="1"/>
  <c r="R63" i="6"/>
  <c r="U63" i="6" s="1"/>
  <c r="R55" i="6"/>
  <c r="U55" i="6" s="1"/>
  <c r="R47" i="6"/>
  <c r="U47" i="6" s="1"/>
  <c r="R39" i="6"/>
  <c r="U39" i="6" s="1"/>
  <c r="R31" i="6"/>
  <c r="U31" i="6" s="1"/>
  <c r="R15" i="6"/>
  <c r="U15" i="6" s="1"/>
  <c r="L846" i="6"/>
  <c r="S846" i="6" s="1"/>
  <c r="V846" i="6" s="1"/>
  <c r="L1004" i="6"/>
  <c r="S1004" i="6" s="1"/>
  <c r="V1004" i="6" s="1"/>
  <c r="L656" i="6"/>
  <c r="S656" i="6" s="1"/>
  <c r="V656" i="6" s="1"/>
  <c r="L648" i="6"/>
  <c r="S648" i="6" s="1"/>
  <c r="V648" i="6" s="1"/>
  <c r="L640" i="6"/>
  <c r="S640" i="6" s="1"/>
  <c r="V640" i="6" s="1"/>
  <c r="L632" i="6"/>
  <c r="S632" i="6" s="1"/>
  <c r="V632" i="6" s="1"/>
  <c r="L624" i="6"/>
  <c r="S624" i="6" s="1"/>
  <c r="V624" i="6" s="1"/>
  <c r="L616" i="6"/>
  <c r="S616" i="6" s="1"/>
  <c r="V616" i="6" s="1"/>
  <c r="L608" i="6"/>
  <c r="S608" i="6" s="1"/>
  <c r="V608" i="6" s="1"/>
  <c r="L600" i="6"/>
  <c r="S600" i="6" s="1"/>
  <c r="V600" i="6" s="1"/>
  <c r="L592" i="6"/>
  <c r="S592" i="6" s="1"/>
  <c r="V592" i="6" s="1"/>
  <c r="L584" i="6"/>
  <c r="S584" i="6" s="1"/>
  <c r="V584" i="6" s="1"/>
  <c r="L576" i="6"/>
  <c r="S576" i="6" s="1"/>
  <c r="V576" i="6" s="1"/>
  <c r="L568" i="6"/>
  <c r="S568" i="6" s="1"/>
  <c r="V568" i="6" s="1"/>
  <c r="L560" i="6"/>
  <c r="S560" i="6" s="1"/>
  <c r="V560" i="6" s="1"/>
  <c r="L552" i="6"/>
  <c r="S552" i="6" s="1"/>
  <c r="V552" i="6" s="1"/>
  <c r="L544" i="6"/>
  <c r="S544" i="6" s="1"/>
  <c r="V544" i="6" s="1"/>
  <c r="L536" i="6"/>
  <c r="S536" i="6" s="1"/>
  <c r="V536" i="6" s="1"/>
  <c r="L528" i="6"/>
  <c r="S528" i="6" s="1"/>
  <c r="V528" i="6" s="1"/>
  <c r="L520" i="6"/>
  <c r="S520" i="6" s="1"/>
  <c r="V520" i="6" s="1"/>
  <c r="L512" i="6"/>
  <c r="S512" i="6" s="1"/>
  <c r="V512" i="6" s="1"/>
  <c r="L504" i="6"/>
  <c r="S504" i="6" s="1"/>
  <c r="V504" i="6" s="1"/>
  <c r="L496" i="6"/>
  <c r="S496" i="6" s="1"/>
  <c r="V496" i="6" s="1"/>
  <c r="L488" i="6"/>
  <c r="S488" i="6" s="1"/>
  <c r="V488" i="6" s="1"/>
  <c r="L480" i="6"/>
  <c r="S480" i="6" s="1"/>
  <c r="V480" i="6" s="1"/>
  <c r="L472" i="6"/>
  <c r="S472" i="6" s="1"/>
  <c r="V472" i="6" s="1"/>
  <c r="L464" i="6"/>
  <c r="S464" i="6" s="1"/>
  <c r="V464" i="6" s="1"/>
  <c r="L456" i="6"/>
  <c r="S456" i="6" s="1"/>
  <c r="V456" i="6" s="1"/>
  <c r="L448" i="6"/>
  <c r="S448" i="6" s="1"/>
  <c r="V448" i="6" s="1"/>
  <c r="L440" i="6"/>
  <c r="S440" i="6" s="1"/>
  <c r="V440" i="6" s="1"/>
  <c r="L432" i="6"/>
  <c r="S432" i="6" s="1"/>
  <c r="V432" i="6" s="1"/>
  <c r="L424" i="6"/>
  <c r="S424" i="6" s="1"/>
  <c r="V424" i="6" s="1"/>
  <c r="L416" i="6"/>
  <c r="S416" i="6" s="1"/>
  <c r="V416" i="6" s="1"/>
  <c r="L408" i="6"/>
  <c r="S408" i="6" s="1"/>
  <c r="V408" i="6" s="1"/>
  <c r="L400" i="6"/>
  <c r="S400" i="6" s="1"/>
  <c r="V400" i="6" s="1"/>
  <c r="L392" i="6"/>
  <c r="S392" i="6" s="1"/>
  <c r="V392" i="6" s="1"/>
  <c r="L384" i="6"/>
  <c r="S384" i="6" s="1"/>
  <c r="V384" i="6" s="1"/>
  <c r="L376" i="6"/>
  <c r="S376" i="6" s="1"/>
  <c r="V376" i="6" s="1"/>
  <c r="L368" i="6"/>
  <c r="S368" i="6" s="1"/>
  <c r="V368" i="6" s="1"/>
  <c r="L360" i="6"/>
  <c r="S360" i="6" s="1"/>
  <c r="V360" i="6" s="1"/>
  <c r="L352" i="6"/>
  <c r="S352" i="6" s="1"/>
  <c r="V352" i="6" s="1"/>
  <c r="L490" i="6"/>
  <c r="S490" i="6" s="1"/>
  <c r="V490" i="6" s="1"/>
  <c r="L482" i="6"/>
  <c r="S482" i="6" s="1"/>
  <c r="V482" i="6" s="1"/>
  <c r="L474" i="6"/>
  <c r="S474" i="6" s="1"/>
  <c r="V474" i="6" s="1"/>
  <c r="L466" i="6"/>
  <c r="S466" i="6" s="1"/>
  <c r="V466" i="6" s="1"/>
  <c r="L458" i="6"/>
  <c r="S458" i="6" s="1"/>
  <c r="V458" i="6" s="1"/>
  <c r="L450" i="6"/>
  <c r="S450" i="6" s="1"/>
  <c r="V450" i="6" s="1"/>
  <c r="L442" i="6"/>
  <c r="S442" i="6" s="1"/>
  <c r="V442" i="6" s="1"/>
  <c r="L434" i="6"/>
  <c r="S434" i="6" s="1"/>
  <c r="V434" i="6" s="1"/>
  <c r="L426" i="6"/>
  <c r="S426" i="6" s="1"/>
  <c r="V426" i="6" s="1"/>
  <c r="L418" i="6"/>
  <c r="S418" i="6" s="1"/>
  <c r="V418" i="6" s="1"/>
  <c r="L410" i="6"/>
  <c r="S410" i="6" s="1"/>
  <c r="V410" i="6" s="1"/>
  <c r="L402" i="6"/>
  <c r="S402" i="6" s="1"/>
  <c r="V402" i="6" s="1"/>
  <c r="L394" i="6"/>
  <c r="S394" i="6" s="1"/>
  <c r="V394" i="6" s="1"/>
  <c r="L386" i="6"/>
  <c r="S386" i="6" s="1"/>
  <c r="V386" i="6" s="1"/>
  <c r="L378" i="6"/>
  <c r="S378" i="6" s="1"/>
  <c r="V378" i="6" s="1"/>
  <c r="L370" i="6"/>
  <c r="S370" i="6" s="1"/>
  <c r="V370" i="6" s="1"/>
  <c r="L362" i="6"/>
  <c r="S362" i="6" s="1"/>
  <c r="V362" i="6" s="1"/>
  <c r="L354" i="6"/>
  <c r="S354" i="6" s="1"/>
  <c r="V354" i="6" s="1"/>
  <c r="L346" i="6"/>
  <c r="S346" i="6" s="1"/>
  <c r="V346" i="6" s="1"/>
  <c r="L338" i="6"/>
  <c r="S338" i="6" s="1"/>
  <c r="V338" i="6" s="1"/>
  <c r="L330" i="6"/>
  <c r="S330" i="6" s="1"/>
  <c r="V330" i="6" s="1"/>
  <c r="L322" i="6"/>
  <c r="S322" i="6" s="1"/>
  <c r="V322" i="6" s="1"/>
  <c r="L314" i="6"/>
  <c r="S314" i="6" s="1"/>
  <c r="V314" i="6" s="1"/>
  <c r="L306" i="6"/>
  <c r="S306" i="6" s="1"/>
  <c r="V306" i="6" s="1"/>
  <c r="L298" i="6"/>
  <c r="S298" i="6" s="1"/>
  <c r="V298" i="6" s="1"/>
  <c r="L290" i="6"/>
  <c r="S290" i="6" s="1"/>
  <c r="V290" i="6" s="1"/>
  <c r="L282" i="6"/>
  <c r="S282" i="6" s="1"/>
  <c r="V282" i="6" s="1"/>
  <c r="L274" i="6"/>
  <c r="S274" i="6" s="1"/>
  <c r="V274" i="6" s="1"/>
  <c r="L266" i="6"/>
  <c r="S266" i="6" s="1"/>
  <c r="V266" i="6" s="1"/>
  <c r="L258" i="6"/>
  <c r="S258" i="6" s="1"/>
  <c r="V258" i="6" s="1"/>
  <c r="L250" i="6"/>
  <c r="S250" i="6" s="1"/>
  <c r="V250" i="6" s="1"/>
  <c r="L242" i="6"/>
  <c r="S242" i="6" s="1"/>
  <c r="V242" i="6" s="1"/>
  <c r="L234" i="6"/>
  <c r="S234" i="6" s="1"/>
  <c r="V234" i="6" s="1"/>
  <c r="L218" i="6"/>
  <c r="S218" i="6" s="1"/>
  <c r="V218" i="6" s="1"/>
  <c r="L202" i="6"/>
  <c r="S202" i="6" s="1"/>
  <c r="V202" i="6" s="1"/>
  <c r="L186" i="6"/>
  <c r="S186" i="6" s="1"/>
  <c r="V186" i="6" s="1"/>
  <c r="L170" i="6"/>
  <c r="S170" i="6" s="1"/>
  <c r="V170" i="6" s="1"/>
  <c r="L154" i="6"/>
  <c r="S154" i="6" s="1"/>
  <c r="V154" i="6" s="1"/>
  <c r="L138" i="6"/>
  <c r="S138" i="6" s="1"/>
  <c r="V138" i="6" s="1"/>
  <c r="L118" i="6"/>
  <c r="S118" i="6" s="1"/>
  <c r="V118" i="6" s="1"/>
  <c r="L102" i="6"/>
  <c r="S102" i="6" s="1"/>
  <c r="V102" i="6" s="1"/>
  <c r="L86" i="6"/>
  <c r="S86" i="6" s="1"/>
  <c r="V86" i="6" s="1"/>
  <c r="L70" i="6"/>
  <c r="S70" i="6" s="1"/>
  <c r="V70" i="6" s="1"/>
  <c r="L54" i="6"/>
  <c r="S54" i="6" s="1"/>
  <c r="V54" i="6" s="1"/>
  <c r="C54" i="6" s="1"/>
  <c r="B54" i="6" s="1"/>
  <c r="L38" i="6"/>
  <c r="S38" i="6" s="1"/>
  <c r="V38" i="6" s="1"/>
  <c r="C38" i="6" s="1"/>
  <c r="B38" i="6" s="1"/>
  <c r="L996" i="6"/>
  <c r="S996" i="6" s="1"/>
  <c r="V996" i="6" s="1"/>
  <c r="L988" i="6"/>
  <c r="S988" i="6" s="1"/>
  <c r="V988" i="6" s="1"/>
  <c r="L980" i="6"/>
  <c r="S980" i="6" s="1"/>
  <c r="V980" i="6" s="1"/>
  <c r="L972" i="6"/>
  <c r="S972" i="6" s="1"/>
  <c r="V972" i="6" s="1"/>
  <c r="L964" i="6"/>
  <c r="S964" i="6" s="1"/>
  <c r="V964" i="6" s="1"/>
  <c r="L956" i="6"/>
  <c r="S956" i="6" s="1"/>
  <c r="V956" i="6" s="1"/>
  <c r="L998" i="6"/>
  <c r="S998" i="6" s="1"/>
  <c r="V998" i="6" s="1"/>
  <c r="L990" i="6"/>
  <c r="S990" i="6" s="1"/>
  <c r="V990" i="6" s="1"/>
  <c r="L982" i="6"/>
  <c r="S982" i="6" s="1"/>
  <c r="V982" i="6" s="1"/>
  <c r="L974" i="6"/>
  <c r="S974" i="6" s="1"/>
  <c r="V974" i="6" s="1"/>
  <c r="L966" i="6"/>
  <c r="S966" i="6" s="1"/>
  <c r="V966" i="6" s="1"/>
  <c r="L958" i="6"/>
  <c r="S958" i="6" s="1"/>
  <c r="V958" i="6" s="1"/>
  <c r="L950" i="6"/>
  <c r="S950" i="6" s="1"/>
  <c r="V950" i="6" s="1"/>
  <c r="L942" i="6"/>
  <c r="S942" i="6" s="1"/>
  <c r="V942" i="6" s="1"/>
  <c r="L934" i="6"/>
  <c r="S934" i="6" s="1"/>
  <c r="V934" i="6" s="1"/>
  <c r="L926" i="6"/>
  <c r="S926" i="6" s="1"/>
  <c r="V926" i="6" s="1"/>
  <c r="L918" i="6"/>
  <c r="S918" i="6" s="1"/>
  <c r="V918" i="6" s="1"/>
  <c r="L910" i="6"/>
  <c r="S910" i="6" s="1"/>
  <c r="V910" i="6" s="1"/>
  <c r="L902" i="6"/>
  <c r="S902" i="6" s="1"/>
  <c r="V902" i="6" s="1"/>
  <c r="L894" i="6"/>
  <c r="S894" i="6" s="1"/>
  <c r="V894" i="6" s="1"/>
  <c r="L886" i="6"/>
  <c r="S886" i="6" s="1"/>
  <c r="V886" i="6" s="1"/>
  <c r="L878" i="6"/>
  <c r="S878" i="6" s="1"/>
  <c r="V878" i="6" s="1"/>
  <c r="L870" i="6"/>
  <c r="S870" i="6" s="1"/>
  <c r="V870" i="6" s="1"/>
  <c r="L862" i="6"/>
  <c r="S862" i="6" s="1"/>
  <c r="V862" i="6" s="1"/>
  <c r="L854" i="6"/>
  <c r="S854" i="6" s="1"/>
  <c r="V854" i="6" s="1"/>
  <c r="L18" i="6"/>
  <c r="S18" i="6" s="1"/>
  <c r="V18" i="6" s="1"/>
  <c r="L1000" i="6"/>
  <c r="S1000" i="6" s="1"/>
  <c r="V1000" i="6" s="1"/>
  <c r="L992" i="6"/>
  <c r="S992" i="6" s="1"/>
  <c r="V992" i="6" s="1"/>
  <c r="L984" i="6"/>
  <c r="S984" i="6" s="1"/>
  <c r="V984" i="6" s="1"/>
  <c r="L976" i="6"/>
  <c r="S976" i="6" s="1"/>
  <c r="V976" i="6" s="1"/>
  <c r="L968" i="6"/>
  <c r="S968" i="6" s="1"/>
  <c r="V968" i="6" s="1"/>
  <c r="L960" i="6"/>
  <c r="S960" i="6" s="1"/>
  <c r="V960" i="6" s="1"/>
  <c r="L952" i="6"/>
  <c r="S952" i="6" s="1"/>
  <c r="V952" i="6" s="1"/>
  <c r="L1002" i="6"/>
  <c r="S1002" i="6" s="1"/>
  <c r="V1002" i="6" s="1"/>
  <c r="L994" i="6"/>
  <c r="S994" i="6" s="1"/>
  <c r="V994" i="6" s="1"/>
  <c r="L986" i="6"/>
  <c r="S986" i="6" s="1"/>
  <c r="V986" i="6" s="1"/>
  <c r="L978" i="6"/>
  <c r="S978" i="6" s="1"/>
  <c r="V978" i="6" s="1"/>
  <c r="L970" i="6"/>
  <c r="S970" i="6" s="1"/>
  <c r="V970" i="6" s="1"/>
  <c r="L962" i="6"/>
  <c r="S962" i="6" s="1"/>
  <c r="V962" i="6" s="1"/>
  <c r="L954" i="6"/>
  <c r="S954" i="6" s="1"/>
  <c r="V954" i="6" s="1"/>
  <c r="L946" i="6"/>
  <c r="S946" i="6" s="1"/>
  <c r="V946" i="6" s="1"/>
  <c r="L938" i="6"/>
  <c r="S938" i="6" s="1"/>
  <c r="V938" i="6" s="1"/>
  <c r="L930" i="6"/>
  <c r="S930" i="6" s="1"/>
  <c r="V930" i="6" s="1"/>
  <c r="L922" i="6"/>
  <c r="S922" i="6" s="1"/>
  <c r="V922" i="6" s="1"/>
  <c r="L914" i="6"/>
  <c r="S914" i="6" s="1"/>
  <c r="V914" i="6" s="1"/>
  <c r="L906" i="6"/>
  <c r="S906" i="6" s="1"/>
  <c r="V906" i="6" s="1"/>
  <c r="L898" i="6"/>
  <c r="S898" i="6" s="1"/>
  <c r="V898" i="6" s="1"/>
  <c r="L890" i="6"/>
  <c r="S890" i="6" s="1"/>
  <c r="V890" i="6" s="1"/>
  <c r="L882" i="6"/>
  <c r="S882" i="6" s="1"/>
  <c r="V882" i="6" s="1"/>
  <c r="L874" i="6"/>
  <c r="S874" i="6" s="1"/>
  <c r="V874" i="6" s="1"/>
  <c r="L866" i="6"/>
  <c r="S866" i="6" s="1"/>
  <c r="V866" i="6" s="1"/>
  <c r="L858" i="6"/>
  <c r="S858" i="6" s="1"/>
  <c r="V858" i="6" s="1"/>
  <c r="L850" i="6"/>
  <c r="S850" i="6" s="1"/>
  <c r="V850" i="6" s="1"/>
  <c r="L842" i="6"/>
  <c r="S842" i="6" s="1"/>
  <c r="V842" i="6" s="1"/>
  <c r="L834" i="6"/>
  <c r="S834" i="6" s="1"/>
  <c r="V834" i="6" s="1"/>
  <c r="L16" i="6"/>
  <c r="S16" i="6" s="1"/>
  <c r="V16" i="6" s="1"/>
  <c r="R1003" i="4"/>
  <c r="U1003" i="4" s="1"/>
  <c r="R1001" i="4"/>
  <c r="U1001" i="4" s="1"/>
  <c r="R999" i="4"/>
  <c r="U999" i="4" s="1"/>
  <c r="R997" i="4"/>
  <c r="U997" i="4" s="1"/>
  <c r="R995" i="4"/>
  <c r="U995" i="4" s="1"/>
  <c r="R993" i="4"/>
  <c r="U993" i="4" s="1"/>
  <c r="R991" i="4"/>
  <c r="U991" i="4" s="1"/>
  <c r="R989" i="4"/>
  <c r="U989" i="4" s="1"/>
  <c r="R987" i="4"/>
  <c r="U987" i="4" s="1"/>
  <c r="R985" i="4"/>
  <c r="U985" i="4" s="1"/>
  <c r="R983" i="4"/>
  <c r="U983" i="4" s="1"/>
  <c r="R981" i="4"/>
  <c r="U981" i="4" s="1"/>
  <c r="R979" i="4"/>
  <c r="U979" i="4" s="1"/>
  <c r="R977" i="4"/>
  <c r="U977" i="4" s="1"/>
  <c r="R975" i="4"/>
  <c r="U975" i="4" s="1"/>
  <c r="R973" i="4"/>
  <c r="U973" i="4" s="1"/>
  <c r="R971" i="4"/>
  <c r="U971" i="4" s="1"/>
  <c r="R969" i="4"/>
  <c r="U969" i="4" s="1"/>
  <c r="R967" i="4"/>
  <c r="U967" i="4" s="1"/>
  <c r="R965" i="4"/>
  <c r="U965" i="4" s="1"/>
  <c r="R963" i="4"/>
  <c r="U963" i="4" s="1"/>
  <c r="R961" i="4"/>
  <c r="U961" i="4" s="1"/>
  <c r="R959" i="4"/>
  <c r="U959" i="4" s="1"/>
  <c r="R957" i="4"/>
  <c r="U957" i="4" s="1"/>
  <c r="R955" i="4"/>
  <c r="U955" i="4" s="1"/>
  <c r="R953" i="4"/>
  <c r="U953" i="4" s="1"/>
  <c r="R951" i="4"/>
  <c r="U951" i="4" s="1"/>
  <c r="R949" i="4"/>
  <c r="U949" i="4" s="1"/>
  <c r="R947" i="4"/>
  <c r="U947" i="4" s="1"/>
  <c r="R945" i="4"/>
  <c r="U945" i="4" s="1"/>
  <c r="R943" i="4"/>
  <c r="U943" i="4" s="1"/>
  <c r="R941" i="4"/>
  <c r="U941" i="4" s="1"/>
  <c r="R939" i="4"/>
  <c r="U939" i="4" s="1"/>
  <c r="R937" i="4"/>
  <c r="U937" i="4" s="1"/>
  <c r="R935" i="4"/>
  <c r="U935" i="4" s="1"/>
  <c r="R933" i="4"/>
  <c r="U933" i="4" s="1"/>
  <c r="R931" i="4"/>
  <c r="U931" i="4" s="1"/>
  <c r="R929" i="4"/>
  <c r="U929" i="4" s="1"/>
  <c r="R927" i="4"/>
  <c r="U927" i="4" s="1"/>
  <c r="R925" i="4"/>
  <c r="U925" i="4" s="1"/>
  <c r="R923" i="4"/>
  <c r="U923" i="4" s="1"/>
  <c r="R921" i="4"/>
  <c r="U921" i="4" s="1"/>
  <c r="R919" i="4"/>
  <c r="U919" i="4" s="1"/>
  <c r="R917" i="4"/>
  <c r="U917" i="4" s="1"/>
  <c r="R915" i="4"/>
  <c r="U915" i="4" s="1"/>
  <c r="R913" i="4"/>
  <c r="U913" i="4" s="1"/>
  <c r="R911" i="4"/>
  <c r="U911" i="4" s="1"/>
  <c r="R909" i="4"/>
  <c r="U909" i="4" s="1"/>
  <c r="R907" i="4"/>
  <c r="U907" i="4" s="1"/>
  <c r="R905" i="4"/>
  <c r="U905" i="4" s="1"/>
  <c r="R903" i="4"/>
  <c r="U903" i="4" s="1"/>
  <c r="R901" i="4"/>
  <c r="U901" i="4" s="1"/>
  <c r="R899" i="4"/>
  <c r="U899" i="4" s="1"/>
  <c r="R897" i="4"/>
  <c r="U897" i="4" s="1"/>
  <c r="R895" i="4"/>
  <c r="U895" i="4" s="1"/>
  <c r="R893" i="4"/>
  <c r="U893" i="4" s="1"/>
  <c r="R891" i="4"/>
  <c r="U891" i="4" s="1"/>
  <c r="R889" i="4"/>
  <c r="U889" i="4" s="1"/>
  <c r="R887" i="4"/>
  <c r="U887" i="4" s="1"/>
  <c r="R885" i="4"/>
  <c r="U885" i="4" s="1"/>
  <c r="R883" i="4"/>
  <c r="U883" i="4" s="1"/>
  <c r="R881" i="4"/>
  <c r="U881" i="4" s="1"/>
  <c r="R879" i="4"/>
  <c r="U879" i="4" s="1"/>
  <c r="R877" i="4"/>
  <c r="U877" i="4" s="1"/>
  <c r="R875" i="4"/>
  <c r="U875" i="4" s="1"/>
  <c r="R873" i="4"/>
  <c r="U873" i="4" s="1"/>
  <c r="R871" i="4"/>
  <c r="U871" i="4" s="1"/>
  <c r="R869" i="4"/>
  <c r="U869" i="4" s="1"/>
  <c r="R867" i="4"/>
  <c r="U867" i="4" s="1"/>
  <c r="R865" i="4"/>
  <c r="U865" i="4" s="1"/>
  <c r="R863" i="4"/>
  <c r="U863" i="4" s="1"/>
  <c r="R861" i="4"/>
  <c r="U861" i="4" s="1"/>
  <c r="R859" i="4"/>
  <c r="U859" i="4" s="1"/>
  <c r="R857" i="4"/>
  <c r="U857" i="4" s="1"/>
  <c r="R855" i="4"/>
  <c r="U855" i="4" s="1"/>
  <c r="R853" i="4"/>
  <c r="U853" i="4" s="1"/>
  <c r="R851" i="4"/>
  <c r="U851" i="4" s="1"/>
  <c r="R849" i="4"/>
  <c r="U849" i="4" s="1"/>
  <c r="R847" i="4"/>
  <c r="U847" i="4" s="1"/>
  <c r="R845" i="4"/>
  <c r="U845" i="4" s="1"/>
  <c r="R843" i="4"/>
  <c r="U843" i="4" s="1"/>
  <c r="R841" i="4"/>
  <c r="U841" i="4" s="1"/>
  <c r="R839" i="4"/>
  <c r="U839" i="4" s="1"/>
  <c r="R837" i="4"/>
  <c r="U837" i="4" s="1"/>
  <c r="R835" i="4"/>
  <c r="U835" i="4" s="1"/>
  <c r="R833" i="4"/>
  <c r="U833" i="4" s="1"/>
  <c r="R831" i="4"/>
  <c r="U831" i="4" s="1"/>
  <c r="R829" i="4"/>
  <c r="U829" i="4" s="1"/>
  <c r="R827" i="4"/>
  <c r="U827" i="4" s="1"/>
  <c r="R825" i="4"/>
  <c r="U825" i="4" s="1"/>
  <c r="R823" i="4"/>
  <c r="U823" i="4" s="1"/>
  <c r="R821" i="4"/>
  <c r="U821" i="4" s="1"/>
  <c r="R819" i="4"/>
  <c r="U819" i="4" s="1"/>
  <c r="R817" i="4"/>
  <c r="U817" i="4" s="1"/>
  <c r="R815" i="4"/>
  <c r="U815" i="4" s="1"/>
  <c r="R813" i="4"/>
  <c r="U813" i="4" s="1"/>
  <c r="R811" i="4"/>
  <c r="U811" i="4" s="1"/>
  <c r="R809" i="4"/>
  <c r="U809" i="4" s="1"/>
  <c r="R807" i="4"/>
  <c r="U807" i="4" s="1"/>
  <c r="R805" i="4"/>
  <c r="U805" i="4" s="1"/>
  <c r="R803" i="4"/>
  <c r="U803" i="4" s="1"/>
  <c r="R801" i="4"/>
  <c r="U801" i="4" s="1"/>
  <c r="R799" i="4"/>
  <c r="U799" i="4" s="1"/>
  <c r="R797" i="4"/>
  <c r="U797" i="4" s="1"/>
  <c r="R795" i="4"/>
  <c r="U795" i="4" s="1"/>
  <c r="R793" i="4"/>
  <c r="U793" i="4" s="1"/>
  <c r="R791" i="4"/>
  <c r="U791" i="4" s="1"/>
  <c r="R789" i="4"/>
  <c r="U789" i="4" s="1"/>
  <c r="R787" i="4"/>
  <c r="U787" i="4" s="1"/>
  <c r="R785" i="4"/>
  <c r="U785" i="4" s="1"/>
  <c r="R783" i="4"/>
  <c r="U783" i="4" s="1"/>
  <c r="R781" i="4"/>
  <c r="U781" i="4" s="1"/>
  <c r="R779" i="4"/>
  <c r="U779" i="4" s="1"/>
  <c r="R777" i="4"/>
  <c r="U777" i="4" s="1"/>
  <c r="R775" i="4"/>
  <c r="U775" i="4" s="1"/>
  <c r="R773" i="4"/>
  <c r="U773" i="4" s="1"/>
  <c r="R771" i="4"/>
  <c r="U771" i="4" s="1"/>
  <c r="R769" i="4"/>
  <c r="U769" i="4" s="1"/>
  <c r="R767" i="4"/>
  <c r="U767" i="4" s="1"/>
  <c r="R765" i="4"/>
  <c r="U765" i="4" s="1"/>
  <c r="R763" i="4"/>
  <c r="U763" i="4" s="1"/>
  <c r="R761" i="4"/>
  <c r="U761" i="4" s="1"/>
  <c r="R759" i="4"/>
  <c r="U759" i="4" s="1"/>
  <c r="R757" i="4"/>
  <c r="U757" i="4" s="1"/>
  <c r="R755" i="4"/>
  <c r="U755" i="4" s="1"/>
  <c r="R753" i="4"/>
  <c r="U753" i="4" s="1"/>
  <c r="R751" i="4"/>
  <c r="U751" i="4" s="1"/>
  <c r="R749" i="4"/>
  <c r="U749" i="4" s="1"/>
  <c r="R747" i="4"/>
  <c r="U747" i="4" s="1"/>
  <c r="R745" i="4"/>
  <c r="U745" i="4" s="1"/>
  <c r="R743" i="4"/>
  <c r="U743" i="4" s="1"/>
  <c r="R741" i="4"/>
  <c r="U741" i="4" s="1"/>
  <c r="R739" i="4"/>
  <c r="U739" i="4" s="1"/>
  <c r="R737" i="4"/>
  <c r="U737" i="4" s="1"/>
  <c r="R735" i="4"/>
  <c r="U735" i="4" s="1"/>
  <c r="R733" i="4"/>
  <c r="U733" i="4" s="1"/>
  <c r="R731" i="4"/>
  <c r="U731" i="4" s="1"/>
  <c r="R729" i="4"/>
  <c r="U729" i="4" s="1"/>
  <c r="R727" i="4"/>
  <c r="U727" i="4" s="1"/>
  <c r="R725" i="4"/>
  <c r="U725" i="4" s="1"/>
  <c r="R723" i="4"/>
  <c r="U723" i="4" s="1"/>
  <c r="R721" i="4"/>
  <c r="U721" i="4" s="1"/>
  <c r="R719" i="4"/>
  <c r="U719" i="4" s="1"/>
  <c r="R717" i="4"/>
  <c r="U717" i="4" s="1"/>
  <c r="R715" i="4"/>
  <c r="U715" i="4" s="1"/>
  <c r="R713" i="4"/>
  <c r="U713" i="4" s="1"/>
  <c r="R711" i="4"/>
  <c r="U711" i="4" s="1"/>
  <c r="R709" i="4"/>
  <c r="U709" i="4" s="1"/>
  <c r="R707" i="4"/>
  <c r="U707" i="4" s="1"/>
  <c r="R705" i="4"/>
  <c r="U705" i="4" s="1"/>
  <c r="R703" i="4"/>
  <c r="U703" i="4" s="1"/>
  <c r="R701" i="4"/>
  <c r="U701" i="4" s="1"/>
  <c r="R699" i="4"/>
  <c r="U699" i="4" s="1"/>
  <c r="R697" i="4"/>
  <c r="U697" i="4" s="1"/>
  <c r="R695" i="4"/>
  <c r="U695" i="4" s="1"/>
  <c r="R693" i="4"/>
  <c r="U693" i="4" s="1"/>
  <c r="R691" i="4"/>
  <c r="U691" i="4" s="1"/>
  <c r="R689" i="4"/>
  <c r="U689" i="4" s="1"/>
  <c r="R687" i="4"/>
  <c r="U687" i="4" s="1"/>
  <c r="R685" i="4"/>
  <c r="U685" i="4" s="1"/>
  <c r="R683" i="4"/>
  <c r="U683" i="4" s="1"/>
  <c r="R681" i="4"/>
  <c r="U681" i="4" s="1"/>
  <c r="R679" i="4"/>
  <c r="U679" i="4" s="1"/>
  <c r="K832" i="4"/>
  <c r="R832" i="4" s="1"/>
  <c r="U832" i="4" s="1"/>
  <c r="L832" i="4"/>
  <c r="S832" i="4" s="1"/>
  <c r="V832" i="4" s="1"/>
  <c r="K828" i="4"/>
  <c r="R828" i="4" s="1"/>
  <c r="U828" i="4" s="1"/>
  <c r="L828" i="4"/>
  <c r="S828" i="4" s="1"/>
  <c r="V828" i="4" s="1"/>
  <c r="K824" i="4"/>
  <c r="R824" i="4" s="1"/>
  <c r="U824" i="4" s="1"/>
  <c r="L824" i="4"/>
  <c r="S824" i="4" s="1"/>
  <c r="V824" i="4" s="1"/>
  <c r="K820" i="4"/>
  <c r="R820" i="4" s="1"/>
  <c r="U820" i="4" s="1"/>
  <c r="L820" i="4"/>
  <c r="S820" i="4" s="1"/>
  <c r="V820" i="4" s="1"/>
  <c r="K816" i="4"/>
  <c r="R816" i="4" s="1"/>
  <c r="U816" i="4" s="1"/>
  <c r="L816" i="4"/>
  <c r="S816" i="4" s="1"/>
  <c r="V816" i="4" s="1"/>
  <c r="K812" i="4"/>
  <c r="R812" i="4" s="1"/>
  <c r="U812" i="4" s="1"/>
  <c r="L812" i="4"/>
  <c r="S812" i="4" s="1"/>
  <c r="V812" i="4" s="1"/>
  <c r="K808" i="4"/>
  <c r="R808" i="4" s="1"/>
  <c r="U808" i="4" s="1"/>
  <c r="L808" i="4"/>
  <c r="S808" i="4" s="1"/>
  <c r="V808" i="4" s="1"/>
  <c r="K804" i="4"/>
  <c r="R804" i="4" s="1"/>
  <c r="U804" i="4" s="1"/>
  <c r="L804" i="4"/>
  <c r="S804" i="4" s="1"/>
  <c r="V804" i="4" s="1"/>
  <c r="K800" i="4"/>
  <c r="R800" i="4" s="1"/>
  <c r="U800" i="4" s="1"/>
  <c r="L800" i="4"/>
  <c r="S800" i="4" s="1"/>
  <c r="V800" i="4" s="1"/>
  <c r="K796" i="4"/>
  <c r="R796" i="4" s="1"/>
  <c r="U796" i="4" s="1"/>
  <c r="L796" i="4"/>
  <c r="S796" i="4" s="1"/>
  <c r="V796" i="4" s="1"/>
  <c r="K792" i="4"/>
  <c r="R792" i="4" s="1"/>
  <c r="U792" i="4" s="1"/>
  <c r="L792" i="4"/>
  <c r="S792" i="4" s="1"/>
  <c r="V792" i="4" s="1"/>
  <c r="K788" i="4"/>
  <c r="R788" i="4" s="1"/>
  <c r="U788" i="4" s="1"/>
  <c r="L788" i="4"/>
  <c r="S788" i="4" s="1"/>
  <c r="V788" i="4" s="1"/>
  <c r="K784" i="4"/>
  <c r="R784" i="4" s="1"/>
  <c r="U784" i="4" s="1"/>
  <c r="L784" i="4"/>
  <c r="S784" i="4" s="1"/>
  <c r="V784" i="4" s="1"/>
  <c r="K780" i="4"/>
  <c r="R780" i="4" s="1"/>
  <c r="U780" i="4" s="1"/>
  <c r="L780" i="4"/>
  <c r="S780" i="4" s="1"/>
  <c r="V780" i="4" s="1"/>
  <c r="K776" i="4"/>
  <c r="R776" i="4" s="1"/>
  <c r="U776" i="4" s="1"/>
  <c r="L776" i="4"/>
  <c r="S776" i="4" s="1"/>
  <c r="V776" i="4" s="1"/>
  <c r="K772" i="4"/>
  <c r="R772" i="4" s="1"/>
  <c r="U772" i="4" s="1"/>
  <c r="L772" i="4"/>
  <c r="S772" i="4" s="1"/>
  <c r="V772" i="4" s="1"/>
  <c r="K768" i="4"/>
  <c r="R768" i="4" s="1"/>
  <c r="U768" i="4" s="1"/>
  <c r="L768" i="4"/>
  <c r="S768" i="4" s="1"/>
  <c r="V768" i="4" s="1"/>
  <c r="K764" i="4"/>
  <c r="R764" i="4" s="1"/>
  <c r="U764" i="4" s="1"/>
  <c r="L764" i="4"/>
  <c r="S764" i="4" s="1"/>
  <c r="V764" i="4" s="1"/>
  <c r="K760" i="4"/>
  <c r="R760" i="4" s="1"/>
  <c r="U760" i="4" s="1"/>
  <c r="L760" i="4"/>
  <c r="S760" i="4" s="1"/>
  <c r="V760" i="4" s="1"/>
  <c r="K756" i="4"/>
  <c r="R756" i="4" s="1"/>
  <c r="U756" i="4" s="1"/>
  <c r="L756" i="4"/>
  <c r="S756" i="4" s="1"/>
  <c r="V756" i="4" s="1"/>
  <c r="K752" i="4"/>
  <c r="R752" i="4" s="1"/>
  <c r="U752" i="4" s="1"/>
  <c r="L752" i="4"/>
  <c r="S752" i="4" s="1"/>
  <c r="V752" i="4" s="1"/>
  <c r="K748" i="4"/>
  <c r="R748" i="4" s="1"/>
  <c r="U748" i="4" s="1"/>
  <c r="L748" i="4"/>
  <c r="S748" i="4" s="1"/>
  <c r="V748" i="4" s="1"/>
  <c r="K744" i="4"/>
  <c r="R744" i="4" s="1"/>
  <c r="U744" i="4" s="1"/>
  <c r="L744" i="4"/>
  <c r="S744" i="4" s="1"/>
  <c r="V744" i="4" s="1"/>
  <c r="K740" i="4"/>
  <c r="R740" i="4" s="1"/>
  <c r="U740" i="4" s="1"/>
  <c r="L740" i="4"/>
  <c r="S740" i="4" s="1"/>
  <c r="V740" i="4" s="1"/>
  <c r="K736" i="4"/>
  <c r="R736" i="4" s="1"/>
  <c r="U736" i="4" s="1"/>
  <c r="L736" i="4"/>
  <c r="S736" i="4" s="1"/>
  <c r="V736" i="4" s="1"/>
  <c r="K538" i="4"/>
  <c r="R538" i="4" s="1"/>
  <c r="U538" i="4" s="1"/>
  <c r="L538" i="4"/>
  <c r="S538" i="4" s="1"/>
  <c r="V538" i="4" s="1"/>
  <c r="K534" i="4"/>
  <c r="R534" i="4" s="1"/>
  <c r="U534" i="4" s="1"/>
  <c r="L534" i="4"/>
  <c r="S534" i="4" s="1"/>
  <c r="V534" i="4" s="1"/>
  <c r="K530" i="4"/>
  <c r="R530" i="4" s="1"/>
  <c r="U530" i="4" s="1"/>
  <c r="L530" i="4"/>
  <c r="S530" i="4" s="1"/>
  <c r="V530" i="4" s="1"/>
  <c r="K526" i="4"/>
  <c r="R526" i="4" s="1"/>
  <c r="U526" i="4" s="1"/>
  <c r="L526" i="4"/>
  <c r="S526" i="4" s="1"/>
  <c r="V526" i="4" s="1"/>
  <c r="K522" i="4"/>
  <c r="R522" i="4" s="1"/>
  <c r="U522" i="4" s="1"/>
  <c r="L522" i="4"/>
  <c r="S522" i="4" s="1"/>
  <c r="V522" i="4" s="1"/>
  <c r="K518" i="4"/>
  <c r="R518" i="4" s="1"/>
  <c r="U518" i="4" s="1"/>
  <c r="L518" i="4"/>
  <c r="S518" i="4" s="1"/>
  <c r="V518" i="4" s="1"/>
  <c r="K514" i="4"/>
  <c r="R514" i="4" s="1"/>
  <c r="U514" i="4" s="1"/>
  <c r="L514" i="4"/>
  <c r="S514" i="4" s="1"/>
  <c r="V514" i="4" s="1"/>
  <c r="K510" i="4"/>
  <c r="R510" i="4" s="1"/>
  <c r="U510" i="4" s="1"/>
  <c r="L510" i="4"/>
  <c r="S510" i="4" s="1"/>
  <c r="V510" i="4" s="1"/>
  <c r="K506" i="4"/>
  <c r="R506" i="4" s="1"/>
  <c r="U506" i="4" s="1"/>
  <c r="L506" i="4"/>
  <c r="S506" i="4" s="1"/>
  <c r="V506" i="4" s="1"/>
  <c r="K502" i="4"/>
  <c r="R502" i="4" s="1"/>
  <c r="U502" i="4" s="1"/>
  <c r="L502" i="4"/>
  <c r="S502" i="4" s="1"/>
  <c r="V502" i="4" s="1"/>
  <c r="K498" i="4"/>
  <c r="R498" i="4" s="1"/>
  <c r="U498" i="4" s="1"/>
  <c r="L498" i="4"/>
  <c r="S498" i="4" s="1"/>
  <c r="V498" i="4" s="1"/>
  <c r="K494" i="4"/>
  <c r="R494" i="4" s="1"/>
  <c r="U494" i="4" s="1"/>
  <c r="L494" i="4"/>
  <c r="S494" i="4" s="1"/>
  <c r="V494" i="4" s="1"/>
  <c r="K490" i="4"/>
  <c r="R490" i="4" s="1"/>
  <c r="U490" i="4" s="1"/>
  <c r="L490" i="4"/>
  <c r="S490" i="4" s="1"/>
  <c r="V490" i="4" s="1"/>
  <c r="K486" i="4"/>
  <c r="R486" i="4" s="1"/>
  <c r="U486" i="4" s="1"/>
  <c r="L486" i="4"/>
  <c r="S486" i="4" s="1"/>
  <c r="V486" i="4" s="1"/>
  <c r="K482" i="4"/>
  <c r="R482" i="4" s="1"/>
  <c r="U482" i="4" s="1"/>
  <c r="L482" i="4"/>
  <c r="S482" i="4" s="1"/>
  <c r="V482" i="4" s="1"/>
  <c r="K478" i="4"/>
  <c r="R478" i="4" s="1"/>
  <c r="U478" i="4" s="1"/>
  <c r="L478" i="4"/>
  <c r="S478" i="4" s="1"/>
  <c r="V478" i="4" s="1"/>
  <c r="K474" i="4"/>
  <c r="R474" i="4" s="1"/>
  <c r="U474" i="4" s="1"/>
  <c r="L474" i="4"/>
  <c r="S474" i="4" s="1"/>
  <c r="V474" i="4" s="1"/>
  <c r="K470" i="4"/>
  <c r="R470" i="4" s="1"/>
  <c r="U470" i="4" s="1"/>
  <c r="L470" i="4"/>
  <c r="S470" i="4" s="1"/>
  <c r="V470" i="4" s="1"/>
  <c r="K466" i="4"/>
  <c r="R466" i="4" s="1"/>
  <c r="U466" i="4" s="1"/>
  <c r="L466" i="4"/>
  <c r="S466" i="4" s="1"/>
  <c r="V466" i="4" s="1"/>
  <c r="K462" i="4"/>
  <c r="R462" i="4" s="1"/>
  <c r="U462" i="4" s="1"/>
  <c r="L462" i="4"/>
  <c r="S462" i="4" s="1"/>
  <c r="V462" i="4" s="1"/>
  <c r="K458" i="4"/>
  <c r="R458" i="4" s="1"/>
  <c r="U458" i="4" s="1"/>
  <c r="L458" i="4"/>
  <c r="S458" i="4" s="1"/>
  <c r="V458" i="4" s="1"/>
  <c r="K454" i="4"/>
  <c r="R454" i="4" s="1"/>
  <c r="U454" i="4" s="1"/>
  <c r="L454" i="4"/>
  <c r="S454" i="4" s="1"/>
  <c r="V454" i="4" s="1"/>
  <c r="K450" i="4"/>
  <c r="R450" i="4" s="1"/>
  <c r="U450" i="4" s="1"/>
  <c r="L450" i="4"/>
  <c r="S450" i="4" s="1"/>
  <c r="V450" i="4" s="1"/>
  <c r="K446" i="4"/>
  <c r="R446" i="4" s="1"/>
  <c r="U446" i="4" s="1"/>
  <c r="L446" i="4"/>
  <c r="S446" i="4" s="1"/>
  <c r="V446" i="4" s="1"/>
  <c r="K442" i="4"/>
  <c r="R442" i="4" s="1"/>
  <c r="U442" i="4" s="1"/>
  <c r="L442" i="4"/>
  <c r="S442" i="4" s="1"/>
  <c r="V442" i="4" s="1"/>
  <c r="K438" i="4"/>
  <c r="R438" i="4" s="1"/>
  <c r="U438" i="4" s="1"/>
  <c r="L438" i="4"/>
  <c r="S438" i="4" s="1"/>
  <c r="V438" i="4" s="1"/>
  <c r="K434" i="4"/>
  <c r="R434" i="4" s="1"/>
  <c r="U434" i="4" s="1"/>
  <c r="L434" i="4"/>
  <c r="S434" i="4" s="1"/>
  <c r="V434" i="4" s="1"/>
  <c r="K430" i="4"/>
  <c r="R430" i="4" s="1"/>
  <c r="U430" i="4" s="1"/>
  <c r="L430" i="4"/>
  <c r="S430" i="4" s="1"/>
  <c r="V430" i="4" s="1"/>
  <c r="K426" i="4"/>
  <c r="R426" i="4" s="1"/>
  <c r="U426" i="4" s="1"/>
  <c r="L426" i="4"/>
  <c r="S426" i="4" s="1"/>
  <c r="V426" i="4" s="1"/>
  <c r="K422" i="4"/>
  <c r="R422" i="4" s="1"/>
  <c r="U422" i="4" s="1"/>
  <c r="L422" i="4"/>
  <c r="S422" i="4" s="1"/>
  <c r="V422" i="4" s="1"/>
  <c r="K418" i="4"/>
  <c r="R418" i="4" s="1"/>
  <c r="U418" i="4" s="1"/>
  <c r="L418" i="4"/>
  <c r="S418" i="4" s="1"/>
  <c r="V418" i="4" s="1"/>
  <c r="K414" i="4"/>
  <c r="R414" i="4" s="1"/>
  <c r="U414" i="4" s="1"/>
  <c r="L414" i="4"/>
  <c r="S414" i="4" s="1"/>
  <c r="V414" i="4" s="1"/>
  <c r="K410" i="4"/>
  <c r="R410" i="4" s="1"/>
  <c r="U410" i="4" s="1"/>
  <c r="L410" i="4"/>
  <c r="S410" i="4" s="1"/>
  <c r="V410" i="4" s="1"/>
  <c r="K406" i="4"/>
  <c r="R406" i="4" s="1"/>
  <c r="U406" i="4" s="1"/>
  <c r="L406" i="4"/>
  <c r="S406" i="4" s="1"/>
  <c r="V406" i="4" s="1"/>
  <c r="K402" i="4"/>
  <c r="R402" i="4" s="1"/>
  <c r="U402" i="4" s="1"/>
  <c r="L402" i="4"/>
  <c r="S402" i="4" s="1"/>
  <c r="V402" i="4" s="1"/>
  <c r="K398" i="4"/>
  <c r="R398" i="4" s="1"/>
  <c r="U398" i="4" s="1"/>
  <c r="L398" i="4"/>
  <c r="S398" i="4" s="1"/>
  <c r="V398" i="4" s="1"/>
  <c r="K394" i="4"/>
  <c r="R394" i="4" s="1"/>
  <c r="U394" i="4" s="1"/>
  <c r="L394" i="4"/>
  <c r="S394" i="4" s="1"/>
  <c r="V394" i="4" s="1"/>
  <c r="K390" i="4"/>
  <c r="R390" i="4" s="1"/>
  <c r="U390" i="4" s="1"/>
  <c r="L390" i="4"/>
  <c r="S390" i="4" s="1"/>
  <c r="V390" i="4" s="1"/>
  <c r="K386" i="4"/>
  <c r="R386" i="4" s="1"/>
  <c r="U386" i="4" s="1"/>
  <c r="L386" i="4"/>
  <c r="S386" i="4" s="1"/>
  <c r="V386" i="4" s="1"/>
  <c r="K382" i="4"/>
  <c r="R382" i="4" s="1"/>
  <c r="U382" i="4" s="1"/>
  <c r="L382" i="4"/>
  <c r="S382" i="4" s="1"/>
  <c r="V382" i="4" s="1"/>
  <c r="K378" i="4"/>
  <c r="R378" i="4" s="1"/>
  <c r="U378" i="4" s="1"/>
  <c r="L378" i="4"/>
  <c r="S378" i="4" s="1"/>
  <c r="V378" i="4" s="1"/>
  <c r="K374" i="4"/>
  <c r="R374" i="4" s="1"/>
  <c r="U374" i="4" s="1"/>
  <c r="L374" i="4"/>
  <c r="S374" i="4" s="1"/>
  <c r="V374" i="4" s="1"/>
  <c r="K370" i="4"/>
  <c r="R370" i="4" s="1"/>
  <c r="U370" i="4" s="1"/>
  <c r="L370" i="4"/>
  <c r="S370" i="4" s="1"/>
  <c r="V370" i="4" s="1"/>
  <c r="K366" i="4"/>
  <c r="R366" i="4" s="1"/>
  <c r="U366" i="4" s="1"/>
  <c r="L366" i="4"/>
  <c r="S366" i="4" s="1"/>
  <c r="V366" i="4" s="1"/>
  <c r="K362" i="4"/>
  <c r="R362" i="4" s="1"/>
  <c r="U362" i="4" s="1"/>
  <c r="L362" i="4"/>
  <c r="S362" i="4" s="1"/>
  <c r="V362" i="4" s="1"/>
  <c r="K358" i="4"/>
  <c r="R358" i="4" s="1"/>
  <c r="U358" i="4" s="1"/>
  <c r="L358" i="4"/>
  <c r="S358" i="4" s="1"/>
  <c r="V358" i="4" s="1"/>
  <c r="K354" i="4"/>
  <c r="R354" i="4" s="1"/>
  <c r="U354" i="4" s="1"/>
  <c r="L354" i="4"/>
  <c r="S354" i="4" s="1"/>
  <c r="V354" i="4" s="1"/>
  <c r="K350" i="4"/>
  <c r="R350" i="4" s="1"/>
  <c r="U350" i="4" s="1"/>
  <c r="L350" i="4"/>
  <c r="S350" i="4" s="1"/>
  <c r="V350" i="4" s="1"/>
  <c r="K346" i="4"/>
  <c r="R346" i="4" s="1"/>
  <c r="U346" i="4" s="1"/>
  <c r="L346" i="4"/>
  <c r="S346" i="4" s="1"/>
  <c r="V346" i="4" s="1"/>
  <c r="K342" i="4"/>
  <c r="R342" i="4" s="1"/>
  <c r="U342" i="4" s="1"/>
  <c r="L342" i="4"/>
  <c r="S342" i="4" s="1"/>
  <c r="V342" i="4" s="1"/>
  <c r="K338" i="4"/>
  <c r="R338" i="4" s="1"/>
  <c r="U338" i="4" s="1"/>
  <c r="L338" i="4"/>
  <c r="S338" i="4" s="1"/>
  <c r="V338" i="4" s="1"/>
  <c r="K334" i="4"/>
  <c r="R334" i="4" s="1"/>
  <c r="U334" i="4" s="1"/>
  <c r="L334" i="4"/>
  <c r="S334" i="4" s="1"/>
  <c r="V334" i="4" s="1"/>
  <c r="K330" i="4"/>
  <c r="R330" i="4" s="1"/>
  <c r="U330" i="4" s="1"/>
  <c r="L330" i="4"/>
  <c r="S330" i="4" s="1"/>
  <c r="V330" i="4" s="1"/>
  <c r="K326" i="4"/>
  <c r="R326" i="4" s="1"/>
  <c r="U326" i="4" s="1"/>
  <c r="L326" i="4"/>
  <c r="S326" i="4" s="1"/>
  <c r="V326" i="4" s="1"/>
  <c r="K322" i="4"/>
  <c r="R322" i="4" s="1"/>
  <c r="U322" i="4" s="1"/>
  <c r="L322" i="4"/>
  <c r="S322" i="4" s="1"/>
  <c r="V322" i="4" s="1"/>
  <c r="K318" i="4"/>
  <c r="R318" i="4" s="1"/>
  <c r="U318" i="4" s="1"/>
  <c r="L318" i="4"/>
  <c r="S318" i="4" s="1"/>
  <c r="V318" i="4" s="1"/>
  <c r="K314" i="4"/>
  <c r="R314" i="4" s="1"/>
  <c r="U314" i="4" s="1"/>
  <c r="L314" i="4"/>
  <c r="S314" i="4" s="1"/>
  <c r="V314" i="4" s="1"/>
  <c r="K310" i="4"/>
  <c r="R310" i="4" s="1"/>
  <c r="U310" i="4" s="1"/>
  <c r="L310" i="4"/>
  <c r="S310" i="4" s="1"/>
  <c r="V310" i="4" s="1"/>
  <c r="K306" i="4"/>
  <c r="R306" i="4" s="1"/>
  <c r="U306" i="4" s="1"/>
  <c r="L306" i="4"/>
  <c r="S306" i="4" s="1"/>
  <c r="V306" i="4" s="1"/>
  <c r="K302" i="4"/>
  <c r="R302" i="4" s="1"/>
  <c r="U302" i="4" s="1"/>
  <c r="L302" i="4"/>
  <c r="S302" i="4" s="1"/>
  <c r="V302" i="4" s="1"/>
  <c r="K298" i="4"/>
  <c r="R298" i="4" s="1"/>
  <c r="U298" i="4" s="1"/>
  <c r="L298" i="4"/>
  <c r="S298" i="4" s="1"/>
  <c r="V298" i="4" s="1"/>
  <c r="K294" i="4"/>
  <c r="R294" i="4" s="1"/>
  <c r="U294" i="4" s="1"/>
  <c r="L294" i="4"/>
  <c r="S294" i="4" s="1"/>
  <c r="V294" i="4" s="1"/>
  <c r="K290" i="4"/>
  <c r="R290" i="4" s="1"/>
  <c r="U290" i="4" s="1"/>
  <c r="L290" i="4"/>
  <c r="S290" i="4" s="1"/>
  <c r="V290" i="4" s="1"/>
  <c r="K286" i="4"/>
  <c r="R286" i="4" s="1"/>
  <c r="U286" i="4" s="1"/>
  <c r="L286" i="4"/>
  <c r="S286" i="4" s="1"/>
  <c r="V286" i="4" s="1"/>
  <c r="K282" i="4"/>
  <c r="R282" i="4" s="1"/>
  <c r="U282" i="4" s="1"/>
  <c r="L282" i="4"/>
  <c r="S282" i="4" s="1"/>
  <c r="V282" i="4" s="1"/>
  <c r="K278" i="4"/>
  <c r="R278" i="4" s="1"/>
  <c r="U278" i="4" s="1"/>
  <c r="L278" i="4"/>
  <c r="S278" i="4" s="1"/>
  <c r="V278" i="4" s="1"/>
  <c r="K274" i="4"/>
  <c r="R274" i="4" s="1"/>
  <c r="U274" i="4" s="1"/>
  <c r="L274" i="4"/>
  <c r="S274" i="4" s="1"/>
  <c r="V274" i="4" s="1"/>
  <c r="K270" i="4"/>
  <c r="R270" i="4" s="1"/>
  <c r="U270" i="4" s="1"/>
  <c r="L270" i="4"/>
  <c r="S270" i="4" s="1"/>
  <c r="V270" i="4" s="1"/>
  <c r="K266" i="4"/>
  <c r="R266" i="4" s="1"/>
  <c r="U266" i="4" s="1"/>
  <c r="L266" i="4"/>
  <c r="S266" i="4" s="1"/>
  <c r="V266" i="4" s="1"/>
  <c r="K262" i="4"/>
  <c r="R262" i="4" s="1"/>
  <c r="U262" i="4" s="1"/>
  <c r="L262" i="4"/>
  <c r="S262" i="4" s="1"/>
  <c r="V262" i="4" s="1"/>
  <c r="K258" i="4"/>
  <c r="R258" i="4" s="1"/>
  <c r="U258" i="4" s="1"/>
  <c r="L258" i="4"/>
  <c r="S258" i="4" s="1"/>
  <c r="V258" i="4" s="1"/>
  <c r="K254" i="4"/>
  <c r="R254" i="4" s="1"/>
  <c r="U254" i="4" s="1"/>
  <c r="L254" i="4"/>
  <c r="S254" i="4" s="1"/>
  <c r="V254" i="4" s="1"/>
  <c r="K250" i="4"/>
  <c r="R250" i="4" s="1"/>
  <c r="U250" i="4" s="1"/>
  <c r="L250" i="4"/>
  <c r="S250" i="4" s="1"/>
  <c r="V250" i="4" s="1"/>
  <c r="K246" i="4"/>
  <c r="R246" i="4" s="1"/>
  <c r="U246" i="4" s="1"/>
  <c r="L246" i="4"/>
  <c r="S246" i="4" s="1"/>
  <c r="V246" i="4" s="1"/>
  <c r="K242" i="4"/>
  <c r="R242" i="4" s="1"/>
  <c r="U242" i="4" s="1"/>
  <c r="L242" i="4"/>
  <c r="S242" i="4" s="1"/>
  <c r="V242" i="4" s="1"/>
  <c r="K238" i="4"/>
  <c r="R238" i="4" s="1"/>
  <c r="U238" i="4" s="1"/>
  <c r="L238" i="4"/>
  <c r="S238" i="4" s="1"/>
  <c r="V238" i="4" s="1"/>
  <c r="K234" i="4"/>
  <c r="R234" i="4" s="1"/>
  <c r="U234" i="4" s="1"/>
  <c r="L234" i="4"/>
  <c r="S234" i="4" s="1"/>
  <c r="V234" i="4" s="1"/>
  <c r="K230" i="4"/>
  <c r="R230" i="4" s="1"/>
  <c r="U230" i="4" s="1"/>
  <c r="L230" i="4"/>
  <c r="S230" i="4" s="1"/>
  <c r="V230" i="4" s="1"/>
  <c r="K226" i="4"/>
  <c r="R226" i="4" s="1"/>
  <c r="U226" i="4" s="1"/>
  <c r="L226" i="4"/>
  <c r="S226" i="4" s="1"/>
  <c r="V226" i="4" s="1"/>
  <c r="K222" i="4"/>
  <c r="R222" i="4" s="1"/>
  <c r="U222" i="4" s="1"/>
  <c r="L222" i="4"/>
  <c r="S222" i="4" s="1"/>
  <c r="V222" i="4" s="1"/>
  <c r="K218" i="4"/>
  <c r="R218" i="4" s="1"/>
  <c r="U218" i="4" s="1"/>
  <c r="L218" i="4"/>
  <c r="S218" i="4" s="1"/>
  <c r="V218" i="4" s="1"/>
  <c r="K214" i="4"/>
  <c r="R214" i="4" s="1"/>
  <c r="U214" i="4" s="1"/>
  <c r="L214" i="4"/>
  <c r="S214" i="4" s="1"/>
  <c r="V214" i="4" s="1"/>
  <c r="K210" i="4"/>
  <c r="R210" i="4" s="1"/>
  <c r="U210" i="4" s="1"/>
  <c r="L210" i="4"/>
  <c r="S210" i="4" s="1"/>
  <c r="V210" i="4" s="1"/>
  <c r="K206" i="4"/>
  <c r="R206" i="4" s="1"/>
  <c r="U206" i="4" s="1"/>
  <c r="L206" i="4"/>
  <c r="S206" i="4" s="1"/>
  <c r="V206" i="4" s="1"/>
  <c r="K202" i="4"/>
  <c r="R202" i="4" s="1"/>
  <c r="U202" i="4" s="1"/>
  <c r="L202" i="4"/>
  <c r="S202" i="4" s="1"/>
  <c r="V202" i="4" s="1"/>
  <c r="K198" i="4"/>
  <c r="R198" i="4" s="1"/>
  <c r="U198" i="4" s="1"/>
  <c r="L198" i="4"/>
  <c r="S198" i="4" s="1"/>
  <c r="V198" i="4" s="1"/>
  <c r="K194" i="4"/>
  <c r="R194" i="4" s="1"/>
  <c r="U194" i="4" s="1"/>
  <c r="L194" i="4"/>
  <c r="S194" i="4" s="1"/>
  <c r="V194" i="4" s="1"/>
  <c r="K190" i="4"/>
  <c r="R190" i="4" s="1"/>
  <c r="U190" i="4" s="1"/>
  <c r="L190" i="4"/>
  <c r="S190" i="4" s="1"/>
  <c r="V190" i="4" s="1"/>
  <c r="K186" i="4"/>
  <c r="L186" i="4"/>
  <c r="S186" i="4" s="1"/>
  <c r="V186" i="4" s="1"/>
  <c r="K182" i="4"/>
  <c r="R182" i="4" s="1"/>
  <c r="U182" i="4" s="1"/>
  <c r="L182" i="4"/>
  <c r="S182" i="4" s="1"/>
  <c r="V182" i="4" s="1"/>
  <c r="K178" i="4"/>
  <c r="R178" i="4" s="1"/>
  <c r="U178" i="4" s="1"/>
  <c r="L178" i="4"/>
  <c r="S178" i="4" s="1"/>
  <c r="V178" i="4" s="1"/>
  <c r="K174" i="4"/>
  <c r="R174" i="4" s="1"/>
  <c r="U174" i="4" s="1"/>
  <c r="L174" i="4"/>
  <c r="S174" i="4" s="1"/>
  <c r="V174" i="4" s="1"/>
  <c r="K170" i="4"/>
  <c r="R170" i="4" s="1"/>
  <c r="U170" i="4" s="1"/>
  <c r="L170" i="4"/>
  <c r="S170" i="4" s="1"/>
  <c r="V170" i="4" s="1"/>
  <c r="K166" i="4"/>
  <c r="R166" i="4" s="1"/>
  <c r="U166" i="4" s="1"/>
  <c r="L166" i="4"/>
  <c r="S166" i="4" s="1"/>
  <c r="V166" i="4" s="1"/>
  <c r="K162" i="4"/>
  <c r="R162" i="4" s="1"/>
  <c r="U162" i="4" s="1"/>
  <c r="L162" i="4"/>
  <c r="S162" i="4" s="1"/>
  <c r="V162" i="4" s="1"/>
  <c r="K158" i="4"/>
  <c r="R158" i="4" s="1"/>
  <c r="U158" i="4" s="1"/>
  <c r="L158" i="4"/>
  <c r="S158" i="4" s="1"/>
  <c r="V158" i="4" s="1"/>
  <c r="K154" i="4"/>
  <c r="R154" i="4" s="1"/>
  <c r="U154" i="4" s="1"/>
  <c r="L154" i="4"/>
  <c r="S154" i="4" s="1"/>
  <c r="V154" i="4" s="1"/>
  <c r="K150" i="4"/>
  <c r="R150" i="4" s="1"/>
  <c r="U150" i="4" s="1"/>
  <c r="L150" i="4"/>
  <c r="S150" i="4" s="1"/>
  <c r="V150" i="4" s="1"/>
  <c r="K146" i="4"/>
  <c r="R146" i="4" s="1"/>
  <c r="U146" i="4" s="1"/>
  <c r="L146" i="4"/>
  <c r="S146" i="4" s="1"/>
  <c r="V146" i="4" s="1"/>
  <c r="K142" i="4"/>
  <c r="L142" i="4"/>
  <c r="S142" i="4" s="1"/>
  <c r="V142" i="4" s="1"/>
  <c r="K138" i="4"/>
  <c r="R138" i="4" s="1"/>
  <c r="U138" i="4" s="1"/>
  <c r="L138" i="4"/>
  <c r="S138" i="4" s="1"/>
  <c r="V138" i="4" s="1"/>
  <c r="K134" i="4"/>
  <c r="R134" i="4" s="1"/>
  <c r="U134" i="4" s="1"/>
  <c r="L134" i="4"/>
  <c r="S134" i="4" s="1"/>
  <c r="V134" i="4" s="1"/>
  <c r="K130" i="4"/>
  <c r="R130" i="4" s="1"/>
  <c r="U130" i="4" s="1"/>
  <c r="L130" i="4"/>
  <c r="S130" i="4" s="1"/>
  <c r="V130" i="4" s="1"/>
  <c r="K126" i="4"/>
  <c r="R126" i="4" s="1"/>
  <c r="U126" i="4" s="1"/>
  <c r="L126" i="4"/>
  <c r="S126" i="4" s="1"/>
  <c r="V126" i="4" s="1"/>
  <c r="K122" i="4"/>
  <c r="R122" i="4" s="1"/>
  <c r="U122" i="4" s="1"/>
  <c r="L122" i="4"/>
  <c r="S122" i="4" s="1"/>
  <c r="V122" i="4" s="1"/>
  <c r="K118" i="4"/>
  <c r="R118" i="4" s="1"/>
  <c r="U118" i="4" s="1"/>
  <c r="L118" i="4"/>
  <c r="S118" i="4" s="1"/>
  <c r="V118" i="4" s="1"/>
  <c r="K114" i="4"/>
  <c r="R114" i="4" s="1"/>
  <c r="U114" i="4" s="1"/>
  <c r="L114" i="4"/>
  <c r="S114" i="4" s="1"/>
  <c r="V114" i="4" s="1"/>
  <c r="K110" i="4"/>
  <c r="R110" i="4" s="1"/>
  <c r="U110" i="4" s="1"/>
  <c r="L110" i="4"/>
  <c r="S110" i="4" s="1"/>
  <c r="V110" i="4" s="1"/>
  <c r="K106" i="4"/>
  <c r="R106" i="4" s="1"/>
  <c r="U106" i="4" s="1"/>
  <c r="L106" i="4"/>
  <c r="S106" i="4" s="1"/>
  <c r="V106" i="4" s="1"/>
  <c r="K102" i="4"/>
  <c r="R102" i="4" s="1"/>
  <c r="U102" i="4" s="1"/>
  <c r="L102" i="4"/>
  <c r="S102" i="4" s="1"/>
  <c r="V102" i="4" s="1"/>
  <c r="K98" i="4"/>
  <c r="R98" i="4" s="1"/>
  <c r="U98" i="4" s="1"/>
  <c r="L98" i="4"/>
  <c r="S98" i="4" s="1"/>
  <c r="V98" i="4" s="1"/>
  <c r="K94" i="4"/>
  <c r="R94" i="4" s="1"/>
  <c r="U94" i="4" s="1"/>
  <c r="L94" i="4"/>
  <c r="S94" i="4" s="1"/>
  <c r="V94" i="4" s="1"/>
  <c r="K90" i="4"/>
  <c r="R90" i="4" s="1"/>
  <c r="U90" i="4" s="1"/>
  <c r="L90" i="4"/>
  <c r="S90" i="4" s="1"/>
  <c r="V90" i="4" s="1"/>
  <c r="K86" i="4"/>
  <c r="R86" i="4" s="1"/>
  <c r="U86" i="4" s="1"/>
  <c r="L86" i="4"/>
  <c r="S86" i="4" s="1"/>
  <c r="V86" i="4" s="1"/>
  <c r="K82" i="4"/>
  <c r="R82" i="4" s="1"/>
  <c r="U82" i="4" s="1"/>
  <c r="L82" i="4"/>
  <c r="S82" i="4" s="1"/>
  <c r="V82" i="4" s="1"/>
  <c r="K78" i="4"/>
  <c r="R78" i="4" s="1"/>
  <c r="U78" i="4" s="1"/>
  <c r="L78" i="4"/>
  <c r="S78" i="4" s="1"/>
  <c r="V78" i="4" s="1"/>
  <c r="K74" i="4"/>
  <c r="R74" i="4" s="1"/>
  <c r="U74" i="4" s="1"/>
  <c r="L74" i="4"/>
  <c r="S74" i="4" s="1"/>
  <c r="V74" i="4" s="1"/>
  <c r="K70" i="4"/>
  <c r="R70" i="4" s="1"/>
  <c r="U70" i="4" s="1"/>
  <c r="L70" i="4"/>
  <c r="S70" i="4" s="1"/>
  <c r="V70" i="4" s="1"/>
  <c r="K66" i="4"/>
  <c r="R66" i="4" s="1"/>
  <c r="U66" i="4" s="1"/>
  <c r="L66" i="4"/>
  <c r="S66" i="4" s="1"/>
  <c r="V66" i="4" s="1"/>
  <c r="K62" i="4"/>
  <c r="R62" i="4" s="1"/>
  <c r="U62" i="4" s="1"/>
  <c r="L62" i="4"/>
  <c r="S62" i="4" s="1"/>
  <c r="V62" i="4" s="1"/>
  <c r="K58" i="4"/>
  <c r="R58" i="4" s="1"/>
  <c r="U58" i="4" s="1"/>
  <c r="L58" i="4"/>
  <c r="S58" i="4" s="1"/>
  <c r="V58" i="4" s="1"/>
  <c r="K54" i="4"/>
  <c r="R54" i="4" s="1"/>
  <c r="U54" i="4" s="1"/>
  <c r="L54" i="4"/>
  <c r="S54" i="4" s="1"/>
  <c r="V54" i="4" s="1"/>
  <c r="K50" i="4"/>
  <c r="R50" i="4" s="1"/>
  <c r="U50" i="4" s="1"/>
  <c r="L50" i="4"/>
  <c r="S50" i="4" s="1"/>
  <c r="V50" i="4" s="1"/>
  <c r="K46" i="4"/>
  <c r="R46" i="4" s="1"/>
  <c r="U46" i="4" s="1"/>
  <c r="L46" i="4"/>
  <c r="S46" i="4" s="1"/>
  <c r="V46" i="4" s="1"/>
  <c r="K42" i="4"/>
  <c r="R42" i="4" s="1"/>
  <c r="U42" i="4" s="1"/>
  <c r="L42" i="4"/>
  <c r="S42" i="4" s="1"/>
  <c r="V42" i="4" s="1"/>
  <c r="K38" i="4"/>
  <c r="R38" i="4" s="1"/>
  <c r="U38" i="4" s="1"/>
  <c r="L38" i="4"/>
  <c r="S38" i="4" s="1"/>
  <c r="V38" i="4" s="1"/>
  <c r="K34" i="4"/>
  <c r="R34" i="4" s="1"/>
  <c r="U34" i="4" s="1"/>
  <c r="L34" i="4"/>
  <c r="S34" i="4" s="1"/>
  <c r="V34" i="4" s="1"/>
  <c r="K30" i="4"/>
  <c r="R30" i="4" s="1"/>
  <c r="U30" i="4" s="1"/>
  <c r="L30" i="4"/>
  <c r="S30" i="4" s="1"/>
  <c r="V30" i="4" s="1"/>
  <c r="K26" i="4"/>
  <c r="R26" i="4" s="1"/>
  <c r="U26" i="4" s="1"/>
  <c r="L26" i="4"/>
  <c r="S26" i="4" s="1"/>
  <c r="V26" i="4" s="1"/>
  <c r="K22" i="4"/>
  <c r="R22" i="4" s="1"/>
  <c r="U22" i="4" s="1"/>
  <c r="L22" i="4"/>
  <c r="S22" i="4" s="1"/>
  <c r="V22" i="4" s="1"/>
  <c r="K18" i="4"/>
  <c r="R18" i="4" s="1"/>
  <c r="U18" i="4" s="1"/>
  <c r="C18" i="4" s="1"/>
  <c r="B18" i="4" s="1"/>
  <c r="L18" i="4"/>
  <c r="S18" i="4" s="1"/>
  <c r="V18" i="4" s="1"/>
  <c r="K14" i="4"/>
  <c r="L14" i="4"/>
  <c r="S14" i="4" s="1"/>
  <c r="V14" i="4" s="1"/>
  <c r="K10" i="4"/>
  <c r="L10" i="4"/>
  <c r="S10" i="4" s="1"/>
  <c r="V10" i="4" s="1"/>
  <c r="K6" i="4"/>
  <c r="R6" i="4" s="1"/>
  <c r="L6" i="4"/>
  <c r="S6" i="4" s="1"/>
  <c r="K732" i="4"/>
  <c r="R732" i="4" s="1"/>
  <c r="U732" i="4" s="1"/>
  <c r="L732" i="4"/>
  <c r="S732" i="4" s="1"/>
  <c r="V732" i="4" s="1"/>
  <c r="K728" i="4"/>
  <c r="R728" i="4" s="1"/>
  <c r="U728" i="4" s="1"/>
  <c r="L728" i="4"/>
  <c r="S728" i="4" s="1"/>
  <c r="V728" i="4" s="1"/>
  <c r="K724" i="4"/>
  <c r="R724" i="4" s="1"/>
  <c r="U724" i="4" s="1"/>
  <c r="L724" i="4"/>
  <c r="S724" i="4" s="1"/>
  <c r="V724" i="4" s="1"/>
  <c r="K720" i="4"/>
  <c r="R720" i="4" s="1"/>
  <c r="U720" i="4" s="1"/>
  <c r="L720" i="4"/>
  <c r="S720" i="4" s="1"/>
  <c r="V720" i="4" s="1"/>
  <c r="K716" i="4"/>
  <c r="R716" i="4" s="1"/>
  <c r="U716" i="4" s="1"/>
  <c r="L716" i="4"/>
  <c r="S716" i="4" s="1"/>
  <c r="V716" i="4" s="1"/>
  <c r="K712" i="4"/>
  <c r="R712" i="4" s="1"/>
  <c r="U712" i="4" s="1"/>
  <c r="L712" i="4"/>
  <c r="S712" i="4" s="1"/>
  <c r="V712" i="4" s="1"/>
  <c r="K708" i="4"/>
  <c r="R708" i="4" s="1"/>
  <c r="U708" i="4" s="1"/>
  <c r="L708" i="4"/>
  <c r="S708" i="4" s="1"/>
  <c r="V708" i="4" s="1"/>
  <c r="K704" i="4"/>
  <c r="R704" i="4" s="1"/>
  <c r="U704" i="4" s="1"/>
  <c r="L704" i="4"/>
  <c r="S704" i="4" s="1"/>
  <c r="V704" i="4" s="1"/>
  <c r="K700" i="4"/>
  <c r="R700" i="4" s="1"/>
  <c r="U700" i="4" s="1"/>
  <c r="L700" i="4"/>
  <c r="S700" i="4" s="1"/>
  <c r="V700" i="4" s="1"/>
  <c r="K696" i="4"/>
  <c r="R696" i="4" s="1"/>
  <c r="U696" i="4" s="1"/>
  <c r="L696" i="4"/>
  <c r="S696" i="4" s="1"/>
  <c r="V696" i="4" s="1"/>
  <c r="K692" i="4"/>
  <c r="R692" i="4" s="1"/>
  <c r="U692" i="4" s="1"/>
  <c r="L692" i="4"/>
  <c r="S692" i="4" s="1"/>
  <c r="V692" i="4" s="1"/>
  <c r="K688" i="4"/>
  <c r="R688" i="4" s="1"/>
  <c r="U688" i="4" s="1"/>
  <c r="L688" i="4"/>
  <c r="S688" i="4" s="1"/>
  <c r="V688" i="4" s="1"/>
  <c r="K684" i="4"/>
  <c r="R684" i="4" s="1"/>
  <c r="U684" i="4" s="1"/>
  <c r="L684" i="4"/>
  <c r="S684" i="4" s="1"/>
  <c r="V684" i="4" s="1"/>
  <c r="K680" i="4"/>
  <c r="R680" i="4" s="1"/>
  <c r="U680" i="4" s="1"/>
  <c r="L680" i="4"/>
  <c r="S680" i="4" s="1"/>
  <c r="V680" i="4" s="1"/>
  <c r="K676" i="4"/>
  <c r="R676" i="4" s="1"/>
  <c r="U676" i="4" s="1"/>
  <c r="L676" i="4"/>
  <c r="S676" i="4" s="1"/>
  <c r="V676" i="4" s="1"/>
  <c r="K672" i="4"/>
  <c r="R672" i="4" s="1"/>
  <c r="U672" i="4" s="1"/>
  <c r="L672" i="4"/>
  <c r="S672" i="4" s="1"/>
  <c r="V672" i="4" s="1"/>
  <c r="K668" i="4"/>
  <c r="R668" i="4" s="1"/>
  <c r="U668" i="4" s="1"/>
  <c r="L668" i="4"/>
  <c r="S668" i="4" s="1"/>
  <c r="V668" i="4" s="1"/>
  <c r="K664" i="4"/>
  <c r="R664" i="4" s="1"/>
  <c r="U664" i="4" s="1"/>
  <c r="L664" i="4"/>
  <c r="S664" i="4" s="1"/>
  <c r="V664" i="4" s="1"/>
  <c r="K660" i="4"/>
  <c r="R660" i="4" s="1"/>
  <c r="U660" i="4" s="1"/>
  <c r="L660" i="4"/>
  <c r="S660" i="4" s="1"/>
  <c r="V660" i="4" s="1"/>
  <c r="K656" i="4"/>
  <c r="R656" i="4" s="1"/>
  <c r="U656" i="4" s="1"/>
  <c r="L656" i="4"/>
  <c r="S656" i="4" s="1"/>
  <c r="V656" i="4" s="1"/>
  <c r="K652" i="4"/>
  <c r="R652" i="4" s="1"/>
  <c r="U652" i="4" s="1"/>
  <c r="L652" i="4"/>
  <c r="S652" i="4" s="1"/>
  <c r="V652" i="4" s="1"/>
  <c r="K648" i="4"/>
  <c r="R648" i="4" s="1"/>
  <c r="U648" i="4" s="1"/>
  <c r="L648" i="4"/>
  <c r="S648" i="4" s="1"/>
  <c r="V648" i="4" s="1"/>
  <c r="K644" i="4"/>
  <c r="R644" i="4" s="1"/>
  <c r="U644" i="4" s="1"/>
  <c r="L644" i="4"/>
  <c r="S644" i="4" s="1"/>
  <c r="V644" i="4" s="1"/>
  <c r="K640" i="4"/>
  <c r="R640" i="4" s="1"/>
  <c r="U640" i="4" s="1"/>
  <c r="L640" i="4"/>
  <c r="S640" i="4" s="1"/>
  <c r="V640" i="4" s="1"/>
  <c r="K636" i="4"/>
  <c r="R636" i="4" s="1"/>
  <c r="U636" i="4" s="1"/>
  <c r="L636" i="4"/>
  <c r="S636" i="4" s="1"/>
  <c r="V636" i="4" s="1"/>
  <c r="K632" i="4"/>
  <c r="R632" i="4" s="1"/>
  <c r="U632" i="4" s="1"/>
  <c r="L632" i="4"/>
  <c r="S632" i="4" s="1"/>
  <c r="V632" i="4" s="1"/>
  <c r="K628" i="4"/>
  <c r="R628" i="4" s="1"/>
  <c r="U628" i="4" s="1"/>
  <c r="L628" i="4"/>
  <c r="S628" i="4" s="1"/>
  <c r="V628" i="4" s="1"/>
  <c r="K624" i="4"/>
  <c r="R624" i="4" s="1"/>
  <c r="U624" i="4" s="1"/>
  <c r="L624" i="4"/>
  <c r="S624" i="4" s="1"/>
  <c r="V624" i="4" s="1"/>
  <c r="K620" i="4"/>
  <c r="R620" i="4" s="1"/>
  <c r="U620" i="4" s="1"/>
  <c r="L620" i="4"/>
  <c r="S620" i="4" s="1"/>
  <c r="V620" i="4" s="1"/>
  <c r="K616" i="4"/>
  <c r="R616" i="4" s="1"/>
  <c r="U616" i="4" s="1"/>
  <c r="L616" i="4"/>
  <c r="S616" i="4" s="1"/>
  <c r="V616" i="4" s="1"/>
  <c r="K612" i="4"/>
  <c r="R612" i="4" s="1"/>
  <c r="U612" i="4" s="1"/>
  <c r="L612" i="4"/>
  <c r="S612" i="4" s="1"/>
  <c r="V612" i="4" s="1"/>
  <c r="K608" i="4"/>
  <c r="R608" i="4" s="1"/>
  <c r="U608" i="4" s="1"/>
  <c r="L608" i="4"/>
  <c r="S608" i="4" s="1"/>
  <c r="V608" i="4" s="1"/>
  <c r="K604" i="4"/>
  <c r="R604" i="4" s="1"/>
  <c r="U604" i="4" s="1"/>
  <c r="L604" i="4"/>
  <c r="S604" i="4" s="1"/>
  <c r="V604" i="4" s="1"/>
  <c r="K600" i="4"/>
  <c r="R600" i="4" s="1"/>
  <c r="U600" i="4" s="1"/>
  <c r="L600" i="4"/>
  <c r="S600" i="4" s="1"/>
  <c r="V600" i="4" s="1"/>
  <c r="K596" i="4"/>
  <c r="R596" i="4" s="1"/>
  <c r="U596" i="4" s="1"/>
  <c r="L596" i="4"/>
  <c r="S596" i="4" s="1"/>
  <c r="V596" i="4" s="1"/>
  <c r="R677" i="4"/>
  <c r="U677" i="4" s="1"/>
  <c r="R675" i="4"/>
  <c r="U675" i="4" s="1"/>
  <c r="R673" i="4"/>
  <c r="U673" i="4" s="1"/>
  <c r="R671" i="4"/>
  <c r="U671" i="4" s="1"/>
  <c r="R669" i="4"/>
  <c r="U669" i="4" s="1"/>
  <c r="R667" i="4"/>
  <c r="U667" i="4" s="1"/>
  <c r="R665" i="4"/>
  <c r="U665" i="4" s="1"/>
  <c r="R663" i="4"/>
  <c r="U663" i="4" s="1"/>
  <c r="R661" i="4"/>
  <c r="U661" i="4" s="1"/>
  <c r="R659" i="4"/>
  <c r="U659" i="4" s="1"/>
  <c r="R657" i="4"/>
  <c r="U657" i="4" s="1"/>
  <c r="R655" i="4"/>
  <c r="U655" i="4" s="1"/>
  <c r="R653" i="4"/>
  <c r="U653" i="4" s="1"/>
  <c r="R651" i="4"/>
  <c r="U651" i="4" s="1"/>
  <c r="R649" i="4"/>
  <c r="U649" i="4" s="1"/>
  <c r="R647" i="4"/>
  <c r="U647" i="4" s="1"/>
  <c r="R645" i="4"/>
  <c r="U645" i="4" s="1"/>
  <c r="R643" i="4"/>
  <c r="U643" i="4" s="1"/>
  <c r="R641" i="4"/>
  <c r="U641" i="4" s="1"/>
  <c r="R639" i="4"/>
  <c r="U639" i="4" s="1"/>
  <c r="R637" i="4"/>
  <c r="U637" i="4" s="1"/>
  <c r="R635" i="4"/>
  <c r="U635" i="4" s="1"/>
  <c r="R633" i="4"/>
  <c r="U633" i="4" s="1"/>
  <c r="R631" i="4"/>
  <c r="U631" i="4" s="1"/>
  <c r="R629" i="4"/>
  <c r="U629" i="4" s="1"/>
  <c r="R627" i="4"/>
  <c r="U627" i="4" s="1"/>
  <c r="R625" i="4"/>
  <c r="U625" i="4" s="1"/>
  <c r="R623" i="4"/>
  <c r="U623" i="4" s="1"/>
  <c r="R621" i="4"/>
  <c r="U621" i="4" s="1"/>
  <c r="R619" i="4"/>
  <c r="U619" i="4" s="1"/>
  <c r="R617" i="4"/>
  <c r="U617" i="4" s="1"/>
  <c r="R615" i="4"/>
  <c r="U615" i="4" s="1"/>
  <c r="R613" i="4"/>
  <c r="U613" i="4" s="1"/>
  <c r="R611" i="4"/>
  <c r="U611" i="4" s="1"/>
  <c r="R609" i="4"/>
  <c r="U609" i="4" s="1"/>
  <c r="R607" i="4"/>
  <c r="U607" i="4" s="1"/>
  <c r="R605" i="4"/>
  <c r="U605" i="4" s="1"/>
  <c r="R603" i="4"/>
  <c r="U603" i="4" s="1"/>
  <c r="R601" i="4"/>
  <c r="U601" i="4" s="1"/>
  <c r="R599" i="4"/>
  <c r="U599" i="4" s="1"/>
  <c r="R597" i="4"/>
  <c r="U597" i="4" s="1"/>
  <c r="R595" i="4"/>
  <c r="U595" i="4" s="1"/>
  <c r="R593" i="4"/>
  <c r="U593" i="4" s="1"/>
  <c r="R591" i="4"/>
  <c r="U591" i="4" s="1"/>
  <c r="R589" i="4"/>
  <c r="U589" i="4" s="1"/>
  <c r="R587" i="4"/>
  <c r="U587" i="4" s="1"/>
  <c r="R585" i="4"/>
  <c r="U585" i="4" s="1"/>
  <c r="R583" i="4"/>
  <c r="U583" i="4" s="1"/>
  <c r="R581" i="4"/>
  <c r="U581" i="4" s="1"/>
  <c r="R579" i="4"/>
  <c r="U579" i="4" s="1"/>
  <c r="R577" i="4"/>
  <c r="U577" i="4" s="1"/>
  <c r="R575" i="4"/>
  <c r="U575" i="4" s="1"/>
  <c r="R573" i="4"/>
  <c r="U573" i="4" s="1"/>
  <c r="R571" i="4"/>
  <c r="U571" i="4" s="1"/>
  <c r="R569" i="4"/>
  <c r="U569" i="4" s="1"/>
  <c r="R567" i="4"/>
  <c r="U567" i="4" s="1"/>
  <c r="R565" i="4"/>
  <c r="U565" i="4" s="1"/>
  <c r="R563" i="4"/>
  <c r="U563" i="4" s="1"/>
  <c r="R561" i="4"/>
  <c r="U561" i="4" s="1"/>
  <c r="R559" i="4"/>
  <c r="U559" i="4" s="1"/>
  <c r="R557" i="4"/>
  <c r="U557" i="4" s="1"/>
  <c r="R555" i="4"/>
  <c r="U555" i="4" s="1"/>
  <c r="R553" i="4"/>
  <c r="U553" i="4" s="1"/>
  <c r="R551" i="4"/>
  <c r="U551" i="4" s="1"/>
  <c r="R549" i="4"/>
  <c r="U549" i="4" s="1"/>
  <c r="R547" i="4"/>
  <c r="U547" i="4" s="1"/>
  <c r="R545" i="4"/>
  <c r="U545" i="4" s="1"/>
  <c r="R543" i="4"/>
  <c r="U543" i="4" s="1"/>
  <c r="R541" i="4"/>
  <c r="U541" i="4" s="1"/>
  <c r="R539" i="4"/>
  <c r="U539" i="4" s="1"/>
  <c r="R537" i="4"/>
  <c r="U537" i="4" s="1"/>
  <c r="R535" i="4"/>
  <c r="U535" i="4" s="1"/>
  <c r="R533" i="4"/>
  <c r="U533" i="4" s="1"/>
  <c r="R531" i="4"/>
  <c r="U531" i="4" s="1"/>
  <c r="R529" i="4"/>
  <c r="U529" i="4" s="1"/>
  <c r="R527" i="4"/>
  <c r="U527" i="4" s="1"/>
  <c r="R525" i="4"/>
  <c r="U525" i="4" s="1"/>
  <c r="R523" i="4"/>
  <c r="U523" i="4" s="1"/>
  <c r="R521" i="4"/>
  <c r="U521" i="4" s="1"/>
  <c r="R519" i="4"/>
  <c r="U519" i="4" s="1"/>
  <c r="R517" i="4"/>
  <c r="U517" i="4" s="1"/>
  <c r="R515" i="4"/>
  <c r="U515" i="4" s="1"/>
  <c r="R513" i="4"/>
  <c r="U513" i="4" s="1"/>
  <c r="R511" i="4"/>
  <c r="U511" i="4" s="1"/>
  <c r="R509" i="4"/>
  <c r="U509" i="4" s="1"/>
  <c r="R507" i="4"/>
  <c r="U507" i="4" s="1"/>
  <c r="R505" i="4"/>
  <c r="U505" i="4" s="1"/>
  <c r="R503" i="4"/>
  <c r="U503" i="4" s="1"/>
  <c r="R501" i="4"/>
  <c r="U501" i="4" s="1"/>
  <c r="R499" i="4"/>
  <c r="U499" i="4" s="1"/>
  <c r="R497" i="4"/>
  <c r="U497" i="4" s="1"/>
  <c r="R495" i="4"/>
  <c r="U495" i="4" s="1"/>
  <c r="R493" i="4"/>
  <c r="U493" i="4" s="1"/>
  <c r="R491" i="4"/>
  <c r="U491" i="4" s="1"/>
  <c r="R489" i="4"/>
  <c r="U489" i="4" s="1"/>
  <c r="R487" i="4"/>
  <c r="U487" i="4" s="1"/>
  <c r="R485" i="4"/>
  <c r="U485" i="4" s="1"/>
  <c r="R483" i="4"/>
  <c r="U483" i="4" s="1"/>
  <c r="R481" i="4"/>
  <c r="U481" i="4" s="1"/>
  <c r="R479" i="4"/>
  <c r="U479" i="4" s="1"/>
  <c r="R477" i="4"/>
  <c r="U477" i="4" s="1"/>
  <c r="R475" i="4"/>
  <c r="U475" i="4" s="1"/>
  <c r="R473" i="4"/>
  <c r="U473" i="4" s="1"/>
  <c r="R471" i="4"/>
  <c r="U471" i="4" s="1"/>
  <c r="R469" i="4"/>
  <c r="U469" i="4" s="1"/>
  <c r="R467" i="4"/>
  <c r="U467" i="4" s="1"/>
  <c r="R465" i="4"/>
  <c r="U465" i="4" s="1"/>
  <c r="R463" i="4"/>
  <c r="U463" i="4" s="1"/>
  <c r="R461" i="4"/>
  <c r="U461" i="4" s="1"/>
  <c r="R459" i="4"/>
  <c r="U459" i="4" s="1"/>
  <c r="R457" i="4"/>
  <c r="U457" i="4" s="1"/>
  <c r="R455" i="4"/>
  <c r="U455" i="4" s="1"/>
  <c r="R453" i="4"/>
  <c r="U453" i="4" s="1"/>
  <c r="R451" i="4"/>
  <c r="U451" i="4" s="1"/>
  <c r="R449" i="4"/>
  <c r="U449" i="4" s="1"/>
  <c r="R447" i="4"/>
  <c r="U447" i="4" s="1"/>
  <c r="R445" i="4"/>
  <c r="U445" i="4" s="1"/>
  <c r="R443" i="4"/>
  <c r="U443" i="4" s="1"/>
  <c r="R441" i="4"/>
  <c r="U441" i="4" s="1"/>
  <c r="R439" i="4"/>
  <c r="U439" i="4" s="1"/>
  <c r="R437" i="4"/>
  <c r="U437" i="4" s="1"/>
  <c r="R435" i="4"/>
  <c r="U435" i="4" s="1"/>
  <c r="R433" i="4"/>
  <c r="U433" i="4" s="1"/>
  <c r="R431" i="4"/>
  <c r="U431" i="4" s="1"/>
  <c r="R429" i="4"/>
  <c r="U429" i="4" s="1"/>
  <c r="R427" i="4"/>
  <c r="U427" i="4" s="1"/>
  <c r="R425" i="4"/>
  <c r="U425" i="4" s="1"/>
  <c r="R423" i="4"/>
  <c r="U423" i="4" s="1"/>
  <c r="R421" i="4"/>
  <c r="U421" i="4" s="1"/>
  <c r="R419" i="4"/>
  <c r="U419" i="4" s="1"/>
  <c r="R417" i="4"/>
  <c r="U417" i="4" s="1"/>
  <c r="R415" i="4"/>
  <c r="U415" i="4" s="1"/>
  <c r="R413" i="4"/>
  <c r="U413" i="4" s="1"/>
  <c r="R411" i="4"/>
  <c r="U411" i="4" s="1"/>
  <c r="R409" i="4"/>
  <c r="U409" i="4" s="1"/>
  <c r="R407" i="4"/>
  <c r="U407" i="4" s="1"/>
  <c r="R405" i="4"/>
  <c r="U405" i="4" s="1"/>
  <c r="R403" i="4"/>
  <c r="U403" i="4" s="1"/>
  <c r="R401" i="4"/>
  <c r="U401" i="4" s="1"/>
  <c r="R399" i="4"/>
  <c r="U399" i="4" s="1"/>
  <c r="R397" i="4"/>
  <c r="U397" i="4" s="1"/>
  <c r="R395" i="4"/>
  <c r="U395" i="4" s="1"/>
  <c r="R393" i="4"/>
  <c r="U393" i="4" s="1"/>
  <c r="R391" i="4"/>
  <c r="U391" i="4" s="1"/>
  <c r="R389" i="4"/>
  <c r="U389" i="4" s="1"/>
  <c r="R387" i="4"/>
  <c r="U387" i="4" s="1"/>
  <c r="R385" i="4"/>
  <c r="U385" i="4" s="1"/>
  <c r="R383" i="4"/>
  <c r="U383" i="4" s="1"/>
  <c r="R381" i="4"/>
  <c r="U381" i="4" s="1"/>
  <c r="R379" i="4"/>
  <c r="U379" i="4" s="1"/>
  <c r="R377" i="4"/>
  <c r="U377" i="4" s="1"/>
  <c r="R375" i="4"/>
  <c r="U375" i="4" s="1"/>
  <c r="R373" i="4"/>
  <c r="U373" i="4" s="1"/>
  <c r="R371" i="4"/>
  <c r="U371" i="4" s="1"/>
  <c r="R369" i="4"/>
  <c r="U369" i="4" s="1"/>
  <c r="R367" i="4"/>
  <c r="U367" i="4" s="1"/>
  <c r="R365" i="4"/>
  <c r="U365" i="4" s="1"/>
  <c r="R363" i="4"/>
  <c r="U363" i="4" s="1"/>
  <c r="R361" i="4"/>
  <c r="U361" i="4" s="1"/>
  <c r="R359" i="4"/>
  <c r="U359" i="4" s="1"/>
  <c r="R357" i="4"/>
  <c r="U357" i="4" s="1"/>
  <c r="R355" i="4"/>
  <c r="U355" i="4" s="1"/>
  <c r="R353" i="4"/>
  <c r="U353" i="4" s="1"/>
  <c r="R351" i="4"/>
  <c r="U351" i="4" s="1"/>
  <c r="R349" i="4"/>
  <c r="U349" i="4" s="1"/>
  <c r="R347" i="4"/>
  <c r="U347" i="4" s="1"/>
  <c r="R345" i="4"/>
  <c r="U345" i="4" s="1"/>
  <c r="R343" i="4"/>
  <c r="U343" i="4" s="1"/>
  <c r="R341" i="4"/>
  <c r="U341" i="4" s="1"/>
  <c r="R339" i="4"/>
  <c r="U339" i="4" s="1"/>
  <c r="R337" i="4"/>
  <c r="U337" i="4" s="1"/>
  <c r="R335" i="4"/>
  <c r="U335" i="4" s="1"/>
  <c r="R333" i="4"/>
  <c r="U333" i="4" s="1"/>
  <c r="R331" i="4"/>
  <c r="U331" i="4" s="1"/>
  <c r="R329" i="4"/>
  <c r="U329" i="4" s="1"/>
  <c r="R327" i="4"/>
  <c r="U327" i="4" s="1"/>
  <c r="R325" i="4"/>
  <c r="U325" i="4" s="1"/>
  <c r="R323" i="4"/>
  <c r="U323" i="4" s="1"/>
  <c r="R321" i="4"/>
  <c r="U321" i="4" s="1"/>
  <c r="R319" i="4"/>
  <c r="U319" i="4" s="1"/>
  <c r="R317" i="4"/>
  <c r="U317" i="4" s="1"/>
  <c r="R315" i="4"/>
  <c r="U315" i="4" s="1"/>
  <c r="R313" i="4"/>
  <c r="U313" i="4" s="1"/>
  <c r="R311" i="4"/>
  <c r="U311" i="4" s="1"/>
  <c r="R309" i="4"/>
  <c r="U309" i="4" s="1"/>
  <c r="R307" i="4"/>
  <c r="U307" i="4" s="1"/>
  <c r="R305" i="4"/>
  <c r="U305" i="4" s="1"/>
  <c r="R303" i="4"/>
  <c r="U303" i="4" s="1"/>
  <c r="R301" i="4"/>
  <c r="U301" i="4" s="1"/>
  <c r="R299" i="4"/>
  <c r="U299" i="4" s="1"/>
  <c r="R297" i="4"/>
  <c r="U297" i="4" s="1"/>
  <c r="R295" i="4"/>
  <c r="U295" i="4" s="1"/>
  <c r="R293" i="4"/>
  <c r="U293" i="4" s="1"/>
  <c r="R291" i="4"/>
  <c r="U291" i="4" s="1"/>
  <c r="R289" i="4"/>
  <c r="U289" i="4" s="1"/>
  <c r="R287" i="4"/>
  <c r="U287" i="4" s="1"/>
  <c r="R285" i="4"/>
  <c r="U285" i="4" s="1"/>
  <c r="R283" i="4"/>
  <c r="U283" i="4" s="1"/>
  <c r="R281" i="4"/>
  <c r="U281" i="4" s="1"/>
  <c r="R279" i="4"/>
  <c r="U279" i="4" s="1"/>
  <c r="R277" i="4"/>
  <c r="U277" i="4" s="1"/>
  <c r="R275" i="4"/>
  <c r="U275" i="4" s="1"/>
  <c r="R273" i="4"/>
  <c r="U273" i="4" s="1"/>
  <c r="R271" i="4"/>
  <c r="U271" i="4" s="1"/>
  <c r="R269" i="4"/>
  <c r="U269" i="4" s="1"/>
  <c r="R267" i="4"/>
  <c r="U267" i="4" s="1"/>
  <c r="R265" i="4"/>
  <c r="U265" i="4" s="1"/>
  <c r="R263" i="4"/>
  <c r="U263" i="4" s="1"/>
  <c r="R261" i="4"/>
  <c r="U261" i="4" s="1"/>
  <c r="R259" i="4"/>
  <c r="U259" i="4" s="1"/>
  <c r="R257" i="4"/>
  <c r="U257" i="4" s="1"/>
  <c r="R255" i="4"/>
  <c r="U255" i="4" s="1"/>
  <c r="R253" i="4"/>
  <c r="U253" i="4" s="1"/>
  <c r="R251" i="4"/>
  <c r="U251" i="4" s="1"/>
  <c r="R249" i="4"/>
  <c r="U249" i="4" s="1"/>
  <c r="R247" i="4"/>
  <c r="U247" i="4" s="1"/>
  <c r="R245" i="4"/>
  <c r="U245" i="4" s="1"/>
  <c r="R243" i="4"/>
  <c r="U243" i="4" s="1"/>
  <c r="R241" i="4"/>
  <c r="U241" i="4" s="1"/>
  <c r="R239" i="4"/>
  <c r="U239" i="4" s="1"/>
  <c r="R237" i="4"/>
  <c r="U237" i="4" s="1"/>
  <c r="R235" i="4"/>
  <c r="U235" i="4" s="1"/>
  <c r="R233" i="4"/>
  <c r="U233" i="4" s="1"/>
  <c r="R231" i="4"/>
  <c r="U231" i="4" s="1"/>
  <c r="R229" i="4"/>
  <c r="U229" i="4" s="1"/>
  <c r="R227" i="4"/>
  <c r="U227" i="4" s="1"/>
  <c r="R225" i="4"/>
  <c r="U225" i="4" s="1"/>
  <c r="R223" i="4"/>
  <c r="U223" i="4" s="1"/>
  <c r="R221" i="4"/>
  <c r="U221" i="4" s="1"/>
  <c r="R219" i="4"/>
  <c r="U219" i="4" s="1"/>
  <c r="R217" i="4"/>
  <c r="U217" i="4" s="1"/>
  <c r="R215" i="4"/>
  <c r="U215" i="4" s="1"/>
  <c r="R213" i="4"/>
  <c r="U213" i="4" s="1"/>
  <c r="R211" i="4"/>
  <c r="U211" i="4" s="1"/>
  <c r="R209" i="4"/>
  <c r="U209" i="4" s="1"/>
  <c r="R207" i="4"/>
  <c r="U207" i="4" s="1"/>
  <c r="R205" i="4"/>
  <c r="U205" i="4" s="1"/>
  <c r="R203" i="4"/>
  <c r="U203" i="4" s="1"/>
  <c r="R201" i="4"/>
  <c r="U201" i="4" s="1"/>
  <c r="R199" i="4"/>
  <c r="U199" i="4" s="1"/>
  <c r="R197" i="4"/>
  <c r="U197" i="4" s="1"/>
  <c r="R195" i="4"/>
  <c r="U195" i="4" s="1"/>
  <c r="R193" i="4"/>
  <c r="U193" i="4" s="1"/>
  <c r="R191" i="4"/>
  <c r="U191" i="4" s="1"/>
  <c r="R189" i="4"/>
  <c r="U189" i="4" s="1"/>
  <c r="R187" i="4"/>
  <c r="U187" i="4" s="1"/>
  <c r="R185" i="4"/>
  <c r="U185" i="4" s="1"/>
  <c r="R183" i="4"/>
  <c r="U183" i="4" s="1"/>
  <c r="R181" i="4"/>
  <c r="U181" i="4" s="1"/>
  <c r="R179" i="4"/>
  <c r="U179" i="4" s="1"/>
  <c r="R177" i="4"/>
  <c r="U177" i="4" s="1"/>
  <c r="R175" i="4"/>
  <c r="U175" i="4" s="1"/>
  <c r="R173" i="4"/>
  <c r="U173" i="4" s="1"/>
  <c r="R171" i="4"/>
  <c r="U171" i="4" s="1"/>
  <c r="R169" i="4"/>
  <c r="U169" i="4" s="1"/>
  <c r="R167" i="4"/>
  <c r="U167" i="4" s="1"/>
  <c r="R165" i="4"/>
  <c r="U165" i="4" s="1"/>
  <c r="R163" i="4"/>
  <c r="U163" i="4" s="1"/>
  <c r="R161" i="4"/>
  <c r="U161" i="4" s="1"/>
  <c r="R159" i="4"/>
  <c r="U159" i="4" s="1"/>
  <c r="R157" i="4"/>
  <c r="U157" i="4" s="1"/>
  <c r="R155" i="4"/>
  <c r="U155" i="4" s="1"/>
  <c r="R153" i="4"/>
  <c r="U153" i="4" s="1"/>
  <c r="R151" i="4"/>
  <c r="U151" i="4" s="1"/>
  <c r="R149" i="4"/>
  <c r="U149" i="4" s="1"/>
  <c r="R147" i="4"/>
  <c r="U147" i="4" s="1"/>
  <c r="R145" i="4"/>
  <c r="U145" i="4" s="1"/>
  <c r="R143" i="4"/>
  <c r="U143" i="4" s="1"/>
  <c r="R141" i="4"/>
  <c r="U141" i="4" s="1"/>
  <c r="R139" i="4"/>
  <c r="U139" i="4" s="1"/>
  <c r="R137" i="4"/>
  <c r="U137" i="4" s="1"/>
  <c r="R135" i="4"/>
  <c r="U135" i="4" s="1"/>
  <c r="R133" i="4"/>
  <c r="U133" i="4" s="1"/>
  <c r="R131" i="4"/>
  <c r="U131" i="4" s="1"/>
  <c r="R129" i="4"/>
  <c r="U129" i="4" s="1"/>
  <c r="R127" i="4"/>
  <c r="U127" i="4" s="1"/>
  <c r="R125" i="4"/>
  <c r="U125" i="4" s="1"/>
  <c r="R123" i="4"/>
  <c r="U123" i="4" s="1"/>
  <c r="R121" i="4"/>
  <c r="U121" i="4" s="1"/>
  <c r="R119" i="4"/>
  <c r="U119" i="4" s="1"/>
  <c r="R117" i="4"/>
  <c r="U117" i="4" s="1"/>
  <c r="R115" i="4"/>
  <c r="U115" i="4" s="1"/>
  <c r="R113" i="4"/>
  <c r="U113" i="4" s="1"/>
  <c r="R111" i="4"/>
  <c r="U111" i="4" s="1"/>
  <c r="R109" i="4"/>
  <c r="U109" i="4" s="1"/>
  <c r="R107" i="4"/>
  <c r="U107" i="4" s="1"/>
  <c r="R105" i="4"/>
  <c r="U105" i="4" s="1"/>
  <c r="R103" i="4"/>
  <c r="U103" i="4" s="1"/>
  <c r="R101" i="4"/>
  <c r="U101" i="4" s="1"/>
  <c r="R99" i="4"/>
  <c r="U99" i="4" s="1"/>
  <c r="R97" i="4"/>
  <c r="U97" i="4" s="1"/>
  <c r="R95" i="4"/>
  <c r="U95" i="4" s="1"/>
  <c r="R93" i="4"/>
  <c r="U93" i="4" s="1"/>
  <c r="R91" i="4"/>
  <c r="U91" i="4" s="1"/>
  <c r="R89" i="4"/>
  <c r="U89" i="4" s="1"/>
  <c r="R87" i="4"/>
  <c r="U87" i="4" s="1"/>
  <c r="R85" i="4"/>
  <c r="U85" i="4" s="1"/>
  <c r="R83" i="4"/>
  <c r="U83" i="4" s="1"/>
  <c r="R81" i="4"/>
  <c r="U81" i="4" s="1"/>
  <c r="R79" i="4"/>
  <c r="U79" i="4" s="1"/>
  <c r="R77" i="4"/>
  <c r="U77" i="4" s="1"/>
  <c r="R75" i="4"/>
  <c r="U75" i="4" s="1"/>
  <c r="R73" i="4"/>
  <c r="U73" i="4" s="1"/>
  <c r="R71" i="4"/>
  <c r="U71" i="4" s="1"/>
  <c r="R69" i="4"/>
  <c r="U69" i="4" s="1"/>
  <c r="R67" i="4"/>
  <c r="U67" i="4" s="1"/>
  <c r="R65" i="4"/>
  <c r="U65" i="4" s="1"/>
  <c r="R63" i="4"/>
  <c r="U63" i="4" s="1"/>
  <c r="R61" i="4"/>
  <c r="U61" i="4" s="1"/>
  <c r="R59" i="4"/>
  <c r="U59" i="4" s="1"/>
  <c r="R57" i="4"/>
  <c r="U57" i="4" s="1"/>
  <c r="R55" i="4"/>
  <c r="U55" i="4" s="1"/>
  <c r="R53" i="4"/>
  <c r="U53" i="4" s="1"/>
  <c r="R51" i="4"/>
  <c r="U51" i="4" s="1"/>
  <c r="R49" i="4"/>
  <c r="U49" i="4" s="1"/>
  <c r="R47" i="4"/>
  <c r="U47" i="4" s="1"/>
  <c r="R45" i="4"/>
  <c r="U45" i="4" s="1"/>
  <c r="R43" i="4"/>
  <c r="U43" i="4" s="1"/>
  <c r="R41" i="4"/>
  <c r="U41" i="4" s="1"/>
  <c r="R39" i="4"/>
  <c r="U39" i="4" s="1"/>
  <c r="R37" i="4"/>
  <c r="U37" i="4" s="1"/>
  <c r="R35" i="4"/>
  <c r="U35" i="4" s="1"/>
  <c r="R33" i="4"/>
  <c r="U33" i="4" s="1"/>
  <c r="R31" i="4"/>
  <c r="U31" i="4" s="1"/>
  <c r="R29" i="4"/>
  <c r="U29" i="4" s="1"/>
  <c r="R27" i="4"/>
  <c r="U27" i="4" s="1"/>
  <c r="R25" i="4"/>
  <c r="U25" i="4" s="1"/>
  <c r="R23" i="4"/>
  <c r="U23" i="4" s="1"/>
  <c r="R21" i="4"/>
  <c r="U21" i="4" s="1"/>
  <c r="R19" i="4"/>
  <c r="U19" i="4" s="1"/>
  <c r="C19" i="4" s="1"/>
  <c r="B19" i="4" s="1"/>
  <c r="R17" i="4"/>
  <c r="U17" i="4" s="1"/>
  <c r="R15" i="4"/>
  <c r="U15" i="4" s="1"/>
  <c r="R13" i="4"/>
  <c r="U13" i="4" s="1"/>
  <c r="R11" i="4"/>
  <c r="U11" i="4" s="1"/>
  <c r="R9" i="4"/>
  <c r="U9" i="4" s="1"/>
  <c r="R7" i="4"/>
  <c r="U7" i="4" s="1"/>
  <c r="R5" i="4"/>
  <c r="U5" i="4" s="1"/>
  <c r="R4" i="4"/>
  <c r="U4" i="4" s="1"/>
  <c r="L1004" i="4"/>
  <c r="S1004" i="4" s="1"/>
  <c r="V1004" i="4" s="1"/>
  <c r="L996" i="4"/>
  <c r="S996" i="4" s="1"/>
  <c r="V996" i="4" s="1"/>
  <c r="L988" i="4"/>
  <c r="S988" i="4" s="1"/>
  <c r="V988" i="4" s="1"/>
  <c r="L980" i="4"/>
  <c r="S980" i="4" s="1"/>
  <c r="V980" i="4" s="1"/>
  <c r="L972" i="4"/>
  <c r="S972" i="4" s="1"/>
  <c r="V972" i="4" s="1"/>
  <c r="L964" i="4"/>
  <c r="S964" i="4" s="1"/>
  <c r="V964" i="4" s="1"/>
  <c r="L956" i="4"/>
  <c r="S956" i="4" s="1"/>
  <c r="V956" i="4" s="1"/>
  <c r="L1002" i="4"/>
  <c r="S1002" i="4" s="1"/>
  <c r="V1002" i="4" s="1"/>
  <c r="L994" i="4"/>
  <c r="S994" i="4" s="1"/>
  <c r="V994" i="4" s="1"/>
  <c r="L986" i="4"/>
  <c r="S986" i="4" s="1"/>
  <c r="V986" i="4" s="1"/>
  <c r="L978" i="4"/>
  <c r="S978" i="4" s="1"/>
  <c r="V978" i="4" s="1"/>
  <c r="L970" i="4"/>
  <c r="S970" i="4" s="1"/>
  <c r="V970" i="4" s="1"/>
  <c r="L962" i="4"/>
  <c r="S962" i="4" s="1"/>
  <c r="V962" i="4" s="1"/>
  <c r="L954" i="4"/>
  <c r="S954" i="4" s="1"/>
  <c r="V954" i="4" s="1"/>
  <c r="L946" i="4"/>
  <c r="S946" i="4" s="1"/>
  <c r="V946" i="4" s="1"/>
  <c r="L942" i="4"/>
  <c r="S942" i="4" s="1"/>
  <c r="V942" i="4" s="1"/>
  <c r="L938" i="4"/>
  <c r="S938" i="4" s="1"/>
  <c r="V938" i="4" s="1"/>
  <c r="L934" i="4"/>
  <c r="S934" i="4" s="1"/>
  <c r="V934" i="4" s="1"/>
  <c r="L926" i="4"/>
  <c r="S926" i="4" s="1"/>
  <c r="V926" i="4" s="1"/>
  <c r="L830" i="4"/>
  <c r="S830" i="4" s="1"/>
  <c r="V830" i="4" s="1"/>
  <c r="L822" i="4"/>
  <c r="S822" i="4" s="1"/>
  <c r="V822" i="4" s="1"/>
  <c r="L814" i="4"/>
  <c r="S814" i="4" s="1"/>
  <c r="V814" i="4" s="1"/>
  <c r="L806" i="4"/>
  <c r="S806" i="4" s="1"/>
  <c r="V806" i="4" s="1"/>
  <c r="L798" i="4"/>
  <c r="S798" i="4" s="1"/>
  <c r="V798" i="4" s="1"/>
  <c r="L790" i="4"/>
  <c r="S790" i="4" s="1"/>
  <c r="V790" i="4" s="1"/>
  <c r="L782" i="4"/>
  <c r="S782" i="4" s="1"/>
  <c r="V782" i="4" s="1"/>
  <c r="L774" i="4"/>
  <c r="S774" i="4" s="1"/>
  <c r="V774" i="4" s="1"/>
  <c r="L766" i="4"/>
  <c r="S766" i="4" s="1"/>
  <c r="V766" i="4" s="1"/>
  <c r="L758" i="4"/>
  <c r="S758" i="4" s="1"/>
  <c r="V758" i="4" s="1"/>
  <c r="L750" i="4"/>
  <c r="S750" i="4" s="1"/>
  <c r="V750" i="4" s="1"/>
  <c r="L742" i="4"/>
  <c r="S742" i="4" s="1"/>
  <c r="V742" i="4" s="1"/>
  <c r="L734" i="4"/>
  <c r="S734" i="4" s="1"/>
  <c r="V734" i="4" s="1"/>
  <c r="R186" i="4"/>
  <c r="U186" i="4" s="1"/>
  <c r="R142" i="4"/>
  <c r="U142" i="4" s="1"/>
  <c r="R14" i="4"/>
  <c r="K540" i="4"/>
  <c r="R540" i="4" s="1"/>
  <c r="U540" i="4" s="1"/>
  <c r="L540" i="4"/>
  <c r="S540" i="4" s="1"/>
  <c r="V540" i="4" s="1"/>
  <c r="K536" i="4"/>
  <c r="R536" i="4" s="1"/>
  <c r="U536" i="4" s="1"/>
  <c r="L536" i="4"/>
  <c r="S536" i="4" s="1"/>
  <c r="V536" i="4" s="1"/>
  <c r="K532" i="4"/>
  <c r="R532" i="4" s="1"/>
  <c r="U532" i="4" s="1"/>
  <c r="L532" i="4"/>
  <c r="S532" i="4" s="1"/>
  <c r="V532" i="4" s="1"/>
  <c r="K528" i="4"/>
  <c r="R528" i="4" s="1"/>
  <c r="U528" i="4" s="1"/>
  <c r="L528" i="4"/>
  <c r="S528" i="4" s="1"/>
  <c r="V528" i="4" s="1"/>
  <c r="K524" i="4"/>
  <c r="R524" i="4" s="1"/>
  <c r="U524" i="4" s="1"/>
  <c r="L524" i="4"/>
  <c r="S524" i="4" s="1"/>
  <c r="V524" i="4" s="1"/>
  <c r="K520" i="4"/>
  <c r="R520" i="4" s="1"/>
  <c r="U520" i="4" s="1"/>
  <c r="L520" i="4"/>
  <c r="S520" i="4" s="1"/>
  <c r="V520" i="4" s="1"/>
  <c r="K516" i="4"/>
  <c r="R516" i="4" s="1"/>
  <c r="U516" i="4" s="1"/>
  <c r="L516" i="4"/>
  <c r="S516" i="4" s="1"/>
  <c r="V516" i="4" s="1"/>
  <c r="K512" i="4"/>
  <c r="R512" i="4" s="1"/>
  <c r="U512" i="4" s="1"/>
  <c r="L512" i="4"/>
  <c r="S512" i="4" s="1"/>
  <c r="V512" i="4" s="1"/>
  <c r="K508" i="4"/>
  <c r="R508" i="4" s="1"/>
  <c r="U508" i="4" s="1"/>
  <c r="L508" i="4"/>
  <c r="S508" i="4" s="1"/>
  <c r="V508" i="4" s="1"/>
  <c r="K504" i="4"/>
  <c r="R504" i="4" s="1"/>
  <c r="U504" i="4" s="1"/>
  <c r="L504" i="4"/>
  <c r="S504" i="4" s="1"/>
  <c r="V504" i="4" s="1"/>
  <c r="K500" i="4"/>
  <c r="R500" i="4" s="1"/>
  <c r="U500" i="4" s="1"/>
  <c r="L500" i="4"/>
  <c r="S500" i="4" s="1"/>
  <c r="V500" i="4" s="1"/>
  <c r="K496" i="4"/>
  <c r="R496" i="4" s="1"/>
  <c r="U496" i="4" s="1"/>
  <c r="L496" i="4"/>
  <c r="S496" i="4" s="1"/>
  <c r="V496" i="4" s="1"/>
  <c r="K492" i="4"/>
  <c r="R492" i="4" s="1"/>
  <c r="U492" i="4" s="1"/>
  <c r="L492" i="4"/>
  <c r="S492" i="4" s="1"/>
  <c r="V492" i="4" s="1"/>
  <c r="K488" i="4"/>
  <c r="R488" i="4" s="1"/>
  <c r="U488" i="4" s="1"/>
  <c r="L488" i="4"/>
  <c r="S488" i="4" s="1"/>
  <c r="V488" i="4" s="1"/>
  <c r="K484" i="4"/>
  <c r="R484" i="4" s="1"/>
  <c r="U484" i="4" s="1"/>
  <c r="L484" i="4"/>
  <c r="S484" i="4" s="1"/>
  <c r="V484" i="4" s="1"/>
  <c r="K480" i="4"/>
  <c r="R480" i="4" s="1"/>
  <c r="U480" i="4" s="1"/>
  <c r="L480" i="4"/>
  <c r="S480" i="4" s="1"/>
  <c r="V480" i="4" s="1"/>
  <c r="K476" i="4"/>
  <c r="R476" i="4" s="1"/>
  <c r="U476" i="4" s="1"/>
  <c r="L476" i="4"/>
  <c r="S476" i="4" s="1"/>
  <c r="V476" i="4" s="1"/>
  <c r="K472" i="4"/>
  <c r="R472" i="4" s="1"/>
  <c r="U472" i="4" s="1"/>
  <c r="L472" i="4"/>
  <c r="S472" i="4" s="1"/>
  <c r="V472" i="4" s="1"/>
  <c r="K468" i="4"/>
  <c r="R468" i="4" s="1"/>
  <c r="U468" i="4" s="1"/>
  <c r="L468" i="4"/>
  <c r="S468" i="4" s="1"/>
  <c r="V468" i="4" s="1"/>
  <c r="K464" i="4"/>
  <c r="R464" i="4" s="1"/>
  <c r="U464" i="4" s="1"/>
  <c r="L464" i="4"/>
  <c r="S464" i="4" s="1"/>
  <c r="V464" i="4" s="1"/>
  <c r="K460" i="4"/>
  <c r="R460" i="4" s="1"/>
  <c r="U460" i="4" s="1"/>
  <c r="L460" i="4"/>
  <c r="S460" i="4" s="1"/>
  <c r="V460" i="4" s="1"/>
  <c r="K456" i="4"/>
  <c r="R456" i="4" s="1"/>
  <c r="U456" i="4" s="1"/>
  <c r="L456" i="4"/>
  <c r="S456" i="4" s="1"/>
  <c r="V456" i="4" s="1"/>
  <c r="K452" i="4"/>
  <c r="R452" i="4" s="1"/>
  <c r="U452" i="4" s="1"/>
  <c r="L452" i="4"/>
  <c r="S452" i="4" s="1"/>
  <c r="V452" i="4" s="1"/>
  <c r="K448" i="4"/>
  <c r="R448" i="4" s="1"/>
  <c r="U448" i="4" s="1"/>
  <c r="L448" i="4"/>
  <c r="S448" i="4" s="1"/>
  <c r="V448" i="4" s="1"/>
  <c r="K444" i="4"/>
  <c r="R444" i="4" s="1"/>
  <c r="U444" i="4" s="1"/>
  <c r="L444" i="4"/>
  <c r="S444" i="4" s="1"/>
  <c r="V444" i="4" s="1"/>
  <c r="K440" i="4"/>
  <c r="R440" i="4" s="1"/>
  <c r="U440" i="4" s="1"/>
  <c r="L440" i="4"/>
  <c r="S440" i="4" s="1"/>
  <c r="V440" i="4" s="1"/>
  <c r="K436" i="4"/>
  <c r="R436" i="4" s="1"/>
  <c r="U436" i="4" s="1"/>
  <c r="L436" i="4"/>
  <c r="S436" i="4" s="1"/>
  <c r="V436" i="4" s="1"/>
  <c r="K432" i="4"/>
  <c r="R432" i="4" s="1"/>
  <c r="U432" i="4" s="1"/>
  <c r="L432" i="4"/>
  <c r="S432" i="4" s="1"/>
  <c r="V432" i="4" s="1"/>
  <c r="K428" i="4"/>
  <c r="R428" i="4" s="1"/>
  <c r="U428" i="4" s="1"/>
  <c r="L428" i="4"/>
  <c r="S428" i="4" s="1"/>
  <c r="V428" i="4" s="1"/>
  <c r="K424" i="4"/>
  <c r="R424" i="4" s="1"/>
  <c r="U424" i="4" s="1"/>
  <c r="L424" i="4"/>
  <c r="S424" i="4" s="1"/>
  <c r="V424" i="4" s="1"/>
  <c r="K420" i="4"/>
  <c r="R420" i="4" s="1"/>
  <c r="U420" i="4" s="1"/>
  <c r="L420" i="4"/>
  <c r="S420" i="4" s="1"/>
  <c r="V420" i="4" s="1"/>
  <c r="K416" i="4"/>
  <c r="R416" i="4" s="1"/>
  <c r="U416" i="4" s="1"/>
  <c r="L416" i="4"/>
  <c r="S416" i="4" s="1"/>
  <c r="V416" i="4" s="1"/>
  <c r="K412" i="4"/>
  <c r="R412" i="4" s="1"/>
  <c r="U412" i="4" s="1"/>
  <c r="L412" i="4"/>
  <c r="S412" i="4" s="1"/>
  <c r="V412" i="4" s="1"/>
  <c r="K408" i="4"/>
  <c r="R408" i="4" s="1"/>
  <c r="U408" i="4" s="1"/>
  <c r="L408" i="4"/>
  <c r="S408" i="4" s="1"/>
  <c r="V408" i="4" s="1"/>
  <c r="K404" i="4"/>
  <c r="R404" i="4" s="1"/>
  <c r="U404" i="4" s="1"/>
  <c r="L404" i="4"/>
  <c r="S404" i="4" s="1"/>
  <c r="V404" i="4" s="1"/>
  <c r="K400" i="4"/>
  <c r="R400" i="4" s="1"/>
  <c r="U400" i="4" s="1"/>
  <c r="L400" i="4"/>
  <c r="S400" i="4" s="1"/>
  <c r="V400" i="4" s="1"/>
  <c r="K396" i="4"/>
  <c r="R396" i="4" s="1"/>
  <c r="U396" i="4" s="1"/>
  <c r="L396" i="4"/>
  <c r="S396" i="4" s="1"/>
  <c r="V396" i="4" s="1"/>
  <c r="K392" i="4"/>
  <c r="R392" i="4" s="1"/>
  <c r="U392" i="4" s="1"/>
  <c r="L392" i="4"/>
  <c r="S392" i="4" s="1"/>
  <c r="V392" i="4" s="1"/>
  <c r="K388" i="4"/>
  <c r="R388" i="4" s="1"/>
  <c r="U388" i="4" s="1"/>
  <c r="L388" i="4"/>
  <c r="S388" i="4" s="1"/>
  <c r="V388" i="4" s="1"/>
  <c r="K384" i="4"/>
  <c r="R384" i="4" s="1"/>
  <c r="U384" i="4" s="1"/>
  <c r="L384" i="4"/>
  <c r="S384" i="4" s="1"/>
  <c r="V384" i="4" s="1"/>
  <c r="K380" i="4"/>
  <c r="R380" i="4" s="1"/>
  <c r="U380" i="4" s="1"/>
  <c r="L380" i="4"/>
  <c r="S380" i="4" s="1"/>
  <c r="V380" i="4" s="1"/>
  <c r="K376" i="4"/>
  <c r="R376" i="4" s="1"/>
  <c r="U376" i="4" s="1"/>
  <c r="L376" i="4"/>
  <c r="S376" i="4" s="1"/>
  <c r="V376" i="4" s="1"/>
  <c r="K372" i="4"/>
  <c r="R372" i="4" s="1"/>
  <c r="U372" i="4" s="1"/>
  <c r="L372" i="4"/>
  <c r="S372" i="4" s="1"/>
  <c r="V372" i="4" s="1"/>
  <c r="K368" i="4"/>
  <c r="R368" i="4" s="1"/>
  <c r="U368" i="4" s="1"/>
  <c r="L368" i="4"/>
  <c r="S368" i="4" s="1"/>
  <c r="V368" i="4" s="1"/>
  <c r="K364" i="4"/>
  <c r="R364" i="4" s="1"/>
  <c r="U364" i="4" s="1"/>
  <c r="L364" i="4"/>
  <c r="S364" i="4" s="1"/>
  <c r="V364" i="4" s="1"/>
  <c r="K360" i="4"/>
  <c r="R360" i="4" s="1"/>
  <c r="U360" i="4" s="1"/>
  <c r="L360" i="4"/>
  <c r="S360" i="4" s="1"/>
  <c r="V360" i="4" s="1"/>
  <c r="K356" i="4"/>
  <c r="R356" i="4" s="1"/>
  <c r="U356" i="4" s="1"/>
  <c r="L356" i="4"/>
  <c r="S356" i="4" s="1"/>
  <c r="V356" i="4" s="1"/>
  <c r="K352" i="4"/>
  <c r="R352" i="4" s="1"/>
  <c r="U352" i="4" s="1"/>
  <c r="L352" i="4"/>
  <c r="S352" i="4" s="1"/>
  <c r="V352" i="4" s="1"/>
  <c r="K348" i="4"/>
  <c r="R348" i="4" s="1"/>
  <c r="U348" i="4" s="1"/>
  <c r="L348" i="4"/>
  <c r="S348" i="4" s="1"/>
  <c r="V348" i="4" s="1"/>
  <c r="K344" i="4"/>
  <c r="R344" i="4" s="1"/>
  <c r="U344" i="4" s="1"/>
  <c r="L344" i="4"/>
  <c r="S344" i="4" s="1"/>
  <c r="V344" i="4" s="1"/>
  <c r="K340" i="4"/>
  <c r="R340" i="4" s="1"/>
  <c r="U340" i="4" s="1"/>
  <c r="L340" i="4"/>
  <c r="S340" i="4" s="1"/>
  <c r="V340" i="4" s="1"/>
  <c r="K336" i="4"/>
  <c r="R336" i="4" s="1"/>
  <c r="U336" i="4" s="1"/>
  <c r="L336" i="4"/>
  <c r="S336" i="4" s="1"/>
  <c r="V336" i="4" s="1"/>
  <c r="K332" i="4"/>
  <c r="R332" i="4" s="1"/>
  <c r="U332" i="4" s="1"/>
  <c r="L332" i="4"/>
  <c r="S332" i="4" s="1"/>
  <c r="V332" i="4" s="1"/>
  <c r="K328" i="4"/>
  <c r="R328" i="4" s="1"/>
  <c r="U328" i="4" s="1"/>
  <c r="L328" i="4"/>
  <c r="S328" i="4" s="1"/>
  <c r="V328" i="4" s="1"/>
  <c r="K324" i="4"/>
  <c r="R324" i="4" s="1"/>
  <c r="U324" i="4" s="1"/>
  <c r="L324" i="4"/>
  <c r="S324" i="4" s="1"/>
  <c r="V324" i="4" s="1"/>
  <c r="K320" i="4"/>
  <c r="R320" i="4" s="1"/>
  <c r="U320" i="4" s="1"/>
  <c r="L320" i="4"/>
  <c r="S320" i="4" s="1"/>
  <c r="V320" i="4" s="1"/>
  <c r="K316" i="4"/>
  <c r="R316" i="4" s="1"/>
  <c r="U316" i="4" s="1"/>
  <c r="L316" i="4"/>
  <c r="S316" i="4" s="1"/>
  <c r="V316" i="4" s="1"/>
  <c r="K312" i="4"/>
  <c r="R312" i="4" s="1"/>
  <c r="U312" i="4" s="1"/>
  <c r="L312" i="4"/>
  <c r="S312" i="4" s="1"/>
  <c r="V312" i="4" s="1"/>
  <c r="K308" i="4"/>
  <c r="R308" i="4" s="1"/>
  <c r="U308" i="4" s="1"/>
  <c r="L308" i="4"/>
  <c r="S308" i="4" s="1"/>
  <c r="V308" i="4" s="1"/>
  <c r="K304" i="4"/>
  <c r="R304" i="4" s="1"/>
  <c r="U304" i="4" s="1"/>
  <c r="L304" i="4"/>
  <c r="S304" i="4" s="1"/>
  <c r="V304" i="4" s="1"/>
  <c r="K300" i="4"/>
  <c r="R300" i="4" s="1"/>
  <c r="U300" i="4" s="1"/>
  <c r="L300" i="4"/>
  <c r="S300" i="4" s="1"/>
  <c r="V300" i="4" s="1"/>
  <c r="K296" i="4"/>
  <c r="R296" i="4" s="1"/>
  <c r="U296" i="4" s="1"/>
  <c r="L296" i="4"/>
  <c r="S296" i="4" s="1"/>
  <c r="V296" i="4" s="1"/>
  <c r="K292" i="4"/>
  <c r="R292" i="4" s="1"/>
  <c r="U292" i="4" s="1"/>
  <c r="L292" i="4"/>
  <c r="S292" i="4" s="1"/>
  <c r="V292" i="4" s="1"/>
  <c r="K288" i="4"/>
  <c r="R288" i="4" s="1"/>
  <c r="U288" i="4" s="1"/>
  <c r="L288" i="4"/>
  <c r="S288" i="4" s="1"/>
  <c r="V288" i="4" s="1"/>
  <c r="K284" i="4"/>
  <c r="R284" i="4" s="1"/>
  <c r="U284" i="4" s="1"/>
  <c r="L284" i="4"/>
  <c r="S284" i="4" s="1"/>
  <c r="V284" i="4" s="1"/>
  <c r="K280" i="4"/>
  <c r="R280" i="4" s="1"/>
  <c r="U280" i="4" s="1"/>
  <c r="L280" i="4"/>
  <c r="S280" i="4" s="1"/>
  <c r="V280" i="4" s="1"/>
  <c r="K276" i="4"/>
  <c r="R276" i="4" s="1"/>
  <c r="U276" i="4" s="1"/>
  <c r="L276" i="4"/>
  <c r="S276" i="4" s="1"/>
  <c r="V276" i="4" s="1"/>
  <c r="K272" i="4"/>
  <c r="R272" i="4" s="1"/>
  <c r="U272" i="4" s="1"/>
  <c r="L272" i="4"/>
  <c r="S272" i="4" s="1"/>
  <c r="V272" i="4" s="1"/>
  <c r="K268" i="4"/>
  <c r="R268" i="4" s="1"/>
  <c r="U268" i="4" s="1"/>
  <c r="L268" i="4"/>
  <c r="S268" i="4" s="1"/>
  <c r="V268" i="4" s="1"/>
  <c r="K264" i="4"/>
  <c r="R264" i="4" s="1"/>
  <c r="U264" i="4" s="1"/>
  <c r="L264" i="4"/>
  <c r="S264" i="4" s="1"/>
  <c r="V264" i="4" s="1"/>
  <c r="K260" i="4"/>
  <c r="R260" i="4" s="1"/>
  <c r="U260" i="4" s="1"/>
  <c r="L260" i="4"/>
  <c r="S260" i="4" s="1"/>
  <c r="V260" i="4" s="1"/>
  <c r="K256" i="4"/>
  <c r="R256" i="4" s="1"/>
  <c r="U256" i="4" s="1"/>
  <c r="L256" i="4"/>
  <c r="S256" i="4" s="1"/>
  <c r="V256" i="4" s="1"/>
  <c r="K252" i="4"/>
  <c r="R252" i="4" s="1"/>
  <c r="U252" i="4" s="1"/>
  <c r="L252" i="4"/>
  <c r="S252" i="4" s="1"/>
  <c r="V252" i="4" s="1"/>
  <c r="K248" i="4"/>
  <c r="R248" i="4" s="1"/>
  <c r="U248" i="4" s="1"/>
  <c r="L248" i="4"/>
  <c r="S248" i="4" s="1"/>
  <c r="V248" i="4" s="1"/>
  <c r="K244" i="4"/>
  <c r="R244" i="4" s="1"/>
  <c r="U244" i="4" s="1"/>
  <c r="L244" i="4"/>
  <c r="S244" i="4" s="1"/>
  <c r="V244" i="4" s="1"/>
  <c r="K240" i="4"/>
  <c r="R240" i="4" s="1"/>
  <c r="U240" i="4" s="1"/>
  <c r="L240" i="4"/>
  <c r="S240" i="4" s="1"/>
  <c r="V240" i="4" s="1"/>
  <c r="K236" i="4"/>
  <c r="R236" i="4" s="1"/>
  <c r="U236" i="4" s="1"/>
  <c r="L236" i="4"/>
  <c r="S236" i="4" s="1"/>
  <c r="V236" i="4" s="1"/>
  <c r="K232" i="4"/>
  <c r="R232" i="4" s="1"/>
  <c r="U232" i="4" s="1"/>
  <c r="L232" i="4"/>
  <c r="S232" i="4" s="1"/>
  <c r="V232" i="4" s="1"/>
  <c r="K228" i="4"/>
  <c r="R228" i="4" s="1"/>
  <c r="U228" i="4" s="1"/>
  <c r="L228" i="4"/>
  <c r="S228" i="4" s="1"/>
  <c r="V228" i="4" s="1"/>
  <c r="K224" i="4"/>
  <c r="R224" i="4" s="1"/>
  <c r="U224" i="4" s="1"/>
  <c r="L224" i="4"/>
  <c r="S224" i="4" s="1"/>
  <c r="V224" i="4" s="1"/>
  <c r="K220" i="4"/>
  <c r="R220" i="4" s="1"/>
  <c r="U220" i="4" s="1"/>
  <c r="L220" i="4"/>
  <c r="S220" i="4" s="1"/>
  <c r="V220" i="4" s="1"/>
  <c r="K216" i="4"/>
  <c r="R216" i="4" s="1"/>
  <c r="U216" i="4" s="1"/>
  <c r="L216" i="4"/>
  <c r="S216" i="4" s="1"/>
  <c r="V216" i="4" s="1"/>
  <c r="K212" i="4"/>
  <c r="R212" i="4" s="1"/>
  <c r="U212" i="4" s="1"/>
  <c r="L212" i="4"/>
  <c r="S212" i="4" s="1"/>
  <c r="V212" i="4" s="1"/>
  <c r="K208" i="4"/>
  <c r="R208" i="4" s="1"/>
  <c r="U208" i="4" s="1"/>
  <c r="L208" i="4"/>
  <c r="S208" i="4" s="1"/>
  <c r="V208" i="4" s="1"/>
  <c r="K204" i="4"/>
  <c r="R204" i="4" s="1"/>
  <c r="U204" i="4" s="1"/>
  <c r="L204" i="4"/>
  <c r="S204" i="4" s="1"/>
  <c r="V204" i="4" s="1"/>
  <c r="K200" i="4"/>
  <c r="R200" i="4" s="1"/>
  <c r="U200" i="4" s="1"/>
  <c r="L200" i="4"/>
  <c r="S200" i="4" s="1"/>
  <c r="V200" i="4" s="1"/>
  <c r="K196" i="4"/>
  <c r="R196" i="4" s="1"/>
  <c r="U196" i="4" s="1"/>
  <c r="L196" i="4"/>
  <c r="S196" i="4" s="1"/>
  <c r="V196" i="4" s="1"/>
  <c r="K192" i="4"/>
  <c r="R192" i="4" s="1"/>
  <c r="U192" i="4" s="1"/>
  <c r="L192" i="4"/>
  <c r="S192" i="4" s="1"/>
  <c r="V192" i="4" s="1"/>
  <c r="K188" i="4"/>
  <c r="R188" i="4" s="1"/>
  <c r="U188" i="4" s="1"/>
  <c r="L188" i="4"/>
  <c r="S188" i="4" s="1"/>
  <c r="V188" i="4" s="1"/>
  <c r="K184" i="4"/>
  <c r="R184" i="4" s="1"/>
  <c r="U184" i="4" s="1"/>
  <c r="L184" i="4"/>
  <c r="S184" i="4" s="1"/>
  <c r="V184" i="4" s="1"/>
  <c r="K180" i="4"/>
  <c r="R180" i="4" s="1"/>
  <c r="U180" i="4" s="1"/>
  <c r="L180" i="4"/>
  <c r="S180" i="4" s="1"/>
  <c r="V180" i="4" s="1"/>
  <c r="K176" i="4"/>
  <c r="R176" i="4" s="1"/>
  <c r="U176" i="4" s="1"/>
  <c r="L176" i="4"/>
  <c r="S176" i="4" s="1"/>
  <c r="V176" i="4" s="1"/>
  <c r="K172" i="4"/>
  <c r="R172" i="4" s="1"/>
  <c r="U172" i="4" s="1"/>
  <c r="L172" i="4"/>
  <c r="S172" i="4" s="1"/>
  <c r="V172" i="4" s="1"/>
  <c r="K168" i="4"/>
  <c r="R168" i="4" s="1"/>
  <c r="U168" i="4" s="1"/>
  <c r="L168" i="4"/>
  <c r="S168" i="4" s="1"/>
  <c r="V168" i="4" s="1"/>
  <c r="K164" i="4"/>
  <c r="R164" i="4" s="1"/>
  <c r="U164" i="4" s="1"/>
  <c r="L164" i="4"/>
  <c r="S164" i="4" s="1"/>
  <c r="V164" i="4" s="1"/>
  <c r="K160" i="4"/>
  <c r="R160" i="4" s="1"/>
  <c r="U160" i="4" s="1"/>
  <c r="L160" i="4"/>
  <c r="S160" i="4" s="1"/>
  <c r="V160" i="4" s="1"/>
  <c r="K156" i="4"/>
  <c r="R156" i="4" s="1"/>
  <c r="U156" i="4" s="1"/>
  <c r="L156" i="4"/>
  <c r="S156" i="4" s="1"/>
  <c r="V156" i="4" s="1"/>
  <c r="K152" i="4"/>
  <c r="R152" i="4" s="1"/>
  <c r="U152" i="4" s="1"/>
  <c r="L152" i="4"/>
  <c r="S152" i="4" s="1"/>
  <c r="V152" i="4" s="1"/>
  <c r="K148" i="4"/>
  <c r="R148" i="4" s="1"/>
  <c r="U148" i="4" s="1"/>
  <c r="L148" i="4"/>
  <c r="S148" i="4" s="1"/>
  <c r="V148" i="4" s="1"/>
  <c r="K144" i="4"/>
  <c r="R144" i="4" s="1"/>
  <c r="U144" i="4" s="1"/>
  <c r="L144" i="4"/>
  <c r="S144" i="4" s="1"/>
  <c r="V144" i="4" s="1"/>
  <c r="K140" i="4"/>
  <c r="R140" i="4" s="1"/>
  <c r="U140" i="4" s="1"/>
  <c r="L140" i="4"/>
  <c r="S140" i="4" s="1"/>
  <c r="V140" i="4" s="1"/>
  <c r="K136" i="4"/>
  <c r="R136" i="4" s="1"/>
  <c r="U136" i="4" s="1"/>
  <c r="L136" i="4"/>
  <c r="S136" i="4" s="1"/>
  <c r="V136" i="4" s="1"/>
  <c r="K132" i="4"/>
  <c r="R132" i="4" s="1"/>
  <c r="U132" i="4" s="1"/>
  <c r="L132" i="4"/>
  <c r="S132" i="4" s="1"/>
  <c r="V132" i="4" s="1"/>
  <c r="K128" i="4"/>
  <c r="R128" i="4" s="1"/>
  <c r="U128" i="4" s="1"/>
  <c r="L128" i="4"/>
  <c r="S128" i="4" s="1"/>
  <c r="V128" i="4" s="1"/>
  <c r="K124" i="4"/>
  <c r="R124" i="4" s="1"/>
  <c r="U124" i="4" s="1"/>
  <c r="L124" i="4"/>
  <c r="S124" i="4" s="1"/>
  <c r="V124" i="4" s="1"/>
  <c r="K120" i="4"/>
  <c r="R120" i="4" s="1"/>
  <c r="U120" i="4" s="1"/>
  <c r="L120" i="4"/>
  <c r="S120" i="4" s="1"/>
  <c r="V120" i="4" s="1"/>
  <c r="K116" i="4"/>
  <c r="R116" i="4" s="1"/>
  <c r="U116" i="4" s="1"/>
  <c r="L116" i="4"/>
  <c r="S116" i="4" s="1"/>
  <c r="V116" i="4" s="1"/>
  <c r="K112" i="4"/>
  <c r="R112" i="4" s="1"/>
  <c r="U112" i="4" s="1"/>
  <c r="L112" i="4"/>
  <c r="S112" i="4" s="1"/>
  <c r="V112" i="4" s="1"/>
  <c r="K108" i="4"/>
  <c r="R108" i="4" s="1"/>
  <c r="U108" i="4" s="1"/>
  <c r="L108" i="4"/>
  <c r="S108" i="4" s="1"/>
  <c r="V108" i="4" s="1"/>
  <c r="K104" i="4"/>
  <c r="R104" i="4" s="1"/>
  <c r="U104" i="4" s="1"/>
  <c r="L104" i="4"/>
  <c r="S104" i="4" s="1"/>
  <c r="V104" i="4" s="1"/>
  <c r="K100" i="4"/>
  <c r="R100" i="4" s="1"/>
  <c r="U100" i="4" s="1"/>
  <c r="L100" i="4"/>
  <c r="S100" i="4" s="1"/>
  <c r="V100" i="4" s="1"/>
  <c r="K96" i="4"/>
  <c r="R96" i="4" s="1"/>
  <c r="U96" i="4" s="1"/>
  <c r="L96" i="4"/>
  <c r="S96" i="4" s="1"/>
  <c r="V96" i="4" s="1"/>
  <c r="K92" i="4"/>
  <c r="R92" i="4" s="1"/>
  <c r="U92" i="4" s="1"/>
  <c r="L92" i="4"/>
  <c r="S92" i="4" s="1"/>
  <c r="V92" i="4" s="1"/>
  <c r="K88" i="4"/>
  <c r="R88" i="4" s="1"/>
  <c r="U88" i="4" s="1"/>
  <c r="L88" i="4"/>
  <c r="S88" i="4" s="1"/>
  <c r="V88" i="4" s="1"/>
  <c r="K84" i="4"/>
  <c r="R84" i="4" s="1"/>
  <c r="U84" i="4" s="1"/>
  <c r="L84" i="4"/>
  <c r="S84" i="4" s="1"/>
  <c r="V84" i="4" s="1"/>
  <c r="K80" i="4"/>
  <c r="R80" i="4" s="1"/>
  <c r="U80" i="4" s="1"/>
  <c r="L80" i="4"/>
  <c r="S80" i="4" s="1"/>
  <c r="V80" i="4" s="1"/>
  <c r="K76" i="4"/>
  <c r="R76" i="4" s="1"/>
  <c r="U76" i="4" s="1"/>
  <c r="L76" i="4"/>
  <c r="S76" i="4" s="1"/>
  <c r="V76" i="4" s="1"/>
  <c r="K72" i="4"/>
  <c r="R72" i="4" s="1"/>
  <c r="U72" i="4" s="1"/>
  <c r="L72" i="4"/>
  <c r="S72" i="4" s="1"/>
  <c r="V72" i="4" s="1"/>
  <c r="K68" i="4"/>
  <c r="R68" i="4" s="1"/>
  <c r="U68" i="4" s="1"/>
  <c r="L68" i="4"/>
  <c r="S68" i="4" s="1"/>
  <c r="V68" i="4" s="1"/>
  <c r="K64" i="4"/>
  <c r="R64" i="4" s="1"/>
  <c r="U64" i="4" s="1"/>
  <c r="L64" i="4"/>
  <c r="S64" i="4" s="1"/>
  <c r="V64" i="4" s="1"/>
  <c r="K60" i="4"/>
  <c r="R60" i="4" s="1"/>
  <c r="U60" i="4" s="1"/>
  <c r="L60" i="4"/>
  <c r="S60" i="4" s="1"/>
  <c r="V60" i="4" s="1"/>
  <c r="K56" i="4"/>
  <c r="R56" i="4" s="1"/>
  <c r="U56" i="4" s="1"/>
  <c r="L56" i="4"/>
  <c r="S56" i="4" s="1"/>
  <c r="V56" i="4" s="1"/>
  <c r="K52" i="4"/>
  <c r="R52" i="4" s="1"/>
  <c r="U52" i="4" s="1"/>
  <c r="L52" i="4"/>
  <c r="S52" i="4" s="1"/>
  <c r="V52" i="4" s="1"/>
  <c r="K48" i="4"/>
  <c r="R48" i="4" s="1"/>
  <c r="U48" i="4" s="1"/>
  <c r="L48" i="4"/>
  <c r="S48" i="4" s="1"/>
  <c r="V48" i="4" s="1"/>
  <c r="K44" i="4"/>
  <c r="R44" i="4" s="1"/>
  <c r="U44" i="4" s="1"/>
  <c r="L44" i="4"/>
  <c r="S44" i="4" s="1"/>
  <c r="V44" i="4" s="1"/>
  <c r="K40" i="4"/>
  <c r="R40" i="4" s="1"/>
  <c r="U40" i="4" s="1"/>
  <c r="L40" i="4"/>
  <c r="S40" i="4" s="1"/>
  <c r="V40" i="4" s="1"/>
  <c r="K36" i="4"/>
  <c r="R36" i="4" s="1"/>
  <c r="U36" i="4" s="1"/>
  <c r="L36" i="4"/>
  <c r="S36" i="4" s="1"/>
  <c r="V36" i="4" s="1"/>
  <c r="K32" i="4"/>
  <c r="R32" i="4" s="1"/>
  <c r="U32" i="4" s="1"/>
  <c r="L32" i="4"/>
  <c r="S32" i="4" s="1"/>
  <c r="V32" i="4" s="1"/>
  <c r="K28" i="4"/>
  <c r="R28" i="4" s="1"/>
  <c r="U28" i="4" s="1"/>
  <c r="L28" i="4"/>
  <c r="S28" i="4" s="1"/>
  <c r="V28" i="4" s="1"/>
  <c r="K24" i="4"/>
  <c r="R24" i="4" s="1"/>
  <c r="U24" i="4" s="1"/>
  <c r="L24" i="4"/>
  <c r="S24" i="4" s="1"/>
  <c r="V24" i="4" s="1"/>
  <c r="K20" i="4"/>
  <c r="R20" i="4" s="1"/>
  <c r="U20" i="4" s="1"/>
  <c r="L20" i="4"/>
  <c r="S20" i="4" s="1"/>
  <c r="V20" i="4" s="1"/>
  <c r="K16" i="4"/>
  <c r="R16" i="4" s="1"/>
  <c r="L16" i="4"/>
  <c r="S16" i="4" s="1"/>
  <c r="V16" i="4" s="1"/>
  <c r="K12" i="4"/>
  <c r="R12" i="4" s="1"/>
  <c r="L12" i="4"/>
  <c r="S12" i="4" s="1"/>
  <c r="V12" i="4" s="1"/>
  <c r="K8" i="4"/>
  <c r="R8" i="4" s="1"/>
  <c r="L8" i="4"/>
  <c r="S8" i="4" s="1"/>
  <c r="V8" i="4" s="1"/>
  <c r="L1000" i="4"/>
  <c r="S1000" i="4" s="1"/>
  <c r="V1000" i="4" s="1"/>
  <c r="L992" i="4"/>
  <c r="S992" i="4" s="1"/>
  <c r="V992" i="4" s="1"/>
  <c r="L984" i="4"/>
  <c r="S984" i="4" s="1"/>
  <c r="V984" i="4" s="1"/>
  <c r="L976" i="4"/>
  <c r="S976" i="4" s="1"/>
  <c r="V976" i="4" s="1"/>
  <c r="L968" i="4"/>
  <c r="S968" i="4" s="1"/>
  <c r="V968" i="4" s="1"/>
  <c r="L960" i="4"/>
  <c r="S960" i="4" s="1"/>
  <c r="V960" i="4" s="1"/>
  <c r="L998" i="4"/>
  <c r="S998" i="4" s="1"/>
  <c r="V998" i="4" s="1"/>
  <c r="L990" i="4"/>
  <c r="S990" i="4" s="1"/>
  <c r="V990" i="4" s="1"/>
  <c r="L982" i="4"/>
  <c r="S982" i="4" s="1"/>
  <c r="V982" i="4" s="1"/>
  <c r="L974" i="4"/>
  <c r="S974" i="4" s="1"/>
  <c r="V974" i="4" s="1"/>
  <c r="L966" i="4"/>
  <c r="S966" i="4" s="1"/>
  <c r="V966" i="4" s="1"/>
  <c r="L958" i="4"/>
  <c r="S958" i="4" s="1"/>
  <c r="V958" i="4" s="1"/>
  <c r="L950" i="4"/>
  <c r="S950" i="4" s="1"/>
  <c r="V950" i="4" s="1"/>
  <c r="L930" i="4"/>
  <c r="S930" i="4" s="1"/>
  <c r="V930" i="4" s="1"/>
  <c r="L922" i="4"/>
  <c r="S922" i="4" s="1"/>
  <c r="V922" i="4" s="1"/>
  <c r="L918" i="4"/>
  <c r="S918" i="4" s="1"/>
  <c r="V918" i="4" s="1"/>
  <c r="L914" i="4"/>
  <c r="S914" i="4" s="1"/>
  <c r="V914" i="4" s="1"/>
  <c r="L910" i="4"/>
  <c r="S910" i="4" s="1"/>
  <c r="V910" i="4" s="1"/>
  <c r="L906" i="4"/>
  <c r="S906" i="4" s="1"/>
  <c r="V906" i="4" s="1"/>
  <c r="L902" i="4"/>
  <c r="S902" i="4" s="1"/>
  <c r="V902" i="4" s="1"/>
  <c r="L898" i="4"/>
  <c r="S898" i="4" s="1"/>
  <c r="V898" i="4" s="1"/>
  <c r="L894" i="4"/>
  <c r="S894" i="4" s="1"/>
  <c r="V894" i="4" s="1"/>
  <c r="L890" i="4"/>
  <c r="S890" i="4" s="1"/>
  <c r="V890" i="4" s="1"/>
  <c r="L886" i="4"/>
  <c r="S886" i="4" s="1"/>
  <c r="V886" i="4" s="1"/>
  <c r="L882" i="4"/>
  <c r="S882" i="4" s="1"/>
  <c r="V882" i="4" s="1"/>
  <c r="L878" i="4"/>
  <c r="S878" i="4" s="1"/>
  <c r="V878" i="4" s="1"/>
  <c r="L874" i="4"/>
  <c r="S874" i="4" s="1"/>
  <c r="V874" i="4" s="1"/>
  <c r="L870" i="4"/>
  <c r="S870" i="4" s="1"/>
  <c r="V870" i="4" s="1"/>
  <c r="L866" i="4"/>
  <c r="S866" i="4" s="1"/>
  <c r="V866" i="4" s="1"/>
  <c r="L862" i="4"/>
  <c r="S862" i="4" s="1"/>
  <c r="V862" i="4" s="1"/>
  <c r="L858" i="4"/>
  <c r="S858" i="4" s="1"/>
  <c r="V858" i="4" s="1"/>
  <c r="L854" i="4"/>
  <c r="S854" i="4" s="1"/>
  <c r="V854" i="4" s="1"/>
  <c r="L850" i="4"/>
  <c r="S850" i="4" s="1"/>
  <c r="V850" i="4" s="1"/>
  <c r="L846" i="4"/>
  <c r="S846" i="4" s="1"/>
  <c r="V846" i="4" s="1"/>
  <c r="L842" i="4"/>
  <c r="S842" i="4" s="1"/>
  <c r="V842" i="4" s="1"/>
  <c r="L838" i="4"/>
  <c r="S838" i="4" s="1"/>
  <c r="V838" i="4" s="1"/>
  <c r="L834" i="4"/>
  <c r="S834" i="4" s="1"/>
  <c r="V834" i="4" s="1"/>
  <c r="L826" i="4"/>
  <c r="S826" i="4" s="1"/>
  <c r="V826" i="4" s="1"/>
  <c r="L818" i="4"/>
  <c r="S818" i="4" s="1"/>
  <c r="V818" i="4" s="1"/>
  <c r="L810" i="4"/>
  <c r="S810" i="4" s="1"/>
  <c r="V810" i="4" s="1"/>
  <c r="L802" i="4"/>
  <c r="S802" i="4" s="1"/>
  <c r="V802" i="4" s="1"/>
  <c r="L794" i="4"/>
  <c r="S794" i="4" s="1"/>
  <c r="V794" i="4" s="1"/>
  <c r="L786" i="4"/>
  <c r="S786" i="4" s="1"/>
  <c r="V786" i="4" s="1"/>
  <c r="L778" i="4"/>
  <c r="S778" i="4" s="1"/>
  <c r="V778" i="4" s="1"/>
  <c r="L770" i="4"/>
  <c r="S770" i="4" s="1"/>
  <c r="V770" i="4" s="1"/>
  <c r="L762" i="4"/>
  <c r="S762" i="4" s="1"/>
  <c r="V762" i="4" s="1"/>
  <c r="L754" i="4"/>
  <c r="S754" i="4" s="1"/>
  <c r="V754" i="4" s="1"/>
  <c r="L746" i="4"/>
  <c r="S746" i="4" s="1"/>
  <c r="V746" i="4" s="1"/>
  <c r="L738" i="4"/>
  <c r="S738" i="4" s="1"/>
  <c r="V738" i="4" s="1"/>
  <c r="K542" i="4"/>
  <c r="R542" i="4" s="1"/>
  <c r="U542" i="4" s="1"/>
  <c r="L542" i="4"/>
  <c r="S542" i="4" s="1"/>
  <c r="V542" i="4" s="1"/>
  <c r="L592" i="4"/>
  <c r="S592" i="4" s="1"/>
  <c r="V592" i="4" s="1"/>
  <c r="L588" i="4"/>
  <c r="S588" i="4" s="1"/>
  <c r="V588" i="4" s="1"/>
  <c r="L584" i="4"/>
  <c r="S584" i="4" s="1"/>
  <c r="V584" i="4" s="1"/>
  <c r="L580" i="4"/>
  <c r="S580" i="4" s="1"/>
  <c r="V580" i="4" s="1"/>
  <c r="L576" i="4"/>
  <c r="S576" i="4" s="1"/>
  <c r="V576" i="4" s="1"/>
  <c r="L572" i="4"/>
  <c r="S572" i="4" s="1"/>
  <c r="V572" i="4" s="1"/>
  <c r="L568" i="4"/>
  <c r="S568" i="4" s="1"/>
  <c r="V568" i="4" s="1"/>
  <c r="L564" i="4"/>
  <c r="S564" i="4" s="1"/>
  <c r="V564" i="4" s="1"/>
  <c r="L560" i="4"/>
  <c r="S560" i="4" s="1"/>
  <c r="V560" i="4" s="1"/>
  <c r="L556" i="4"/>
  <c r="S556" i="4" s="1"/>
  <c r="V556" i="4" s="1"/>
  <c r="L552" i="4"/>
  <c r="S552" i="4" s="1"/>
  <c r="V552" i="4" s="1"/>
  <c r="L548" i="4"/>
  <c r="S548" i="4" s="1"/>
  <c r="V548" i="4" s="1"/>
  <c r="L544" i="4"/>
  <c r="S544" i="4" s="1"/>
  <c r="V544" i="4" s="1"/>
  <c r="R10" i="4"/>
  <c r="R6" i="6"/>
  <c r="U6" i="6" s="1"/>
  <c r="L228" i="6"/>
  <c r="S228" i="6" s="1"/>
  <c r="V228" i="6" s="1"/>
  <c r="L220" i="6"/>
  <c r="S220" i="6" s="1"/>
  <c r="V220" i="6" s="1"/>
  <c r="L212" i="6"/>
  <c r="S212" i="6" s="1"/>
  <c r="V212" i="6" s="1"/>
  <c r="L204" i="6"/>
  <c r="S204" i="6" s="1"/>
  <c r="V204" i="6" s="1"/>
  <c r="L196" i="6"/>
  <c r="S196" i="6" s="1"/>
  <c r="V196" i="6" s="1"/>
  <c r="L188" i="6"/>
  <c r="S188" i="6" s="1"/>
  <c r="V188" i="6" s="1"/>
  <c r="L180" i="6"/>
  <c r="S180" i="6" s="1"/>
  <c r="V180" i="6" s="1"/>
  <c r="L172" i="6"/>
  <c r="S172" i="6" s="1"/>
  <c r="V172" i="6" s="1"/>
  <c r="L164" i="6"/>
  <c r="S164" i="6" s="1"/>
  <c r="V164" i="6" s="1"/>
  <c r="L156" i="6"/>
  <c r="S156" i="6" s="1"/>
  <c r="V156" i="6" s="1"/>
  <c r="L148" i="6"/>
  <c r="S148" i="6" s="1"/>
  <c r="V148" i="6" s="1"/>
  <c r="L140" i="6"/>
  <c r="S140" i="6" s="1"/>
  <c r="V140" i="6" s="1"/>
  <c r="L132" i="6"/>
  <c r="S132" i="6" s="1"/>
  <c r="V132" i="6" s="1"/>
  <c r="L124" i="6"/>
  <c r="S124" i="6" s="1"/>
  <c r="V124" i="6" s="1"/>
  <c r="L116" i="6"/>
  <c r="S116" i="6" s="1"/>
  <c r="V116" i="6" s="1"/>
  <c r="L108" i="6"/>
  <c r="S108" i="6" s="1"/>
  <c r="V108" i="6" s="1"/>
  <c r="L100" i="6"/>
  <c r="S100" i="6" s="1"/>
  <c r="V100" i="6" s="1"/>
  <c r="L92" i="6"/>
  <c r="S92" i="6" s="1"/>
  <c r="V92" i="6" s="1"/>
  <c r="L84" i="6"/>
  <c r="S84" i="6" s="1"/>
  <c r="V84" i="6" s="1"/>
  <c r="L76" i="6"/>
  <c r="S76" i="6" s="1"/>
  <c r="V76" i="6" s="1"/>
  <c r="L68" i="6"/>
  <c r="S68" i="6" s="1"/>
  <c r="V68" i="6" s="1"/>
  <c r="L60" i="6"/>
  <c r="S60" i="6" s="1"/>
  <c r="V60" i="6" s="1"/>
  <c r="L52" i="6"/>
  <c r="S52" i="6" s="1"/>
  <c r="V52" i="6" s="1"/>
  <c r="C52" i="6" s="1"/>
  <c r="B52" i="6" s="1"/>
  <c r="L44" i="6"/>
  <c r="S44" i="6" s="1"/>
  <c r="V44" i="6" s="1"/>
  <c r="C44" i="6" s="1"/>
  <c r="B44" i="6" s="1"/>
  <c r="L36" i="6"/>
  <c r="S36" i="6" s="1"/>
  <c r="V36" i="6" s="1"/>
  <c r="C36" i="6" s="1"/>
  <c r="B36" i="6" s="1"/>
  <c r="L28" i="6"/>
  <c r="S28" i="6" s="1"/>
  <c r="V28" i="6" s="1"/>
  <c r="C28" i="6" s="1"/>
  <c r="B28" i="6" s="1"/>
  <c r="L232" i="6"/>
  <c r="S232" i="6" s="1"/>
  <c r="V232" i="6" s="1"/>
  <c r="L224" i="6"/>
  <c r="S224" i="6" s="1"/>
  <c r="V224" i="6" s="1"/>
  <c r="L216" i="6"/>
  <c r="S216" i="6" s="1"/>
  <c r="V216" i="6" s="1"/>
  <c r="L208" i="6"/>
  <c r="S208" i="6" s="1"/>
  <c r="V208" i="6" s="1"/>
  <c r="L200" i="6"/>
  <c r="S200" i="6" s="1"/>
  <c r="V200" i="6" s="1"/>
  <c r="L192" i="6"/>
  <c r="S192" i="6" s="1"/>
  <c r="V192" i="6" s="1"/>
  <c r="L184" i="6"/>
  <c r="S184" i="6" s="1"/>
  <c r="V184" i="6" s="1"/>
  <c r="L176" i="6"/>
  <c r="S176" i="6" s="1"/>
  <c r="V176" i="6" s="1"/>
  <c r="L168" i="6"/>
  <c r="S168" i="6" s="1"/>
  <c r="V168" i="6" s="1"/>
  <c r="L160" i="6"/>
  <c r="S160" i="6" s="1"/>
  <c r="V160" i="6" s="1"/>
  <c r="L152" i="6"/>
  <c r="S152" i="6" s="1"/>
  <c r="V152" i="6" s="1"/>
  <c r="L144" i="6"/>
  <c r="S144" i="6" s="1"/>
  <c r="V144" i="6" s="1"/>
  <c r="L136" i="6"/>
  <c r="S136" i="6" s="1"/>
  <c r="V136" i="6" s="1"/>
  <c r="L128" i="6"/>
  <c r="S128" i="6" s="1"/>
  <c r="V128" i="6" s="1"/>
  <c r="L120" i="6"/>
  <c r="S120" i="6" s="1"/>
  <c r="V120" i="6" s="1"/>
  <c r="L112" i="6"/>
  <c r="S112" i="6" s="1"/>
  <c r="V112" i="6" s="1"/>
  <c r="L104" i="6"/>
  <c r="S104" i="6" s="1"/>
  <c r="V104" i="6" s="1"/>
  <c r="L96" i="6"/>
  <c r="S96" i="6" s="1"/>
  <c r="V96" i="6" s="1"/>
  <c r="L88" i="6"/>
  <c r="S88" i="6" s="1"/>
  <c r="V88" i="6" s="1"/>
  <c r="L80" i="6"/>
  <c r="S80" i="6" s="1"/>
  <c r="V80" i="6" s="1"/>
  <c r="L72" i="6"/>
  <c r="S72" i="6" s="1"/>
  <c r="V72" i="6" s="1"/>
  <c r="L64" i="6"/>
  <c r="S64" i="6" s="1"/>
  <c r="V64" i="6" s="1"/>
  <c r="L56" i="6"/>
  <c r="S56" i="6" s="1"/>
  <c r="V56" i="6" s="1"/>
  <c r="L48" i="6"/>
  <c r="S48" i="6" s="1"/>
  <c r="V48" i="6" s="1"/>
  <c r="C48" i="6" s="1"/>
  <c r="B48" i="6" s="1"/>
  <c r="L40" i="6"/>
  <c r="S40" i="6" s="1"/>
  <c r="V40" i="6" s="1"/>
  <c r="C40" i="6" s="1"/>
  <c r="B40" i="6" s="1"/>
  <c r="L32" i="6"/>
  <c r="S32" i="6" s="1"/>
  <c r="V32" i="6" s="1"/>
  <c r="C32" i="6" s="1"/>
  <c r="B32" i="6" s="1"/>
  <c r="L10" i="6"/>
  <c r="S10" i="6" s="1"/>
  <c r="L8" i="6"/>
  <c r="S8" i="6" s="1"/>
  <c r="R7" i="6"/>
  <c r="U7" i="6" s="1"/>
  <c r="R26" i="6"/>
  <c r="U26" i="6" s="1"/>
  <c r="L12" i="6"/>
  <c r="S12" i="6" s="1"/>
  <c r="L6" i="6"/>
  <c r="S6" i="6" s="1"/>
  <c r="L20" i="6"/>
  <c r="S20" i="6" s="1"/>
  <c r="V20" i="6" s="1"/>
  <c r="L14" i="6"/>
  <c r="S14" i="6" s="1"/>
  <c r="V14" i="6" s="1"/>
  <c r="C27" i="6"/>
  <c r="B27" i="6" s="1"/>
  <c r="L26" i="6"/>
  <c r="S26" i="6" s="1"/>
  <c r="L24" i="6"/>
  <c r="S24" i="6" s="1"/>
  <c r="R23" i="6"/>
  <c r="K22" i="6"/>
  <c r="R22" i="6" s="1"/>
  <c r="U22" i="6" s="1"/>
  <c r="L22" i="6"/>
  <c r="S22" i="6" s="1"/>
  <c r="V22" i="6" s="1"/>
  <c r="A7" i="7"/>
  <c r="I4" i="7"/>
  <c r="IX2" i="7"/>
  <c r="IV2" i="7"/>
  <c r="L1003" i="6"/>
  <c r="S1003" i="6" s="1"/>
  <c r="V1003" i="6" s="1"/>
  <c r="L999" i="6"/>
  <c r="S999" i="6" s="1"/>
  <c r="V999" i="6" s="1"/>
  <c r="L995" i="6"/>
  <c r="S995" i="6" s="1"/>
  <c r="V995" i="6" s="1"/>
  <c r="L991" i="6"/>
  <c r="S991" i="6" s="1"/>
  <c r="V991" i="6" s="1"/>
  <c r="L987" i="6"/>
  <c r="S987" i="6" s="1"/>
  <c r="V987" i="6" s="1"/>
  <c r="L983" i="6"/>
  <c r="S983" i="6" s="1"/>
  <c r="V983" i="6" s="1"/>
  <c r="L979" i="6"/>
  <c r="S979" i="6" s="1"/>
  <c r="V979" i="6" s="1"/>
  <c r="L975" i="6"/>
  <c r="S975" i="6" s="1"/>
  <c r="V975" i="6" s="1"/>
  <c r="L971" i="6"/>
  <c r="S971" i="6" s="1"/>
  <c r="V971" i="6" s="1"/>
  <c r="L967" i="6"/>
  <c r="S967" i="6" s="1"/>
  <c r="V967" i="6" s="1"/>
  <c r="L963" i="6"/>
  <c r="S963" i="6" s="1"/>
  <c r="V963" i="6" s="1"/>
  <c r="L959" i="6"/>
  <c r="S959" i="6" s="1"/>
  <c r="V959" i="6" s="1"/>
  <c r="L955" i="6"/>
  <c r="S955" i="6" s="1"/>
  <c r="V955" i="6" s="1"/>
  <c r="L951" i="6"/>
  <c r="S951" i="6" s="1"/>
  <c r="V951" i="6" s="1"/>
  <c r="L947" i="6"/>
  <c r="S947" i="6" s="1"/>
  <c r="V947" i="6" s="1"/>
  <c r="L943" i="6"/>
  <c r="S943" i="6" s="1"/>
  <c r="V943" i="6" s="1"/>
  <c r="L939" i="6"/>
  <c r="S939" i="6" s="1"/>
  <c r="V939" i="6" s="1"/>
  <c r="L935" i="6"/>
  <c r="S935" i="6" s="1"/>
  <c r="V935" i="6" s="1"/>
  <c r="L931" i="6"/>
  <c r="S931" i="6" s="1"/>
  <c r="V931" i="6" s="1"/>
  <c r="L927" i="6"/>
  <c r="S927" i="6" s="1"/>
  <c r="V927" i="6" s="1"/>
  <c r="L923" i="6"/>
  <c r="S923" i="6" s="1"/>
  <c r="V923" i="6" s="1"/>
  <c r="L919" i="6"/>
  <c r="S919" i="6" s="1"/>
  <c r="V919" i="6" s="1"/>
  <c r="L915" i="6"/>
  <c r="S915" i="6" s="1"/>
  <c r="V915" i="6" s="1"/>
  <c r="L911" i="6"/>
  <c r="S911" i="6" s="1"/>
  <c r="V911" i="6" s="1"/>
  <c r="L907" i="6"/>
  <c r="S907" i="6" s="1"/>
  <c r="V907" i="6" s="1"/>
  <c r="L903" i="6"/>
  <c r="S903" i="6" s="1"/>
  <c r="V903" i="6" s="1"/>
  <c r="L899" i="6"/>
  <c r="S899" i="6" s="1"/>
  <c r="V899" i="6" s="1"/>
  <c r="L895" i="6"/>
  <c r="S895" i="6" s="1"/>
  <c r="V895" i="6" s="1"/>
  <c r="L891" i="6"/>
  <c r="S891" i="6" s="1"/>
  <c r="V891" i="6" s="1"/>
  <c r="L887" i="6"/>
  <c r="S887" i="6" s="1"/>
  <c r="V887" i="6" s="1"/>
  <c r="L883" i="6"/>
  <c r="S883" i="6" s="1"/>
  <c r="V883" i="6" s="1"/>
  <c r="L879" i="6"/>
  <c r="S879" i="6" s="1"/>
  <c r="V879" i="6" s="1"/>
  <c r="L875" i="6"/>
  <c r="S875" i="6" s="1"/>
  <c r="V875" i="6" s="1"/>
  <c r="L871" i="6"/>
  <c r="S871" i="6" s="1"/>
  <c r="V871" i="6" s="1"/>
  <c r="L867" i="6"/>
  <c r="S867" i="6" s="1"/>
  <c r="V867" i="6" s="1"/>
  <c r="L863" i="6"/>
  <c r="S863" i="6" s="1"/>
  <c r="V863" i="6" s="1"/>
  <c r="L859" i="6"/>
  <c r="S859" i="6" s="1"/>
  <c r="V859" i="6" s="1"/>
  <c r="L855" i="6"/>
  <c r="S855" i="6" s="1"/>
  <c r="V855" i="6" s="1"/>
  <c r="L851" i="6"/>
  <c r="S851" i="6" s="1"/>
  <c r="V851" i="6" s="1"/>
  <c r="L847" i="6"/>
  <c r="S847" i="6" s="1"/>
  <c r="V847" i="6" s="1"/>
  <c r="L843" i="6"/>
  <c r="S843" i="6" s="1"/>
  <c r="V843" i="6" s="1"/>
  <c r="L839" i="6"/>
  <c r="S839" i="6" s="1"/>
  <c r="V839" i="6" s="1"/>
  <c r="L835" i="6"/>
  <c r="S835" i="6" s="1"/>
  <c r="V835" i="6" s="1"/>
  <c r="L831" i="6"/>
  <c r="S831" i="6" s="1"/>
  <c r="V831" i="6" s="1"/>
  <c r="L827" i="6"/>
  <c r="S827" i="6" s="1"/>
  <c r="V827" i="6" s="1"/>
  <c r="L823" i="6"/>
  <c r="S823" i="6" s="1"/>
  <c r="V823" i="6" s="1"/>
  <c r="L819" i="6"/>
  <c r="S819" i="6" s="1"/>
  <c r="V819" i="6" s="1"/>
  <c r="L815" i="6"/>
  <c r="S815" i="6" s="1"/>
  <c r="V815" i="6" s="1"/>
  <c r="L811" i="6"/>
  <c r="S811" i="6" s="1"/>
  <c r="V811" i="6" s="1"/>
  <c r="L807" i="6"/>
  <c r="S807" i="6" s="1"/>
  <c r="V807" i="6" s="1"/>
  <c r="L803" i="6"/>
  <c r="S803" i="6" s="1"/>
  <c r="V803" i="6" s="1"/>
  <c r="L799" i="6"/>
  <c r="S799" i="6" s="1"/>
  <c r="V799" i="6" s="1"/>
  <c r="L795" i="6"/>
  <c r="S795" i="6" s="1"/>
  <c r="V795" i="6" s="1"/>
  <c r="L791" i="6"/>
  <c r="S791" i="6" s="1"/>
  <c r="V791" i="6" s="1"/>
  <c r="L787" i="6"/>
  <c r="S787" i="6" s="1"/>
  <c r="V787" i="6" s="1"/>
  <c r="L783" i="6"/>
  <c r="S783" i="6" s="1"/>
  <c r="V783" i="6" s="1"/>
  <c r="L779" i="6"/>
  <c r="S779" i="6" s="1"/>
  <c r="V779" i="6" s="1"/>
  <c r="L775" i="6"/>
  <c r="S775" i="6" s="1"/>
  <c r="V775" i="6" s="1"/>
  <c r="L771" i="6"/>
  <c r="S771" i="6" s="1"/>
  <c r="V771" i="6" s="1"/>
  <c r="L767" i="6"/>
  <c r="S767" i="6" s="1"/>
  <c r="V767" i="6" s="1"/>
  <c r="L763" i="6"/>
  <c r="S763" i="6" s="1"/>
  <c r="V763" i="6" s="1"/>
  <c r="L759" i="6"/>
  <c r="S759" i="6" s="1"/>
  <c r="V759" i="6" s="1"/>
  <c r="L755" i="6"/>
  <c r="S755" i="6" s="1"/>
  <c r="V755" i="6" s="1"/>
  <c r="L751" i="6"/>
  <c r="S751" i="6" s="1"/>
  <c r="V751" i="6" s="1"/>
  <c r="L747" i="6"/>
  <c r="S747" i="6" s="1"/>
  <c r="V747" i="6" s="1"/>
  <c r="L743" i="6"/>
  <c r="S743" i="6" s="1"/>
  <c r="V743" i="6" s="1"/>
  <c r="L739" i="6"/>
  <c r="S739" i="6" s="1"/>
  <c r="V739" i="6" s="1"/>
  <c r="L735" i="6"/>
  <c r="S735" i="6" s="1"/>
  <c r="V735" i="6" s="1"/>
  <c r="L731" i="6"/>
  <c r="S731" i="6" s="1"/>
  <c r="V731" i="6" s="1"/>
  <c r="L727" i="6"/>
  <c r="S727" i="6" s="1"/>
  <c r="V727" i="6" s="1"/>
  <c r="L723" i="6"/>
  <c r="S723" i="6" s="1"/>
  <c r="V723" i="6" s="1"/>
  <c r="L719" i="6"/>
  <c r="S719" i="6" s="1"/>
  <c r="V719" i="6" s="1"/>
  <c r="L715" i="6"/>
  <c r="S715" i="6" s="1"/>
  <c r="V715" i="6" s="1"/>
  <c r="L711" i="6"/>
  <c r="S711" i="6" s="1"/>
  <c r="V711" i="6" s="1"/>
  <c r="L707" i="6"/>
  <c r="S707" i="6" s="1"/>
  <c r="V707" i="6" s="1"/>
  <c r="L703" i="6"/>
  <c r="S703" i="6" s="1"/>
  <c r="V703" i="6" s="1"/>
  <c r="L699" i="6"/>
  <c r="S699" i="6" s="1"/>
  <c r="V699" i="6" s="1"/>
  <c r="L695" i="6"/>
  <c r="S695" i="6" s="1"/>
  <c r="V695" i="6" s="1"/>
  <c r="L691" i="6"/>
  <c r="S691" i="6" s="1"/>
  <c r="V691" i="6" s="1"/>
  <c r="L687" i="6"/>
  <c r="S687" i="6" s="1"/>
  <c r="V687" i="6" s="1"/>
  <c r="L683" i="6"/>
  <c r="S683" i="6" s="1"/>
  <c r="V683" i="6" s="1"/>
  <c r="L679" i="6"/>
  <c r="S679" i="6" s="1"/>
  <c r="V679" i="6" s="1"/>
  <c r="L675" i="6"/>
  <c r="S675" i="6" s="1"/>
  <c r="V675" i="6" s="1"/>
  <c r="L671" i="6"/>
  <c r="S671" i="6" s="1"/>
  <c r="V671" i="6" s="1"/>
  <c r="L667" i="6"/>
  <c r="S667" i="6" s="1"/>
  <c r="V667" i="6" s="1"/>
  <c r="L663" i="6"/>
  <c r="S663" i="6" s="1"/>
  <c r="V663" i="6" s="1"/>
  <c r="L659" i="6"/>
  <c r="S659" i="6" s="1"/>
  <c r="V659" i="6" s="1"/>
  <c r="L655" i="6"/>
  <c r="S655" i="6" s="1"/>
  <c r="V655" i="6" s="1"/>
  <c r="L651" i="6"/>
  <c r="S651" i="6" s="1"/>
  <c r="V651" i="6" s="1"/>
  <c r="L647" i="6"/>
  <c r="S647" i="6" s="1"/>
  <c r="V647" i="6" s="1"/>
  <c r="L643" i="6"/>
  <c r="S643" i="6" s="1"/>
  <c r="V643" i="6" s="1"/>
  <c r="L639" i="6"/>
  <c r="S639" i="6" s="1"/>
  <c r="V639" i="6" s="1"/>
  <c r="L635" i="6"/>
  <c r="S635" i="6" s="1"/>
  <c r="V635" i="6" s="1"/>
  <c r="L631" i="6"/>
  <c r="S631" i="6" s="1"/>
  <c r="V631" i="6" s="1"/>
  <c r="L627" i="6"/>
  <c r="S627" i="6" s="1"/>
  <c r="V627" i="6" s="1"/>
  <c r="L623" i="6"/>
  <c r="S623" i="6" s="1"/>
  <c r="V623" i="6" s="1"/>
  <c r="L619" i="6"/>
  <c r="S619" i="6" s="1"/>
  <c r="V619" i="6" s="1"/>
  <c r="L615" i="6"/>
  <c r="S615" i="6" s="1"/>
  <c r="V615" i="6" s="1"/>
  <c r="L611" i="6"/>
  <c r="S611" i="6" s="1"/>
  <c r="V611" i="6" s="1"/>
  <c r="L607" i="6"/>
  <c r="S607" i="6" s="1"/>
  <c r="V607" i="6" s="1"/>
  <c r="L603" i="6"/>
  <c r="S603" i="6" s="1"/>
  <c r="V603" i="6" s="1"/>
  <c r="L599" i="6"/>
  <c r="S599" i="6" s="1"/>
  <c r="V599" i="6" s="1"/>
  <c r="L595" i="6"/>
  <c r="S595" i="6" s="1"/>
  <c r="V595" i="6" s="1"/>
  <c r="L591" i="6"/>
  <c r="S591" i="6" s="1"/>
  <c r="V591" i="6" s="1"/>
  <c r="L587" i="6"/>
  <c r="S587" i="6" s="1"/>
  <c r="V587" i="6" s="1"/>
  <c r="L583" i="6"/>
  <c r="S583" i="6" s="1"/>
  <c r="V583" i="6" s="1"/>
  <c r="L579" i="6"/>
  <c r="S579" i="6" s="1"/>
  <c r="V579" i="6" s="1"/>
  <c r="L575" i="6"/>
  <c r="S575" i="6" s="1"/>
  <c r="V575" i="6" s="1"/>
  <c r="L571" i="6"/>
  <c r="S571" i="6" s="1"/>
  <c r="V571" i="6" s="1"/>
  <c r="L567" i="6"/>
  <c r="S567" i="6" s="1"/>
  <c r="V567" i="6" s="1"/>
  <c r="L563" i="6"/>
  <c r="S563" i="6" s="1"/>
  <c r="V563" i="6" s="1"/>
  <c r="L559" i="6"/>
  <c r="S559" i="6" s="1"/>
  <c r="V559" i="6" s="1"/>
  <c r="L555" i="6"/>
  <c r="S555" i="6" s="1"/>
  <c r="V555" i="6" s="1"/>
  <c r="L551" i="6"/>
  <c r="S551" i="6" s="1"/>
  <c r="V551" i="6" s="1"/>
  <c r="L547" i="6"/>
  <c r="S547" i="6" s="1"/>
  <c r="V547" i="6" s="1"/>
  <c r="L543" i="6"/>
  <c r="S543" i="6" s="1"/>
  <c r="V543" i="6" s="1"/>
  <c r="L539" i="6"/>
  <c r="S539" i="6" s="1"/>
  <c r="V539" i="6" s="1"/>
  <c r="L535" i="6"/>
  <c r="S535" i="6" s="1"/>
  <c r="V535" i="6" s="1"/>
  <c r="L531" i="6"/>
  <c r="S531" i="6" s="1"/>
  <c r="V531" i="6" s="1"/>
  <c r="L527" i="6"/>
  <c r="S527" i="6" s="1"/>
  <c r="V527" i="6" s="1"/>
  <c r="L523" i="6"/>
  <c r="S523" i="6" s="1"/>
  <c r="V523" i="6" s="1"/>
  <c r="L519" i="6"/>
  <c r="S519" i="6" s="1"/>
  <c r="V519" i="6" s="1"/>
  <c r="L515" i="6"/>
  <c r="S515" i="6" s="1"/>
  <c r="V515" i="6" s="1"/>
  <c r="L511" i="6"/>
  <c r="S511" i="6" s="1"/>
  <c r="V511" i="6" s="1"/>
  <c r="L507" i="6"/>
  <c r="S507" i="6" s="1"/>
  <c r="V507" i="6" s="1"/>
  <c r="L503" i="6"/>
  <c r="S503" i="6" s="1"/>
  <c r="V503" i="6" s="1"/>
  <c r="L499" i="6"/>
  <c r="S499" i="6" s="1"/>
  <c r="V499" i="6" s="1"/>
  <c r="L495" i="6"/>
  <c r="S495" i="6" s="1"/>
  <c r="V495" i="6" s="1"/>
  <c r="L491" i="6"/>
  <c r="S491" i="6" s="1"/>
  <c r="V491" i="6" s="1"/>
  <c r="L487" i="6"/>
  <c r="S487" i="6" s="1"/>
  <c r="V487" i="6" s="1"/>
  <c r="L483" i="6"/>
  <c r="S483" i="6" s="1"/>
  <c r="V483" i="6" s="1"/>
  <c r="L479" i="6"/>
  <c r="S479" i="6" s="1"/>
  <c r="V479" i="6" s="1"/>
  <c r="L475" i="6"/>
  <c r="S475" i="6" s="1"/>
  <c r="V475" i="6" s="1"/>
  <c r="L471" i="6"/>
  <c r="S471" i="6" s="1"/>
  <c r="V471" i="6" s="1"/>
  <c r="L467" i="6"/>
  <c r="S467" i="6" s="1"/>
  <c r="V467" i="6" s="1"/>
  <c r="L463" i="6"/>
  <c r="S463" i="6" s="1"/>
  <c r="V463" i="6" s="1"/>
  <c r="L459" i="6"/>
  <c r="S459" i="6" s="1"/>
  <c r="V459" i="6" s="1"/>
  <c r="L455" i="6"/>
  <c r="S455" i="6" s="1"/>
  <c r="V455" i="6" s="1"/>
  <c r="L451" i="6"/>
  <c r="S451" i="6" s="1"/>
  <c r="V451" i="6" s="1"/>
  <c r="L447" i="6"/>
  <c r="S447" i="6" s="1"/>
  <c r="V447" i="6" s="1"/>
  <c r="L443" i="6"/>
  <c r="S443" i="6" s="1"/>
  <c r="V443" i="6" s="1"/>
  <c r="L439" i="6"/>
  <c r="S439" i="6" s="1"/>
  <c r="V439" i="6" s="1"/>
  <c r="L435" i="6"/>
  <c r="S435" i="6" s="1"/>
  <c r="V435" i="6" s="1"/>
  <c r="L431" i="6"/>
  <c r="S431" i="6" s="1"/>
  <c r="V431" i="6" s="1"/>
  <c r="L427" i="6"/>
  <c r="S427" i="6" s="1"/>
  <c r="V427" i="6" s="1"/>
  <c r="L423" i="6"/>
  <c r="S423" i="6" s="1"/>
  <c r="V423" i="6" s="1"/>
  <c r="L419" i="6"/>
  <c r="S419" i="6" s="1"/>
  <c r="V419" i="6" s="1"/>
  <c r="L415" i="6"/>
  <c r="S415" i="6" s="1"/>
  <c r="V415" i="6" s="1"/>
  <c r="L411" i="6"/>
  <c r="S411" i="6" s="1"/>
  <c r="V411" i="6" s="1"/>
  <c r="L407" i="6"/>
  <c r="S407" i="6" s="1"/>
  <c r="V407" i="6" s="1"/>
  <c r="L403" i="6"/>
  <c r="S403" i="6" s="1"/>
  <c r="V403" i="6" s="1"/>
  <c r="L399" i="6"/>
  <c r="S399" i="6" s="1"/>
  <c r="V399" i="6" s="1"/>
  <c r="L395" i="6"/>
  <c r="S395" i="6" s="1"/>
  <c r="V395" i="6" s="1"/>
  <c r="L391" i="6"/>
  <c r="S391" i="6" s="1"/>
  <c r="V391" i="6" s="1"/>
  <c r="L387" i="6"/>
  <c r="S387" i="6" s="1"/>
  <c r="V387" i="6" s="1"/>
  <c r="L383" i="6"/>
  <c r="S383" i="6" s="1"/>
  <c r="V383" i="6" s="1"/>
  <c r="L379" i="6"/>
  <c r="S379" i="6" s="1"/>
  <c r="V379" i="6" s="1"/>
  <c r="L375" i="6"/>
  <c r="S375" i="6" s="1"/>
  <c r="V375" i="6" s="1"/>
  <c r="L371" i="6"/>
  <c r="S371" i="6" s="1"/>
  <c r="V371" i="6" s="1"/>
  <c r="L367" i="6"/>
  <c r="S367" i="6" s="1"/>
  <c r="V367" i="6" s="1"/>
  <c r="L363" i="6"/>
  <c r="S363" i="6" s="1"/>
  <c r="V363" i="6" s="1"/>
  <c r="L359" i="6"/>
  <c r="S359" i="6" s="1"/>
  <c r="V359" i="6" s="1"/>
  <c r="L355" i="6"/>
  <c r="S355" i="6" s="1"/>
  <c r="V355" i="6" s="1"/>
  <c r="L351" i="6"/>
  <c r="S351" i="6" s="1"/>
  <c r="V351" i="6" s="1"/>
  <c r="L347" i="6"/>
  <c r="S347" i="6" s="1"/>
  <c r="V347" i="6" s="1"/>
  <c r="L343" i="6"/>
  <c r="S343" i="6" s="1"/>
  <c r="V343" i="6" s="1"/>
  <c r="L339" i="6"/>
  <c r="S339" i="6" s="1"/>
  <c r="V339" i="6" s="1"/>
  <c r="L335" i="6"/>
  <c r="S335" i="6" s="1"/>
  <c r="V335" i="6" s="1"/>
  <c r="L331" i="6"/>
  <c r="S331" i="6" s="1"/>
  <c r="V331" i="6" s="1"/>
  <c r="L327" i="6"/>
  <c r="S327" i="6" s="1"/>
  <c r="V327" i="6" s="1"/>
  <c r="L323" i="6"/>
  <c r="S323" i="6" s="1"/>
  <c r="V323" i="6" s="1"/>
  <c r="L319" i="6"/>
  <c r="S319" i="6" s="1"/>
  <c r="V319" i="6" s="1"/>
  <c r="L315" i="6"/>
  <c r="S315" i="6" s="1"/>
  <c r="V315" i="6" s="1"/>
  <c r="L311" i="6"/>
  <c r="S311" i="6" s="1"/>
  <c r="V311" i="6" s="1"/>
  <c r="L307" i="6"/>
  <c r="S307" i="6" s="1"/>
  <c r="V307" i="6" s="1"/>
  <c r="L303" i="6"/>
  <c r="S303" i="6" s="1"/>
  <c r="V303" i="6" s="1"/>
  <c r="L299" i="6"/>
  <c r="S299" i="6" s="1"/>
  <c r="V299" i="6" s="1"/>
  <c r="L295" i="6"/>
  <c r="S295" i="6" s="1"/>
  <c r="V295" i="6" s="1"/>
  <c r="L291" i="6"/>
  <c r="S291" i="6" s="1"/>
  <c r="V291" i="6" s="1"/>
  <c r="L287" i="6"/>
  <c r="S287" i="6" s="1"/>
  <c r="V287" i="6" s="1"/>
  <c r="L283" i="6"/>
  <c r="S283" i="6" s="1"/>
  <c r="V283" i="6" s="1"/>
  <c r="L279" i="6"/>
  <c r="S279" i="6" s="1"/>
  <c r="V279" i="6" s="1"/>
  <c r="L275" i="6"/>
  <c r="S275" i="6" s="1"/>
  <c r="V275" i="6" s="1"/>
  <c r="L271" i="6"/>
  <c r="S271" i="6" s="1"/>
  <c r="V271" i="6" s="1"/>
  <c r="L267" i="6"/>
  <c r="S267" i="6" s="1"/>
  <c r="V267" i="6" s="1"/>
  <c r="L263" i="6"/>
  <c r="S263" i="6" s="1"/>
  <c r="V263" i="6" s="1"/>
  <c r="L259" i="6"/>
  <c r="S259" i="6" s="1"/>
  <c r="V259" i="6" s="1"/>
  <c r="L255" i="6"/>
  <c r="S255" i="6" s="1"/>
  <c r="V255" i="6" s="1"/>
  <c r="L251" i="6"/>
  <c r="S251" i="6" s="1"/>
  <c r="V251" i="6" s="1"/>
  <c r="L247" i="6"/>
  <c r="S247" i="6" s="1"/>
  <c r="V247" i="6" s="1"/>
  <c r="L243" i="6"/>
  <c r="S243" i="6" s="1"/>
  <c r="V243" i="6" s="1"/>
  <c r="L239" i="6"/>
  <c r="S239" i="6" s="1"/>
  <c r="V239" i="6" s="1"/>
  <c r="L235" i="6"/>
  <c r="S235" i="6" s="1"/>
  <c r="V235" i="6" s="1"/>
  <c r="L233" i="6"/>
  <c r="S233" i="6" s="1"/>
  <c r="V233" i="6" s="1"/>
  <c r="L229" i="6"/>
  <c r="S229" i="6" s="1"/>
  <c r="V229" i="6" s="1"/>
  <c r="L225" i="6"/>
  <c r="S225" i="6" s="1"/>
  <c r="V225" i="6" s="1"/>
  <c r="L221" i="6"/>
  <c r="S221" i="6" s="1"/>
  <c r="V221" i="6" s="1"/>
  <c r="L217" i="6"/>
  <c r="S217" i="6" s="1"/>
  <c r="V217" i="6" s="1"/>
  <c r="L213" i="6"/>
  <c r="S213" i="6" s="1"/>
  <c r="V213" i="6" s="1"/>
  <c r="L209" i="6"/>
  <c r="S209" i="6" s="1"/>
  <c r="V209" i="6" s="1"/>
  <c r="L205" i="6"/>
  <c r="S205" i="6" s="1"/>
  <c r="V205" i="6" s="1"/>
  <c r="L201" i="6"/>
  <c r="S201" i="6" s="1"/>
  <c r="V201" i="6" s="1"/>
  <c r="L197" i="6"/>
  <c r="S197" i="6" s="1"/>
  <c r="V197" i="6" s="1"/>
  <c r="L193" i="6"/>
  <c r="S193" i="6" s="1"/>
  <c r="V193" i="6" s="1"/>
  <c r="L189" i="6"/>
  <c r="S189" i="6" s="1"/>
  <c r="V189" i="6" s="1"/>
  <c r="L185" i="6"/>
  <c r="S185" i="6" s="1"/>
  <c r="V185" i="6" s="1"/>
  <c r="L181" i="6"/>
  <c r="S181" i="6" s="1"/>
  <c r="V181" i="6" s="1"/>
  <c r="L177" i="6"/>
  <c r="S177" i="6" s="1"/>
  <c r="V177" i="6" s="1"/>
  <c r="L173" i="6"/>
  <c r="S173" i="6" s="1"/>
  <c r="V173" i="6" s="1"/>
  <c r="L169" i="6"/>
  <c r="S169" i="6" s="1"/>
  <c r="V169" i="6" s="1"/>
  <c r="L165" i="6"/>
  <c r="S165" i="6" s="1"/>
  <c r="V165" i="6" s="1"/>
  <c r="L161" i="6"/>
  <c r="S161" i="6" s="1"/>
  <c r="V161" i="6" s="1"/>
  <c r="L157" i="6"/>
  <c r="S157" i="6" s="1"/>
  <c r="V157" i="6" s="1"/>
  <c r="L153" i="6"/>
  <c r="S153" i="6" s="1"/>
  <c r="V153" i="6" s="1"/>
  <c r="L149" i="6"/>
  <c r="S149" i="6" s="1"/>
  <c r="V149" i="6" s="1"/>
  <c r="L145" i="6"/>
  <c r="S145" i="6" s="1"/>
  <c r="V145" i="6" s="1"/>
  <c r="L141" i="6"/>
  <c r="S141" i="6" s="1"/>
  <c r="V141" i="6" s="1"/>
  <c r="L137" i="6"/>
  <c r="S137" i="6" s="1"/>
  <c r="V137" i="6" s="1"/>
  <c r="L133" i="6"/>
  <c r="S133" i="6" s="1"/>
  <c r="V133" i="6" s="1"/>
  <c r="L129" i="6"/>
  <c r="S129" i="6" s="1"/>
  <c r="V129" i="6" s="1"/>
  <c r="L125" i="6"/>
  <c r="S125" i="6" s="1"/>
  <c r="V125" i="6" s="1"/>
  <c r="L121" i="6"/>
  <c r="S121" i="6" s="1"/>
  <c r="V121" i="6" s="1"/>
  <c r="L117" i="6"/>
  <c r="S117" i="6" s="1"/>
  <c r="V117" i="6" s="1"/>
  <c r="L113" i="6"/>
  <c r="S113" i="6" s="1"/>
  <c r="V113" i="6" s="1"/>
  <c r="L109" i="6"/>
  <c r="S109" i="6" s="1"/>
  <c r="V109" i="6" s="1"/>
  <c r="L105" i="6"/>
  <c r="S105" i="6" s="1"/>
  <c r="V105" i="6" s="1"/>
  <c r="L101" i="6"/>
  <c r="S101" i="6" s="1"/>
  <c r="V101" i="6" s="1"/>
  <c r="L97" i="6"/>
  <c r="S97" i="6" s="1"/>
  <c r="V97" i="6" s="1"/>
  <c r="L93" i="6"/>
  <c r="S93" i="6" s="1"/>
  <c r="V93" i="6" s="1"/>
  <c r="L89" i="6"/>
  <c r="S89" i="6" s="1"/>
  <c r="V89" i="6" s="1"/>
  <c r="L85" i="6"/>
  <c r="S85" i="6" s="1"/>
  <c r="V85" i="6" s="1"/>
  <c r="L81" i="6"/>
  <c r="S81" i="6" s="1"/>
  <c r="V81" i="6" s="1"/>
  <c r="L77" i="6"/>
  <c r="S77" i="6" s="1"/>
  <c r="V77" i="6" s="1"/>
  <c r="L73" i="6"/>
  <c r="S73" i="6" s="1"/>
  <c r="V73" i="6" s="1"/>
  <c r="L69" i="6"/>
  <c r="S69" i="6" s="1"/>
  <c r="V69" i="6" s="1"/>
  <c r="L65" i="6"/>
  <c r="S65" i="6" s="1"/>
  <c r="V65" i="6" s="1"/>
  <c r="L61" i="6"/>
  <c r="S61" i="6" s="1"/>
  <c r="V61" i="6" s="1"/>
  <c r="L57" i="6"/>
  <c r="S57" i="6" s="1"/>
  <c r="V57" i="6" s="1"/>
  <c r="L53" i="6"/>
  <c r="S53" i="6" s="1"/>
  <c r="V53" i="6" s="1"/>
  <c r="L49" i="6"/>
  <c r="S49" i="6" s="1"/>
  <c r="V49" i="6" s="1"/>
  <c r="L45" i="6"/>
  <c r="S45" i="6" s="1"/>
  <c r="V45" i="6" s="1"/>
  <c r="L41" i="6"/>
  <c r="S41" i="6" s="1"/>
  <c r="V41" i="6" s="1"/>
  <c r="L37" i="6"/>
  <c r="S37" i="6" s="1"/>
  <c r="V37" i="6" s="1"/>
  <c r="L33" i="6"/>
  <c r="S33" i="6" s="1"/>
  <c r="V33" i="6" s="1"/>
  <c r="L29" i="6"/>
  <c r="S29" i="6" s="1"/>
  <c r="V29" i="6" s="1"/>
  <c r="L25" i="6"/>
  <c r="S25" i="6" s="1"/>
  <c r="V25" i="6" s="1"/>
  <c r="L21" i="6"/>
  <c r="S21" i="6" s="1"/>
  <c r="V21" i="6" s="1"/>
  <c r="C19" i="6"/>
  <c r="B19" i="6" s="1"/>
  <c r="L17" i="6"/>
  <c r="S17" i="6" s="1"/>
  <c r="V17" i="6" s="1"/>
  <c r="C15" i="6"/>
  <c r="B15" i="6" s="1"/>
  <c r="L13" i="6"/>
  <c r="S13" i="6" s="1"/>
  <c r="V13" i="6" s="1"/>
  <c r="C11" i="6"/>
  <c r="B11" i="6" s="1"/>
  <c r="L9" i="6"/>
  <c r="S9" i="6" s="1"/>
  <c r="V9" i="6" s="1"/>
  <c r="C7" i="6"/>
  <c r="B7" i="6" s="1"/>
  <c r="L5" i="6"/>
  <c r="S5" i="6" s="1"/>
  <c r="V5" i="6" s="1"/>
  <c r="L4" i="6"/>
  <c r="S4" i="6" s="1"/>
  <c r="V4" i="6" s="1"/>
  <c r="IP2" i="7"/>
  <c r="IW2" i="7" s="1"/>
  <c r="IZ2" i="7" s="1"/>
  <c r="R1003" i="6"/>
  <c r="U1003" i="6" s="1"/>
  <c r="R1001" i="6"/>
  <c r="U1001" i="6" s="1"/>
  <c r="R999" i="6"/>
  <c r="U999" i="6" s="1"/>
  <c r="R997" i="6"/>
  <c r="U997" i="6" s="1"/>
  <c r="R995" i="6"/>
  <c r="U995" i="6" s="1"/>
  <c r="R993" i="6"/>
  <c r="U993" i="6" s="1"/>
  <c r="R991" i="6"/>
  <c r="U991" i="6" s="1"/>
  <c r="R989" i="6"/>
  <c r="U989" i="6" s="1"/>
  <c r="R987" i="6"/>
  <c r="U987" i="6" s="1"/>
  <c r="R985" i="6"/>
  <c r="U985" i="6" s="1"/>
  <c r="R983" i="6"/>
  <c r="U983" i="6" s="1"/>
  <c r="R981" i="6"/>
  <c r="U981" i="6" s="1"/>
  <c r="R979" i="6"/>
  <c r="U979" i="6" s="1"/>
  <c r="R977" i="6"/>
  <c r="U977" i="6" s="1"/>
  <c r="R975" i="6"/>
  <c r="U975" i="6" s="1"/>
  <c r="R973" i="6"/>
  <c r="U973" i="6" s="1"/>
  <c r="R971" i="6"/>
  <c r="U971" i="6" s="1"/>
  <c r="R969" i="6"/>
  <c r="U969" i="6" s="1"/>
  <c r="R967" i="6"/>
  <c r="U967" i="6" s="1"/>
  <c r="R965" i="6"/>
  <c r="U965" i="6" s="1"/>
  <c r="R963" i="6"/>
  <c r="U963" i="6" s="1"/>
  <c r="R961" i="6"/>
  <c r="U961" i="6" s="1"/>
  <c r="R959" i="6"/>
  <c r="U959" i="6" s="1"/>
  <c r="R957" i="6"/>
  <c r="U957" i="6" s="1"/>
  <c r="R955" i="6"/>
  <c r="U955" i="6" s="1"/>
  <c r="R953" i="6"/>
  <c r="U953" i="6" s="1"/>
  <c r="R951" i="6"/>
  <c r="U951" i="6" s="1"/>
  <c r="R949" i="6"/>
  <c r="U949" i="6" s="1"/>
  <c r="R947" i="6"/>
  <c r="U947" i="6" s="1"/>
  <c r="R945" i="6"/>
  <c r="U945" i="6" s="1"/>
  <c r="R943" i="6"/>
  <c r="U943" i="6" s="1"/>
  <c r="R941" i="6"/>
  <c r="U941" i="6" s="1"/>
  <c r="R939" i="6"/>
  <c r="U939" i="6" s="1"/>
  <c r="R937" i="6"/>
  <c r="U937" i="6" s="1"/>
  <c r="R935" i="6"/>
  <c r="U935" i="6" s="1"/>
  <c r="R933" i="6"/>
  <c r="U933" i="6" s="1"/>
  <c r="R931" i="6"/>
  <c r="U931" i="6" s="1"/>
  <c r="R929" i="6"/>
  <c r="U929" i="6" s="1"/>
  <c r="R927" i="6"/>
  <c r="U927" i="6" s="1"/>
  <c r="R925" i="6"/>
  <c r="U925" i="6" s="1"/>
  <c r="R923" i="6"/>
  <c r="U923" i="6" s="1"/>
  <c r="R921" i="6"/>
  <c r="U921" i="6" s="1"/>
  <c r="R919" i="6"/>
  <c r="U919" i="6" s="1"/>
  <c r="R917" i="6"/>
  <c r="U917" i="6" s="1"/>
  <c r="R915" i="6"/>
  <c r="U915" i="6" s="1"/>
  <c r="R913" i="6"/>
  <c r="U913" i="6" s="1"/>
  <c r="R911" i="6"/>
  <c r="U911" i="6" s="1"/>
  <c r="R909" i="6"/>
  <c r="U909" i="6" s="1"/>
  <c r="R907" i="6"/>
  <c r="U907" i="6" s="1"/>
  <c r="R905" i="6"/>
  <c r="U905" i="6" s="1"/>
  <c r="R903" i="6"/>
  <c r="U903" i="6" s="1"/>
  <c r="R901" i="6"/>
  <c r="U901" i="6" s="1"/>
  <c r="R899" i="6"/>
  <c r="U899" i="6" s="1"/>
  <c r="R897" i="6"/>
  <c r="U897" i="6" s="1"/>
  <c r="R895" i="6"/>
  <c r="U895" i="6" s="1"/>
  <c r="R893" i="6"/>
  <c r="U893" i="6" s="1"/>
  <c r="R891" i="6"/>
  <c r="U891" i="6" s="1"/>
  <c r="R889" i="6"/>
  <c r="U889" i="6" s="1"/>
  <c r="R887" i="6"/>
  <c r="U887" i="6" s="1"/>
  <c r="R885" i="6"/>
  <c r="U885" i="6" s="1"/>
  <c r="R883" i="6"/>
  <c r="U883" i="6" s="1"/>
  <c r="R881" i="6"/>
  <c r="U881" i="6" s="1"/>
  <c r="R879" i="6"/>
  <c r="U879" i="6" s="1"/>
  <c r="R877" i="6"/>
  <c r="U877" i="6" s="1"/>
  <c r="R875" i="6"/>
  <c r="U875" i="6" s="1"/>
  <c r="R873" i="6"/>
  <c r="U873" i="6" s="1"/>
  <c r="R871" i="6"/>
  <c r="U871" i="6" s="1"/>
  <c r="R869" i="6"/>
  <c r="U869" i="6" s="1"/>
  <c r="R867" i="6"/>
  <c r="U867" i="6" s="1"/>
  <c r="R865" i="6"/>
  <c r="U865" i="6" s="1"/>
  <c r="R863" i="6"/>
  <c r="U863" i="6" s="1"/>
  <c r="R861" i="6"/>
  <c r="U861" i="6" s="1"/>
  <c r="R859" i="6"/>
  <c r="U859" i="6" s="1"/>
  <c r="R857" i="6"/>
  <c r="U857" i="6" s="1"/>
  <c r="R855" i="6"/>
  <c r="U855" i="6" s="1"/>
  <c r="R853" i="6"/>
  <c r="U853" i="6" s="1"/>
  <c r="R851" i="6"/>
  <c r="U851" i="6" s="1"/>
  <c r="R849" i="6"/>
  <c r="U849" i="6" s="1"/>
  <c r="R847" i="6"/>
  <c r="U847" i="6" s="1"/>
  <c r="R845" i="6"/>
  <c r="U845" i="6" s="1"/>
  <c r="R843" i="6"/>
  <c r="U843" i="6" s="1"/>
  <c r="R841" i="6"/>
  <c r="U841" i="6" s="1"/>
  <c r="R839" i="6"/>
  <c r="U839" i="6" s="1"/>
  <c r="R837" i="6"/>
  <c r="U837" i="6" s="1"/>
  <c r="R835" i="6"/>
  <c r="U835" i="6" s="1"/>
  <c r="R833" i="6"/>
  <c r="U833" i="6" s="1"/>
  <c r="R831" i="6"/>
  <c r="U831" i="6" s="1"/>
  <c r="R829" i="6"/>
  <c r="U829" i="6" s="1"/>
  <c r="R827" i="6"/>
  <c r="U827" i="6" s="1"/>
  <c r="R825" i="6"/>
  <c r="U825" i="6" s="1"/>
  <c r="R823" i="6"/>
  <c r="U823" i="6" s="1"/>
  <c r="R821" i="6"/>
  <c r="U821" i="6" s="1"/>
  <c r="R819" i="6"/>
  <c r="U819" i="6" s="1"/>
  <c r="R817" i="6"/>
  <c r="U817" i="6" s="1"/>
  <c r="R815" i="6"/>
  <c r="U815" i="6" s="1"/>
  <c r="R813" i="6"/>
  <c r="U813" i="6" s="1"/>
  <c r="R811" i="6"/>
  <c r="U811" i="6" s="1"/>
  <c r="R809" i="6"/>
  <c r="U809" i="6" s="1"/>
  <c r="R807" i="6"/>
  <c r="U807" i="6" s="1"/>
  <c r="R805" i="6"/>
  <c r="U805" i="6" s="1"/>
  <c r="R803" i="6"/>
  <c r="U803" i="6" s="1"/>
  <c r="R801" i="6"/>
  <c r="U801" i="6" s="1"/>
  <c r="R799" i="6"/>
  <c r="U799" i="6" s="1"/>
  <c r="R797" i="6"/>
  <c r="U797" i="6" s="1"/>
  <c r="R795" i="6"/>
  <c r="U795" i="6" s="1"/>
  <c r="R793" i="6"/>
  <c r="U793" i="6" s="1"/>
  <c r="R791" i="6"/>
  <c r="U791" i="6" s="1"/>
  <c r="R789" i="6"/>
  <c r="U789" i="6" s="1"/>
  <c r="R787" i="6"/>
  <c r="U787" i="6" s="1"/>
  <c r="R785" i="6"/>
  <c r="U785" i="6" s="1"/>
  <c r="R783" i="6"/>
  <c r="U783" i="6" s="1"/>
  <c r="R781" i="6"/>
  <c r="U781" i="6" s="1"/>
  <c r="R779" i="6"/>
  <c r="U779" i="6" s="1"/>
  <c r="R777" i="6"/>
  <c r="U777" i="6" s="1"/>
  <c r="R775" i="6"/>
  <c r="U775" i="6" s="1"/>
  <c r="R773" i="6"/>
  <c r="U773" i="6" s="1"/>
  <c r="R771" i="6"/>
  <c r="U771" i="6" s="1"/>
  <c r="R769" i="6"/>
  <c r="U769" i="6" s="1"/>
  <c r="R767" i="6"/>
  <c r="U767" i="6" s="1"/>
  <c r="R765" i="6"/>
  <c r="U765" i="6" s="1"/>
  <c r="R763" i="6"/>
  <c r="U763" i="6" s="1"/>
  <c r="R761" i="6"/>
  <c r="U761" i="6" s="1"/>
  <c r="R759" i="6"/>
  <c r="U759" i="6" s="1"/>
  <c r="R757" i="6"/>
  <c r="U757" i="6" s="1"/>
  <c r="R755" i="6"/>
  <c r="U755" i="6" s="1"/>
  <c r="R753" i="6"/>
  <c r="U753" i="6" s="1"/>
  <c r="R751" i="6"/>
  <c r="U751" i="6" s="1"/>
  <c r="R749" i="6"/>
  <c r="U749" i="6" s="1"/>
  <c r="R747" i="6"/>
  <c r="U747" i="6" s="1"/>
  <c r="R745" i="6"/>
  <c r="U745" i="6" s="1"/>
  <c r="R743" i="6"/>
  <c r="U743" i="6" s="1"/>
  <c r="R741" i="6"/>
  <c r="U741" i="6" s="1"/>
  <c r="R739" i="6"/>
  <c r="U739" i="6" s="1"/>
  <c r="R737" i="6"/>
  <c r="U737" i="6" s="1"/>
  <c r="R735" i="6"/>
  <c r="U735" i="6" s="1"/>
  <c r="R733" i="6"/>
  <c r="U733" i="6" s="1"/>
  <c r="R731" i="6"/>
  <c r="U731" i="6" s="1"/>
  <c r="R729" i="6"/>
  <c r="U729" i="6" s="1"/>
  <c r="R727" i="6"/>
  <c r="U727" i="6" s="1"/>
  <c r="R725" i="6"/>
  <c r="U725" i="6" s="1"/>
  <c r="R723" i="6"/>
  <c r="U723" i="6" s="1"/>
  <c r="R721" i="6"/>
  <c r="U721" i="6" s="1"/>
  <c r="R719" i="6"/>
  <c r="U719" i="6" s="1"/>
  <c r="R717" i="6"/>
  <c r="U717" i="6" s="1"/>
  <c r="R715" i="6"/>
  <c r="U715" i="6" s="1"/>
  <c r="R713" i="6"/>
  <c r="U713" i="6" s="1"/>
  <c r="R711" i="6"/>
  <c r="U711" i="6" s="1"/>
  <c r="R709" i="6"/>
  <c r="U709" i="6" s="1"/>
  <c r="R707" i="6"/>
  <c r="U707" i="6" s="1"/>
  <c r="R705" i="6"/>
  <c r="U705" i="6" s="1"/>
  <c r="R703" i="6"/>
  <c r="U703" i="6" s="1"/>
  <c r="R701" i="6"/>
  <c r="U701" i="6" s="1"/>
  <c r="R699" i="6"/>
  <c r="U699" i="6" s="1"/>
  <c r="R697" i="6"/>
  <c r="U697" i="6" s="1"/>
  <c r="R695" i="6"/>
  <c r="U695" i="6" s="1"/>
  <c r="R693" i="6"/>
  <c r="U693" i="6" s="1"/>
  <c r="R691" i="6"/>
  <c r="U691" i="6" s="1"/>
  <c r="R689" i="6"/>
  <c r="U689" i="6" s="1"/>
  <c r="R687" i="6"/>
  <c r="U687" i="6" s="1"/>
  <c r="R685" i="6"/>
  <c r="U685" i="6" s="1"/>
  <c r="R683" i="6"/>
  <c r="U683" i="6" s="1"/>
  <c r="R681" i="6"/>
  <c r="U681" i="6" s="1"/>
  <c r="R679" i="6"/>
  <c r="U679" i="6" s="1"/>
  <c r="R677" i="6"/>
  <c r="U677" i="6" s="1"/>
  <c r="R675" i="6"/>
  <c r="U675" i="6" s="1"/>
  <c r="R673" i="6"/>
  <c r="U673" i="6" s="1"/>
  <c r="R671" i="6"/>
  <c r="U671" i="6" s="1"/>
  <c r="R669" i="6"/>
  <c r="U669" i="6" s="1"/>
  <c r="R667" i="6"/>
  <c r="U667" i="6" s="1"/>
  <c r="R665" i="6"/>
  <c r="U665" i="6" s="1"/>
  <c r="R663" i="6"/>
  <c r="U663" i="6" s="1"/>
  <c r="R661" i="6"/>
  <c r="U661" i="6" s="1"/>
  <c r="R659" i="6"/>
  <c r="U659" i="6" s="1"/>
  <c r="R657" i="6"/>
  <c r="U657" i="6" s="1"/>
  <c r="R655" i="6"/>
  <c r="U655" i="6" s="1"/>
  <c r="R653" i="6"/>
  <c r="U653" i="6" s="1"/>
  <c r="R651" i="6"/>
  <c r="U651" i="6" s="1"/>
  <c r="R649" i="6"/>
  <c r="U649" i="6" s="1"/>
  <c r="R647" i="6"/>
  <c r="U647" i="6" s="1"/>
  <c r="R645" i="6"/>
  <c r="U645" i="6" s="1"/>
  <c r="R643" i="6"/>
  <c r="U643" i="6" s="1"/>
  <c r="R641" i="6"/>
  <c r="U641" i="6" s="1"/>
  <c r="R639" i="6"/>
  <c r="U639" i="6" s="1"/>
  <c r="R637" i="6"/>
  <c r="U637" i="6" s="1"/>
  <c r="R635" i="6"/>
  <c r="U635" i="6" s="1"/>
  <c r="R633" i="6"/>
  <c r="U633" i="6" s="1"/>
  <c r="R631" i="6"/>
  <c r="U631" i="6" s="1"/>
  <c r="R629" i="6"/>
  <c r="U629" i="6" s="1"/>
  <c r="R627" i="6"/>
  <c r="U627" i="6" s="1"/>
  <c r="R625" i="6"/>
  <c r="U625" i="6" s="1"/>
  <c r="R623" i="6"/>
  <c r="U623" i="6" s="1"/>
  <c r="R621" i="6"/>
  <c r="U621" i="6" s="1"/>
  <c r="R619" i="6"/>
  <c r="U619" i="6" s="1"/>
  <c r="R617" i="6"/>
  <c r="U617" i="6" s="1"/>
  <c r="R615" i="6"/>
  <c r="U615" i="6" s="1"/>
  <c r="R613" i="6"/>
  <c r="U613" i="6" s="1"/>
  <c r="R611" i="6"/>
  <c r="U611" i="6" s="1"/>
  <c r="R609" i="6"/>
  <c r="U609" i="6" s="1"/>
  <c r="R607" i="6"/>
  <c r="U607" i="6" s="1"/>
  <c r="R605" i="6"/>
  <c r="U605" i="6" s="1"/>
  <c r="R603" i="6"/>
  <c r="U603" i="6" s="1"/>
  <c r="R601" i="6"/>
  <c r="U601" i="6" s="1"/>
  <c r="R599" i="6"/>
  <c r="U599" i="6" s="1"/>
  <c r="R597" i="6"/>
  <c r="U597" i="6" s="1"/>
  <c r="R595" i="6"/>
  <c r="U595" i="6" s="1"/>
  <c r="R593" i="6"/>
  <c r="U593" i="6" s="1"/>
  <c r="R591" i="6"/>
  <c r="U591" i="6" s="1"/>
  <c r="R589" i="6"/>
  <c r="U589" i="6" s="1"/>
  <c r="R587" i="6"/>
  <c r="U587" i="6" s="1"/>
  <c r="R585" i="6"/>
  <c r="U585" i="6" s="1"/>
  <c r="R583" i="6"/>
  <c r="U583" i="6" s="1"/>
  <c r="R581" i="6"/>
  <c r="U581" i="6" s="1"/>
  <c r="R579" i="6"/>
  <c r="U579" i="6" s="1"/>
  <c r="R577" i="6"/>
  <c r="U577" i="6" s="1"/>
  <c r="R575" i="6"/>
  <c r="U575" i="6" s="1"/>
  <c r="R573" i="6"/>
  <c r="U573" i="6" s="1"/>
  <c r="R571" i="6"/>
  <c r="U571" i="6" s="1"/>
  <c r="R569" i="6"/>
  <c r="U569" i="6" s="1"/>
  <c r="R567" i="6"/>
  <c r="U567" i="6" s="1"/>
  <c r="R565" i="6"/>
  <c r="U565" i="6" s="1"/>
  <c r="R563" i="6"/>
  <c r="U563" i="6" s="1"/>
  <c r="R561" i="6"/>
  <c r="U561" i="6" s="1"/>
  <c r="R559" i="6"/>
  <c r="U559" i="6" s="1"/>
  <c r="R557" i="6"/>
  <c r="U557" i="6" s="1"/>
  <c r="R555" i="6"/>
  <c r="U555" i="6" s="1"/>
  <c r="R553" i="6"/>
  <c r="U553" i="6" s="1"/>
  <c r="R551" i="6"/>
  <c r="U551" i="6" s="1"/>
  <c r="R549" i="6"/>
  <c r="U549" i="6" s="1"/>
  <c r="R547" i="6"/>
  <c r="U547" i="6" s="1"/>
  <c r="R545" i="6"/>
  <c r="U545" i="6" s="1"/>
  <c r="R543" i="6"/>
  <c r="U543" i="6" s="1"/>
  <c r="R541" i="6"/>
  <c r="U541" i="6" s="1"/>
  <c r="R539" i="6"/>
  <c r="U539" i="6" s="1"/>
  <c r="R537" i="6"/>
  <c r="U537" i="6" s="1"/>
  <c r="R535" i="6"/>
  <c r="U535" i="6" s="1"/>
  <c r="R533" i="6"/>
  <c r="U533" i="6" s="1"/>
  <c r="R531" i="6"/>
  <c r="U531" i="6" s="1"/>
  <c r="R529" i="6"/>
  <c r="U529" i="6" s="1"/>
  <c r="R527" i="6"/>
  <c r="U527" i="6" s="1"/>
  <c r="R525" i="6"/>
  <c r="U525" i="6" s="1"/>
  <c r="R523" i="6"/>
  <c r="U523" i="6" s="1"/>
  <c r="R521" i="6"/>
  <c r="U521" i="6" s="1"/>
  <c r="R519" i="6"/>
  <c r="U519" i="6" s="1"/>
  <c r="R517" i="6"/>
  <c r="U517" i="6" s="1"/>
  <c r="R515" i="6"/>
  <c r="U515" i="6" s="1"/>
  <c r="R513" i="6"/>
  <c r="U513" i="6" s="1"/>
  <c r="R511" i="6"/>
  <c r="U511" i="6" s="1"/>
  <c r="R509" i="6"/>
  <c r="U509" i="6" s="1"/>
  <c r="R507" i="6"/>
  <c r="U507" i="6" s="1"/>
  <c r="R505" i="6"/>
  <c r="U505" i="6" s="1"/>
  <c r="R503" i="6"/>
  <c r="U503" i="6" s="1"/>
  <c r="R501" i="6"/>
  <c r="U501" i="6" s="1"/>
  <c r="R499" i="6"/>
  <c r="U499" i="6" s="1"/>
  <c r="R497" i="6"/>
  <c r="U497" i="6" s="1"/>
  <c r="R495" i="6"/>
  <c r="U495" i="6" s="1"/>
  <c r="R493" i="6"/>
  <c r="U493" i="6" s="1"/>
  <c r="R491" i="6"/>
  <c r="U491" i="6" s="1"/>
  <c r="R489" i="6"/>
  <c r="U489" i="6" s="1"/>
  <c r="R487" i="6"/>
  <c r="U487" i="6" s="1"/>
  <c r="R485" i="6"/>
  <c r="U485" i="6" s="1"/>
  <c r="R483" i="6"/>
  <c r="U483" i="6" s="1"/>
  <c r="R481" i="6"/>
  <c r="U481" i="6" s="1"/>
  <c r="R479" i="6"/>
  <c r="U479" i="6" s="1"/>
  <c r="R477" i="6"/>
  <c r="U477" i="6" s="1"/>
  <c r="R475" i="6"/>
  <c r="U475" i="6" s="1"/>
  <c r="R473" i="6"/>
  <c r="U473" i="6" s="1"/>
  <c r="R471" i="6"/>
  <c r="U471" i="6" s="1"/>
  <c r="R469" i="6"/>
  <c r="U469" i="6" s="1"/>
  <c r="R467" i="6"/>
  <c r="U467" i="6" s="1"/>
  <c r="R465" i="6"/>
  <c r="U465" i="6" s="1"/>
  <c r="R463" i="6"/>
  <c r="U463" i="6" s="1"/>
  <c r="R461" i="6"/>
  <c r="U461" i="6" s="1"/>
  <c r="R459" i="6"/>
  <c r="U459" i="6" s="1"/>
  <c r="R457" i="6"/>
  <c r="U457" i="6" s="1"/>
  <c r="R455" i="6"/>
  <c r="U455" i="6" s="1"/>
  <c r="R453" i="6"/>
  <c r="U453" i="6" s="1"/>
  <c r="R451" i="6"/>
  <c r="U451" i="6" s="1"/>
  <c r="R449" i="6"/>
  <c r="U449" i="6" s="1"/>
  <c r="R447" i="6"/>
  <c r="U447" i="6" s="1"/>
  <c r="R445" i="6"/>
  <c r="U445" i="6" s="1"/>
  <c r="R443" i="6"/>
  <c r="U443" i="6" s="1"/>
  <c r="R441" i="6"/>
  <c r="U441" i="6" s="1"/>
  <c r="R439" i="6"/>
  <c r="U439" i="6" s="1"/>
  <c r="R437" i="6"/>
  <c r="U437" i="6" s="1"/>
  <c r="R435" i="6"/>
  <c r="U435" i="6" s="1"/>
  <c r="R433" i="6"/>
  <c r="U433" i="6" s="1"/>
  <c r="R431" i="6"/>
  <c r="U431" i="6" s="1"/>
  <c r="R429" i="6"/>
  <c r="U429" i="6" s="1"/>
  <c r="R427" i="6"/>
  <c r="U427" i="6" s="1"/>
  <c r="R425" i="6"/>
  <c r="U425" i="6" s="1"/>
  <c r="R423" i="6"/>
  <c r="U423" i="6" s="1"/>
  <c r="R421" i="6"/>
  <c r="U421" i="6" s="1"/>
  <c r="R419" i="6"/>
  <c r="U419" i="6" s="1"/>
  <c r="R417" i="6"/>
  <c r="U417" i="6" s="1"/>
  <c r="R415" i="6"/>
  <c r="U415" i="6" s="1"/>
  <c r="R413" i="6"/>
  <c r="U413" i="6" s="1"/>
  <c r="R411" i="6"/>
  <c r="U411" i="6" s="1"/>
  <c r="R409" i="6"/>
  <c r="U409" i="6" s="1"/>
  <c r="R407" i="6"/>
  <c r="U407" i="6" s="1"/>
  <c r="R405" i="6"/>
  <c r="U405" i="6" s="1"/>
  <c r="R403" i="6"/>
  <c r="U403" i="6" s="1"/>
  <c r="R401" i="6"/>
  <c r="U401" i="6" s="1"/>
  <c r="R399" i="6"/>
  <c r="U399" i="6" s="1"/>
  <c r="R397" i="6"/>
  <c r="U397" i="6" s="1"/>
  <c r="R395" i="6"/>
  <c r="U395" i="6" s="1"/>
  <c r="R393" i="6"/>
  <c r="U393" i="6" s="1"/>
  <c r="R391" i="6"/>
  <c r="U391" i="6" s="1"/>
  <c r="R389" i="6"/>
  <c r="U389" i="6" s="1"/>
  <c r="R387" i="6"/>
  <c r="U387" i="6" s="1"/>
  <c r="R385" i="6"/>
  <c r="U385" i="6" s="1"/>
  <c r="R383" i="6"/>
  <c r="U383" i="6" s="1"/>
  <c r="R381" i="6"/>
  <c r="U381" i="6" s="1"/>
  <c r="R379" i="6"/>
  <c r="U379" i="6" s="1"/>
  <c r="R377" i="6"/>
  <c r="U377" i="6" s="1"/>
  <c r="R375" i="6"/>
  <c r="U375" i="6" s="1"/>
  <c r="R373" i="6"/>
  <c r="U373" i="6" s="1"/>
  <c r="R371" i="6"/>
  <c r="U371" i="6" s="1"/>
  <c r="R369" i="6"/>
  <c r="U369" i="6" s="1"/>
  <c r="R367" i="6"/>
  <c r="U367" i="6" s="1"/>
  <c r="R365" i="6"/>
  <c r="U365" i="6" s="1"/>
  <c r="R363" i="6"/>
  <c r="U363" i="6" s="1"/>
  <c r="R361" i="6"/>
  <c r="U361" i="6" s="1"/>
  <c r="R359" i="6"/>
  <c r="U359" i="6" s="1"/>
  <c r="R357" i="6"/>
  <c r="U357" i="6" s="1"/>
  <c r="R355" i="6"/>
  <c r="U355" i="6" s="1"/>
  <c r="R353" i="6"/>
  <c r="U353" i="6" s="1"/>
  <c r="R351" i="6"/>
  <c r="U351" i="6" s="1"/>
  <c r="R349" i="6"/>
  <c r="U349" i="6" s="1"/>
  <c r="R347" i="6"/>
  <c r="U347" i="6" s="1"/>
  <c r="R345" i="6"/>
  <c r="U345" i="6" s="1"/>
  <c r="R343" i="6"/>
  <c r="U343" i="6" s="1"/>
  <c r="R341" i="6"/>
  <c r="U341" i="6" s="1"/>
  <c r="R339" i="6"/>
  <c r="U339" i="6" s="1"/>
  <c r="R337" i="6"/>
  <c r="U337" i="6" s="1"/>
  <c r="R335" i="6"/>
  <c r="U335" i="6" s="1"/>
  <c r="R333" i="6"/>
  <c r="U333" i="6" s="1"/>
  <c r="R331" i="6"/>
  <c r="U331" i="6" s="1"/>
  <c r="R329" i="6"/>
  <c r="U329" i="6" s="1"/>
  <c r="R327" i="6"/>
  <c r="U327" i="6" s="1"/>
  <c r="R325" i="6"/>
  <c r="U325" i="6" s="1"/>
  <c r="R323" i="6"/>
  <c r="U323" i="6" s="1"/>
  <c r="R321" i="6"/>
  <c r="U321" i="6" s="1"/>
  <c r="R319" i="6"/>
  <c r="U319" i="6" s="1"/>
  <c r="R317" i="6"/>
  <c r="U317" i="6" s="1"/>
  <c r="R315" i="6"/>
  <c r="U315" i="6" s="1"/>
  <c r="R313" i="6"/>
  <c r="U313" i="6" s="1"/>
  <c r="R311" i="6"/>
  <c r="U311" i="6" s="1"/>
  <c r="R309" i="6"/>
  <c r="U309" i="6" s="1"/>
  <c r="R307" i="6"/>
  <c r="U307" i="6" s="1"/>
  <c r="R305" i="6"/>
  <c r="U305" i="6" s="1"/>
  <c r="R303" i="6"/>
  <c r="U303" i="6" s="1"/>
  <c r="R301" i="6"/>
  <c r="U301" i="6" s="1"/>
  <c r="R299" i="6"/>
  <c r="U299" i="6" s="1"/>
  <c r="R297" i="6"/>
  <c r="U297" i="6" s="1"/>
  <c r="R295" i="6"/>
  <c r="U295" i="6" s="1"/>
  <c r="R293" i="6"/>
  <c r="U293" i="6" s="1"/>
  <c r="R291" i="6"/>
  <c r="U291" i="6" s="1"/>
  <c r="R289" i="6"/>
  <c r="U289" i="6" s="1"/>
  <c r="R287" i="6"/>
  <c r="U287" i="6" s="1"/>
  <c r="R285" i="6"/>
  <c r="U285" i="6" s="1"/>
  <c r="R283" i="6"/>
  <c r="U283" i="6" s="1"/>
  <c r="R281" i="6"/>
  <c r="U281" i="6" s="1"/>
  <c r="R279" i="6"/>
  <c r="U279" i="6" s="1"/>
  <c r="R277" i="6"/>
  <c r="U277" i="6" s="1"/>
  <c r="R275" i="6"/>
  <c r="U275" i="6" s="1"/>
  <c r="R273" i="6"/>
  <c r="U273" i="6" s="1"/>
  <c r="R271" i="6"/>
  <c r="U271" i="6" s="1"/>
  <c r="R269" i="6"/>
  <c r="U269" i="6" s="1"/>
  <c r="R267" i="6"/>
  <c r="U267" i="6" s="1"/>
  <c r="R265" i="6"/>
  <c r="U265" i="6" s="1"/>
  <c r="R263" i="6"/>
  <c r="U263" i="6" s="1"/>
  <c r="R261" i="6"/>
  <c r="U261" i="6" s="1"/>
  <c r="R259" i="6"/>
  <c r="U259" i="6" s="1"/>
  <c r="R257" i="6"/>
  <c r="U257" i="6" s="1"/>
  <c r="R255" i="6"/>
  <c r="U255" i="6" s="1"/>
  <c r="R253" i="6"/>
  <c r="U253" i="6" s="1"/>
  <c r="R251" i="6"/>
  <c r="U251" i="6" s="1"/>
  <c r="R249" i="6"/>
  <c r="U249" i="6" s="1"/>
  <c r="R247" i="6"/>
  <c r="U247" i="6" s="1"/>
  <c r="R245" i="6"/>
  <c r="U245" i="6" s="1"/>
  <c r="R243" i="6"/>
  <c r="U243" i="6" s="1"/>
  <c r="R241" i="6"/>
  <c r="U241" i="6" s="1"/>
  <c r="R239" i="6"/>
  <c r="U239" i="6" s="1"/>
  <c r="R237" i="6"/>
  <c r="U237" i="6" s="1"/>
  <c r="R235" i="6"/>
  <c r="U235" i="6" s="1"/>
  <c r="L1001" i="6"/>
  <c r="S1001" i="6" s="1"/>
  <c r="V1001" i="6" s="1"/>
  <c r="L997" i="6"/>
  <c r="S997" i="6" s="1"/>
  <c r="V997" i="6" s="1"/>
  <c r="L993" i="6"/>
  <c r="S993" i="6" s="1"/>
  <c r="V993" i="6" s="1"/>
  <c r="L989" i="6"/>
  <c r="S989" i="6" s="1"/>
  <c r="V989" i="6" s="1"/>
  <c r="L985" i="6"/>
  <c r="S985" i="6" s="1"/>
  <c r="V985" i="6" s="1"/>
  <c r="L981" i="6"/>
  <c r="S981" i="6" s="1"/>
  <c r="V981" i="6" s="1"/>
  <c r="L977" i="6"/>
  <c r="S977" i="6" s="1"/>
  <c r="V977" i="6" s="1"/>
  <c r="L973" i="6"/>
  <c r="S973" i="6" s="1"/>
  <c r="V973" i="6" s="1"/>
  <c r="L969" i="6"/>
  <c r="S969" i="6" s="1"/>
  <c r="V969" i="6" s="1"/>
  <c r="L965" i="6"/>
  <c r="S965" i="6" s="1"/>
  <c r="V965" i="6" s="1"/>
  <c r="L961" i="6"/>
  <c r="S961" i="6" s="1"/>
  <c r="V961" i="6" s="1"/>
  <c r="L957" i="6"/>
  <c r="S957" i="6" s="1"/>
  <c r="V957" i="6" s="1"/>
  <c r="L953" i="6"/>
  <c r="S953" i="6" s="1"/>
  <c r="V953" i="6" s="1"/>
  <c r="L949" i="6"/>
  <c r="S949" i="6" s="1"/>
  <c r="V949" i="6" s="1"/>
  <c r="L945" i="6"/>
  <c r="S945" i="6" s="1"/>
  <c r="V945" i="6" s="1"/>
  <c r="L941" i="6"/>
  <c r="S941" i="6" s="1"/>
  <c r="V941" i="6" s="1"/>
  <c r="L937" i="6"/>
  <c r="S937" i="6" s="1"/>
  <c r="V937" i="6" s="1"/>
  <c r="L933" i="6"/>
  <c r="S933" i="6" s="1"/>
  <c r="V933" i="6" s="1"/>
  <c r="L929" i="6"/>
  <c r="S929" i="6" s="1"/>
  <c r="V929" i="6" s="1"/>
  <c r="L925" i="6"/>
  <c r="S925" i="6" s="1"/>
  <c r="V925" i="6" s="1"/>
  <c r="L921" i="6"/>
  <c r="S921" i="6" s="1"/>
  <c r="V921" i="6" s="1"/>
  <c r="L917" i="6"/>
  <c r="S917" i="6" s="1"/>
  <c r="V917" i="6" s="1"/>
  <c r="L913" i="6"/>
  <c r="S913" i="6" s="1"/>
  <c r="V913" i="6" s="1"/>
  <c r="L909" i="6"/>
  <c r="S909" i="6" s="1"/>
  <c r="V909" i="6" s="1"/>
  <c r="L905" i="6"/>
  <c r="S905" i="6" s="1"/>
  <c r="V905" i="6" s="1"/>
  <c r="L901" i="6"/>
  <c r="S901" i="6" s="1"/>
  <c r="V901" i="6" s="1"/>
  <c r="L897" i="6"/>
  <c r="S897" i="6" s="1"/>
  <c r="V897" i="6" s="1"/>
  <c r="L893" i="6"/>
  <c r="S893" i="6" s="1"/>
  <c r="V893" i="6" s="1"/>
  <c r="L889" i="6"/>
  <c r="S889" i="6" s="1"/>
  <c r="V889" i="6" s="1"/>
  <c r="L885" i="6"/>
  <c r="S885" i="6" s="1"/>
  <c r="V885" i="6" s="1"/>
  <c r="L881" i="6"/>
  <c r="S881" i="6" s="1"/>
  <c r="V881" i="6" s="1"/>
  <c r="L877" i="6"/>
  <c r="S877" i="6" s="1"/>
  <c r="V877" i="6" s="1"/>
  <c r="L873" i="6"/>
  <c r="S873" i="6" s="1"/>
  <c r="V873" i="6" s="1"/>
  <c r="L869" i="6"/>
  <c r="S869" i="6" s="1"/>
  <c r="V869" i="6" s="1"/>
  <c r="L865" i="6"/>
  <c r="S865" i="6" s="1"/>
  <c r="V865" i="6" s="1"/>
  <c r="L861" i="6"/>
  <c r="S861" i="6" s="1"/>
  <c r="V861" i="6" s="1"/>
  <c r="L857" i="6"/>
  <c r="S857" i="6" s="1"/>
  <c r="V857" i="6" s="1"/>
  <c r="L853" i="6"/>
  <c r="S853" i="6" s="1"/>
  <c r="V853" i="6" s="1"/>
  <c r="L849" i="6"/>
  <c r="S849" i="6" s="1"/>
  <c r="V849" i="6" s="1"/>
  <c r="L845" i="6"/>
  <c r="S845" i="6" s="1"/>
  <c r="V845" i="6" s="1"/>
  <c r="L841" i="6"/>
  <c r="S841" i="6" s="1"/>
  <c r="V841" i="6" s="1"/>
  <c r="L837" i="6"/>
  <c r="S837" i="6" s="1"/>
  <c r="V837" i="6" s="1"/>
  <c r="L833" i="6"/>
  <c r="S833" i="6" s="1"/>
  <c r="V833" i="6" s="1"/>
  <c r="L829" i="6"/>
  <c r="S829" i="6" s="1"/>
  <c r="V829" i="6" s="1"/>
  <c r="L825" i="6"/>
  <c r="S825" i="6" s="1"/>
  <c r="V825" i="6" s="1"/>
  <c r="L821" i="6"/>
  <c r="S821" i="6" s="1"/>
  <c r="V821" i="6" s="1"/>
  <c r="L817" i="6"/>
  <c r="S817" i="6" s="1"/>
  <c r="V817" i="6" s="1"/>
  <c r="L813" i="6"/>
  <c r="S813" i="6" s="1"/>
  <c r="V813" i="6" s="1"/>
  <c r="L809" i="6"/>
  <c r="S809" i="6" s="1"/>
  <c r="V809" i="6" s="1"/>
  <c r="L805" i="6"/>
  <c r="S805" i="6" s="1"/>
  <c r="V805" i="6" s="1"/>
  <c r="L801" i="6"/>
  <c r="S801" i="6" s="1"/>
  <c r="V801" i="6" s="1"/>
  <c r="L797" i="6"/>
  <c r="S797" i="6" s="1"/>
  <c r="V797" i="6" s="1"/>
  <c r="L793" i="6"/>
  <c r="S793" i="6" s="1"/>
  <c r="V793" i="6" s="1"/>
  <c r="L789" i="6"/>
  <c r="S789" i="6" s="1"/>
  <c r="V789" i="6" s="1"/>
  <c r="L785" i="6"/>
  <c r="S785" i="6" s="1"/>
  <c r="V785" i="6" s="1"/>
  <c r="L781" i="6"/>
  <c r="S781" i="6" s="1"/>
  <c r="V781" i="6" s="1"/>
  <c r="L777" i="6"/>
  <c r="S777" i="6" s="1"/>
  <c r="V777" i="6" s="1"/>
  <c r="L773" i="6"/>
  <c r="S773" i="6" s="1"/>
  <c r="V773" i="6" s="1"/>
  <c r="L769" i="6"/>
  <c r="S769" i="6" s="1"/>
  <c r="V769" i="6" s="1"/>
  <c r="L765" i="6"/>
  <c r="S765" i="6" s="1"/>
  <c r="V765" i="6" s="1"/>
  <c r="L761" i="6"/>
  <c r="S761" i="6" s="1"/>
  <c r="V761" i="6" s="1"/>
  <c r="L757" i="6"/>
  <c r="S757" i="6" s="1"/>
  <c r="V757" i="6" s="1"/>
  <c r="L753" i="6"/>
  <c r="S753" i="6" s="1"/>
  <c r="V753" i="6" s="1"/>
  <c r="L749" i="6"/>
  <c r="S749" i="6" s="1"/>
  <c r="V749" i="6" s="1"/>
  <c r="L745" i="6"/>
  <c r="S745" i="6" s="1"/>
  <c r="V745" i="6" s="1"/>
  <c r="L741" i="6"/>
  <c r="S741" i="6" s="1"/>
  <c r="V741" i="6" s="1"/>
  <c r="L737" i="6"/>
  <c r="S737" i="6" s="1"/>
  <c r="V737" i="6" s="1"/>
  <c r="L733" i="6"/>
  <c r="S733" i="6" s="1"/>
  <c r="V733" i="6" s="1"/>
  <c r="L729" i="6"/>
  <c r="S729" i="6" s="1"/>
  <c r="V729" i="6" s="1"/>
  <c r="L725" i="6"/>
  <c r="S725" i="6" s="1"/>
  <c r="V725" i="6" s="1"/>
  <c r="L721" i="6"/>
  <c r="S721" i="6" s="1"/>
  <c r="V721" i="6" s="1"/>
  <c r="L717" i="6"/>
  <c r="S717" i="6" s="1"/>
  <c r="V717" i="6" s="1"/>
  <c r="L713" i="6"/>
  <c r="S713" i="6" s="1"/>
  <c r="V713" i="6" s="1"/>
  <c r="L709" i="6"/>
  <c r="S709" i="6" s="1"/>
  <c r="V709" i="6" s="1"/>
  <c r="L705" i="6"/>
  <c r="S705" i="6" s="1"/>
  <c r="V705" i="6" s="1"/>
  <c r="L701" i="6"/>
  <c r="S701" i="6" s="1"/>
  <c r="V701" i="6" s="1"/>
  <c r="L697" i="6"/>
  <c r="S697" i="6" s="1"/>
  <c r="V697" i="6" s="1"/>
  <c r="L693" i="6"/>
  <c r="S693" i="6" s="1"/>
  <c r="V693" i="6" s="1"/>
  <c r="L689" i="6"/>
  <c r="S689" i="6" s="1"/>
  <c r="V689" i="6" s="1"/>
  <c r="L685" i="6"/>
  <c r="S685" i="6" s="1"/>
  <c r="V685" i="6" s="1"/>
  <c r="L681" i="6"/>
  <c r="S681" i="6" s="1"/>
  <c r="V681" i="6" s="1"/>
  <c r="L677" i="6"/>
  <c r="S677" i="6" s="1"/>
  <c r="V677" i="6" s="1"/>
  <c r="L673" i="6"/>
  <c r="S673" i="6" s="1"/>
  <c r="V673" i="6" s="1"/>
  <c r="L669" i="6"/>
  <c r="S669" i="6" s="1"/>
  <c r="V669" i="6" s="1"/>
  <c r="L665" i="6"/>
  <c r="S665" i="6" s="1"/>
  <c r="V665" i="6" s="1"/>
  <c r="L661" i="6"/>
  <c r="S661" i="6" s="1"/>
  <c r="V661" i="6" s="1"/>
  <c r="L657" i="6"/>
  <c r="S657" i="6" s="1"/>
  <c r="V657" i="6" s="1"/>
  <c r="L653" i="6"/>
  <c r="S653" i="6" s="1"/>
  <c r="V653" i="6" s="1"/>
  <c r="L649" i="6"/>
  <c r="S649" i="6" s="1"/>
  <c r="V649" i="6" s="1"/>
  <c r="L645" i="6"/>
  <c r="S645" i="6" s="1"/>
  <c r="V645" i="6" s="1"/>
  <c r="L641" i="6"/>
  <c r="S641" i="6" s="1"/>
  <c r="V641" i="6" s="1"/>
  <c r="L637" i="6"/>
  <c r="S637" i="6" s="1"/>
  <c r="V637" i="6" s="1"/>
  <c r="L633" i="6"/>
  <c r="S633" i="6" s="1"/>
  <c r="V633" i="6" s="1"/>
  <c r="L629" i="6"/>
  <c r="S629" i="6" s="1"/>
  <c r="V629" i="6" s="1"/>
  <c r="L625" i="6"/>
  <c r="S625" i="6" s="1"/>
  <c r="V625" i="6" s="1"/>
  <c r="L621" i="6"/>
  <c r="S621" i="6" s="1"/>
  <c r="V621" i="6" s="1"/>
  <c r="L617" i="6"/>
  <c r="S617" i="6" s="1"/>
  <c r="V617" i="6" s="1"/>
  <c r="L613" i="6"/>
  <c r="S613" i="6" s="1"/>
  <c r="V613" i="6" s="1"/>
  <c r="L609" i="6"/>
  <c r="S609" i="6" s="1"/>
  <c r="V609" i="6" s="1"/>
  <c r="L605" i="6"/>
  <c r="S605" i="6" s="1"/>
  <c r="V605" i="6" s="1"/>
  <c r="L601" i="6"/>
  <c r="S601" i="6" s="1"/>
  <c r="V601" i="6" s="1"/>
  <c r="L597" i="6"/>
  <c r="S597" i="6" s="1"/>
  <c r="V597" i="6" s="1"/>
  <c r="L593" i="6"/>
  <c r="S593" i="6" s="1"/>
  <c r="V593" i="6" s="1"/>
  <c r="L589" i="6"/>
  <c r="S589" i="6" s="1"/>
  <c r="V589" i="6" s="1"/>
  <c r="L585" i="6"/>
  <c r="S585" i="6" s="1"/>
  <c r="V585" i="6" s="1"/>
  <c r="L581" i="6"/>
  <c r="S581" i="6" s="1"/>
  <c r="V581" i="6" s="1"/>
  <c r="L577" i="6"/>
  <c r="S577" i="6" s="1"/>
  <c r="V577" i="6" s="1"/>
  <c r="L573" i="6"/>
  <c r="S573" i="6" s="1"/>
  <c r="V573" i="6" s="1"/>
  <c r="L569" i="6"/>
  <c r="S569" i="6" s="1"/>
  <c r="V569" i="6" s="1"/>
  <c r="L565" i="6"/>
  <c r="S565" i="6" s="1"/>
  <c r="V565" i="6" s="1"/>
  <c r="L561" i="6"/>
  <c r="S561" i="6" s="1"/>
  <c r="V561" i="6" s="1"/>
  <c r="L557" i="6"/>
  <c r="S557" i="6" s="1"/>
  <c r="V557" i="6" s="1"/>
  <c r="L553" i="6"/>
  <c r="S553" i="6" s="1"/>
  <c r="V553" i="6" s="1"/>
  <c r="L549" i="6"/>
  <c r="S549" i="6" s="1"/>
  <c r="V549" i="6" s="1"/>
  <c r="L545" i="6"/>
  <c r="S545" i="6" s="1"/>
  <c r="V545" i="6" s="1"/>
  <c r="L541" i="6"/>
  <c r="S541" i="6" s="1"/>
  <c r="V541" i="6" s="1"/>
  <c r="L537" i="6"/>
  <c r="S537" i="6" s="1"/>
  <c r="V537" i="6" s="1"/>
  <c r="L533" i="6"/>
  <c r="S533" i="6" s="1"/>
  <c r="V533" i="6" s="1"/>
  <c r="L529" i="6"/>
  <c r="S529" i="6" s="1"/>
  <c r="V529" i="6" s="1"/>
  <c r="L525" i="6"/>
  <c r="S525" i="6" s="1"/>
  <c r="V525" i="6" s="1"/>
  <c r="L521" i="6"/>
  <c r="S521" i="6" s="1"/>
  <c r="V521" i="6" s="1"/>
  <c r="L517" i="6"/>
  <c r="S517" i="6" s="1"/>
  <c r="V517" i="6" s="1"/>
  <c r="L513" i="6"/>
  <c r="S513" i="6" s="1"/>
  <c r="V513" i="6" s="1"/>
  <c r="L509" i="6"/>
  <c r="S509" i="6" s="1"/>
  <c r="V509" i="6" s="1"/>
  <c r="L505" i="6"/>
  <c r="S505" i="6" s="1"/>
  <c r="V505" i="6" s="1"/>
  <c r="L501" i="6"/>
  <c r="S501" i="6" s="1"/>
  <c r="V501" i="6" s="1"/>
  <c r="L497" i="6"/>
  <c r="S497" i="6" s="1"/>
  <c r="V497" i="6" s="1"/>
  <c r="L493" i="6"/>
  <c r="S493" i="6" s="1"/>
  <c r="V493" i="6" s="1"/>
  <c r="L489" i="6"/>
  <c r="S489" i="6" s="1"/>
  <c r="V489" i="6" s="1"/>
  <c r="L485" i="6"/>
  <c r="S485" i="6" s="1"/>
  <c r="V485" i="6" s="1"/>
  <c r="L481" i="6"/>
  <c r="S481" i="6" s="1"/>
  <c r="V481" i="6" s="1"/>
  <c r="L477" i="6"/>
  <c r="S477" i="6" s="1"/>
  <c r="V477" i="6" s="1"/>
  <c r="L473" i="6"/>
  <c r="S473" i="6" s="1"/>
  <c r="V473" i="6" s="1"/>
  <c r="L469" i="6"/>
  <c r="S469" i="6" s="1"/>
  <c r="V469" i="6" s="1"/>
  <c r="L465" i="6"/>
  <c r="S465" i="6" s="1"/>
  <c r="V465" i="6" s="1"/>
  <c r="L461" i="6"/>
  <c r="S461" i="6" s="1"/>
  <c r="V461" i="6" s="1"/>
  <c r="L457" i="6"/>
  <c r="S457" i="6" s="1"/>
  <c r="V457" i="6" s="1"/>
  <c r="L453" i="6"/>
  <c r="S453" i="6" s="1"/>
  <c r="V453" i="6" s="1"/>
  <c r="L449" i="6"/>
  <c r="S449" i="6" s="1"/>
  <c r="V449" i="6" s="1"/>
  <c r="L445" i="6"/>
  <c r="S445" i="6" s="1"/>
  <c r="V445" i="6" s="1"/>
  <c r="L441" i="6"/>
  <c r="S441" i="6" s="1"/>
  <c r="V441" i="6" s="1"/>
  <c r="L437" i="6"/>
  <c r="S437" i="6" s="1"/>
  <c r="V437" i="6" s="1"/>
  <c r="L433" i="6"/>
  <c r="S433" i="6" s="1"/>
  <c r="V433" i="6" s="1"/>
  <c r="L429" i="6"/>
  <c r="S429" i="6" s="1"/>
  <c r="V429" i="6" s="1"/>
  <c r="L425" i="6"/>
  <c r="S425" i="6" s="1"/>
  <c r="V425" i="6" s="1"/>
  <c r="L421" i="6"/>
  <c r="S421" i="6" s="1"/>
  <c r="V421" i="6" s="1"/>
  <c r="L417" i="6"/>
  <c r="S417" i="6" s="1"/>
  <c r="V417" i="6" s="1"/>
  <c r="L413" i="6"/>
  <c r="S413" i="6" s="1"/>
  <c r="V413" i="6" s="1"/>
  <c r="L409" i="6"/>
  <c r="S409" i="6" s="1"/>
  <c r="V409" i="6" s="1"/>
  <c r="L405" i="6"/>
  <c r="S405" i="6" s="1"/>
  <c r="V405" i="6" s="1"/>
  <c r="L401" i="6"/>
  <c r="S401" i="6" s="1"/>
  <c r="V401" i="6" s="1"/>
  <c r="L397" i="6"/>
  <c r="S397" i="6" s="1"/>
  <c r="V397" i="6" s="1"/>
  <c r="L393" i="6"/>
  <c r="S393" i="6" s="1"/>
  <c r="V393" i="6" s="1"/>
  <c r="L389" i="6"/>
  <c r="S389" i="6" s="1"/>
  <c r="V389" i="6" s="1"/>
  <c r="L385" i="6"/>
  <c r="S385" i="6" s="1"/>
  <c r="V385" i="6" s="1"/>
  <c r="L381" i="6"/>
  <c r="S381" i="6" s="1"/>
  <c r="V381" i="6" s="1"/>
  <c r="L377" i="6"/>
  <c r="S377" i="6" s="1"/>
  <c r="V377" i="6" s="1"/>
  <c r="L373" i="6"/>
  <c r="S373" i="6" s="1"/>
  <c r="V373" i="6" s="1"/>
  <c r="L369" i="6"/>
  <c r="S369" i="6" s="1"/>
  <c r="V369" i="6" s="1"/>
  <c r="L365" i="6"/>
  <c r="S365" i="6" s="1"/>
  <c r="V365" i="6" s="1"/>
  <c r="L361" i="6"/>
  <c r="S361" i="6" s="1"/>
  <c r="V361" i="6" s="1"/>
  <c r="L357" i="6"/>
  <c r="S357" i="6" s="1"/>
  <c r="V357" i="6" s="1"/>
  <c r="L353" i="6"/>
  <c r="S353" i="6" s="1"/>
  <c r="V353" i="6" s="1"/>
  <c r="L349" i="6"/>
  <c r="S349" i="6" s="1"/>
  <c r="V349" i="6" s="1"/>
  <c r="L345" i="6"/>
  <c r="S345" i="6" s="1"/>
  <c r="V345" i="6" s="1"/>
  <c r="L341" i="6"/>
  <c r="S341" i="6" s="1"/>
  <c r="V341" i="6" s="1"/>
  <c r="L337" i="6"/>
  <c r="S337" i="6" s="1"/>
  <c r="V337" i="6" s="1"/>
  <c r="L333" i="6"/>
  <c r="S333" i="6" s="1"/>
  <c r="V333" i="6" s="1"/>
  <c r="L329" i="6"/>
  <c r="S329" i="6" s="1"/>
  <c r="V329" i="6" s="1"/>
  <c r="L325" i="6"/>
  <c r="S325" i="6" s="1"/>
  <c r="V325" i="6" s="1"/>
  <c r="L321" i="6"/>
  <c r="S321" i="6" s="1"/>
  <c r="V321" i="6" s="1"/>
  <c r="L317" i="6"/>
  <c r="S317" i="6" s="1"/>
  <c r="V317" i="6" s="1"/>
  <c r="L313" i="6"/>
  <c r="S313" i="6" s="1"/>
  <c r="V313" i="6" s="1"/>
  <c r="L309" i="6"/>
  <c r="S309" i="6" s="1"/>
  <c r="V309" i="6" s="1"/>
  <c r="L305" i="6"/>
  <c r="S305" i="6" s="1"/>
  <c r="V305" i="6" s="1"/>
  <c r="L301" i="6"/>
  <c r="S301" i="6" s="1"/>
  <c r="V301" i="6" s="1"/>
  <c r="L297" i="6"/>
  <c r="S297" i="6" s="1"/>
  <c r="V297" i="6" s="1"/>
  <c r="L293" i="6"/>
  <c r="S293" i="6" s="1"/>
  <c r="V293" i="6" s="1"/>
  <c r="L289" i="6"/>
  <c r="S289" i="6" s="1"/>
  <c r="V289" i="6" s="1"/>
  <c r="L285" i="6"/>
  <c r="S285" i="6" s="1"/>
  <c r="V285" i="6" s="1"/>
  <c r="L281" i="6"/>
  <c r="S281" i="6" s="1"/>
  <c r="V281" i="6" s="1"/>
  <c r="L277" i="6"/>
  <c r="S277" i="6" s="1"/>
  <c r="V277" i="6" s="1"/>
  <c r="L273" i="6"/>
  <c r="S273" i="6" s="1"/>
  <c r="V273" i="6" s="1"/>
  <c r="L269" i="6"/>
  <c r="S269" i="6" s="1"/>
  <c r="V269" i="6" s="1"/>
  <c r="L265" i="6"/>
  <c r="S265" i="6" s="1"/>
  <c r="V265" i="6" s="1"/>
  <c r="L261" i="6"/>
  <c r="S261" i="6" s="1"/>
  <c r="V261" i="6" s="1"/>
  <c r="L257" i="6"/>
  <c r="S257" i="6" s="1"/>
  <c r="V257" i="6" s="1"/>
  <c r="L253" i="6"/>
  <c r="S253" i="6" s="1"/>
  <c r="V253" i="6" s="1"/>
  <c r="L249" i="6"/>
  <c r="S249" i="6" s="1"/>
  <c r="V249" i="6" s="1"/>
  <c r="L245" i="6"/>
  <c r="S245" i="6" s="1"/>
  <c r="V245" i="6" s="1"/>
  <c r="L241" i="6"/>
  <c r="S241" i="6" s="1"/>
  <c r="V241" i="6" s="1"/>
  <c r="L237" i="6"/>
  <c r="S237" i="6" s="1"/>
  <c r="V237" i="6" s="1"/>
  <c r="R233" i="6"/>
  <c r="U233" i="6" s="1"/>
  <c r="R229" i="6"/>
  <c r="U229" i="6" s="1"/>
  <c r="R225" i="6"/>
  <c r="U225" i="6" s="1"/>
  <c r="R221" i="6"/>
  <c r="U221" i="6" s="1"/>
  <c r="R217" i="6"/>
  <c r="U217" i="6" s="1"/>
  <c r="R213" i="6"/>
  <c r="U213" i="6" s="1"/>
  <c r="R209" i="6"/>
  <c r="U209" i="6" s="1"/>
  <c r="R205" i="6"/>
  <c r="U205" i="6" s="1"/>
  <c r="R201" i="6"/>
  <c r="U201" i="6" s="1"/>
  <c r="R197" i="6"/>
  <c r="U197" i="6" s="1"/>
  <c r="R193" i="6"/>
  <c r="U193" i="6" s="1"/>
  <c r="R189" i="6"/>
  <c r="U189" i="6" s="1"/>
  <c r="R185" i="6"/>
  <c r="U185" i="6" s="1"/>
  <c r="R181" i="6"/>
  <c r="U181" i="6" s="1"/>
  <c r="R177" i="6"/>
  <c r="U177" i="6" s="1"/>
  <c r="R173" i="6"/>
  <c r="U173" i="6" s="1"/>
  <c r="R169" i="6"/>
  <c r="U169" i="6" s="1"/>
  <c r="R165" i="6"/>
  <c r="U165" i="6" s="1"/>
  <c r="R161" i="6"/>
  <c r="U161" i="6" s="1"/>
  <c r="R157" i="6"/>
  <c r="U157" i="6" s="1"/>
  <c r="R153" i="6"/>
  <c r="U153" i="6" s="1"/>
  <c r="R149" i="6"/>
  <c r="U149" i="6" s="1"/>
  <c r="R145" i="6"/>
  <c r="U145" i="6" s="1"/>
  <c r="R141" i="6"/>
  <c r="U141" i="6" s="1"/>
  <c r="R137" i="6"/>
  <c r="U137" i="6" s="1"/>
  <c r="R133" i="6"/>
  <c r="U133" i="6" s="1"/>
  <c r="R129" i="6"/>
  <c r="U129" i="6" s="1"/>
  <c r="R125" i="6"/>
  <c r="U125" i="6" s="1"/>
  <c r="R121" i="6"/>
  <c r="U121" i="6" s="1"/>
  <c r="R117" i="6"/>
  <c r="U117" i="6" s="1"/>
  <c r="R113" i="6"/>
  <c r="U113" i="6" s="1"/>
  <c r="R109" i="6"/>
  <c r="U109" i="6" s="1"/>
  <c r="R105" i="6"/>
  <c r="U105" i="6" s="1"/>
  <c r="R101" i="6"/>
  <c r="U101" i="6" s="1"/>
  <c r="R97" i="6"/>
  <c r="U97" i="6" s="1"/>
  <c r="R93" i="6"/>
  <c r="U93" i="6" s="1"/>
  <c r="R89" i="6"/>
  <c r="U89" i="6" s="1"/>
  <c r="R85" i="6"/>
  <c r="U85" i="6" s="1"/>
  <c r="R81" i="6"/>
  <c r="U81" i="6" s="1"/>
  <c r="R77" i="6"/>
  <c r="U77" i="6" s="1"/>
  <c r="R73" i="6"/>
  <c r="U73" i="6" s="1"/>
  <c r="R69" i="6"/>
  <c r="U69" i="6" s="1"/>
  <c r="R65" i="6"/>
  <c r="U65" i="6" s="1"/>
  <c r="R61" i="6"/>
  <c r="U61" i="6" s="1"/>
  <c r="R57" i="6"/>
  <c r="U57" i="6" s="1"/>
  <c r="R53" i="6"/>
  <c r="U53" i="6" s="1"/>
  <c r="R49" i="6"/>
  <c r="U49" i="6" s="1"/>
  <c r="R45" i="6"/>
  <c r="U45" i="6" s="1"/>
  <c r="R41" i="6"/>
  <c r="U41" i="6" s="1"/>
  <c r="R37" i="6"/>
  <c r="U37" i="6" s="1"/>
  <c r="R33" i="6"/>
  <c r="U33" i="6" s="1"/>
  <c r="R29" i="6"/>
  <c r="U29" i="6" s="1"/>
  <c r="R25" i="6"/>
  <c r="R21" i="6"/>
  <c r="R17" i="6"/>
  <c r="R13" i="6"/>
  <c r="R9" i="6"/>
  <c r="R5" i="6"/>
  <c r="R4" i="6"/>
  <c r="M1003" i="5"/>
  <c r="T1003" i="5" s="1"/>
  <c r="W1003" i="5" s="1"/>
  <c r="K1003" i="5"/>
  <c r="J1003" i="5" s="1"/>
  <c r="S1003" i="5" s="1"/>
  <c r="V1003" i="5" s="1"/>
  <c r="M1001" i="5"/>
  <c r="T1001" i="5" s="1"/>
  <c r="W1001" i="5" s="1"/>
  <c r="K1001" i="5"/>
  <c r="J1001" i="5" s="1"/>
  <c r="S1001" i="5" s="1"/>
  <c r="V1001" i="5" s="1"/>
  <c r="M999" i="5"/>
  <c r="T999" i="5" s="1"/>
  <c r="W999" i="5" s="1"/>
  <c r="K999" i="5"/>
  <c r="J999" i="5" s="1"/>
  <c r="S999" i="5" s="1"/>
  <c r="V999" i="5" s="1"/>
  <c r="M997" i="5"/>
  <c r="T997" i="5" s="1"/>
  <c r="W997" i="5" s="1"/>
  <c r="K997" i="5"/>
  <c r="J997" i="5" s="1"/>
  <c r="S997" i="5" s="1"/>
  <c r="V997" i="5" s="1"/>
  <c r="M995" i="5"/>
  <c r="T995" i="5" s="1"/>
  <c r="W995" i="5" s="1"/>
  <c r="K995" i="5"/>
  <c r="J995" i="5" s="1"/>
  <c r="S995" i="5" s="1"/>
  <c r="V995" i="5" s="1"/>
  <c r="M993" i="5"/>
  <c r="T993" i="5" s="1"/>
  <c r="W993" i="5" s="1"/>
  <c r="K993" i="5"/>
  <c r="J993" i="5" s="1"/>
  <c r="S993" i="5" s="1"/>
  <c r="V993" i="5" s="1"/>
  <c r="M991" i="5"/>
  <c r="T991" i="5" s="1"/>
  <c r="W991" i="5" s="1"/>
  <c r="K991" i="5"/>
  <c r="J991" i="5" s="1"/>
  <c r="S991" i="5" s="1"/>
  <c r="V991" i="5" s="1"/>
  <c r="M989" i="5"/>
  <c r="T989" i="5" s="1"/>
  <c r="W989" i="5" s="1"/>
  <c r="K989" i="5"/>
  <c r="J989" i="5" s="1"/>
  <c r="S989" i="5" s="1"/>
  <c r="V989" i="5" s="1"/>
  <c r="M987" i="5"/>
  <c r="T987" i="5" s="1"/>
  <c r="W987" i="5" s="1"/>
  <c r="K987" i="5"/>
  <c r="J987" i="5" s="1"/>
  <c r="S987" i="5" s="1"/>
  <c r="V987" i="5" s="1"/>
  <c r="M985" i="5"/>
  <c r="T985" i="5" s="1"/>
  <c r="W985" i="5" s="1"/>
  <c r="K985" i="5"/>
  <c r="J985" i="5" s="1"/>
  <c r="S985" i="5" s="1"/>
  <c r="V985" i="5" s="1"/>
  <c r="M983" i="5"/>
  <c r="T983" i="5" s="1"/>
  <c r="W983" i="5" s="1"/>
  <c r="K983" i="5"/>
  <c r="J983" i="5" s="1"/>
  <c r="S983" i="5" s="1"/>
  <c r="V983" i="5" s="1"/>
  <c r="M981" i="5"/>
  <c r="T981" i="5" s="1"/>
  <c r="W981" i="5" s="1"/>
  <c r="K981" i="5"/>
  <c r="J981" i="5" s="1"/>
  <c r="S981" i="5" s="1"/>
  <c r="V981" i="5" s="1"/>
  <c r="M979" i="5"/>
  <c r="T979" i="5" s="1"/>
  <c r="W979" i="5" s="1"/>
  <c r="K979" i="5"/>
  <c r="J979" i="5" s="1"/>
  <c r="S979" i="5" s="1"/>
  <c r="V979" i="5" s="1"/>
  <c r="M977" i="5"/>
  <c r="T977" i="5" s="1"/>
  <c r="W977" i="5" s="1"/>
  <c r="K977" i="5"/>
  <c r="J977" i="5" s="1"/>
  <c r="S977" i="5" s="1"/>
  <c r="V977" i="5" s="1"/>
  <c r="M975" i="5"/>
  <c r="T975" i="5" s="1"/>
  <c r="W975" i="5" s="1"/>
  <c r="K975" i="5"/>
  <c r="J975" i="5" s="1"/>
  <c r="S975" i="5" s="1"/>
  <c r="V975" i="5" s="1"/>
  <c r="M973" i="5"/>
  <c r="T973" i="5" s="1"/>
  <c r="W973" i="5" s="1"/>
  <c r="K973" i="5"/>
  <c r="J973" i="5" s="1"/>
  <c r="S973" i="5" s="1"/>
  <c r="V973" i="5" s="1"/>
  <c r="M971" i="5"/>
  <c r="T971" i="5" s="1"/>
  <c r="W971" i="5" s="1"/>
  <c r="K971" i="5"/>
  <c r="J971" i="5" s="1"/>
  <c r="S971" i="5" s="1"/>
  <c r="V971" i="5" s="1"/>
  <c r="M969" i="5"/>
  <c r="T969" i="5" s="1"/>
  <c r="W969" i="5" s="1"/>
  <c r="K969" i="5"/>
  <c r="J969" i="5" s="1"/>
  <c r="S969" i="5" s="1"/>
  <c r="V969" i="5" s="1"/>
  <c r="M967" i="5"/>
  <c r="T967" i="5" s="1"/>
  <c r="W967" i="5" s="1"/>
  <c r="K967" i="5"/>
  <c r="J967" i="5" s="1"/>
  <c r="S967" i="5" s="1"/>
  <c r="V967" i="5" s="1"/>
  <c r="M965" i="5"/>
  <c r="T965" i="5" s="1"/>
  <c r="W965" i="5" s="1"/>
  <c r="K965" i="5"/>
  <c r="J965" i="5" s="1"/>
  <c r="S965" i="5" s="1"/>
  <c r="V965" i="5" s="1"/>
  <c r="M963" i="5"/>
  <c r="T963" i="5" s="1"/>
  <c r="W963" i="5" s="1"/>
  <c r="K963" i="5"/>
  <c r="J963" i="5" s="1"/>
  <c r="S963" i="5" s="1"/>
  <c r="V963" i="5" s="1"/>
  <c r="M961" i="5"/>
  <c r="T961" i="5" s="1"/>
  <c r="W961" i="5" s="1"/>
  <c r="K961" i="5"/>
  <c r="J961" i="5" s="1"/>
  <c r="S961" i="5" s="1"/>
  <c r="V961" i="5" s="1"/>
  <c r="M959" i="5"/>
  <c r="T959" i="5" s="1"/>
  <c r="W959" i="5" s="1"/>
  <c r="K959" i="5"/>
  <c r="J959" i="5" s="1"/>
  <c r="S959" i="5" s="1"/>
  <c r="V959" i="5" s="1"/>
  <c r="M957" i="5"/>
  <c r="T957" i="5" s="1"/>
  <c r="W957" i="5" s="1"/>
  <c r="K957" i="5"/>
  <c r="J957" i="5" s="1"/>
  <c r="S957" i="5" s="1"/>
  <c r="V957" i="5" s="1"/>
  <c r="M955" i="5"/>
  <c r="T955" i="5" s="1"/>
  <c r="W955" i="5" s="1"/>
  <c r="K955" i="5"/>
  <c r="J955" i="5" s="1"/>
  <c r="S955" i="5" s="1"/>
  <c r="V955" i="5" s="1"/>
  <c r="M953" i="5"/>
  <c r="T953" i="5" s="1"/>
  <c r="W953" i="5" s="1"/>
  <c r="K953" i="5"/>
  <c r="J953" i="5" s="1"/>
  <c r="S953" i="5" s="1"/>
  <c r="V953" i="5" s="1"/>
  <c r="M951" i="5"/>
  <c r="T951" i="5" s="1"/>
  <c r="W951" i="5" s="1"/>
  <c r="K951" i="5"/>
  <c r="J951" i="5" s="1"/>
  <c r="S951" i="5" s="1"/>
  <c r="V951" i="5" s="1"/>
  <c r="M949" i="5"/>
  <c r="T949" i="5" s="1"/>
  <c r="W949" i="5" s="1"/>
  <c r="K949" i="5"/>
  <c r="J949" i="5" s="1"/>
  <c r="S949" i="5" s="1"/>
  <c r="V949" i="5" s="1"/>
  <c r="M947" i="5"/>
  <c r="T947" i="5" s="1"/>
  <c r="W947" i="5" s="1"/>
  <c r="K947" i="5"/>
  <c r="J947" i="5" s="1"/>
  <c r="S947" i="5" s="1"/>
  <c r="V947" i="5" s="1"/>
  <c r="M945" i="5"/>
  <c r="T945" i="5" s="1"/>
  <c r="W945" i="5" s="1"/>
  <c r="K945" i="5"/>
  <c r="J945" i="5" s="1"/>
  <c r="S945" i="5" s="1"/>
  <c r="V945" i="5" s="1"/>
  <c r="M943" i="5"/>
  <c r="T943" i="5" s="1"/>
  <c r="W943" i="5" s="1"/>
  <c r="K943" i="5"/>
  <c r="J943" i="5" s="1"/>
  <c r="S943" i="5" s="1"/>
  <c r="V943" i="5" s="1"/>
  <c r="M941" i="5"/>
  <c r="T941" i="5" s="1"/>
  <c r="W941" i="5" s="1"/>
  <c r="K941" i="5"/>
  <c r="J941" i="5" s="1"/>
  <c r="S941" i="5" s="1"/>
  <c r="V941" i="5" s="1"/>
  <c r="M939" i="5"/>
  <c r="T939" i="5" s="1"/>
  <c r="W939" i="5" s="1"/>
  <c r="K939" i="5"/>
  <c r="J939" i="5" s="1"/>
  <c r="S939" i="5" s="1"/>
  <c r="V939" i="5" s="1"/>
  <c r="M937" i="5"/>
  <c r="T937" i="5" s="1"/>
  <c r="W937" i="5" s="1"/>
  <c r="K937" i="5"/>
  <c r="J937" i="5" s="1"/>
  <c r="S937" i="5" s="1"/>
  <c r="V937" i="5" s="1"/>
  <c r="M935" i="5"/>
  <c r="T935" i="5" s="1"/>
  <c r="W935" i="5" s="1"/>
  <c r="K935" i="5"/>
  <c r="J935" i="5" s="1"/>
  <c r="S935" i="5" s="1"/>
  <c r="V935" i="5" s="1"/>
  <c r="M933" i="5"/>
  <c r="T933" i="5" s="1"/>
  <c r="W933" i="5" s="1"/>
  <c r="K933" i="5"/>
  <c r="J933" i="5" s="1"/>
  <c r="S933" i="5" s="1"/>
  <c r="V933" i="5" s="1"/>
  <c r="M931" i="5"/>
  <c r="T931" i="5" s="1"/>
  <c r="W931" i="5" s="1"/>
  <c r="K931" i="5"/>
  <c r="J931" i="5" s="1"/>
  <c r="S931" i="5" s="1"/>
  <c r="V931" i="5" s="1"/>
  <c r="M929" i="5"/>
  <c r="T929" i="5" s="1"/>
  <c r="W929" i="5" s="1"/>
  <c r="K929" i="5"/>
  <c r="J929" i="5" s="1"/>
  <c r="S929" i="5" s="1"/>
  <c r="V929" i="5" s="1"/>
  <c r="M927" i="5"/>
  <c r="T927" i="5" s="1"/>
  <c r="W927" i="5" s="1"/>
  <c r="K927" i="5"/>
  <c r="J927" i="5" s="1"/>
  <c r="S927" i="5" s="1"/>
  <c r="V927" i="5" s="1"/>
  <c r="M925" i="5"/>
  <c r="T925" i="5" s="1"/>
  <c r="W925" i="5" s="1"/>
  <c r="K925" i="5"/>
  <c r="J925" i="5" s="1"/>
  <c r="S925" i="5" s="1"/>
  <c r="V925" i="5" s="1"/>
  <c r="M923" i="5"/>
  <c r="T923" i="5" s="1"/>
  <c r="W923" i="5" s="1"/>
  <c r="K923" i="5"/>
  <c r="J923" i="5" s="1"/>
  <c r="S923" i="5" s="1"/>
  <c r="V923" i="5" s="1"/>
  <c r="M921" i="5"/>
  <c r="T921" i="5" s="1"/>
  <c r="W921" i="5" s="1"/>
  <c r="K921" i="5"/>
  <c r="J921" i="5" s="1"/>
  <c r="S921" i="5" s="1"/>
  <c r="V921" i="5" s="1"/>
  <c r="M919" i="5"/>
  <c r="T919" i="5" s="1"/>
  <c r="W919" i="5" s="1"/>
  <c r="K919" i="5"/>
  <c r="J919" i="5" s="1"/>
  <c r="S919" i="5" s="1"/>
  <c r="V919" i="5" s="1"/>
  <c r="M917" i="5"/>
  <c r="T917" i="5" s="1"/>
  <c r="W917" i="5" s="1"/>
  <c r="K917" i="5"/>
  <c r="J917" i="5" s="1"/>
  <c r="S917" i="5" s="1"/>
  <c r="V917" i="5" s="1"/>
  <c r="M915" i="5"/>
  <c r="T915" i="5" s="1"/>
  <c r="W915" i="5" s="1"/>
  <c r="K915" i="5"/>
  <c r="J915" i="5" s="1"/>
  <c r="S915" i="5" s="1"/>
  <c r="V915" i="5" s="1"/>
  <c r="M913" i="5"/>
  <c r="T913" i="5" s="1"/>
  <c r="W913" i="5" s="1"/>
  <c r="K913" i="5"/>
  <c r="J913" i="5" s="1"/>
  <c r="S913" i="5" s="1"/>
  <c r="V913" i="5" s="1"/>
  <c r="M911" i="5"/>
  <c r="T911" i="5" s="1"/>
  <c r="W911" i="5" s="1"/>
  <c r="K911" i="5"/>
  <c r="J911" i="5" s="1"/>
  <c r="S911" i="5" s="1"/>
  <c r="V911" i="5" s="1"/>
  <c r="M909" i="5"/>
  <c r="T909" i="5" s="1"/>
  <c r="W909" i="5" s="1"/>
  <c r="K909" i="5"/>
  <c r="J909" i="5" s="1"/>
  <c r="S909" i="5" s="1"/>
  <c r="V909" i="5" s="1"/>
  <c r="M907" i="5"/>
  <c r="T907" i="5" s="1"/>
  <c r="W907" i="5" s="1"/>
  <c r="K907" i="5"/>
  <c r="J907" i="5" s="1"/>
  <c r="S907" i="5" s="1"/>
  <c r="V907" i="5" s="1"/>
  <c r="M905" i="5"/>
  <c r="T905" i="5" s="1"/>
  <c r="W905" i="5" s="1"/>
  <c r="K905" i="5"/>
  <c r="J905" i="5" s="1"/>
  <c r="S905" i="5" s="1"/>
  <c r="V905" i="5" s="1"/>
  <c r="M903" i="5"/>
  <c r="T903" i="5" s="1"/>
  <c r="W903" i="5" s="1"/>
  <c r="K903" i="5"/>
  <c r="J903" i="5" s="1"/>
  <c r="S903" i="5" s="1"/>
  <c r="V903" i="5" s="1"/>
  <c r="M901" i="5"/>
  <c r="T901" i="5" s="1"/>
  <c r="W901" i="5" s="1"/>
  <c r="K901" i="5"/>
  <c r="J901" i="5" s="1"/>
  <c r="S901" i="5" s="1"/>
  <c r="V901" i="5" s="1"/>
  <c r="M899" i="5"/>
  <c r="T899" i="5" s="1"/>
  <c r="W899" i="5" s="1"/>
  <c r="K899" i="5"/>
  <c r="J899" i="5" s="1"/>
  <c r="S899" i="5" s="1"/>
  <c r="V899" i="5" s="1"/>
  <c r="M897" i="5"/>
  <c r="T897" i="5" s="1"/>
  <c r="W897" i="5" s="1"/>
  <c r="K897" i="5"/>
  <c r="J897" i="5" s="1"/>
  <c r="S897" i="5" s="1"/>
  <c r="V897" i="5" s="1"/>
  <c r="M895" i="5"/>
  <c r="T895" i="5" s="1"/>
  <c r="W895" i="5" s="1"/>
  <c r="K895" i="5"/>
  <c r="J895" i="5" s="1"/>
  <c r="S895" i="5" s="1"/>
  <c r="V895" i="5" s="1"/>
  <c r="M893" i="5"/>
  <c r="T893" i="5" s="1"/>
  <c r="W893" i="5" s="1"/>
  <c r="K893" i="5"/>
  <c r="J893" i="5" s="1"/>
  <c r="S893" i="5" s="1"/>
  <c r="V893" i="5" s="1"/>
  <c r="M891" i="5"/>
  <c r="T891" i="5" s="1"/>
  <c r="W891" i="5" s="1"/>
  <c r="K891" i="5"/>
  <c r="J891" i="5" s="1"/>
  <c r="S891" i="5" s="1"/>
  <c r="V891" i="5" s="1"/>
  <c r="M889" i="5"/>
  <c r="T889" i="5" s="1"/>
  <c r="W889" i="5" s="1"/>
  <c r="K889" i="5"/>
  <c r="J889" i="5" s="1"/>
  <c r="S889" i="5" s="1"/>
  <c r="V889" i="5" s="1"/>
  <c r="M887" i="5"/>
  <c r="T887" i="5" s="1"/>
  <c r="W887" i="5" s="1"/>
  <c r="K887" i="5"/>
  <c r="J887" i="5" s="1"/>
  <c r="S887" i="5" s="1"/>
  <c r="V887" i="5" s="1"/>
  <c r="M885" i="5"/>
  <c r="T885" i="5" s="1"/>
  <c r="W885" i="5" s="1"/>
  <c r="K885" i="5"/>
  <c r="J885" i="5" s="1"/>
  <c r="S885" i="5" s="1"/>
  <c r="V885" i="5" s="1"/>
  <c r="M883" i="5"/>
  <c r="T883" i="5" s="1"/>
  <c r="W883" i="5" s="1"/>
  <c r="K883" i="5"/>
  <c r="J883" i="5" s="1"/>
  <c r="S883" i="5" s="1"/>
  <c r="V883" i="5" s="1"/>
  <c r="M881" i="5"/>
  <c r="T881" i="5" s="1"/>
  <c r="W881" i="5" s="1"/>
  <c r="K881" i="5"/>
  <c r="J881" i="5" s="1"/>
  <c r="S881" i="5" s="1"/>
  <c r="V881" i="5" s="1"/>
  <c r="M879" i="5"/>
  <c r="T879" i="5" s="1"/>
  <c r="W879" i="5" s="1"/>
  <c r="K879" i="5"/>
  <c r="J879" i="5" s="1"/>
  <c r="S879" i="5" s="1"/>
  <c r="V879" i="5" s="1"/>
  <c r="M877" i="5"/>
  <c r="T877" i="5" s="1"/>
  <c r="W877" i="5" s="1"/>
  <c r="K877" i="5"/>
  <c r="J877" i="5" s="1"/>
  <c r="S877" i="5" s="1"/>
  <c r="V877" i="5" s="1"/>
  <c r="M875" i="5"/>
  <c r="T875" i="5" s="1"/>
  <c r="W875" i="5" s="1"/>
  <c r="K875" i="5"/>
  <c r="J875" i="5" s="1"/>
  <c r="S875" i="5" s="1"/>
  <c r="V875" i="5" s="1"/>
  <c r="M873" i="5"/>
  <c r="T873" i="5" s="1"/>
  <c r="W873" i="5" s="1"/>
  <c r="K873" i="5"/>
  <c r="J873" i="5" s="1"/>
  <c r="S873" i="5" s="1"/>
  <c r="V873" i="5" s="1"/>
  <c r="M871" i="5"/>
  <c r="T871" i="5" s="1"/>
  <c r="W871" i="5" s="1"/>
  <c r="K871" i="5"/>
  <c r="J871" i="5" s="1"/>
  <c r="S871" i="5" s="1"/>
  <c r="V871" i="5" s="1"/>
  <c r="M869" i="5"/>
  <c r="T869" i="5" s="1"/>
  <c r="W869" i="5" s="1"/>
  <c r="K869" i="5"/>
  <c r="J869" i="5" s="1"/>
  <c r="S869" i="5" s="1"/>
  <c r="V869" i="5" s="1"/>
  <c r="M867" i="5"/>
  <c r="T867" i="5" s="1"/>
  <c r="W867" i="5" s="1"/>
  <c r="K867" i="5"/>
  <c r="J867" i="5" s="1"/>
  <c r="S867" i="5" s="1"/>
  <c r="V867" i="5" s="1"/>
  <c r="M865" i="5"/>
  <c r="T865" i="5" s="1"/>
  <c r="W865" i="5" s="1"/>
  <c r="K865" i="5"/>
  <c r="J865" i="5" s="1"/>
  <c r="S865" i="5" s="1"/>
  <c r="V865" i="5" s="1"/>
  <c r="M863" i="5"/>
  <c r="T863" i="5" s="1"/>
  <c r="W863" i="5" s="1"/>
  <c r="K863" i="5"/>
  <c r="J863" i="5" s="1"/>
  <c r="S863" i="5" s="1"/>
  <c r="V863" i="5" s="1"/>
  <c r="M861" i="5"/>
  <c r="T861" i="5" s="1"/>
  <c r="W861" i="5" s="1"/>
  <c r="K861" i="5"/>
  <c r="J861" i="5" s="1"/>
  <c r="S861" i="5" s="1"/>
  <c r="V861" i="5" s="1"/>
  <c r="M859" i="5"/>
  <c r="T859" i="5" s="1"/>
  <c r="W859" i="5" s="1"/>
  <c r="K859" i="5"/>
  <c r="J859" i="5" s="1"/>
  <c r="S859" i="5" s="1"/>
  <c r="V859" i="5" s="1"/>
  <c r="M857" i="5"/>
  <c r="T857" i="5" s="1"/>
  <c r="W857" i="5" s="1"/>
  <c r="K857" i="5"/>
  <c r="J857" i="5" s="1"/>
  <c r="S857" i="5" s="1"/>
  <c r="V857" i="5" s="1"/>
  <c r="M855" i="5"/>
  <c r="T855" i="5" s="1"/>
  <c r="W855" i="5" s="1"/>
  <c r="K855" i="5"/>
  <c r="J855" i="5" s="1"/>
  <c r="S855" i="5" s="1"/>
  <c r="V855" i="5" s="1"/>
  <c r="M853" i="5"/>
  <c r="T853" i="5" s="1"/>
  <c r="W853" i="5" s="1"/>
  <c r="K853" i="5"/>
  <c r="J853" i="5" s="1"/>
  <c r="S853" i="5" s="1"/>
  <c r="V853" i="5" s="1"/>
  <c r="M851" i="5"/>
  <c r="T851" i="5" s="1"/>
  <c r="W851" i="5" s="1"/>
  <c r="K851" i="5"/>
  <c r="J851" i="5" s="1"/>
  <c r="S851" i="5" s="1"/>
  <c r="V851" i="5" s="1"/>
  <c r="M849" i="5"/>
  <c r="T849" i="5" s="1"/>
  <c r="W849" i="5" s="1"/>
  <c r="K849" i="5"/>
  <c r="J849" i="5" s="1"/>
  <c r="S849" i="5" s="1"/>
  <c r="V849" i="5" s="1"/>
  <c r="M847" i="5"/>
  <c r="T847" i="5" s="1"/>
  <c r="W847" i="5" s="1"/>
  <c r="K847" i="5"/>
  <c r="J847" i="5" s="1"/>
  <c r="S847" i="5" s="1"/>
  <c r="V847" i="5" s="1"/>
  <c r="M845" i="5"/>
  <c r="T845" i="5" s="1"/>
  <c r="W845" i="5" s="1"/>
  <c r="K845" i="5"/>
  <c r="J845" i="5" s="1"/>
  <c r="S845" i="5" s="1"/>
  <c r="V845" i="5" s="1"/>
  <c r="M843" i="5"/>
  <c r="T843" i="5" s="1"/>
  <c r="W843" i="5" s="1"/>
  <c r="K843" i="5"/>
  <c r="J843" i="5" s="1"/>
  <c r="S843" i="5" s="1"/>
  <c r="V843" i="5" s="1"/>
  <c r="M841" i="5"/>
  <c r="T841" i="5" s="1"/>
  <c r="W841" i="5" s="1"/>
  <c r="K841" i="5"/>
  <c r="J841" i="5" s="1"/>
  <c r="S841" i="5" s="1"/>
  <c r="V841" i="5" s="1"/>
  <c r="M839" i="5"/>
  <c r="T839" i="5" s="1"/>
  <c r="W839" i="5" s="1"/>
  <c r="K839" i="5"/>
  <c r="J839" i="5" s="1"/>
  <c r="S839" i="5" s="1"/>
  <c r="V839" i="5" s="1"/>
  <c r="M837" i="5"/>
  <c r="T837" i="5" s="1"/>
  <c r="W837" i="5" s="1"/>
  <c r="K837" i="5"/>
  <c r="J837" i="5" s="1"/>
  <c r="S837" i="5" s="1"/>
  <c r="V837" i="5" s="1"/>
  <c r="M835" i="5"/>
  <c r="T835" i="5" s="1"/>
  <c r="W835" i="5" s="1"/>
  <c r="K835" i="5"/>
  <c r="J835" i="5" s="1"/>
  <c r="S835" i="5" s="1"/>
  <c r="V835" i="5" s="1"/>
  <c r="M833" i="5"/>
  <c r="T833" i="5" s="1"/>
  <c r="W833" i="5" s="1"/>
  <c r="K833" i="5"/>
  <c r="J833" i="5" s="1"/>
  <c r="S833" i="5" s="1"/>
  <c r="V833" i="5" s="1"/>
  <c r="M831" i="5"/>
  <c r="T831" i="5" s="1"/>
  <c r="W831" i="5" s="1"/>
  <c r="K831" i="5"/>
  <c r="J831" i="5" s="1"/>
  <c r="S831" i="5" s="1"/>
  <c r="V831" i="5" s="1"/>
  <c r="M829" i="5"/>
  <c r="T829" i="5" s="1"/>
  <c r="W829" i="5" s="1"/>
  <c r="K829" i="5"/>
  <c r="J829" i="5" s="1"/>
  <c r="S829" i="5" s="1"/>
  <c r="V829" i="5" s="1"/>
  <c r="M827" i="5"/>
  <c r="T827" i="5" s="1"/>
  <c r="W827" i="5" s="1"/>
  <c r="K827" i="5"/>
  <c r="J827" i="5" s="1"/>
  <c r="S827" i="5" s="1"/>
  <c r="V827" i="5" s="1"/>
  <c r="M825" i="5"/>
  <c r="T825" i="5" s="1"/>
  <c r="W825" i="5" s="1"/>
  <c r="K825" i="5"/>
  <c r="J825" i="5" s="1"/>
  <c r="S825" i="5" s="1"/>
  <c r="V825" i="5" s="1"/>
  <c r="M823" i="5"/>
  <c r="T823" i="5" s="1"/>
  <c r="W823" i="5" s="1"/>
  <c r="K823" i="5"/>
  <c r="J823" i="5" s="1"/>
  <c r="S823" i="5" s="1"/>
  <c r="V823" i="5" s="1"/>
  <c r="M821" i="5"/>
  <c r="T821" i="5" s="1"/>
  <c r="W821" i="5" s="1"/>
  <c r="K821" i="5"/>
  <c r="J821" i="5" s="1"/>
  <c r="S821" i="5" s="1"/>
  <c r="V821" i="5" s="1"/>
  <c r="M819" i="5"/>
  <c r="T819" i="5" s="1"/>
  <c r="W819" i="5" s="1"/>
  <c r="K819" i="5"/>
  <c r="J819" i="5" s="1"/>
  <c r="S819" i="5" s="1"/>
  <c r="V819" i="5" s="1"/>
  <c r="M817" i="5"/>
  <c r="T817" i="5" s="1"/>
  <c r="W817" i="5" s="1"/>
  <c r="K817" i="5"/>
  <c r="J817" i="5" s="1"/>
  <c r="S817" i="5" s="1"/>
  <c r="V817" i="5" s="1"/>
  <c r="M815" i="5"/>
  <c r="T815" i="5" s="1"/>
  <c r="W815" i="5" s="1"/>
  <c r="K815" i="5"/>
  <c r="J815" i="5" s="1"/>
  <c r="S815" i="5" s="1"/>
  <c r="V815" i="5" s="1"/>
  <c r="M813" i="5"/>
  <c r="T813" i="5" s="1"/>
  <c r="W813" i="5" s="1"/>
  <c r="K813" i="5"/>
  <c r="J813" i="5" s="1"/>
  <c r="S813" i="5" s="1"/>
  <c r="V813" i="5" s="1"/>
  <c r="M811" i="5"/>
  <c r="T811" i="5" s="1"/>
  <c r="W811" i="5" s="1"/>
  <c r="K811" i="5"/>
  <c r="J811" i="5" s="1"/>
  <c r="S811" i="5" s="1"/>
  <c r="V811" i="5" s="1"/>
  <c r="M809" i="5"/>
  <c r="T809" i="5" s="1"/>
  <c r="W809" i="5" s="1"/>
  <c r="K809" i="5"/>
  <c r="J809" i="5" s="1"/>
  <c r="S809" i="5" s="1"/>
  <c r="V809" i="5" s="1"/>
  <c r="M807" i="5"/>
  <c r="T807" i="5" s="1"/>
  <c r="W807" i="5" s="1"/>
  <c r="K807" i="5"/>
  <c r="J807" i="5" s="1"/>
  <c r="S807" i="5" s="1"/>
  <c r="V807" i="5" s="1"/>
  <c r="M805" i="5"/>
  <c r="T805" i="5" s="1"/>
  <c r="W805" i="5" s="1"/>
  <c r="K805" i="5"/>
  <c r="J805" i="5" s="1"/>
  <c r="S805" i="5" s="1"/>
  <c r="V805" i="5" s="1"/>
  <c r="M803" i="5"/>
  <c r="T803" i="5" s="1"/>
  <c r="W803" i="5" s="1"/>
  <c r="K803" i="5"/>
  <c r="J803" i="5" s="1"/>
  <c r="S803" i="5" s="1"/>
  <c r="V803" i="5" s="1"/>
  <c r="M801" i="5"/>
  <c r="T801" i="5" s="1"/>
  <c r="W801" i="5" s="1"/>
  <c r="K801" i="5"/>
  <c r="J801" i="5" s="1"/>
  <c r="S801" i="5" s="1"/>
  <c r="V801" i="5" s="1"/>
  <c r="M799" i="5"/>
  <c r="T799" i="5" s="1"/>
  <c r="W799" i="5" s="1"/>
  <c r="K799" i="5"/>
  <c r="J799" i="5" s="1"/>
  <c r="S799" i="5" s="1"/>
  <c r="V799" i="5" s="1"/>
  <c r="M797" i="5"/>
  <c r="T797" i="5" s="1"/>
  <c r="W797" i="5" s="1"/>
  <c r="K797" i="5"/>
  <c r="J797" i="5" s="1"/>
  <c r="S797" i="5" s="1"/>
  <c r="V797" i="5" s="1"/>
  <c r="M795" i="5"/>
  <c r="T795" i="5" s="1"/>
  <c r="W795" i="5" s="1"/>
  <c r="K795" i="5"/>
  <c r="J795" i="5" s="1"/>
  <c r="S795" i="5" s="1"/>
  <c r="V795" i="5" s="1"/>
  <c r="M793" i="5"/>
  <c r="T793" i="5" s="1"/>
  <c r="W793" i="5" s="1"/>
  <c r="K793" i="5"/>
  <c r="J793" i="5" s="1"/>
  <c r="S793" i="5" s="1"/>
  <c r="V793" i="5" s="1"/>
  <c r="M791" i="5"/>
  <c r="T791" i="5" s="1"/>
  <c r="W791" i="5" s="1"/>
  <c r="K791" i="5"/>
  <c r="J791" i="5" s="1"/>
  <c r="S791" i="5" s="1"/>
  <c r="V791" i="5" s="1"/>
  <c r="M789" i="5"/>
  <c r="T789" i="5" s="1"/>
  <c r="W789" i="5" s="1"/>
  <c r="K789" i="5"/>
  <c r="J789" i="5" s="1"/>
  <c r="S789" i="5" s="1"/>
  <c r="V789" i="5" s="1"/>
  <c r="M787" i="5"/>
  <c r="T787" i="5" s="1"/>
  <c r="W787" i="5" s="1"/>
  <c r="K787" i="5"/>
  <c r="J787" i="5" s="1"/>
  <c r="S787" i="5" s="1"/>
  <c r="V787" i="5" s="1"/>
  <c r="M785" i="5"/>
  <c r="T785" i="5" s="1"/>
  <c r="W785" i="5" s="1"/>
  <c r="K785" i="5"/>
  <c r="J785" i="5" s="1"/>
  <c r="S785" i="5" s="1"/>
  <c r="V785" i="5" s="1"/>
  <c r="M783" i="5"/>
  <c r="T783" i="5" s="1"/>
  <c r="W783" i="5" s="1"/>
  <c r="K783" i="5"/>
  <c r="J783" i="5" s="1"/>
  <c r="S783" i="5" s="1"/>
  <c r="V783" i="5" s="1"/>
  <c r="M781" i="5"/>
  <c r="T781" i="5" s="1"/>
  <c r="W781" i="5" s="1"/>
  <c r="K781" i="5"/>
  <c r="J781" i="5" s="1"/>
  <c r="S781" i="5" s="1"/>
  <c r="V781" i="5" s="1"/>
  <c r="M779" i="5"/>
  <c r="T779" i="5" s="1"/>
  <c r="W779" i="5" s="1"/>
  <c r="K779" i="5"/>
  <c r="J779" i="5" s="1"/>
  <c r="S779" i="5" s="1"/>
  <c r="V779" i="5" s="1"/>
  <c r="M777" i="5"/>
  <c r="T777" i="5" s="1"/>
  <c r="W777" i="5" s="1"/>
  <c r="K777" i="5"/>
  <c r="J777" i="5" s="1"/>
  <c r="S777" i="5" s="1"/>
  <c r="V777" i="5" s="1"/>
  <c r="M775" i="5"/>
  <c r="T775" i="5" s="1"/>
  <c r="W775" i="5" s="1"/>
  <c r="K775" i="5"/>
  <c r="J775" i="5" s="1"/>
  <c r="S775" i="5" s="1"/>
  <c r="V775" i="5" s="1"/>
  <c r="M773" i="5"/>
  <c r="T773" i="5" s="1"/>
  <c r="W773" i="5" s="1"/>
  <c r="K773" i="5"/>
  <c r="J773" i="5" s="1"/>
  <c r="S773" i="5" s="1"/>
  <c r="V773" i="5" s="1"/>
  <c r="M771" i="5"/>
  <c r="T771" i="5" s="1"/>
  <c r="W771" i="5" s="1"/>
  <c r="K771" i="5"/>
  <c r="J771" i="5" s="1"/>
  <c r="S771" i="5" s="1"/>
  <c r="V771" i="5" s="1"/>
  <c r="M769" i="5"/>
  <c r="T769" i="5" s="1"/>
  <c r="W769" i="5" s="1"/>
  <c r="K769" i="5"/>
  <c r="J769" i="5" s="1"/>
  <c r="S769" i="5" s="1"/>
  <c r="V769" i="5" s="1"/>
  <c r="M767" i="5"/>
  <c r="T767" i="5" s="1"/>
  <c r="W767" i="5" s="1"/>
  <c r="K767" i="5"/>
  <c r="J767" i="5" s="1"/>
  <c r="S767" i="5" s="1"/>
  <c r="V767" i="5" s="1"/>
  <c r="M765" i="5"/>
  <c r="T765" i="5" s="1"/>
  <c r="W765" i="5" s="1"/>
  <c r="K765" i="5"/>
  <c r="J765" i="5" s="1"/>
  <c r="S765" i="5" s="1"/>
  <c r="V765" i="5" s="1"/>
  <c r="M763" i="5"/>
  <c r="T763" i="5" s="1"/>
  <c r="W763" i="5" s="1"/>
  <c r="K763" i="5"/>
  <c r="J763" i="5" s="1"/>
  <c r="S763" i="5" s="1"/>
  <c r="V763" i="5" s="1"/>
  <c r="M761" i="5"/>
  <c r="T761" i="5" s="1"/>
  <c r="W761" i="5" s="1"/>
  <c r="K761" i="5"/>
  <c r="J761" i="5" s="1"/>
  <c r="S761" i="5" s="1"/>
  <c r="V761" i="5" s="1"/>
  <c r="M759" i="5"/>
  <c r="T759" i="5" s="1"/>
  <c r="W759" i="5" s="1"/>
  <c r="K759" i="5"/>
  <c r="J759" i="5" s="1"/>
  <c r="S759" i="5" s="1"/>
  <c r="V759" i="5" s="1"/>
  <c r="M757" i="5"/>
  <c r="T757" i="5" s="1"/>
  <c r="W757" i="5" s="1"/>
  <c r="K757" i="5"/>
  <c r="J757" i="5" s="1"/>
  <c r="S757" i="5" s="1"/>
  <c r="V757" i="5" s="1"/>
  <c r="M755" i="5"/>
  <c r="T755" i="5" s="1"/>
  <c r="W755" i="5" s="1"/>
  <c r="K755" i="5"/>
  <c r="J755" i="5" s="1"/>
  <c r="S755" i="5" s="1"/>
  <c r="V755" i="5" s="1"/>
  <c r="M753" i="5"/>
  <c r="T753" i="5" s="1"/>
  <c r="W753" i="5" s="1"/>
  <c r="K753" i="5"/>
  <c r="J753" i="5" s="1"/>
  <c r="S753" i="5" s="1"/>
  <c r="V753" i="5" s="1"/>
  <c r="M751" i="5"/>
  <c r="T751" i="5" s="1"/>
  <c r="W751" i="5" s="1"/>
  <c r="K751" i="5"/>
  <c r="J751" i="5" s="1"/>
  <c r="S751" i="5" s="1"/>
  <c r="V751" i="5" s="1"/>
  <c r="M749" i="5"/>
  <c r="T749" i="5" s="1"/>
  <c r="W749" i="5" s="1"/>
  <c r="K749" i="5"/>
  <c r="J749" i="5" s="1"/>
  <c r="S749" i="5" s="1"/>
  <c r="V749" i="5" s="1"/>
  <c r="M747" i="5"/>
  <c r="T747" i="5" s="1"/>
  <c r="W747" i="5" s="1"/>
  <c r="K747" i="5"/>
  <c r="J747" i="5" s="1"/>
  <c r="S747" i="5" s="1"/>
  <c r="V747" i="5" s="1"/>
  <c r="M745" i="5"/>
  <c r="T745" i="5" s="1"/>
  <c r="W745" i="5" s="1"/>
  <c r="K745" i="5"/>
  <c r="J745" i="5" s="1"/>
  <c r="S745" i="5" s="1"/>
  <c r="V745" i="5" s="1"/>
  <c r="M743" i="5"/>
  <c r="T743" i="5" s="1"/>
  <c r="W743" i="5" s="1"/>
  <c r="K743" i="5"/>
  <c r="J743" i="5" s="1"/>
  <c r="S743" i="5" s="1"/>
  <c r="V743" i="5" s="1"/>
  <c r="M741" i="5"/>
  <c r="T741" i="5" s="1"/>
  <c r="W741" i="5" s="1"/>
  <c r="K741" i="5"/>
  <c r="J741" i="5" s="1"/>
  <c r="S741" i="5" s="1"/>
  <c r="V741" i="5" s="1"/>
  <c r="M739" i="5"/>
  <c r="T739" i="5" s="1"/>
  <c r="W739" i="5" s="1"/>
  <c r="K739" i="5"/>
  <c r="J739" i="5" s="1"/>
  <c r="S739" i="5" s="1"/>
  <c r="V739" i="5" s="1"/>
  <c r="M737" i="5"/>
  <c r="T737" i="5" s="1"/>
  <c r="W737" i="5" s="1"/>
  <c r="K737" i="5"/>
  <c r="J737" i="5" s="1"/>
  <c r="S737" i="5" s="1"/>
  <c r="V737" i="5" s="1"/>
  <c r="M735" i="5"/>
  <c r="T735" i="5" s="1"/>
  <c r="W735" i="5" s="1"/>
  <c r="K735" i="5"/>
  <c r="J735" i="5" s="1"/>
  <c r="S735" i="5" s="1"/>
  <c r="V735" i="5" s="1"/>
  <c r="M733" i="5"/>
  <c r="T733" i="5" s="1"/>
  <c r="W733" i="5" s="1"/>
  <c r="K733" i="5"/>
  <c r="J733" i="5" s="1"/>
  <c r="S733" i="5" s="1"/>
  <c r="V733" i="5" s="1"/>
  <c r="M731" i="5"/>
  <c r="T731" i="5" s="1"/>
  <c r="W731" i="5" s="1"/>
  <c r="K731" i="5"/>
  <c r="J731" i="5" s="1"/>
  <c r="S731" i="5" s="1"/>
  <c r="V731" i="5" s="1"/>
  <c r="M729" i="5"/>
  <c r="T729" i="5" s="1"/>
  <c r="W729" i="5" s="1"/>
  <c r="K729" i="5"/>
  <c r="J729" i="5" s="1"/>
  <c r="S729" i="5" s="1"/>
  <c r="V729" i="5" s="1"/>
  <c r="M727" i="5"/>
  <c r="T727" i="5" s="1"/>
  <c r="W727" i="5" s="1"/>
  <c r="K727" i="5"/>
  <c r="J727" i="5" s="1"/>
  <c r="S727" i="5" s="1"/>
  <c r="V727" i="5" s="1"/>
  <c r="M725" i="5"/>
  <c r="T725" i="5" s="1"/>
  <c r="W725" i="5" s="1"/>
  <c r="K725" i="5"/>
  <c r="J725" i="5" s="1"/>
  <c r="S725" i="5" s="1"/>
  <c r="V725" i="5" s="1"/>
  <c r="M723" i="5"/>
  <c r="T723" i="5" s="1"/>
  <c r="W723" i="5" s="1"/>
  <c r="K723" i="5"/>
  <c r="J723" i="5" s="1"/>
  <c r="S723" i="5" s="1"/>
  <c r="V723" i="5" s="1"/>
  <c r="M721" i="5"/>
  <c r="T721" i="5" s="1"/>
  <c r="W721" i="5" s="1"/>
  <c r="K721" i="5"/>
  <c r="J721" i="5" s="1"/>
  <c r="S721" i="5" s="1"/>
  <c r="V721" i="5" s="1"/>
  <c r="M719" i="5"/>
  <c r="T719" i="5" s="1"/>
  <c r="W719" i="5" s="1"/>
  <c r="K719" i="5"/>
  <c r="J719" i="5" s="1"/>
  <c r="S719" i="5" s="1"/>
  <c r="V719" i="5" s="1"/>
  <c r="M717" i="5"/>
  <c r="T717" i="5" s="1"/>
  <c r="W717" i="5" s="1"/>
  <c r="K717" i="5"/>
  <c r="J717" i="5" s="1"/>
  <c r="S717" i="5" s="1"/>
  <c r="V717" i="5" s="1"/>
  <c r="M715" i="5"/>
  <c r="T715" i="5" s="1"/>
  <c r="W715" i="5" s="1"/>
  <c r="K715" i="5"/>
  <c r="J715" i="5" s="1"/>
  <c r="S715" i="5" s="1"/>
  <c r="V715" i="5" s="1"/>
  <c r="M713" i="5"/>
  <c r="T713" i="5" s="1"/>
  <c r="W713" i="5" s="1"/>
  <c r="K713" i="5"/>
  <c r="J713" i="5" s="1"/>
  <c r="S713" i="5" s="1"/>
  <c r="V713" i="5" s="1"/>
  <c r="M711" i="5"/>
  <c r="T711" i="5" s="1"/>
  <c r="W711" i="5" s="1"/>
  <c r="K711" i="5"/>
  <c r="J711" i="5" s="1"/>
  <c r="S711" i="5" s="1"/>
  <c r="V711" i="5" s="1"/>
  <c r="M709" i="5"/>
  <c r="T709" i="5" s="1"/>
  <c r="W709" i="5" s="1"/>
  <c r="K709" i="5"/>
  <c r="J709" i="5" s="1"/>
  <c r="S709" i="5" s="1"/>
  <c r="V709" i="5" s="1"/>
  <c r="M707" i="5"/>
  <c r="T707" i="5" s="1"/>
  <c r="W707" i="5" s="1"/>
  <c r="K707" i="5"/>
  <c r="J707" i="5" s="1"/>
  <c r="S707" i="5" s="1"/>
  <c r="V707" i="5" s="1"/>
  <c r="M705" i="5"/>
  <c r="T705" i="5" s="1"/>
  <c r="W705" i="5" s="1"/>
  <c r="K705" i="5"/>
  <c r="J705" i="5" s="1"/>
  <c r="S705" i="5" s="1"/>
  <c r="V705" i="5" s="1"/>
  <c r="M703" i="5"/>
  <c r="T703" i="5" s="1"/>
  <c r="W703" i="5" s="1"/>
  <c r="K703" i="5"/>
  <c r="J703" i="5" s="1"/>
  <c r="S703" i="5" s="1"/>
  <c r="V703" i="5" s="1"/>
  <c r="M701" i="5"/>
  <c r="T701" i="5" s="1"/>
  <c r="W701" i="5" s="1"/>
  <c r="K701" i="5"/>
  <c r="J701" i="5" s="1"/>
  <c r="S701" i="5" s="1"/>
  <c r="V701" i="5" s="1"/>
  <c r="M699" i="5"/>
  <c r="T699" i="5" s="1"/>
  <c r="W699" i="5" s="1"/>
  <c r="K699" i="5"/>
  <c r="J699" i="5" s="1"/>
  <c r="S699" i="5" s="1"/>
  <c r="V699" i="5" s="1"/>
  <c r="M697" i="5"/>
  <c r="T697" i="5" s="1"/>
  <c r="W697" i="5" s="1"/>
  <c r="K697" i="5"/>
  <c r="J697" i="5" s="1"/>
  <c r="S697" i="5" s="1"/>
  <c r="V697" i="5" s="1"/>
  <c r="M695" i="5"/>
  <c r="T695" i="5" s="1"/>
  <c r="W695" i="5" s="1"/>
  <c r="K695" i="5"/>
  <c r="J695" i="5" s="1"/>
  <c r="S695" i="5" s="1"/>
  <c r="V695" i="5" s="1"/>
  <c r="M693" i="5"/>
  <c r="T693" i="5" s="1"/>
  <c r="W693" i="5" s="1"/>
  <c r="K693" i="5"/>
  <c r="J693" i="5" s="1"/>
  <c r="S693" i="5" s="1"/>
  <c r="V693" i="5" s="1"/>
  <c r="M691" i="5"/>
  <c r="T691" i="5" s="1"/>
  <c r="W691" i="5" s="1"/>
  <c r="K691" i="5"/>
  <c r="J691" i="5" s="1"/>
  <c r="S691" i="5" s="1"/>
  <c r="V691" i="5" s="1"/>
  <c r="M689" i="5"/>
  <c r="T689" i="5" s="1"/>
  <c r="W689" i="5" s="1"/>
  <c r="K689" i="5"/>
  <c r="J689" i="5" s="1"/>
  <c r="S689" i="5" s="1"/>
  <c r="V689" i="5" s="1"/>
  <c r="M687" i="5"/>
  <c r="T687" i="5" s="1"/>
  <c r="W687" i="5" s="1"/>
  <c r="K687" i="5"/>
  <c r="J687" i="5" s="1"/>
  <c r="S687" i="5" s="1"/>
  <c r="V687" i="5" s="1"/>
  <c r="M685" i="5"/>
  <c r="T685" i="5" s="1"/>
  <c r="W685" i="5" s="1"/>
  <c r="K685" i="5"/>
  <c r="J685" i="5" s="1"/>
  <c r="S685" i="5" s="1"/>
  <c r="V685" i="5" s="1"/>
  <c r="M683" i="5"/>
  <c r="T683" i="5" s="1"/>
  <c r="W683" i="5" s="1"/>
  <c r="K683" i="5"/>
  <c r="J683" i="5" s="1"/>
  <c r="S683" i="5" s="1"/>
  <c r="V683" i="5" s="1"/>
  <c r="M681" i="5"/>
  <c r="T681" i="5" s="1"/>
  <c r="W681" i="5" s="1"/>
  <c r="K681" i="5"/>
  <c r="J681" i="5" s="1"/>
  <c r="S681" i="5" s="1"/>
  <c r="V681" i="5" s="1"/>
  <c r="M679" i="5"/>
  <c r="T679" i="5" s="1"/>
  <c r="W679" i="5" s="1"/>
  <c r="K679" i="5"/>
  <c r="J679" i="5" s="1"/>
  <c r="S679" i="5" s="1"/>
  <c r="V679" i="5" s="1"/>
  <c r="M677" i="5"/>
  <c r="T677" i="5" s="1"/>
  <c r="W677" i="5" s="1"/>
  <c r="K677" i="5"/>
  <c r="J677" i="5" s="1"/>
  <c r="S677" i="5" s="1"/>
  <c r="V677" i="5" s="1"/>
  <c r="M675" i="5"/>
  <c r="T675" i="5" s="1"/>
  <c r="W675" i="5" s="1"/>
  <c r="K675" i="5"/>
  <c r="J675" i="5" s="1"/>
  <c r="S675" i="5" s="1"/>
  <c r="V675" i="5" s="1"/>
  <c r="M673" i="5"/>
  <c r="T673" i="5" s="1"/>
  <c r="W673" i="5" s="1"/>
  <c r="K673" i="5"/>
  <c r="J673" i="5" s="1"/>
  <c r="S673" i="5" s="1"/>
  <c r="V673" i="5" s="1"/>
  <c r="M671" i="5"/>
  <c r="T671" i="5" s="1"/>
  <c r="W671" i="5" s="1"/>
  <c r="K671" i="5"/>
  <c r="J671" i="5" s="1"/>
  <c r="S671" i="5" s="1"/>
  <c r="V671" i="5" s="1"/>
  <c r="M669" i="5"/>
  <c r="T669" i="5" s="1"/>
  <c r="W669" i="5" s="1"/>
  <c r="K669" i="5"/>
  <c r="J669" i="5" s="1"/>
  <c r="S669" i="5" s="1"/>
  <c r="V669" i="5" s="1"/>
  <c r="M667" i="5"/>
  <c r="T667" i="5" s="1"/>
  <c r="W667" i="5" s="1"/>
  <c r="K667" i="5"/>
  <c r="J667" i="5" s="1"/>
  <c r="S667" i="5" s="1"/>
  <c r="V667" i="5" s="1"/>
  <c r="M665" i="5"/>
  <c r="T665" i="5" s="1"/>
  <c r="W665" i="5" s="1"/>
  <c r="K665" i="5"/>
  <c r="J665" i="5" s="1"/>
  <c r="S665" i="5" s="1"/>
  <c r="V665" i="5" s="1"/>
  <c r="M663" i="5"/>
  <c r="T663" i="5" s="1"/>
  <c r="W663" i="5" s="1"/>
  <c r="K663" i="5"/>
  <c r="J663" i="5" s="1"/>
  <c r="S663" i="5" s="1"/>
  <c r="V663" i="5" s="1"/>
  <c r="M661" i="5"/>
  <c r="T661" i="5" s="1"/>
  <c r="W661" i="5" s="1"/>
  <c r="K661" i="5"/>
  <c r="J661" i="5" s="1"/>
  <c r="S661" i="5" s="1"/>
  <c r="V661" i="5" s="1"/>
  <c r="M659" i="5"/>
  <c r="T659" i="5" s="1"/>
  <c r="W659" i="5" s="1"/>
  <c r="K659" i="5"/>
  <c r="J659" i="5" s="1"/>
  <c r="S659" i="5" s="1"/>
  <c r="V659" i="5" s="1"/>
  <c r="M657" i="5"/>
  <c r="T657" i="5" s="1"/>
  <c r="W657" i="5" s="1"/>
  <c r="K657" i="5"/>
  <c r="J657" i="5" s="1"/>
  <c r="S657" i="5" s="1"/>
  <c r="V657" i="5" s="1"/>
  <c r="M655" i="5"/>
  <c r="T655" i="5" s="1"/>
  <c r="W655" i="5" s="1"/>
  <c r="K655" i="5"/>
  <c r="J655" i="5" s="1"/>
  <c r="S655" i="5" s="1"/>
  <c r="V655" i="5" s="1"/>
  <c r="M653" i="5"/>
  <c r="T653" i="5" s="1"/>
  <c r="W653" i="5" s="1"/>
  <c r="K653" i="5"/>
  <c r="J653" i="5" s="1"/>
  <c r="S653" i="5" s="1"/>
  <c r="V653" i="5" s="1"/>
  <c r="M651" i="5"/>
  <c r="T651" i="5" s="1"/>
  <c r="W651" i="5" s="1"/>
  <c r="K651" i="5"/>
  <c r="J651" i="5" s="1"/>
  <c r="S651" i="5" s="1"/>
  <c r="V651" i="5" s="1"/>
  <c r="M649" i="5"/>
  <c r="T649" i="5" s="1"/>
  <c r="W649" i="5" s="1"/>
  <c r="K649" i="5"/>
  <c r="J649" i="5" s="1"/>
  <c r="S649" i="5" s="1"/>
  <c r="V649" i="5" s="1"/>
  <c r="M647" i="5"/>
  <c r="T647" i="5" s="1"/>
  <c r="W647" i="5" s="1"/>
  <c r="K647" i="5"/>
  <c r="J647" i="5" s="1"/>
  <c r="S647" i="5" s="1"/>
  <c r="V647" i="5" s="1"/>
  <c r="M645" i="5"/>
  <c r="T645" i="5" s="1"/>
  <c r="W645" i="5" s="1"/>
  <c r="K645" i="5"/>
  <c r="J645" i="5" s="1"/>
  <c r="S645" i="5" s="1"/>
  <c r="V645" i="5" s="1"/>
  <c r="M643" i="5"/>
  <c r="T643" i="5" s="1"/>
  <c r="W643" i="5" s="1"/>
  <c r="K643" i="5"/>
  <c r="J643" i="5" s="1"/>
  <c r="S643" i="5" s="1"/>
  <c r="V643" i="5" s="1"/>
  <c r="M641" i="5"/>
  <c r="T641" i="5" s="1"/>
  <c r="W641" i="5" s="1"/>
  <c r="K641" i="5"/>
  <c r="J641" i="5" s="1"/>
  <c r="S641" i="5" s="1"/>
  <c r="V641" i="5" s="1"/>
  <c r="M639" i="5"/>
  <c r="T639" i="5" s="1"/>
  <c r="W639" i="5" s="1"/>
  <c r="K639" i="5"/>
  <c r="J639" i="5" s="1"/>
  <c r="S639" i="5" s="1"/>
  <c r="V639" i="5" s="1"/>
  <c r="M637" i="5"/>
  <c r="T637" i="5" s="1"/>
  <c r="W637" i="5" s="1"/>
  <c r="K637" i="5"/>
  <c r="J637" i="5" s="1"/>
  <c r="S637" i="5" s="1"/>
  <c r="V637" i="5" s="1"/>
  <c r="M635" i="5"/>
  <c r="T635" i="5" s="1"/>
  <c r="W635" i="5" s="1"/>
  <c r="K635" i="5"/>
  <c r="J635" i="5" s="1"/>
  <c r="S635" i="5" s="1"/>
  <c r="V635" i="5" s="1"/>
  <c r="M633" i="5"/>
  <c r="T633" i="5" s="1"/>
  <c r="W633" i="5" s="1"/>
  <c r="K633" i="5"/>
  <c r="J633" i="5" s="1"/>
  <c r="S633" i="5" s="1"/>
  <c r="V633" i="5" s="1"/>
  <c r="M631" i="5"/>
  <c r="T631" i="5" s="1"/>
  <c r="W631" i="5" s="1"/>
  <c r="K631" i="5"/>
  <c r="J631" i="5" s="1"/>
  <c r="S631" i="5" s="1"/>
  <c r="V631" i="5" s="1"/>
  <c r="M629" i="5"/>
  <c r="T629" i="5" s="1"/>
  <c r="W629" i="5" s="1"/>
  <c r="K629" i="5"/>
  <c r="J629" i="5" s="1"/>
  <c r="S629" i="5" s="1"/>
  <c r="V629" i="5" s="1"/>
  <c r="M627" i="5"/>
  <c r="T627" i="5" s="1"/>
  <c r="W627" i="5" s="1"/>
  <c r="K627" i="5"/>
  <c r="J627" i="5" s="1"/>
  <c r="S627" i="5" s="1"/>
  <c r="V627" i="5" s="1"/>
  <c r="M625" i="5"/>
  <c r="T625" i="5" s="1"/>
  <c r="W625" i="5" s="1"/>
  <c r="K625" i="5"/>
  <c r="J625" i="5" s="1"/>
  <c r="S625" i="5" s="1"/>
  <c r="V625" i="5" s="1"/>
  <c r="M623" i="5"/>
  <c r="T623" i="5" s="1"/>
  <c r="W623" i="5" s="1"/>
  <c r="K623" i="5"/>
  <c r="J623" i="5" s="1"/>
  <c r="S623" i="5" s="1"/>
  <c r="V623" i="5" s="1"/>
  <c r="M621" i="5"/>
  <c r="T621" i="5" s="1"/>
  <c r="W621" i="5" s="1"/>
  <c r="K621" i="5"/>
  <c r="J621" i="5" s="1"/>
  <c r="S621" i="5" s="1"/>
  <c r="V621" i="5" s="1"/>
  <c r="M619" i="5"/>
  <c r="T619" i="5" s="1"/>
  <c r="W619" i="5" s="1"/>
  <c r="K619" i="5"/>
  <c r="J619" i="5" s="1"/>
  <c r="S619" i="5" s="1"/>
  <c r="V619" i="5" s="1"/>
  <c r="M617" i="5"/>
  <c r="T617" i="5" s="1"/>
  <c r="W617" i="5" s="1"/>
  <c r="K617" i="5"/>
  <c r="J617" i="5" s="1"/>
  <c r="S617" i="5" s="1"/>
  <c r="V617" i="5" s="1"/>
  <c r="M615" i="5"/>
  <c r="T615" i="5" s="1"/>
  <c r="W615" i="5" s="1"/>
  <c r="K615" i="5"/>
  <c r="J615" i="5" s="1"/>
  <c r="S615" i="5" s="1"/>
  <c r="V615" i="5" s="1"/>
  <c r="M613" i="5"/>
  <c r="T613" i="5" s="1"/>
  <c r="W613" i="5" s="1"/>
  <c r="K613" i="5"/>
  <c r="J613" i="5" s="1"/>
  <c r="S613" i="5" s="1"/>
  <c r="V613" i="5" s="1"/>
  <c r="M611" i="5"/>
  <c r="T611" i="5" s="1"/>
  <c r="W611" i="5" s="1"/>
  <c r="K611" i="5"/>
  <c r="J611" i="5" s="1"/>
  <c r="S611" i="5" s="1"/>
  <c r="V611" i="5" s="1"/>
  <c r="M609" i="5"/>
  <c r="T609" i="5" s="1"/>
  <c r="W609" i="5" s="1"/>
  <c r="K609" i="5"/>
  <c r="J609" i="5" s="1"/>
  <c r="S609" i="5" s="1"/>
  <c r="V609" i="5" s="1"/>
  <c r="M607" i="5"/>
  <c r="T607" i="5" s="1"/>
  <c r="W607" i="5" s="1"/>
  <c r="K607" i="5"/>
  <c r="J607" i="5" s="1"/>
  <c r="S607" i="5" s="1"/>
  <c r="V607" i="5" s="1"/>
  <c r="M605" i="5"/>
  <c r="T605" i="5" s="1"/>
  <c r="W605" i="5" s="1"/>
  <c r="K605" i="5"/>
  <c r="J605" i="5" s="1"/>
  <c r="S605" i="5" s="1"/>
  <c r="V605" i="5" s="1"/>
  <c r="M603" i="5"/>
  <c r="T603" i="5" s="1"/>
  <c r="W603" i="5" s="1"/>
  <c r="K603" i="5"/>
  <c r="J603" i="5" s="1"/>
  <c r="S603" i="5" s="1"/>
  <c r="V603" i="5" s="1"/>
  <c r="M601" i="5"/>
  <c r="T601" i="5" s="1"/>
  <c r="W601" i="5" s="1"/>
  <c r="K601" i="5"/>
  <c r="J601" i="5" s="1"/>
  <c r="S601" i="5" s="1"/>
  <c r="V601" i="5" s="1"/>
  <c r="M599" i="5"/>
  <c r="T599" i="5" s="1"/>
  <c r="W599" i="5" s="1"/>
  <c r="K599" i="5"/>
  <c r="J599" i="5" s="1"/>
  <c r="S599" i="5" s="1"/>
  <c r="V599" i="5" s="1"/>
  <c r="M597" i="5"/>
  <c r="T597" i="5" s="1"/>
  <c r="W597" i="5" s="1"/>
  <c r="K597" i="5"/>
  <c r="J597" i="5" s="1"/>
  <c r="S597" i="5" s="1"/>
  <c r="V597" i="5" s="1"/>
  <c r="M595" i="5"/>
  <c r="T595" i="5" s="1"/>
  <c r="W595" i="5" s="1"/>
  <c r="K595" i="5"/>
  <c r="J595" i="5" s="1"/>
  <c r="S595" i="5" s="1"/>
  <c r="V595" i="5" s="1"/>
  <c r="M593" i="5"/>
  <c r="T593" i="5" s="1"/>
  <c r="W593" i="5" s="1"/>
  <c r="K593" i="5"/>
  <c r="J593" i="5" s="1"/>
  <c r="S593" i="5" s="1"/>
  <c r="V593" i="5" s="1"/>
  <c r="M591" i="5"/>
  <c r="T591" i="5" s="1"/>
  <c r="W591" i="5" s="1"/>
  <c r="K591" i="5"/>
  <c r="J591" i="5" s="1"/>
  <c r="S591" i="5" s="1"/>
  <c r="V591" i="5" s="1"/>
  <c r="M589" i="5"/>
  <c r="T589" i="5" s="1"/>
  <c r="W589" i="5" s="1"/>
  <c r="K589" i="5"/>
  <c r="J589" i="5" s="1"/>
  <c r="S589" i="5" s="1"/>
  <c r="V589" i="5" s="1"/>
  <c r="M587" i="5"/>
  <c r="T587" i="5" s="1"/>
  <c r="W587" i="5" s="1"/>
  <c r="K587" i="5"/>
  <c r="J587" i="5" s="1"/>
  <c r="S587" i="5" s="1"/>
  <c r="V587" i="5" s="1"/>
  <c r="M585" i="5"/>
  <c r="T585" i="5" s="1"/>
  <c r="W585" i="5" s="1"/>
  <c r="K585" i="5"/>
  <c r="J585" i="5" s="1"/>
  <c r="S585" i="5" s="1"/>
  <c r="V585" i="5" s="1"/>
  <c r="M583" i="5"/>
  <c r="T583" i="5" s="1"/>
  <c r="W583" i="5" s="1"/>
  <c r="K583" i="5"/>
  <c r="J583" i="5" s="1"/>
  <c r="S583" i="5" s="1"/>
  <c r="V583" i="5" s="1"/>
  <c r="M581" i="5"/>
  <c r="T581" i="5" s="1"/>
  <c r="W581" i="5" s="1"/>
  <c r="K581" i="5"/>
  <c r="J581" i="5" s="1"/>
  <c r="S581" i="5" s="1"/>
  <c r="V581" i="5" s="1"/>
  <c r="M579" i="5"/>
  <c r="T579" i="5" s="1"/>
  <c r="W579" i="5" s="1"/>
  <c r="K579" i="5"/>
  <c r="J579" i="5" s="1"/>
  <c r="S579" i="5" s="1"/>
  <c r="V579" i="5" s="1"/>
  <c r="M577" i="5"/>
  <c r="T577" i="5" s="1"/>
  <c r="W577" i="5" s="1"/>
  <c r="K577" i="5"/>
  <c r="J577" i="5" s="1"/>
  <c r="S577" i="5" s="1"/>
  <c r="V577" i="5" s="1"/>
  <c r="M575" i="5"/>
  <c r="T575" i="5" s="1"/>
  <c r="W575" i="5" s="1"/>
  <c r="K575" i="5"/>
  <c r="J575" i="5" s="1"/>
  <c r="S575" i="5" s="1"/>
  <c r="V575" i="5" s="1"/>
  <c r="M573" i="5"/>
  <c r="T573" i="5" s="1"/>
  <c r="W573" i="5" s="1"/>
  <c r="K573" i="5"/>
  <c r="J573" i="5" s="1"/>
  <c r="S573" i="5" s="1"/>
  <c r="V573" i="5" s="1"/>
  <c r="M571" i="5"/>
  <c r="T571" i="5" s="1"/>
  <c r="W571" i="5" s="1"/>
  <c r="K571" i="5"/>
  <c r="J571" i="5" s="1"/>
  <c r="S571" i="5" s="1"/>
  <c r="V571" i="5" s="1"/>
  <c r="M569" i="5"/>
  <c r="T569" i="5" s="1"/>
  <c r="W569" i="5" s="1"/>
  <c r="K569" i="5"/>
  <c r="J569" i="5" s="1"/>
  <c r="S569" i="5" s="1"/>
  <c r="V569" i="5" s="1"/>
  <c r="M567" i="5"/>
  <c r="T567" i="5" s="1"/>
  <c r="W567" i="5" s="1"/>
  <c r="K567" i="5"/>
  <c r="J567" i="5" s="1"/>
  <c r="S567" i="5" s="1"/>
  <c r="V567" i="5" s="1"/>
  <c r="M565" i="5"/>
  <c r="T565" i="5" s="1"/>
  <c r="W565" i="5" s="1"/>
  <c r="K565" i="5"/>
  <c r="J565" i="5" s="1"/>
  <c r="S565" i="5" s="1"/>
  <c r="V565" i="5" s="1"/>
  <c r="M563" i="5"/>
  <c r="T563" i="5" s="1"/>
  <c r="W563" i="5" s="1"/>
  <c r="K563" i="5"/>
  <c r="J563" i="5" s="1"/>
  <c r="S563" i="5" s="1"/>
  <c r="V563" i="5" s="1"/>
  <c r="M561" i="5"/>
  <c r="T561" i="5" s="1"/>
  <c r="W561" i="5" s="1"/>
  <c r="K561" i="5"/>
  <c r="J561" i="5" s="1"/>
  <c r="S561" i="5" s="1"/>
  <c r="V561" i="5" s="1"/>
  <c r="M559" i="5"/>
  <c r="T559" i="5" s="1"/>
  <c r="W559" i="5" s="1"/>
  <c r="K559" i="5"/>
  <c r="J559" i="5" s="1"/>
  <c r="S559" i="5" s="1"/>
  <c r="V559" i="5" s="1"/>
  <c r="M557" i="5"/>
  <c r="T557" i="5" s="1"/>
  <c r="W557" i="5" s="1"/>
  <c r="K557" i="5"/>
  <c r="J557" i="5" s="1"/>
  <c r="S557" i="5" s="1"/>
  <c r="V557" i="5" s="1"/>
  <c r="M555" i="5"/>
  <c r="T555" i="5" s="1"/>
  <c r="W555" i="5" s="1"/>
  <c r="K555" i="5"/>
  <c r="J555" i="5" s="1"/>
  <c r="S555" i="5" s="1"/>
  <c r="V555" i="5" s="1"/>
  <c r="M553" i="5"/>
  <c r="T553" i="5" s="1"/>
  <c r="W553" i="5" s="1"/>
  <c r="K553" i="5"/>
  <c r="J553" i="5" s="1"/>
  <c r="S553" i="5" s="1"/>
  <c r="V553" i="5" s="1"/>
  <c r="M551" i="5"/>
  <c r="T551" i="5" s="1"/>
  <c r="W551" i="5" s="1"/>
  <c r="K551" i="5"/>
  <c r="J551" i="5" s="1"/>
  <c r="S551" i="5" s="1"/>
  <c r="V551" i="5" s="1"/>
  <c r="M549" i="5"/>
  <c r="T549" i="5" s="1"/>
  <c r="W549" i="5" s="1"/>
  <c r="K549" i="5"/>
  <c r="J549" i="5" s="1"/>
  <c r="S549" i="5" s="1"/>
  <c r="V549" i="5" s="1"/>
  <c r="M547" i="5"/>
  <c r="T547" i="5" s="1"/>
  <c r="W547" i="5" s="1"/>
  <c r="K547" i="5"/>
  <c r="J547" i="5" s="1"/>
  <c r="S547" i="5" s="1"/>
  <c r="V547" i="5" s="1"/>
  <c r="M545" i="5"/>
  <c r="T545" i="5" s="1"/>
  <c r="W545" i="5" s="1"/>
  <c r="K545" i="5"/>
  <c r="J545" i="5" s="1"/>
  <c r="S545" i="5" s="1"/>
  <c r="V545" i="5" s="1"/>
  <c r="M543" i="5"/>
  <c r="T543" i="5" s="1"/>
  <c r="W543" i="5" s="1"/>
  <c r="K543" i="5"/>
  <c r="J543" i="5" s="1"/>
  <c r="S543" i="5" s="1"/>
  <c r="V543" i="5" s="1"/>
  <c r="M541" i="5"/>
  <c r="T541" i="5" s="1"/>
  <c r="W541" i="5" s="1"/>
  <c r="K541" i="5"/>
  <c r="J541" i="5" s="1"/>
  <c r="S541" i="5" s="1"/>
  <c r="V541" i="5" s="1"/>
  <c r="M539" i="5"/>
  <c r="T539" i="5" s="1"/>
  <c r="W539" i="5" s="1"/>
  <c r="K539" i="5"/>
  <c r="J539" i="5" s="1"/>
  <c r="S539" i="5" s="1"/>
  <c r="V539" i="5" s="1"/>
  <c r="M537" i="5"/>
  <c r="T537" i="5" s="1"/>
  <c r="W537" i="5" s="1"/>
  <c r="K537" i="5"/>
  <c r="J537" i="5" s="1"/>
  <c r="S537" i="5" s="1"/>
  <c r="V537" i="5" s="1"/>
  <c r="M535" i="5"/>
  <c r="T535" i="5" s="1"/>
  <c r="W535" i="5" s="1"/>
  <c r="K535" i="5"/>
  <c r="J535" i="5" s="1"/>
  <c r="S535" i="5" s="1"/>
  <c r="V535" i="5" s="1"/>
  <c r="M533" i="5"/>
  <c r="T533" i="5" s="1"/>
  <c r="W533" i="5" s="1"/>
  <c r="K533" i="5"/>
  <c r="J533" i="5" s="1"/>
  <c r="S533" i="5" s="1"/>
  <c r="V533" i="5" s="1"/>
  <c r="M531" i="5"/>
  <c r="T531" i="5" s="1"/>
  <c r="W531" i="5" s="1"/>
  <c r="K531" i="5"/>
  <c r="J531" i="5" s="1"/>
  <c r="S531" i="5" s="1"/>
  <c r="V531" i="5" s="1"/>
  <c r="M529" i="5"/>
  <c r="T529" i="5" s="1"/>
  <c r="W529" i="5" s="1"/>
  <c r="K529" i="5"/>
  <c r="J529" i="5" s="1"/>
  <c r="S529" i="5" s="1"/>
  <c r="V529" i="5" s="1"/>
  <c r="M527" i="5"/>
  <c r="T527" i="5" s="1"/>
  <c r="W527" i="5" s="1"/>
  <c r="K527" i="5"/>
  <c r="J527" i="5" s="1"/>
  <c r="S527" i="5" s="1"/>
  <c r="V527" i="5" s="1"/>
  <c r="M525" i="5"/>
  <c r="T525" i="5" s="1"/>
  <c r="W525" i="5" s="1"/>
  <c r="K525" i="5"/>
  <c r="J525" i="5" s="1"/>
  <c r="S525" i="5" s="1"/>
  <c r="V525" i="5" s="1"/>
  <c r="M523" i="5"/>
  <c r="T523" i="5" s="1"/>
  <c r="W523" i="5" s="1"/>
  <c r="K523" i="5"/>
  <c r="J523" i="5" s="1"/>
  <c r="S523" i="5" s="1"/>
  <c r="V523" i="5" s="1"/>
  <c r="M521" i="5"/>
  <c r="T521" i="5" s="1"/>
  <c r="W521" i="5" s="1"/>
  <c r="K521" i="5"/>
  <c r="J521" i="5" s="1"/>
  <c r="S521" i="5" s="1"/>
  <c r="V521" i="5" s="1"/>
  <c r="M519" i="5"/>
  <c r="T519" i="5" s="1"/>
  <c r="W519" i="5" s="1"/>
  <c r="K519" i="5"/>
  <c r="J519" i="5" s="1"/>
  <c r="S519" i="5" s="1"/>
  <c r="V519" i="5" s="1"/>
  <c r="M517" i="5"/>
  <c r="T517" i="5" s="1"/>
  <c r="W517" i="5" s="1"/>
  <c r="K517" i="5"/>
  <c r="J517" i="5" s="1"/>
  <c r="S517" i="5" s="1"/>
  <c r="V517" i="5" s="1"/>
  <c r="M515" i="5"/>
  <c r="T515" i="5" s="1"/>
  <c r="W515" i="5" s="1"/>
  <c r="K515" i="5"/>
  <c r="J515" i="5" s="1"/>
  <c r="S515" i="5" s="1"/>
  <c r="V515" i="5" s="1"/>
  <c r="M513" i="5"/>
  <c r="T513" i="5" s="1"/>
  <c r="W513" i="5" s="1"/>
  <c r="K513" i="5"/>
  <c r="J513" i="5" s="1"/>
  <c r="S513" i="5" s="1"/>
  <c r="V513" i="5" s="1"/>
  <c r="M511" i="5"/>
  <c r="T511" i="5" s="1"/>
  <c r="W511" i="5" s="1"/>
  <c r="K511" i="5"/>
  <c r="J511" i="5" s="1"/>
  <c r="S511" i="5" s="1"/>
  <c r="V511" i="5" s="1"/>
  <c r="M509" i="5"/>
  <c r="T509" i="5" s="1"/>
  <c r="W509" i="5" s="1"/>
  <c r="K509" i="5"/>
  <c r="J509" i="5" s="1"/>
  <c r="S509" i="5" s="1"/>
  <c r="V509" i="5" s="1"/>
  <c r="M507" i="5"/>
  <c r="T507" i="5" s="1"/>
  <c r="W507" i="5" s="1"/>
  <c r="K507" i="5"/>
  <c r="J507" i="5" s="1"/>
  <c r="S507" i="5" s="1"/>
  <c r="V507" i="5" s="1"/>
  <c r="M505" i="5"/>
  <c r="T505" i="5" s="1"/>
  <c r="W505" i="5" s="1"/>
  <c r="K505" i="5"/>
  <c r="J505" i="5" s="1"/>
  <c r="S505" i="5" s="1"/>
  <c r="V505" i="5" s="1"/>
  <c r="M503" i="5"/>
  <c r="T503" i="5" s="1"/>
  <c r="W503" i="5" s="1"/>
  <c r="K503" i="5"/>
  <c r="J503" i="5" s="1"/>
  <c r="S503" i="5" s="1"/>
  <c r="V503" i="5" s="1"/>
  <c r="M501" i="5"/>
  <c r="T501" i="5" s="1"/>
  <c r="W501" i="5" s="1"/>
  <c r="K501" i="5"/>
  <c r="J501" i="5" s="1"/>
  <c r="S501" i="5" s="1"/>
  <c r="V501" i="5" s="1"/>
  <c r="M499" i="5"/>
  <c r="T499" i="5" s="1"/>
  <c r="W499" i="5" s="1"/>
  <c r="K499" i="5"/>
  <c r="J499" i="5" s="1"/>
  <c r="S499" i="5" s="1"/>
  <c r="V499" i="5" s="1"/>
  <c r="M497" i="5"/>
  <c r="T497" i="5" s="1"/>
  <c r="W497" i="5" s="1"/>
  <c r="K497" i="5"/>
  <c r="J497" i="5" s="1"/>
  <c r="S497" i="5" s="1"/>
  <c r="V497" i="5" s="1"/>
  <c r="M495" i="5"/>
  <c r="T495" i="5" s="1"/>
  <c r="W495" i="5" s="1"/>
  <c r="K495" i="5"/>
  <c r="J495" i="5" s="1"/>
  <c r="S495" i="5" s="1"/>
  <c r="V495" i="5" s="1"/>
  <c r="M493" i="5"/>
  <c r="T493" i="5" s="1"/>
  <c r="W493" i="5" s="1"/>
  <c r="K493" i="5"/>
  <c r="J493" i="5" s="1"/>
  <c r="S493" i="5" s="1"/>
  <c r="V493" i="5" s="1"/>
  <c r="M491" i="5"/>
  <c r="T491" i="5" s="1"/>
  <c r="W491" i="5" s="1"/>
  <c r="K491" i="5"/>
  <c r="J491" i="5" s="1"/>
  <c r="S491" i="5" s="1"/>
  <c r="V491" i="5" s="1"/>
  <c r="M489" i="5"/>
  <c r="T489" i="5" s="1"/>
  <c r="W489" i="5" s="1"/>
  <c r="K489" i="5"/>
  <c r="J489" i="5" s="1"/>
  <c r="S489" i="5" s="1"/>
  <c r="V489" i="5" s="1"/>
  <c r="M487" i="5"/>
  <c r="T487" i="5" s="1"/>
  <c r="W487" i="5" s="1"/>
  <c r="K487" i="5"/>
  <c r="J487" i="5" s="1"/>
  <c r="S487" i="5" s="1"/>
  <c r="V487" i="5" s="1"/>
  <c r="M485" i="5"/>
  <c r="T485" i="5" s="1"/>
  <c r="W485" i="5" s="1"/>
  <c r="K485" i="5"/>
  <c r="J485" i="5" s="1"/>
  <c r="S485" i="5" s="1"/>
  <c r="V485" i="5" s="1"/>
  <c r="M483" i="5"/>
  <c r="T483" i="5" s="1"/>
  <c r="W483" i="5" s="1"/>
  <c r="K483" i="5"/>
  <c r="J483" i="5" s="1"/>
  <c r="S483" i="5" s="1"/>
  <c r="V483" i="5" s="1"/>
  <c r="M481" i="5"/>
  <c r="T481" i="5" s="1"/>
  <c r="W481" i="5" s="1"/>
  <c r="K481" i="5"/>
  <c r="J481" i="5" s="1"/>
  <c r="S481" i="5" s="1"/>
  <c r="V481" i="5" s="1"/>
  <c r="M479" i="5"/>
  <c r="T479" i="5" s="1"/>
  <c r="W479" i="5" s="1"/>
  <c r="K479" i="5"/>
  <c r="J479" i="5" s="1"/>
  <c r="S479" i="5" s="1"/>
  <c r="V479" i="5" s="1"/>
  <c r="M477" i="5"/>
  <c r="T477" i="5" s="1"/>
  <c r="W477" i="5" s="1"/>
  <c r="K477" i="5"/>
  <c r="J477" i="5" s="1"/>
  <c r="S477" i="5" s="1"/>
  <c r="V477" i="5" s="1"/>
  <c r="M475" i="5"/>
  <c r="T475" i="5" s="1"/>
  <c r="W475" i="5" s="1"/>
  <c r="K475" i="5"/>
  <c r="J475" i="5" s="1"/>
  <c r="S475" i="5" s="1"/>
  <c r="V475" i="5" s="1"/>
  <c r="M473" i="5"/>
  <c r="T473" i="5" s="1"/>
  <c r="W473" i="5" s="1"/>
  <c r="K473" i="5"/>
  <c r="J473" i="5" s="1"/>
  <c r="S473" i="5" s="1"/>
  <c r="V473" i="5" s="1"/>
  <c r="M471" i="5"/>
  <c r="T471" i="5" s="1"/>
  <c r="W471" i="5" s="1"/>
  <c r="K471" i="5"/>
  <c r="J471" i="5" s="1"/>
  <c r="S471" i="5" s="1"/>
  <c r="V471" i="5" s="1"/>
  <c r="M469" i="5"/>
  <c r="T469" i="5" s="1"/>
  <c r="W469" i="5" s="1"/>
  <c r="K469" i="5"/>
  <c r="J469" i="5" s="1"/>
  <c r="S469" i="5" s="1"/>
  <c r="V469" i="5" s="1"/>
  <c r="M467" i="5"/>
  <c r="T467" i="5" s="1"/>
  <c r="W467" i="5" s="1"/>
  <c r="K467" i="5"/>
  <c r="J467" i="5" s="1"/>
  <c r="S467" i="5" s="1"/>
  <c r="V467" i="5" s="1"/>
  <c r="M465" i="5"/>
  <c r="T465" i="5" s="1"/>
  <c r="W465" i="5" s="1"/>
  <c r="K465" i="5"/>
  <c r="J465" i="5" s="1"/>
  <c r="S465" i="5" s="1"/>
  <c r="V465" i="5" s="1"/>
  <c r="M463" i="5"/>
  <c r="T463" i="5" s="1"/>
  <c r="W463" i="5" s="1"/>
  <c r="K463" i="5"/>
  <c r="J463" i="5" s="1"/>
  <c r="S463" i="5" s="1"/>
  <c r="V463" i="5" s="1"/>
  <c r="M461" i="5"/>
  <c r="T461" i="5" s="1"/>
  <c r="W461" i="5" s="1"/>
  <c r="K461" i="5"/>
  <c r="J461" i="5" s="1"/>
  <c r="S461" i="5" s="1"/>
  <c r="V461" i="5" s="1"/>
  <c r="M459" i="5"/>
  <c r="T459" i="5" s="1"/>
  <c r="W459" i="5" s="1"/>
  <c r="K459" i="5"/>
  <c r="J459" i="5" s="1"/>
  <c r="S459" i="5" s="1"/>
  <c r="V459" i="5" s="1"/>
  <c r="M457" i="5"/>
  <c r="T457" i="5" s="1"/>
  <c r="W457" i="5" s="1"/>
  <c r="K457" i="5"/>
  <c r="J457" i="5" s="1"/>
  <c r="S457" i="5" s="1"/>
  <c r="V457" i="5" s="1"/>
  <c r="M455" i="5"/>
  <c r="T455" i="5" s="1"/>
  <c r="W455" i="5" s="1"/>
  <c r="K455" i="5"/>
  <c r="J455" i="5" s="1"/>
  <c r="S455" i="5" s="1"/>
  <c r="V455" i="5" s="1"/>
  <c r="M453" i="5"/>
  <c r="T453" i="5" s="1"/>
  <c r="W453" i="5" s="1"/>
  <c r="K453" i="5"/>
  <c r="J453" i="5" s="1"/>
  <c r="S453" i="5" s="1"/>
  <c r="V453" i="5" s="1"/>
  <c r="M451" i="5"/>
  <c r="T451" i="5" s="1"/>
  <c r="W451" i="5" s="1"/>
  <c r="K451" i="5"/>
  <c r="J451" i="5" s="1"/>
  <c r="S451" i="5" s="1"/>
  <c r="V451" i="5" s="1"/>
  <c r="M449" i="5"/>
  <c r="T449" i="5" s="1"/>
  <c r="W449" i="5" s="1"/>
  <c r="K449" i="5"/>
  <c r="J449" i="5" s="1"/>
  <c r="S449" i="5" s="1"/>
  <c r="V449" i="5" s="1"/>
  <c r="M447" i="5"/>
  <c r="T447" i="5" s="1"/>
  <c r="W447" i="5" s="1"/>
  <c r="K447" i="5"/>
  <c r="J447" i="5" s="1"/>
  <c r="S447" i="5" s="1"/>
  <c r="V447" i="5" s="1"/>
  <c r="M445" i="5"/>
  <c r="T445" i="5" s="1"/>
  <c r="W445" i="5" s="1"/>
  <c r="K445" i="5"/>
  <c r="J445" i="5" s="1"/>
  <c r="S445" i="5" s="1"/>
  <c r="V445" i="5" s="1"/>
  <c r="M443" i="5"/>
  <c r="T443" i="5" s="1"/>
  <c r="W443" i="5" s="1"/>
  <c r="K443" i="5"/>
  <c r="J443" i="5" s="1"/>
  <c r="S443" i="5" s="1"/>
  <c r="V443" i="5" s="1"/>
  <c r="M441" i="5"/>
  <c r="T441" i="5" s="1"/>
  <c r="W441" i="5" s="1"/>
  <c r="K441" i="5"/>
  <c r="J441" i="5" s="1"/>
  <c r="S441" i="5" s="1"/>
  <c r="V441" i="5" s="1"/>
  <c r="M439" i="5"/>
  <c r="T439" i="5" s="1"/>
  <c r="W439" i="5" s="1"/>
  <c r="K439" i="5"/>
  <c r="J439" i="5" s="1"/>
  <c r="S439" i="5" s="1"/>
  <c r="V439" i="5" s="1"/>
  <c r="M437" i="5"/>
  <c r="T437" i="5" s="1"/>
  <c r="W437" i="5" s="1"/>
  <c r="K437" i="5"/>
  <c r="J437" i="5" s="1"/>
  <c r="S437" i="5" s="1"/>
  <c r="V437" i="5" s="1"/>
  <c r="M435" i="5"/>
  <c r="T435" i="5" s="1"/>
  <c r="W435" i="5" s="1"/>
  <c r="K435" i="5"/>
  <c r="J435" i="5" s="1"/>
  <c r="S435" i="5" s="1"/>
  <c r="V435" i="5" s="1"/>
  <c r="M433" i="5"/>
  <c r="T433" i="5" s="1"/>
  <c r="W433" i="5" s="1"/>
  <c r="K433" i="5"/>
  <c r="J433" i="5" s="1"/>
  <c r="S433" i="5" s="1"/>
  <c r="V433" i="5" s="1"/>
  <c r="M431" i="5"/>
  <c r="T431" i="5" s="1"/>
  <c r="W431" i="5" s="1"/>
  <c r="K431" i="5"/>
  <c r="J431" i="5" s="1"/>
  <c r="S431" i="5" s="1"/>
  <c r="V431" i="5" s="1"/>
  <c r="M429" i="5"/>
  <c r="T429" i="5" s="1"/>
  <c r="W429" i="5" s="1"/>
  <c r="K429" i="5"/>
  <c r="J429" i="5" s="1"/>
  <c r="S429" i="5" s="1"/>
  <c r="V429" i="5" s="1"/>
  <c r="M427" i="5"/>
  <c r="T427" i="5" s="1"/>
  <c r="W427" i="5" s="1"/>
  <c r="K427" i="5"/>
  <c r="J427" i="5" s="1"/>
  <c r="S427" i="5" s="1"/>
  <c r="V427" i="5" s="1"/>
  <c r="M425" i="5"/>
  <c r="T425" i="5" s="1"/>
  <c r="W425" i="5" s="1"/>
  <c r="K425" i="5"/>
  <c r="J425" i="5" s="1"/>
  <c r="S425" i="5" s="1"/>
  <c r="V425" i="5" s="1"/>
  <c r="M423" i="5"/>
  <c r="T423" i="5" s="1"/>
  <c r="W423" i="5" s="1"/>
  <c r="K423" i="5"/>
  <c r="J423" i="5" s="1"/>
  <c r="S423" i="5" s="1"/>
  <c r="V423" i="5" s="1"/>
  <c r="M421" i="5"/>
  <c r="T421" i="5" s="1"/>
  <c r="W421" i="5" s="1"/>
  <c r="K421" i="5"/>
  <c r="J421" i="5" s="1"/>
  <c r="S421" i="5" s="1"/>
  <c r="V421" i="5" s="1"/>
  <c r="M419" i="5"/>
  <c r="T419" i="5" s="1"/>
  <c r="W419" i="5" s="1"/>
  <c r="K419" i="5"/>
  <c r="J419" i="5" s="1"/>
  <c r="S419" i="5" s="1"/>
  <c r="V419" i="5" s="1"/>
  <c r="M417" i="5"/>
  <c r="T417" i="5" s="1"/>
  <c r="W417" i="5" s="1"/>
  <c r="K417" i="5"/>
  <c r="J417" i="5" s="1"/>
  <c r="S417" i="5" s="1"/>
  <c r="V417" i="5" s="1"/>
  <c r="M415" i="5"/>
  <c r="T415" i="5" s="1"/>
  <c r="W415" i="5" s="1"/>
  <c r="K415" i="5"/>
  <c r="J415" i="5" s="1"/>
  <c r="S415" i="5" s="1"/>
  <c r="V415" i="5" s="1"/>
  <c r="M413" i="5"/>
  <c r="T413" i="5" s="1"/>
  <c r="W413" i="5" s="1"/>
  <c r="K413" i="5"/>
  <c r="J413" i="5" s="1"/>
  <c r="S413" i="5" s="1"/>
  <c r="V413" i="5" s="1"/>
  <c r="M411" i="5"/>
  <c r="T411" i="5" s="1"/>
  <c r="W411" i="5" s="1"/>
  <c r="K411" i="5"/>
  <c r="J411" i="5" s="1"/>
  <c r="S411" i="5" s="1"/>
  <c r="V411" i="5" s="1"/>
  <c r="M409" i="5"/>
  <c r="T409" i="5" s="1"/>
  <c r="W409" i="5" s="1"/>
  <c r="K409" i="5"/>
  <c r="J409" i="5" s="1"/>
  <c r="S409" i="5" s="1"/>
  <c r="V409" i="5" s="1"/>
  <c r="M407" i="5"/>
  <c r="T407" i="5" s="1"/>
  <c r="W407" i="5" s="1"/>
  <c r="K407" i="5"/>
  <c r="J407" i="5" s="1"/>
  <c r="S407" i="5" s="1"/>
  <c r="V407" i="5" s="1"/>
  <c r="M405" i="5"/>
  <c r="T405" i="5" s="1"/>
  <c r="W405" i="5" s="1"/>
  <c r="K405" i="5"/>
  <c r="J405" i="5" s="1"/>
  <c r="S405" i="5" s="1"/>
  <c r="V405" i="5" s="1"/>
  <c r="M403" i="5"/>
  <c r="T403" i="5" s="1"/>
  <c r="W403" i="5" s="1"/>
  <c r="K403" i="5"/>
  <c r="J403" i="5" s="1"/>
  <c r="S403" i="5" s="1"/>
  <c r="V403" i="5" s="1"/>
  <c r="M401" i="5"/>
  <c r="T401" i="5" s="1"/>
  <c r="W401" i="5" s="1"/>
  <c r="K401" i="5"/>
  <c r="J401" i="5" s="1"/>
  <c r="S401" i="5" s="1"/>
  <c r="V401" i="5" s="1"/>
  <c r="M399" i="5"/>
  <c r="T399" i="5" s="1"/>
  <c r="W399" i="5" s="1"/>
  <c r="K399" i="5"/>
  <c r="J399" i="5" s="1"/>
  <c r="S399" i="5" s="1"/>
  <c r="V399" i="5" s="1"/>
  <c r="M397" i="5"/>
  <c r="T397" i="5" s="1"/>
  <c r="W397" i="5" s="1"/>
  <c r="K397" i="5"/>
  <c r="J397" i="5" s="1"/>
  <c r="S397" i="5" s="1"/>
  <c r="V397" i="5" s="1"/>
  <c r="M395" i="5"/>
  <c r="T395" i="5" s="1"/>
  <c r="W395" i="5" s="1"/>
  <c r="K395" i="5"/>
  <c r="J395" i="5" s="1"/>
  <c r="S395" i="5" s="1"/>
  <c r="V395" i="5" s="1"/>
  <c r="M393" i="5"/>
  <c r="T393" i="5" s="1"/>
  <c r="W393" i="5" s="1"/>
  <c r="K393" i="5"/>
  <c r="J393" i="5" s="1"/>
  <c r="S393" i="5" s="1"/>
  <c r="V393" i="5" s="1"/>
  <c r="M391" i="5"/>
  <c r="T391" i="5" s="1"/>
  <c r="W391" i="5" s="1"/>
  <c r="K391" i="5"/>
  <c r="J391" i="5" s="1"/>
  <c r="S391" i="5" s="1"/>
  <c r="V391" i="5" s="1"/>
  <c r="M389" i="5"/>
  <c r="T389" i="5" s="1"/>
  <c r="W389" i="5" s="1"/>
  <c r="K389" i="5"/>
  <c r="J389" i="5" s="1"/>
  <c r="S389" i="5" s="1"/>
  <c r="V389" i="5" s="1"/>
  <c r="M387" i="5"/>
  <c r="T387" i="5" s="1"/>
  <c r="W387" i="5" s="1"/>
  <c r="K387" i="5"/>
  <c r="J387" i="5" s="1"/>
  <c r="S387" i="5" s="1"/>
  <c r="V387" i="5" s="1"/>
  <c r="M385" i="5"/>
  <c r="T385" i="5" s="1"/>
  <c r="W385" i="5" s="1"/>
  <c r="K385" i="5"/>
  <c r="J385" i="5" s="1"/>
  <c r="S385" i="5" s="1"/>
  <c r="V385" i="5" s="1"/>
  <c r="M383" i="5"/>
  <c r="T383" i="5" s="1"/>
  <c r="W383" i="5" s="1"/>
  <c r="K383" i="5"/>
  <c r="J383" i="5" s="1"/>
  <c r="S383" i="5" s="1"/>
  <c r="V383" i="5" s="1"/>
  <c r="M381" i="5"/>
  <c r="T381" i="5" s="1"/>
  <c r="W381" i="5" s="1"/>
  <c r="K381" i="5"/>
  <c r="J381" i="5" s="1"/>
  <c r="S381" i="5" s="1"/>
  <c r="V381" i="5" s="1"/>
  <c r="M379" i="5"/>
  <c r="T379" i="5" s="1"/>
  <c r="W379" i="5" s="1"/>
  <c r="K379" i="5"/>
  <c r="J379" i="5" s="1"/>
  <c r="S379" i="5" s="1"/>
  <c r="V379" i="5" s="1"/>
  <c r="M377" i="5"/>
  <c r="T377" i="5" s="1"/>
  <c r="W377" i="5" s="1"/>
  <c r="K377" i="5"/>
  <c r="J377" i="5" s="1"/>
  <c r="S377" i="5" s="1"/>
  <c r="V377" i="5" s="1"/>
  <c r="M375" i="5"/>
  <c r="T375" i="5" s="1"/>
  <c r="W375" i="5" s="1"/>
  <c r="K375" i="5"/>
  <c r="J375" i="5" s="1"/>
  <c r="S375" i="5" s="1"/>
  <c r="V375" i="5" s="1"/>
  <c r="M373" i="5"/>
  <c r="T373" i="5" s="1"/>
  <c r="W373" i="5" s="1"/>
  <c r="K373" i="5"/>
  <c r="J373" i="5" s="1"/>
  <c r="S373" i="5" s="1"/>
  <c r="V373" i="5" s="1"/>
  <c r="M371" i="5"/>
  <c r="T371" i="5" s="1"/>
  <c r="W371" i="5" s="1"/>
  <c r="K371" i="5"/>
  <c r="J371" i="5" s="1"/>
  <c r="S371" i="5" s="1"/>
  <c r="V371" i="5" s="1"/>
  <c r="M369" i="5"/>
  <c r="T369" i="5" s="1"/>
  <c r="W369" i="5" s="1"/>
  <c r="K369" i="5"/>
  <c r="J369" i="5" s="1"/>
  <c r="S369" i="5" s="1"/>
  <c r="V369" i="5" s="1"/>
  <c r="M367" i="5"/>
  <c r="T367" i="5" s="1"/>
  <c r="W367" i="5" s="1"/>
  <c r="K367" i="5"/>
  <c r="J367" i="5" s="1"/>
  <c r="S367" i="5" s="1"/>
  <c r="V367" i="5" s="1"/>
  <c r="M365" i="5"/>
  <c r="T365" i="5" s="1"/>
  <c r="W365" i="5" s="1"/>
  <c r="K365" i="5"/>
  <c r="J365" i="5" s="1"/>
  <c r="S365" i="5" s="1"/>
  <c r="V365" i="5" s="1"/>
  <c r="M363" i="5"/>
  <c r="T363" i="5" s="1"/>
  <c r="W363" i="5" s="1"/>
  <c r="K363" i="5"/>
  <c r="J363" i="5" s="1"/>
  <c r="S363" i="5" s="1"/>
  <c r="V363" i="5" s="1"/>
  <c r="M361" i="5"/>
  <c r="T361" i="5" s="1"/>
  <c r="W361" i="5" s="1"/>
  <c r="K361" i="5"/>
  <c r="J361" i="5" s="1"/>
  <c r="S361" i="5" s="1"/>
  <c r="V361" i="5" s="1"/>
  <c r="M359" i="5"/>
  <c r="T359" i="5" s="1"/>
  <c r="W359" i="5" s="1"/>
  <c r="K359" i="5"/>
  <c r="J359" i="5" s="1"/>
  <c r="S359" i="5" s="1"/>
  <c r="V359" i="5" s="1"/>
  <c r="M357" i="5"/>
  <c r="T357" i="5" s="1"/>
  <c r="W357" i="5" s="1"/>
  <c r="K357" i="5"/>
  <c r="J357" i="5" s="1"/>
  <c r="S357" i="5" s="1"/>
  <c r="V357" i="5" s="1"/>
  <c r="M355" i="5"/>
  <c r="T355" i="5" s="1"/>
  <c r="W355" i="5" s="1"/>
  <c r="K355" i="5"/>
  <c r="J355" i="5" s="1"/>
  <c r="S355" i="5" s="1"/>
  <c r="V355" i="5" s="1"/>
  <c r="M353" i="5"/>
  <c r="T353" i="5" s="1"/>
  <c r="W353" i="5" s="1"/>
  <c r="K353" i="5"/>
  <c r="J353" i="5" s="1"/>
  <c r="S353" i="5" s="1"/>
  <c r="V353" i="5" s="1"/>
  <c r="M351" i="5"/>
  <c r="T351" i="5" s="1"/>
  <c r="W351" i="5" s="1"/>
  <c r="K351" i="5"/>
  <c r="J351" i="5" s="1"/>
  <c r="S351" i="5" s="1"/>
  <c r="V351" i="5" s="1"/>
  <c r="M349" i="5"/>
  <c r="T349" i="5" s="1"/>
  <c r="W349" i="5" s="1"/>
  <c r="K349" i="5"/>
  <c r="J349" i="5" s="1"/>
  <c r="S349" i="5" s="1"/>
  <c r="V349" i="5" s="1"/>
  <c r="M347" i="5"/>
  <c r="T347" i="5" s="1"/>
  <c r="W347" i="5" s="1"/>
  <c r="K347" i="5"/>
  <c r="J347" i="5" s="1"/>
  <c r="S347" i="5" s="1"/>
  <c r="V347" i="5" s="1"/>
  <c r="M345" i="5"/>
  <c r="T345" i="5" s="1"/>
  <c r="W345" i="5" s="1"/>
  <c r="K345" i="5"/>
  <c r="J345" i="5" s="1"/>
  <c r="S345" i="5" s="1"/>
  <c r="V345" i="5" s="1"/>
  <c r="M343" i="5"/>
  <c r="T343" i="5" s="1"/>
  <c r="W343" i="5" s="1"/>
  <c r="K343" i="5"/>
  <c r="J343" i="5" s="1"/>
  <c r="S343" i="5" s="1"/>
  <c r="V343" i="5" s="1"/>
  <c r="M341" i="5"/>
  <c r="T341" i="5" s="1"/>
  <c r="W341" i="5" s="1"/>
  <c r="K341" i="5"/>
  <c r="J341" i="5" s="1"/>
  <c r="S341" i="5" s="1"/>
  <c r="V341" i="5" s="1"/>
  <c r="M339" i="5"/>
  <c r="T339" i="5" s="1"/>
  <c r="W339" i="5" s="1"/>
  <c r="K339" i="5"/>
  <c r="J339" i="5" s="1"/>
  <c r="S339" i="5" s="1"/>
  <c r="V339" i="5" s="1"/>
  <c r="M337" i="5"/>
  <c r="T337" i="5" s="1"/>
  <c r="W337" i="5" s="1"/>
  <c r="K337" i="5"/>
  <c r="J337" i="5" s="1"/>
  <c r="S337" i="5" s="1"/>
  <c r="V337" i="5" s="1"/>
  <c r="M335" i="5"/>
  <c r="T335" i="5" s="1"/>
  <c r="W335" i="5" s="1"/>
  <c r="K335" i="5"/>
  <c r="J335" i="5" s="1"/>
  <c r="S335" i="5" s="1"/>
  <c r="V335" i="5" s="1"/>
  <c r="M333" i="5"/>
  <c r="T333" i="5" s="1"/>
  <c r="W333" i="5" s="1"/>
  <c r="K333" i="5"/>
  <c r="J333" i="5" s="1"/>
  <c r="S333" i="5" s="1"/>
  <c r="V333" i="5" s="1"/>
  <c r="M331" i="5"/>
  <c r="T331" i="5" s="1"/>
  <c r="W331" i="5" s="1"/>
  <c r="K331" i="5"/>
  <c r="J331" i="5" s="1"/>
  <c r="S331" i="5" s="1"/>
  <c r="V331" i="5" s="1"/>
  <c r="M329" i="5"/>
  <c r="T329" i="5" s="1"/>
  <c r="W329" i="5" s="1"/>
  <c r="K329" i="5"/>
  <c r="J329" i="5" s="1"/>
  <c r="S329" i="5" s="1"/>
  <c r="V329" i="5" s="1"/>
  <c r="M327" i="5"/>
  <c r="T327" i="5" s="1"/>
  <c r="W327" i="5" s="1"/>
  <c r="K327" i="5"/>
  <c r="J327" i="5" s="1"/>
  <c r="S327" i="5" s="1"/>
  <c r="V327" i="5" s="1"/>
  <c r="M325" i="5"/>
  <c r="T325" i="5" s="1"/>
  <c r="W325" i="5" s="1"/>
  <c r="K325" i="5"/>
  <c r="J325" i="5" s="1"/>
  <c r="S325" i="5" s="1"/>
  <c r="V325" i="5" s="1"/>
  <c r="M323" i="5"/>
  <c r="T323" i="5" s="1"/>
  <c r="W323" i="5" s="1"/>
  <c r="K323" i="5"/>
  <c r="J323" i="5" s="1"/>
  <c r="S323" i="5" s="1"/>
  <c r="V323" i="5" s="1"/>
  <c r="M321" i="5"/>
  <c r="T321" i="5" s="1"/>
  <c r="W321" i="5" s="1"/>
  <c r="K321" i="5"/>
  <c r="J321" i="5" s="1"/>
  <c r="S321" i="5" s="1"/>
  <c r="V321" i="5" s="1"/>
  <c r="M319" i="5"/>
  <c r="T319" i="5" s="1"/>
  <c r="W319" i="5" s="1"/>
  <c r="K319" i="5"/>
  <c r="J319" i="5" s="1"/>
  <c r="S319" i="5" s="1"/>
  <c r="V319" i="5" s="1"/>
  <c r="M317" i="5"/>
  <c r="T317" i="5" s="1"/>
  <c r="W317" i="5" s="1"/>
  <c r="K317" i="5"/>
  <c r="J317" i="5" s="1"/>
  <c r="S317" i="5" s="1"/>
  <c r="V317" i="5" s="1"/>
  <c r="M315" i="5"/>
  <c r="T315" i="5" s="1"/>
  <c r="W315" i="5" s="1"/>
  <c r="K315" i="5"/>
  <c r="J315" i="5" s="1"/>
  <c r="S315" i="5" s="1"/>
  <c r="V315" i="5" s="1"/>
  <c r="M313" i="5"/>
  <c r="T313" i="5" s="1"/>
  <c r="W313" i="5" s="1"/>
  <c r="K313" i="5"/>
  <c r="J313" i="5" s="1"/>
  <c r="S313" i="5" s="1"/>
  <c r="V313" i="5" s="1"/>
  <c r="M311" i="5"/>
  <c r="T311" i="5" s="1"/>
  <c r="W311" i="5" s="1"/>
  <c r="K311" i="5"/>
  <c r="J311" i="5" s="1"/>
  <c r="S311" i="5" s="1"/>
  <c r="V311" i="5" s="1"/>
  <c r="M309" i="5"/>
  <c r="T309" i="5" s="1"/>
  <c r="W309" i="5" s="1"/>
  <c r="K309" i="5"/>
  <c r="J309" i="5" s="1"/>
  <c r="S309" i="5" s="1"/>
  <c r="V309" i="5" s="1"/>
  <c r="M307" i="5"/>
  <c r="T307" i="5" s="1"/>
  <c r="W307" i="5" s="1"/>
  <c r="K307" i="5"/>
  <c r="J307" i="5" s="1"/>
  <c r="S307" i="5" s="1"/>
  <c r="V307" i="5" s="1"/>
  <c r="M305" i="5"/>
  <c r="T305" i="5" s="1"/>
  <c r="W305" i="5" s="1"/>
  <c r="K305" i="5"/>
  <c r="J305" i="5" s="1"/>
  <c r="S305" i="5" s="1"/>
  <c r="V305" i="5" s="1"/>
  <c r="M303" i="5"/>
  <c r="T303" i="5" s="1"/>
  <c r="W303" i="5" s="1"/>
  <c r="K303" i="5"/>
  <c r="J303" i="5" s="1"/>
  <c r="S303" i="5" s="1"/>
  <c r="V303" i="5" s="1"/>
  <c r="M301" i="5"/>
  <c r="T301" i="5" s="1"/>
  <c r="W301" i="5" s="1"/>
  <c r="K301" i="5"/>
  <c r="J301" i="5" s="1"/>
  <c r="S301" i="5" s="1"/>
  <c r="V301" i="5" s="1"/>
  <c r="M299" i="5"/>
  <c r="T299" i="5" s="1"/>
  <c r="W299" i="5" s="1"/>
  <c r="K299" i="5"/>
  <c r="J299" i="5" s="1"/>
  <c r="S299" i="5" s="1"/>
  <c r="V299" i="5" s="1"/>
  <c r="M297" i="5"/>
  <c r="T297" i="5" s="1"/>
  <c r="W297" i="5" s="1"/>
  <c r="K297" i="5"/>
  <c r="J297" i="5" s="1"/>
  <c r="S297" i="5" s="1"/>
  <c r="V297" i="5" s="1"/>
  <c r="M295" i="5"/>
  <c r="T295" i="5" s="1"/>
  <c r="W295" i="5" s="1"/>
  <c r="K295" i="5"/>
  <c r="J295" i="5" s="1"/>
  <c r="S295" i="5" s="1"/>
  <c r="V295" i="5" s="1"/>
  <c r="M293" i="5"/>
  <c r="T293" i="5" s="1"/>
  <c r="W293" i="5" s="1"/>
  <c r="K293" i="5"/>
  <c r="J293" i="5" s="1"/>
  <c r="S293" i="5" s="1"/>
  <c r="V293" i="5" s="1"/>
  <c r="M291" i="5"/>
  <c r="T291" i="5" s="1"/>
  <c r="W291" i="5" s="1"/>
  <c r="K291" i="5"/>
  <c r="J291" i="5" s="1"/>
  <c r="S291" i="5" s="1"/>
  <c r="V291" i="5" s="1"/>
  <c r="M289" i="5"/>
  <c r="T289" i="5" s="1"/>
  <c r="W289" i="5" s="1"/>
  <c r="K289" i="5"/>
  <c r="J289" i="5" s="1"/>
  <c r="S289" i="5" s="1"/>
  <c r="V289" i="5" s="1"/>
  <c r="M287" i="5"/>
  <c r="T287" i="5" s="1"/>
  <c r="W287" i="5" s="1"/>
  <c r="K287" i="5"/>
  <c r="J287" i="5" s="1"/>
  <c r="S287" i="5" s="1"/>
  <c r="V287" i="5" s="1"/>
  <c r="M285" i="5"/>
  <c r="T285" i="5" s="1"/>
  <c r="W285" i="5" s="1"/>
  <c r="K285" i="5"/>
  <c r="J285" i="5" s="1"/>
  <c r="S285" i="5" s="1"/>
  <c r="V285" i="5" s="1"/>
  <c r="M283" i="5"/>
  <c r="T283" i="5" s="1"/>
  <c r="W283" i="5" s="1"/>
  <c r="K283" i="5"/>
  <c r="J283" i="5" s="1"/>
  <c r="S283" i="5" s="1"/>
  <c r="V283" i="5" s="1"/>
  <c r="M281" i="5"/>
  <c r="T281" i="5" s="1"/>
  <c r="W281" i="5" s="1"/>
  <c r="K281" i="5"/>
  <c r="J281" i="5" s="1"/>
  <c r="S281" i="5" s="1"/>
  <c r="V281" i="5" s="1"/>
  <c r="M279" i="5"/>
  <c r="T279" i="5" s="1"/>
  <c r="W279" i="5" s="1"/>
  <c r="K279" i="5"/>
  <c r="J279" i="5" s="1"/>
  <c r="S279" i="5" s="1"/>
  <c r="V279" i="5" s="1"/>
  <c r="M277" i="5"/>
  <c r="T277" i="5" s="1"/>
  <c r="W277" i="5" s="1"/>
  <c r="K277" i="5"/>
  <c r="J277" i="5" s="1"/>
  <c r="S277" i="5" s="1"/>
  <c r="V277" i="5" s="1"/>
  <c r="M275" i="5"/>
  <c r="T275" i="5" s="1"/>
  <c r="W275" i="5" s="1"/>
  <c r="K275" i="5"/>
  <c r="J275" i="5" s="1"/>
  <c r="S275" i="5" s="1"/>
  <c r="V275" i="5" s="1"/>
  <c r="M273" i="5"/>
  <c r="T273" i="5" s="1"/>
  <c r="W273" i="5" s="1"/>
  <c r="K273" i="5"/>
  <c r="J273" i="5" s="1"/>
  <c r="S273" i="5" s="1"/>
  <c r="V273" i="5" s="1"/>
  <c r="M271" i="5"/>
  <c r="T271" i="5" s="1"/>
  <c r="W271" i="5" s="1"/>
  <c r="K271" i="5"/>
  <c r="J271" i="5" s="1"/>
  <c r="S271" i="5" s="1"/>
  <c r="V271" i="5" s="1"/>
  <c r="M269" i="5"/>
  <c r="T269" i="5" s="1"/>
  <c r="W269" i="5" s="1"/>
  <c r="K269" i="5"/>
  <c r="J269" i="5" s="1"/>
  <c r="S269" i="5" s="1"/>
  <c r="V269" i="5" s="1"/>
  <c r="M267" i="5"/>
  <c r="T267" i="5" s="1"/>
  <c r="W267" i="5" s="1"/>
  <c r="K267" i="5"/>
  <c r="J267" i="5" s="1"/>
  <c r="S267" i="5" s="1"/>
  <c r="V267" i="5" s="1"/>
  <c r="M265" i="5"/>
  <c r="T265" i="5" s="1"/>
  <c r="W265" i="5" s="1"/>
  <c r="K265" i="5"/>
  <c r="J265" i="5" s="1"/>
  <c r="S265" i="5" s="1"/>
  <c r="V265" i="5" s="1"/>
  <c r="M263" i="5"/>
  <c r="T263" i="5" s="1"/>
  <c r="W263" i="5" s="1"/>
  <c r="K263" i="5"/>
  <c r="J263" i="5" s="1"/>
  <c r="S263" i="5" s="1"/>
  <c r="V263" i="5" s="1"/>
  <c r="M261" i="5"/>
  <c r="T261" i="5" s="1"/>
  <c r="W261" i="5" s="1"/>
  <c r="K261" i="5"/>
  <c r="J261" i="5" s="1"/>
  <c r="S261" i="5" s="1"/>
  <c r="V261" i="5" s="1"/>
  <c r="M259" i="5"/>
  <c r="T259" i="5" s="1"/>
  <c r="W259" i="5" s="1"/>
  <c r="K259" i="5"/>
  <c r="J259" i="5" s="1"/>
  <c r="S259" i="5" s="1"/>
  <c r="V259" i="5" s="1"/>
  <c r="M257" i="5"/>
  <c r="T257" i="5" s="1"/>
  <c r="W257" i="5" s="1"/>
  <c r="K257" i="5"/>
  <c r="J257" i="5" s="1"/>
  <c r="S257" i="5" s="1"/>
  <c r="V257" i="5" s="1"/>
  <c r="M255" i="5"/>
  <c r="T255" i="5" s="1"/>
  <c r="W255" i="5" s="1"/>
  <c r="K255" i="5"/>
  <c r="J255" i="5" s="1"/>
  <c r="S255" i="5" s="1"/>
  <c r="V255" i="5" s="1"/>
  <c r="M253" i="5"/>
  <c r="T253" i="5" s="1"/>
  <c r="W253" i="5" s="1"/>
  <c r="K253" i="5"/>
  <c r="J253" i="5" s="1"/>
  <c r="S253" i="5" s="1"/>
  <c r="V253" i="5" s="1"/>
  <c r="M251" i="5"/>
  <c r="T251" i="5" s="1"/>
  <c r="W251" i="5" s="1"/>
  <c r="K251" i="5"/>
  <c r="J251" i="5" s="1"/>
  <c r="S251" i="5" s="1"/>
  <c r="V251" i="5" s="1"/>
  <c r="M249" i="5"/>
  <c r="T249" i="5" s="1"/>
  <c r="W249" i="5" s="1"/>
  <c r="K249" i="5"/>
  <c r="J249" i="5" s="1"/>
  <c r="S249" i="5" s="1"/>
  <c r="V249" i="5" s="1"/>
  <c r="M247" i="5"/>
  <c r="T247" i="5" s="1"/>
  <c r="W247" i="5" s="1"/>
  <c r="K247" i="5"/>
  <c r="J247" i="5" s="1"/>
  <c r="S247" i="5" s="1"/>
  <c r="V247" i="5" s="1"/>
  <c r="M245" i="5"/>
  <c r="T245" i="5" s="1"/>
  <c r="W245" i="5" s="1"/>
  <c r="K245" i="5"/>
  <c r="J245" i="5" s="1"/>
  <c r="S245" i="5" s="1"/>
  <c r="V245" i="5" s="1"/>
  <c r="M243" i="5"/>
  <c r="T243" i="5" s="1"/>
  <c r="W243" i="5" s="1"/>
  <c r="K243" i="5"/>
  <c r="J243" i="5" s="1"/>
  <c r="S243" i="5" s="1"/>
  <c r="V243" i="5" s="1"/>
  <c r="M241" i="5"/>
  <c r="T241" i="5" s="1"/>
  <c r="W241" i="5" s="1"/>
  <c r="K241" i="5"/>
  <c r="J241" i="5" s="1"/>
  <c r="S241" i="5" s="1"/>
  <c r="V241" i="5" s="1"/>
  <c r="M239" i="5"/>
  <c r="T239" i="5" s="1"/>
  <c r="W239" i="5" s="1"/>
  <c r="K239" i="5"/>
  <c r="J239" i="5" s="1"/>
  <c r="S239" i="5" s="1"/>
  <c r="V239" i="5" s="1"/>
  <c r="M237" i="5"/>
  <c r="T237" i="5" s="1"/>
  <c r="W237" i="5" s="1"/>
  <c r="K237" i="5"/>
  <c r="J237" i="5" s="1"/>
  <c r="S237" i="5" s="1"/>
  <c r="V237" i="5" s="1"/>
  <c r="M235" i="5"/>
  <c r="T235" i="5" s="1"/>
  <c r="W235" i="5" s="1"/>
  <c r="K235" i="5"/>
  <c r="J235" i="5" s="1"/>
  <c r="S235" i="5" s="1"/>
  <c r="V235" i="5" s="1"/>
  <c r="M233" i="5"/>
  <c r="T233" i="5" s="1"/>
  <c r="W233" i="5" s="1"/>
  <c r="K233" i="5"/>
  <c r="J233" i="5" s="1"/>
  <c r="S233" i="5" s="1"/>
  <c r="V233" i="5" s="1"/>
  <c r="M231" i="5"/>
  <c r="T231" i="5" s="1"/>
  <c r="W231" i="5" s="1"/>
  <c r="K231" i="5"/>
  <c r="J231" i="5" s="1"/>
  <c r="S231" i="5" s="1"/>
  <c r="V231" i="5" s="1"/>
  <c r="M229" i="5"/>
  <c r="T229" i="5" s="1"/>
  <c r="W229" i="5" s="1"/>
  <c r="K229" i="5"/>
  <c r="J229" i="5" s="1"/>
  <c r="S229" i="5" s="1"/>
  <c r="V229" i="5" s="1"/>
  <c r="M227" i="5"/>
  <c r="T227" i="5" s="1"/>
  <c r="W227" i="5" s="1"/>
  <c r="K227" i="5"/>
  <c r="J227" i="5" s="1"/>
  <c r="S227" i="5" s="1"/>
  <c r="V227" i="5" s="1"/>
  <c r="M225" i="5"/>
  <c r="T225" i="5" s="1"/>
  <c r="W225" i="5" s="1"/>
  <c r="K225" i="5"/>
  <c r="J225" i="5" s="1"/>
  <c r="S225" i="5" s="1"/>
  <c r="V225" i="5" s="1"/>
  <c r="M223" i="5"/>
  <c r="T223" i="5" s="1"/>
  <c r="W223" i="5" s="1"/>
  <c r="K223" i="5"/>
  <c r="J223" i="5" s="1"/>
  <c r="S223" i="5" s="1"/>
  <c r="V223" i="5" s="1"/>
  <c r="M221" i="5"/>
  <c r="T221" i="5" s="1"/>
  <c r="W221" i="5" s="1"/>
  <c r="K221" i="5"/>
  <c r="J221" i="5" s="1"/>
  <c r="S221" i="5" s="1"/>
  <c r="V221" i="5" s="1"/>
  <c r="M219" i="5"/>
  <c r="T219" i="5" s="1"/>
  <c r="W219" i="5" s="1"/>
  <c r="K219" i="5"/>
  <c r="J219" i="5" s="1"/>
  <c r="S219" i="5" s="1"/>
  <c r="V219" i="5" s="1"/>
  <c r="M217" i="5"/>
  <c r="T217" i="5" s="1"/>
  <c r="W217" i="5" s="1"/>
  <c r="K217" i="5"/>
  <c r="J217" i="5" s="1"/>
  <c r="S217" i="5" s="1"/>
  <c r="V217" i="5" s="1"/>
  <c r="M215" i="5"/>
  <c r="T215" i="5" s="1"/>
  <c r="W215" i="5" s="1"/>
  <c r="K215" i="5"/>
  <c r="J215" i="5" s="1"/>
  <c r="S215" i="5" s="1"/>
  <c r="V215" i="5" s="1"/>
  <c r="M213" i="5"/>
  <c r="T213" i="5" s="1"/>
  <c r="W213" i="5" s="1"/>
  <c r="K213" i="5"/>
  <c r="J213" i="5" s="1"/>
  <c r="S213" i="5" s="1"/>
  <c r="V213" i="5" s="1"/>
  <c r="M211" i="5"/>
  <c r="T211" i="5" s="1"/>
  <c r="W211" i="5" s="1"/>
  <c r="K211" i="5"/>
  <c r="J211" i="5" s="1"/>
  <c r="S211" i="5" s="1"/>
  <c r="V211" i="5" s="1"/>
  <c r="M209" i="5"/>
  <c r="T209" i="5" s="1"/>
  <c r="W209" i="5" s="1"/>
  <c r="K209" i="5"/>
  <c r="J209" i="5" s="1"/>
  <c r="S209" i="5" s="1"/>
  <c r="V209" i="5" s="1"/>
  <c r="M207" i="5"/>
  <c r="T207" i="5" s="1"/>
  <c r="W207" i="5" s="1"/>
  <c r="K207" i="5"/>
  <c r="J207" i="5" s="1"/>
  <c r="S207" i="5" s="1"/>
  <c r="V207" i="5" s="1"/>
  <c r="M205" i="5"/>
  <c r="T205" i="5" s="1"/>
  <c r="W205" i="5" s="1"/>
  <c r="K205" i="5"/>
  <c r="J205" i="5" s="1"/>
  <c r="S205" i="5" s="1"/>
  <c r="V205" i="5" s="1"/>
  <c r="M203" i="5"/>
  <c r="T203" i="5" s="1"/>
  <c r="W203" i="5" s="1"/>
  <c r="K203" i="5"/>
  <c r="J203" i="5" s="1"/>
  <c r="S203" i="5" s="1"/>
  <c r="V203" i="5" s="1"/>
  <c r="M201" i="5"/>
  <c r="T201" i="5" s="1"/>
  <c r="W201" i="5" s="1"/>
  <c r="K201" i="5"/>
  <c r="J201" i="5" s="1"/>
  <c r="S201" i="5" s="1"/>
  <c r="V201" i="5" s="1"/>
  <c r="M199" i="5"/>
  <c r="T199" i="5" s="1"/>
  <c r="W199" i="5" s="1"/>
  <c r="K199" i="5"/>
  <c r="J199" i="5" s="1"/>
  <c r="S199" i="5" s="1"/>
  <c r="V199" i="5" s="1"/>
  <c r="M197" i="5"/>
  <c r="T197" i="5" s="1"/>
  <c r="W197" i="5" s="1"/>
  <c r="K197" i="5"/>
  <c r="J197" i="5" s="1"/>
  <c r="S197" i="5" s="1"/>
  <c r="V197" i="5" s="1"/>
  <c r="M195" i="5"/>
  <c r="T195" i="5" s="1"/>
  <c r="W195" i="5" s="1"/>
  <c r="K195" i="5"/>
  <c r="J195" i="5" s="1"/>
  <c r="S195" i="5" s="1"/>
  <c r="V195" i="5" s="1"/>
  <c r="M193" i="5"/>
  <c r="T193" i="5" s="1"/>
  <c r="W193" i="5" s="1"/>
  <c r="K193" i="5"/>
  <c r="J193" i="5" s="1"/>
  <c r="S193" i="5" s="1"/>
  <c r="V193" i="5" s="1"/>
  <c r="M191" i="5"/>
  <c r="T191" i="5" s="1"/>
  <c r="W191" i="5" s="1"/>
  <c r="K191" i="5"/>
  <c r="J191" i="5" s="1"/>
  <c r="S191" i="5" s="1"/>
  <c r="V191" i="5" s="1"/>
  <c r="M189" i="5"/>
  <c r="T189" i="5" s="1"/>
  <c r="W189" i="5" s="1"/>
  <c r="K189" i="5"/>
  <c r="J189" i="5" s="1"/>
  <c r="S189" i="5" s="1"/>
  <c r="V189" i="5" s="1"/>
  <c r="M187" i="5"/>
  <c r="T187" i="5" s="1"/>
  <c r="W187" i="5" s="1"/>
  <c r="K187" i="5"/>
  <c r="J187" i="5" s="1"/>
  <c r="S187" i="5" s="1"/>
  <c r="V187" i="5" s="1"/>
  <c r="M185" i="5"/>
  <c r="T185" i="5" s="1"/>
  <c r="W185" i="5" s="1"/>
  <c r="K185" i="5"/>
  <c r="J185" i="5" s="1"/>
  <c r="S185" i="5" s="1"/>
  <c r="V185" i="5" s="1"/>
  <c r="M183" i="5"/>
  <c r="T183" i="5" s="1"/>
  <c r="W183" i="5" s="1"/>
  <c r="K183" i="5"/>
  <c r="J183" i="5" s="1"/>
  <c r="S183" i="5" s="1"/>
  <c r="V183" i="5" s="1"/>
  <c r="M181" i="5"/>
  <c r="T181" i="5" s="1"/>
  <c r="W181" i="5" s="1"/>
  <c r="K181" i="5"/>
  <c r="J181" i="5" s="1"/>
  <c r="S181" i="5" s="1"/>
  <c r="V181" i="5" s="1"/>
  <c r="M179" i="5"/>
  <c r="T179" i="5" s="1"/>
  <c r="W179" i="5" s="1"/>
  <c r="K179" i="5"/>
  <c r="J179" i="5" s="1"/>
  <c r="S179" i="5" s="1"/>
  <c r="V179" i="5" s="1"/>
  <c r="M177" i="5"/>
  <c r="T177" i="5" s="1"/>
  <c r="W177" i="5" s="1"/>
  <c r="K177" i="5"/>
  <c r="J177" i="5" s="1"/>
  <c r="S177" i="5" s="1"/>
  <c r="V177" i="5" s="1"/>
  <c r="M175" i="5"/>
  <c r="T175" i="5" s="1"/>
  <c r="W175" i="5" s="1"/>
  <c r="K175" i="5"/>
  <c r="J175" i="5" s="1"/>
  <c r="S175" i="5" s="1"/>
  <c r="V175" i="5" s="1"/>
  <c r="M173" i="5"/>
  <c r="T173" i="5" s="1"/>
  <c r="W173" i="5" s="1"/>
  <c r="K173" i="5"/>
  <c r="J173" i="5" s="1"/>
  <c r="S173" i="5" s="1"/>
  <c r="V173" i="5" s="1"/>
  <c r="M171" i="5"/>
  <c r="T171" i="5" s="1"/>
  <c r="W171" i="5" s="1"/>
  <c r="K171" i="5"/>
  <c r="J171" i="5" s="1"/>
  <c r="S171" i="5" s="1"/>
  <c r="V171" i="5" s="1"/>
  <c r="M169" i="5"/>
  <c r="T169" i="5" s="1"/>
  <c r="W169" i="5" s="1"/>
  <c r="K169" i="5"/>
  <c r="J169" i="5" s="1"/>
  <c r="S169" i="5" s="1"/>
  <c r="V169" i="5" s="1"/>
  <c r="M167" i="5"/>
  <c r="T167" i="5" s="1"/>
  <c r="W167" i="5" s="1"/>
  <c r="K167" i="5"/>
  <c r="J167" i="5" s="1"/>
  <c r="S167" i="5" s="1"/>
  <c r="V167" i="5" s="1"/>
  <c r="M165" i="5"/>
  <c r="T165" i="5" s="1"/>
  <c r="W165" i="5" s="1"/>
  <c r="K165" i="5"/>
  <c r="J165" i="5" s="1"/>
  <c r="S165" i="5" s="1"/>
  <c r="V165" i="5" s="1"/>
  <c r="M163" i="5"/>
  <c r="T163" i="5" s="1"/>
  <c r="W163" i="5" s="1"/>
  <c r="K163" i="5"/>
  <c r="J163" i="5" s="1"/>
  <c r="S163" i="5" s="1"/>
  <c r="V163" i="5" s="1"/>
  <c r="M161" i="5"/>
  <c r="T161" i="5" s="1"/>
  <c r="W161" i="5" s="1"/>
  <c r="K161" i="5"/>
  <c r="J161" i="5" s="1"/>
  <c r="S161" i="5" s="1"/>
  <c r="V161" i="5" s="1"/>
  <c r="M159" i="5"/>
  <c r="T159" i="5" s="1"/>
  <c r="W159" i="5" s="1"/>
  <c r="K159" i="5"/>
  <c r="J159" i="5" s="1"/>
  <c r="S159" i="5" s="1"/>
  <c r="V159" i="5" s="1"/>
  <c r="M157" i="5"/>
  <c r="T157" i="5" s="1"/>
  <c r="W157" i="5" s="1"/>
  <c r="K157" i="5"/>
  <c r="J157" i="5" s="1"/>
  <c r="S157" i="5" s="1"/>
  <c r="V157" i="5" s="1"/>
  <c r="M155" i="5"/>
  <c r="T155" i="5" s="1"/>
  <c r="W155" i="5" s="1"/>
  <c r="K155" i="5"/>
  <c r="J155" i="5" s="1"/>
  <c r="S155" i="5" s="1"/>
  <c r="V155" i="5" s="1"/>
  <c r="M153" i="5"/>
  <c r="T153" i="5" s="1"/>
  <c r="W153" i="5" s="1"/>
  <c r="K153" i="5"/>
  <c r="J153" i="5" s="1"/>
  <c r="S153" i="5" s="1"/>
  <c r="V153" i="5" s="1"/>
  <c r="M151" i="5"/>
  <c r="T151" i="5" s="1"/>
  <c r="W151" i="5" s="1"/>
  <c r="K151" i="5"/>
  <c r="J151" i="5" s="1"/>
  <c r="S151" i="5" s="1"/>
  <c r="V151" i="5" s="1"/>
  <c r="M149" i="5"/>
  <c r="T149" i="5" s="1"/>
  <c r="W149" i="5" s="1"/>
  <c r="K149" i="5"/>
  <c r="J149" i="5" s="1"/>
  <c r="S149" i="5" s="1"/>
  <c r="V149" i="5" s="1"/>
  <c r="M147" i="5"/>
  <c r="T147" i="5" s="1"/>
  <c r="W147" i="5" s="1"/>
  <c r="K147" i="5"/>
  <c r="J147" i="5" s="1"/>
  <c r="S147" i="5" s="1"/>
  <c r="V147" i="5" s="1"/>
  <c r="M145" i="5"/>
  <c r="T145" i="5" s="1"/>
  <c r="W145" i="5" s="1"/>
  <c r="K145" i="5"/>
  <c r="J145" i="5" s="1"/>
  <c r="S145" i="5" s="1"/>
  <c r="V145" i="5" s="1"/>
  <c r="M143" i="5"/>
  <c r="T143" i="5" s="1"/>
  <c r="W143" i="5" s="1"/>
  <c r="K143" i="5"/>
  <c r="J143" i="5" s="1"/>
  <c r="S143" i="5" s="1"/>
  <c r="V143" i="5" s="1"/>
  <c r="M141" i="5"/>
  <c r="T141" i="5" s="1"/>
  <c r="W141" i="5" s="1"/>
  <c r="K141" i="5"/>
  <c r="J141" i="5" s="1"/>
  <c r="S141" i="5" s="1"/>
  <c r="V141" i="5" s="1"/>
  <c r="M139" i="5"/>
  <c r="T139" i="5" s="1"/>
  <c r="W139" i="5" s="1"/>
  <c r="K139" i="5"/>
  <c r="J139" i="5" s="1"/>
  <c r="S139" i="5" s="1"/>
  <c r="V139" i="5" s="1"/>
  <c r="M137" i="5"/>
  <c r="T137" i="5" s="1"/>
  <c r="W137" i="5" s="1"/>
  <c r="K137" i="5"/>
  <c r="J137" i="5" s="1"/>
  <c r="S137" i="5" s="1"/>
  <c r="V137" i="5" s="1"/>
  <c r="M135" i="5"/>
  <c r="T135" i="5" s="1"/>
  <c r="W135" i="5" s="1"/>
  <c r="K135" i="5"/>
  <c r="J135" i="5" s="1"/>
  <c r="S135" i="5" s="1"/>
  <c r="V135" i="5" s="1"/>
  <c r="M133" i="5"/>
  <c r="T133" i="5" s="1"/>
  <c r="W133" i="5" s="1"/>
  <c r="K133" i="5"/>
  <c r="J133" i="5" s="1"/>
  <c r="S133" i="5" s="1"/>
  <c r="V133" i="5" s="1"/>
  <c r="M131" i="5"/>
  <c r="T131" i="5" s="1"/>
  <c r="W131" i="5" s="1"/>
  <c r="K131" i="5"/>
  <c r="J131" i="5" s="1"/>
  <c r="S131" i="5" s="1"/>
  <c r="V131" i="5" s="1"/>
  <c r="M129" i="5"/>
  <c r="T129" i="5" s="1"/>
  <c r="W129" i="5" s="1"/>
  <c r="K129" i="5"/>
  <c r="J129" i="5" s="1"/>
  <c r="S129" i="5" s="1"/>
  <c r="V129" i="5" s="1"/>
  <c r="M127" i="5"/>
  <c r="T127" i="5" s="1"/>
  <c r="W127" i="5" s="1"/>
  <c r="K127" i="5"/>
  <c r="J127" i="5" s="1"/>
  <c r="S127" i="5" s="1"/>
  <c r="V127" i="5" s="1"/>
  <c r="M125" i="5"/>
  <c r="T125" i="5" s="1"/>
  <c r="W125" i="5" s="1"/>
  <c r="K125" i="5"/>
  <c r="J125" i="5" s="1"/>
  <c r="S125" i="5" s="1"/>
  <c r="V125" i="5" s="1"/>
  <c r="M123" i="5"/>
  <c r="T123" i="5" s="1"/>
  <c r="W123" i="5" s="1"/>
  <c r="K123" i="5"/>
  <c r="J123" i="5" s="1"/>
  <c r="S123" i="5" s="1"/>
  <c r="V123" i="5" s="1"/>
  <c r="M121" i="5"/>
  <c r="T121" i="5" s="1"/>
  <c r="W121" i="5" s="1"/>
  <c r="K121" i="5"/>
  <c r="J121" i="5" s="1"/>
  <c r="S121" i="5" s="1"/>
  <c r="V121" i="5" s="1"/>
  <c r="M119" i="5"/>
  <c r="T119" i="5" s="1"/>
  <c r="W119" i="5" s="1"/>
  <c r="K119" i="5"/>
  <c r="J119" i="5" s="1"/>
  <c r="S119" i="5" s="1"/>
  <c r="V119" i="5" s="1"/>
  <c r="M117" i="5"/>
  <c r="T117" i="5" s="1"/>
  <c r="W117" i="5" s="1"/>
  <c r="K117" i="5"/>
  <c r="J117" i="5" s="1"/>
  <c r="S117" i="5" s="1"/>
  <c r="V117" i="5" s="1"/>
  <c r="M115" i="5"/>
  <c r="T115" i="5" s="1"/>
  <c r="W115" i="5" s="1"/>
  <c r="K115" i="5"/>
  <c r="J115" i="5" s="1"/>
  <c r="S115" i="5" s="1"/>
  <c r="V115" i="5" s="1"/>
  <c r="M113" i="5"/>
  <c r="T113" i="5" s="1"/>
  <c r="W113" i="5" s="1"/>
  <c r="K113" i="5"/>
  <c r="J113" i="5" s="1"/>
  <c r="S113" i="5" s="1"/>
  <c r="V113" i="5" s="1"/>
  <c r="M111" i="5"/>
  <c r="T111" i="5" s="1"/>
  <c r="W111" i="5" s="1"/>
  <c r="K111" i="5"/>
  <c r="J111" i="5" s="1"/>
  <c r="S111" i="5" s="1"/>
  <c r="V111" i="5" s="1"/>
  <c r="M109" i="5"/>
  <c r="T109" i="5" s="1"/>
  <c r="W109" i="5" s="1"/>
  <c r="K109" i="5"/>
  <c r="J109" i="5" s="1"/>
  <c r="S109" i="5" s="1"/>
  <c r="V109" i="5" s="1"/>
  <c r="M107" i="5"/>
  <c r="T107" i="5" s="1"/>
  <c r="W107" i="5" s="1"/>
  <c r="K107" i="5"/>
  <c r="J107" i="5" s="1"/>
  <c r="S107" i="5" s="1"/>
  <c r="V107" i="5" s="1"/>
  <c r="M105" i="5"/>
  <c r="T105" i="5" s="1"/>
  <c r="W105" i="5" s="1"/>
  <c r="K105" i="5"/>
  <c r="J105" i="5" s="1"/>
  <c r="S105" i="5" s="1"/>
  <c r="V105" i="5" s="1"/>
  <c r="M103" i="5"/>
  <c r="T103" i="5" s="1"/>
  <c r="W103" i="5" s="1"/>
  <c r="K103" i="5"/>
  <c r="J103" i="5" s="1"/>
  <c r="S103" i="5" s="1"/>
  <c r="V103" i="5" s="1"/>
  <c r="M101" i="5"/>
  <c r="T101" i="5" s="1"/>
  <c r="W101" i="5" s="1"/>
  <c r="K101" i="5"/>
  <c r="J101" i="5" s="1"/>
  <c r="S101" i="5" s="1"/>
  <c r="V101" i="5" s="1"/>
  <c r="M99" i="5"/>
  <c r="T99" i="5" s="1"/>
  <c r="W99" i="5" s="1"/>
  <c r="K99" i="5"/>
  <c r="J99" i="5" s="1"/>
  <c r="S99" i="5" s="1"/>
  <c r="V99" i="5" s="1"/>
  <c r="M97" i="5"/>
  <c r="T97" i="5" s="1"/>
  <c r="W97" i="5" s="1"/>
  <c r="K97" i="5"/>
  <c r="J97" i="5" s="1"/>
  <c r="S97" i="5" s="1"/>
  <c r="V97" i="5" s="1"/>
  <c r="M95" i="5"/>
  <c r="T95" i="5" s="1"/>
  <c r="W95" i="5" s="1"/>
  <c r="K95" i="5"/>
  <c r="J95" i="5" s="1"/>
  <c r="S95" i="5" s="1"/>
  <c r="V95" i="5" s="1"/>
  <c r="M93" i="5"/>
  <c r="T93" i="5" s="1"/>
  <c r="W93" i="5" s="1"/>
  <c r="K93" i="5"/>
  <c r="J93" i="5" s="1"/>
  <c r="S93" i="5" s="1"/>
  <c r="V93" i="5" s="1"/>
  <c r="M91" i="5"/>
  <c r="T91" i="5" s="1"/>
  <c r="W91" i="5" s="1"/>
  <c r="K91" i="5"/>
  <c r="J91" i="5" s="1"/>
  <c r="S91" i="5" s="1"/>
  <c r="V91" i="5" s="1"/>
  <c r="M89" i="5"/>
  <c r="T89" i="5" s="1"/>
  <c r="W89" i="5" s="1"/>
  <c r="K89" i="5"/>
  <c r="J89" i="5" s="1"/>
  <c r="S89" i="5" s="1"/>
  <c r="V89" i="5" s="1"/>
  <c r="M87" i="5"/>
  <c r="T87" i="5" s="1"/>
  <c r="W87" i="5" s="1"/>
  <c r="K87" i="5"/>
  <c r="J87" i="5" s="1"/>
  <c r="S87" i="5" s="1"/>
  <c r="V87" i="5" s="1"/>
  <c r="M85" i="5"/>
  <c r="T85" i="5" s="1"/>
  <c r="W85" i="5" s="1"/>
  <c r="K85" i="5"/>
  <c r="J85" i="5" s="1"/>
  <c r="S85" i="5" s="1"/>
  <c r="V85" i="5" s="1"/>
  <c r="M83" i="5"/>
  <c r="T83" i="5" s="1"/>
  <c r="W83" i="5" s="1"/>
  <c r="K83" i="5"/>
  <c r="J83" i="5" s="1"/>
  <c r="S83" i="5" s="1"/>
  <c r="V83" i="5" s="1"/>
  <c r="M81" i="5"/>
  <c r="T81" i="5" s="1"/>
  <c r="W81" i="5" s="1"/>
  <c r="K81" i="5"/>
  <c r="J81" i="5" s="1"/>
  <c r="S81" i="5" s="1"/>
  <c r="V81" i="5" s="1"/>
  <c r="M79" i="5"/>
  <c r="T79" i="5" s="1"/>
  <c r="W79" i="5" s="1"/>
  <c r="K79" i="5"/>
  <c r="J79" i="5" s="1"/>
  <c r="S79" i="5" s="1"/>
  <c r="V79" i="5" s="1"/>
  <c r="M77" i="5"/>
  <c r="T77" i="5" s="1"/>
  <c r="W77" i="5" s="1"/>
  <c r="K77" i="5"/>
  <c r="J77" i="5" s="1"/>
  <c r="S77" i="5" s="1"/>
  <c r="V77" i="5" s="1"/>
  <c r="M75" i="5"/>
  <c r="T75" i="5" s="1"/>
  <c r="W75" i="5" s="1"/>
  <c r="K75" i="5"/>
  <c r="J75" i="5" s="1"/>
  <c r="S75" i="5" s="1"/>
  <c r="V75" i="5" s="1"/>
  <c r="M73" i="5"/>
  <c r="T73" i="5" s="1"/>
  <c r="W73" i="5" s="1"/>
  <c r="K73" i="5"/>
  <c r="J73" i="5" s="1"/>
  <c r="S73" i="5" s="1"/>
  <c r="V73" i="5" s="1"/>
  <c r="M71" i="5"/>
  <c r="T71" i="5" s="1"/>
  <c r="W71" i="5" s="1"/>
  <c r="K71" i="5"/>
  <c r="J71" i="5" s="1"/>
  <c r="S71" i="5" s="1"/>
  <c r="V71" i="5" s="1"/>
  <c r="M69" i="5"/>
  <c r="T69" i="5" s="1"/>
  <c r="W69" i="5" s="1"/>
  <c r="K69" i="5"/>
  <c r="J69" i="5" s="1"/>
  <c r="S69" i="5" s="1"/>
  <c r="V69" i="5" s="1"/>
  <c r="M67" i="5"/>
  <c r="T67" i="5" s="1"/>
  <c r="W67" i="5" s="1"/>
  <c r="K67" i="5"/>
  <c r="J67" i="5" s="1"/>
  <c r="S67" i="5" s="1"/>
  <c r="V67" i="5" s="1"/>
  <c r="M65" i="5"/>
  <c r="T65" i="5" s="1"/>
  <c r="W65" i="5" s="1"/>
  <c r="K65" i="5"/>
  <c r="J65" i="5" s="1"/>
  <c r="S65" i="5" s="1"/>
  <c r="V65" i="5" s="1"/>
  <c r="M63" i="5"/>
  <c r="T63" i="5" s="1"/>
  <c r="W63" i="5" s="1"/>
  <c r="K63" i="5"/>
  <c r="J63" i="5" s="1"/>
  <c r="S63" i="5" s="1"/>
  <c r="V63" i="5" s="1"/>
  <c r="M61" i="5"/>
  <c r="T61" i="5" s="1"/>
  <c r="W61" i="5" s="1"/>
  <c r="K61" i="5"/>
  <c r="J61" i="5" s="1"/>
  <c r="S61" i="5" s="1"/>
  <c r="V61" i="5" s="1"/>
  <c r="M59" i="5"/>
  <c r="T59" i="5" s="1"/>
  <c r="W59" i="5" s="1"/>
  <c r="K59" i="5"/>
  <c r="J59" i="5" s="1"/>
  <c r="S59" i="5" s="1"/>
  <c r="V59" i="5" s="1"/>
  <c r="M57" i="5"/>
  <c r="T57" i="5" s="1"/>
  <c r="W57" i="5" s="1"/>
  <c r="K57" i="5"/>
  <c r="J57" i="5" s="1"/>
  <c r="S57" i="5" s="1"/>
  <c r="V57" i="5" s="1"/>
  <c r="M55" i="5"/>
  <c r="T55" i="5" s="1"/>
  <c r="W55" i="5" s="1"/>
  <c r="K55" i="5"/>
  <c r="J55" i="5" s="1"/>
  <c r="S55" i="5" s="1"/>
  <c r="V55" i="5" s="1"/>
  <c r="M53" i="5"/>
  <c r="T53" i="5" s="1"/>
  <c r="W53" i="5" s="1"/>
  <c r="K53" i="5"/>
  <c r="J53" i="5" s="1"/>
  <c r="S53" i="5" s="1"/>
  <c r="V53" i="5" s="1"/>
  <c r="M51" i="5"/>
  <c r="T51" i="5" s="1"/>
  <c r="W51" i="5" s="1"/>
  <c r="K51" i="5"/>
  <c r="J51" i="5" s="1"/>
  <c r="S51" i="5" s="1"/>
  <c r="V51" i="5" s="1"/>
  <c r="M49" i="5"/>
  <c r="T49" i="5" s="1"/>
  <c r="W49" i="5" s="1"/>
  <c r="K49" i="5"/>
  <c r="J49" i="5" s="1"/>
  <c r="S49" i="5" s="1"/>
  <c r="V49" i="5" s="1"/>
  <c r="M47" i="5"/>
  <c r="T47" i="5" s="1"/>
  <c r="W47" i="5" s="1"/>
  <c r="K47" i="5"/>
  <c r="J47" i="5" s="1"/>
  <c r="S47" i="5" s="1"/>
  <c r="V47" i="5" s="1"/>
  <c r="M45" i="5"/>
  <c r="T45" i="5" s="1"/>
  <c r="W45" i="5" s="1"/>
  <c r="K45" i="5"/>
  <c r="J45" i="5" s="1"/>
  <c r="S45" i="5" s="1"/>
  <c r="V45" i="5" s="1"/>
  <c r="M43" i="5"/>
  <c r="T43" i="5" s="1"/>
  <c r="W43" i="5" s="1"/>
  <c r="K43" i="5"/>
  <c r="J43" i="5" s="1"/>
  <c r="S43" i="5" s="1"/>
  <c r="V43" i="5" s="1"/>
  <c r="M41" i="5"/>
  <c r="T41" i="5" s="1"/>
  <c r="W41" i="5" s="1"/>
  <c r="K41" i="5"/>
  <c r="J41" i="5" s="1"/>
  <c r="S41" i="5" s="1"/>
  <c r="V41" i="5" s="1"/>
  <c r="M39" i="5"/>
  <c r="T39" i="5" s="1"/>
  <c r="W39" i="5" s="1"/>
  <c r="K39" i="5"/>
  <c r="J39" i="5" s="1"/>
  <c r="S39" i="5" s="1"/>
  <c r="V39" i="5" s="1"/>
  <c r="M37" i="5"/>
  <c r="T37" i="5" s="1"/>
  <c r="W37" i="5" s="1"/>
  <c r="K37" i="5"/>
  <c r="J37" i="5" s="1"/>
  <c r="S37" i="5" s="1"/>
  <c r="V37" i="5" s="1"/>
  <c r="M35" i="5"/>
  <c r="T35" i="5" s="1"/>
  <c r="W35" i="5" s="1"/>
  <c r="K35" i="5"/>
  <c r="J35" i="5" s="1"/>
  <c r="S35" i="5" s="1"/>
  <c r="V35" i="5" s="1"/>
  <c r="M33" i="5"/>
  <c r="T33" i="5" s="1"/>
  <c r="W33" i="5" s="1"/>
  <c r="K33" i="5"/>
  <c r="J33" i="5" s="1"/>
  <c r="S33" i="5" s="1"/>
  <c r="V33" i="5" s="1"/>
  <c r="M31" i="5"/>
  <c r="T31" i="5" s="1"/>
  <c r="W31" i="5" s="1"/>
  <c r="K31" i="5"/>
  <c r="J31" i="5" s="1"/>
  <c r="S31" i="5" s="1"/>
  <c r="V31" i="5" s="1"/>
  <c r="M29" i="5"/>
  <c r="T29" i="5" s="1"/>
  <c r="W29" i="5" s="1"/>
  <c r="K29" i="5"/>
  <c r="J29" i="5" s="1"/>
  <c r="S29" i="5" s="1"/>
  <c r="V29" i="5" s="1"/>
  <c r="M27" i="5"/>
  <c r="T27" i="5" s="1"/>
  <c r="W27" i="5" s="1"/>
  <c r="K27" i="5"/>
  <c r="J27" i="5" s="1"/>
  <c r="S27" i="5" s="1"/>
  <c r="V27" i="5" s="1"/>
  <c r="M25" i="5"/>
  <c r="T25" i="5" s="1"/>
  <c r="W25" i="5" s="1"/>
  <c r="K25" i="5"/>
  <c r="J25" i="5" s="1"/>
  <c r="S25" i="5" s="1"/>
  <c r="V25" i="5" s="1"/>
  <c r="M23" i="5"/>
  <c r="T23" i="5" s="1"/>
  <c r="W23" i="5" s="1"/>
  <c r="K23" i="5"/>
  <c r="J23" i="5" s="1"/>
  <c r="S23" i="5" s="1"/>
  <c r="V23" i="5" s="1"/>
  <c r="M21" i="5"/>
  <c r="T21" i="5" s="1"/>
  <c r="W21" i="5" s="1"/>
  <c r="K21" i="5"/>
  <c r="J21" i="5" s="1"/>
  <c r="S21" i="5" s="1"/>
  <c r="V21" i="5" s="1"/>
  <c r="M19" i="5"/>
  <c r="T19" i="5" s="1"/>
  <c r="W19" i="5" s="1"/>
  <c r="K19" i="5"/>
  <c r="J19" i="5" s="1"/>
  <c r="S19" i="5" s="1"/>
  <c r="V19" i="5" s="1"/>
  <c r="M17" i="5"/>
  <c r="T17" i="5" s="1"/>
  <c r="W17" i="5" s="1"/>
  <c r="K17" i="5"/>
  <c r="J17" i="5" s="1"/>
  <c r="S17" i="5" s="1"/>
  <c r="V17" i="5" s="1"/>
  <c r="M15" i="5"/>
  <c r="T15" i="5" s="1"/>
  <c r="W15" i="5" s="1"/>
  <c r="K15" i="5"/>
  <c r="J15" i="5" s="1"/>
  <c r="S15" i="5" s="1"/>
  <c r="V15" i="5" s="1"/>
  <c r="M13" i="5"/>
  <c r="T13" i="5" s="1"/>
  <c r="W13" i="5" s="1"/>
  <c r="K13" i="5"/>
  <c r="J13" i="5" s="1"/>
  <c r="S13" i="5" s="1"/>
  <c r="V13" i="5" s="1"/>
  <c r="M11" i="5"/>
  <c r="T11" i="5" s="1"/>
  <c r="W11" i="5" s="1"/>
  <c r="K11" i="5"/>
  <c r="J11" i="5" s="1"/>
  <c r="S11" i="5" s="1"/>
  <c r="V11" i="5" s="1"/>
  <c r="M9" i="5"/>
  <c r="T9" i="5" s="1"/>
  <c r="W9" i="5" s="1"/>
  <c r="K9" i="5"/>
  <c r="J9" i="5" s="1"/>
  <c r="S9" i="5" s="1"/>
  <c r="V9" i="5" s="1"/>
  <c r="M7" i="5"/>
  <c r="T7" i="5" s="1"/>
  <c r="W7" i="5" s="1"/>
  <c r="K7" i="5"/>
  <c r="J7" i="5" s="1"/>
  <c r="S7" i="5" s="1"/>
  <c r="K5" i="5"/>
  <c r="J5" i="5" s="1"/>
  <c r="S5" i="5" s="1"/>
  <c r="V5" i="5" s="1"/>
  <c r="L1003" i="4"/>
  <c r="S1003" i="4" s="1"/>
  <c r="V1003" i="4" s="1"/>
  <c r="L999" i="4"/>
  <c r="S999" i="4" s="1"/>
  <c r="V999" i="4" s="1"/>
  <c r="L995" i="4"/>
  <c r="S995" i="4" s="1"/>
  <c r="V995" i="4" s="1"/>
  <c r="L991" i="4"/>
  <c r="S991" i="4" s="1"/>
  <c r="V991" i="4" s="1"/>
  <c r="L987" i="4"/>
  <c r="S987" i="4" s="1"/>
  <c r="V987" i="4" s="1"/>
  <c r="L983" i="4"/>
  <c r="S983" i="4" s="1"/>
  <c r="V983" i="4" s="1"/>
  <c r="L979" i="4"/>
  <c r="S979" i="4" s="1"/>
  <c r="V979" i="4" s="1"/>
  <c r="L975" i="4"/>
  <c r="S975" i="4" s="1"/>
  <c r="V975" i="4" s="1"/>
  <c r="L971" i="4"/>
  <c r="S971" i="4" s="1"/>
  <c r="V971" i="4" s="1"/>
  <c r="L967" i="4"/>
  <c r="S967" i="4" s="1"/>
  <c r="V967" i="4" s="1"/>
  <c r="L963" i="4"/>
  <c r="S963" i="4" s="1"/>
  <c r="V963" i="4" s="1"/>
  <c r="L959" i="4"/>
  <c r="S959" i="4" s="1"/>
  <c r="V959" i="4" s="1"/>
  <c r="L955" i="4"/>
  <c r="S955" i="4" s="1"/>
  <c r="V955" i="4" s="1"/>
  <c r="L951" i="4"/>
  <c r="S951" i="4" s="1"/>
  <c r="V951" i="4" s="1"/>
  <c r="L947" i="4"/>
  <c r="S947" i="4" s="1"/>
  <c r="V947" i="4" s="1"/>
  <c r="L943" i="4"/>
  <c r="S943" i="4" s="1"/>
  <c r="V943" i="4" s="1"/>
  <c r="L939" i="4"/>
  <c r="S939" i="4" s="1"/>
  <c r="V939" i="4" s="1"/>
  <c r="L935" i="4"/>
  <c r="S935" i="4" s="1"/>
  <c r="V935" i="4" s="1"/>
  <c r="L931" i="4"/>
  <c r="S931" i="4" s="1"/>
  <c r="V931" i="4" s="1"/>
  <c r="L927" i="4"/>
  <c r="S927" i="4" s="1"/>
  <c r="V927" i="4" s="1"/>
  <c r="L923" i="4"/>
  <c r="S923" i="4" s="1"/>
  <c r="V923" i="4" s="1"/>
  <c r="L919" i="4"/>
  <c r="S919" i="4" s="1"/>
  <c r="V919" i="4" s="1"/>
  <c r="L915" i="4"/>
  <c r="S915" i="4" s="1"/>
  <c r="V915" i="4" s="1"/>
  <c r="L911" i="4"/>
  <c r="S911" i="4" s="1"/>
  <c r="V911" i="4" s="1"/>
  <c r="L907" i="4"/>
  <c r="S907" i="4" s="1"/>
  <c r="V907" i="4" s="1"/>
  <c r="L903" i="4"/>
  <c r="S903" i="4" s="1"/>
  <c r="V903" i="4" s="1"/>
  <c r="L899" i="4"/>
  <c r="S899" i="4" s="1"/>
  <c r="V899" i="4" s="1"/>
  <c r="L895" i="4"/>
  <c r="S895" i="4" s="1"/>
  <c r="V895" i="4" s="1"/>
  <c r="L891" i="4"/>
  <c r="S891" i="4" s="1"/>
  <c r="V891" i="4" s="1"/>
  <c r="L887" i="4"/>
  <c r="S887" i="4" s="1"/>
  <c r="V887" i="4" s="1"/>
  <c r="L883" i="4"/>
  <c r="S883" i="4" s="1"/>
  <c r="V883" i="4" s="1"/>
  <c r="L879" i="4"/>
  <c r="S879" i="4" s="1"/>
  <c r="V879" i="4" s="1"/>
  <c r="L875" i="4"/>
  <c r="S875" i="4" s="1"/>
  <c r="V875" i="4" s="1"/>
  <c r="L871" i="4"/>
  <c r="S871" i="4" s="1"/>
  <c r="V871" i="4" s="1"/>
  <c r="L867" i="4"/>
  <c r="S867" i="4" s="1"/>
  <c r="V867" i="4" s="1"/>
  <c r="L863" i="4"/>
  <c r="S863" i="4" s="1"/>
  <c r="V863" i="4" s="1"/>
  <c r="L859" i="4"/>
  <c r="S859" i="4" s="1"/>
  <c r="V859" i="4" s="1"/>
  <c r="L855" i="4"/>
  <c r="S855" i="4" s="1"/>
  <c r="V855" i="4" s="1"/>
  <c r="L851" i="4"/>
  <c r="S851" i="4" s="1"/>
  <c r="V851" i="4" s="1"/>
  <c r="L847" i="4"/>
  <c r="S847" i="4" s="1"/>
  <c r="V847" i="4" s="1"/>
  <c r="L843" i="4"/>
  <c r="S843" i="4" s="1"/>
  <c r="V843" i="4" s="1"/>
  <c r="L839" i="4"/>
  <c r="S839" i="4" s="1"/>
  <c r="V839" i="4" s="1"/>
  <c r="L835" i="4"/>
  <c r="S835" i="4" s="1"/>
  <c r="V835" i="4" s="1"/>
  <c r="L831" i="4"/>
  <c r="S831" i="4" s="1"/>
  <c r="V831" i="4" s="1"/>
  <c r="L827" i="4"/>
  <c r="S827" i="4" s="1"/>
  <c r="V827" i="4" s="1"/>
  <c r="L823" i="4"/>
  <c r="S823" i="4" s="1"/>
  <c r="V823" i="4" s="1"/>
  <c r="L819" i="4"/>
  <c r="S819" i="4" s="1"/>
  <c r="V819" i="4" s="1"/>
  <c r="L815" i="4"/>
  <c r="S815" i="4" s="1"/>
  <c r="V815" i="4" s="1"/>
  <c r="L811" i="4"/>
  <c r="S811" i="4" s="1"/>
  <c r="V811" i="4" s="1"/>
  <c r="L807" i="4"/>
  <c r="S807" i="4" s="1"/>
  <c r="V807" i="4" s="1"/>
  <c r="L803" i="4"/>
  <c r="S803" i="4" s="1"/>
  <c r="V803" i="4" s="1"/>
  <c r="L799" i="4"/>
  <c r="S799" i="4" s="1"/>
  <c r="V799" i="4" s="1"/>
  <c r="L795" i="4"/>
  <c r="S795" i="4" s="1"/>
  <c r="V795" i="4" s="1"/>
  <c r="L791" i="4"/>
  <c r="S791" i="4" s="1"/>
  <c r="V791" i="4" s="1"/>
  <c r="L787" i="4"/>
  <c r="S787" i="4" s="1"/>
  <c r="V787" i="4" s="1"/>
  <c r="L783" i="4"/>
  <c r="S783" i="4" s="1"/>
  <c r="V783" i="4" s="1"/>
  <c r="L779" i="4"/>
  <c r="S779" i="4" s="1"/>
  <c r="V779" i="4" s="1"/>
  <c r="L775" i="4"/>
  <c r="S775" i="4" s="1"/>
  <c r="V775" i="4" s="1"/>
  <c r="L771" i="4"/>
  <c r="S771" i="4" s="1"/>
  <c r="V771" i="4" s="1"/>
  <c r="L767" i="4"/>
  <c r="S767" i="4" s="1"/>
  <c r="V767" i="4" s="1"/>
  <c r="L763" i="4"/>
  <c r="S763" i="4" s="1"/>
  <c r="V763" i="4" s="1"/>
  <c r="L759" i="4"/>
  <c r="S759" i="4" s="1"/>
  <c r="V759" i="4" s="1"/>
  <c r="L755" i="4"/>
  <c r="S755" i="4" s="1"/>
  <c r="V755" i="4" s="1"/>
  <c r="L751" i="4"/>
  <c r="S751" i="4" s="1"/>
  <c r="V751" i="4" s="1"/>
  <c r="L747" i="4"/>
  <c r="S747" i="4" s="1"/>
  <c r="V747" i="4" s="1"/>
  <c r="L743" i="4"/>
  <c r="S743" i="4" s="1"/>
  <c r="V743" i="4" s="1"/>
  <c r="L739" i="4"/>
  <c r="S739" i="4" s="1"/>
  <c r="V739" i="4" s="1"/>
  <c r="L735" i="4"/>
  <c r="S735" i="4" s="1"/>
  <c r="V735" i="4" s="1"/>
  <c r="L731" i="4"/>
  <c r="S731" i="4" s="1"/>
  <c r="V731" i="4" s="1"/>
  <c r="L727" i="4"/>
  <c r="S727" i="4" s="1"/>
  <c r="V727" i="4" s="1"/>
  <c r="L723" i="4"/>
  <c r="S723" i="4" s="1"/>
  <c r="V723" i="4" s="1"/>
  <c r="L719" i="4"/>
  <c r="S719" i="4" s="1"/>
  <c r="V719" i="4" s="1"/>
  <c r="L715" i="4"/>
  <c r="S715" i="4" s="1"/>
  <c r="V715" i="4" s="1"/>
  <c r="L711" i="4"/>
  <c r="S711" i="4" s="1"/>
  <c r="V711" i="4" s="1"/>
  <c r="L707" i="4"/>
  <c r="S707" i="4" s="1"/>
  <c r="V707" i="4" s="1"/>
  <c r="L703" i="4"/>
  <c r="S703" i="4" s="1"/>
  <c r="V703" i="4" s="1"/>
  <c r="L699" i="4"/>
  <c r="S699" i="4" s="1"/>
  <c r="V699" i="4" s="1"/>
  <c r="L695" i="4"/>
  <c r="S695" i="4" s="1"/>
  <c r="V695" i="4" s="1"/>
  <c r="L691" i="4"/>
  <c r="S691" i="4" s="1"/>
  <c r="V691" i="4" s="1"/>
  <c r="L687" i="4"/>
  <c r="S687" i="4" s="1"/>
  <c r="V687" i="4" s="1"/>
  <c r="L683" i="4"/>
  <c r="S683" i="4" s="1"/>
  <c r="V683" i="4" s="1"/>
  <c r="L679" i="4"/>
  <c r="S679" i="4" s="1"/>
  <c r="V679" i="4" s="1"/>
  <c r="L675" i="4"/>
  <c r="S675" i="4" s="1"/>
  <c r="V675" i="4" s="1"/>
  <c r="L671" i="4"/>
  <c r="S671" i="4" s="1"/>
  <c r="V671" i="4" s="1"/>
  <c r="L667" i="4"/>
  <c r="S667" i="4" s="1"/>
  <c r="V667" i="4" s="1"/>
  <c r="L663" i="4"/>
  <c r="S663" i="4" s="1"/>
  <c r="V663" i="4" s="1"/>
  <c r="L659" i="4"/>
  <c r="S659" i="4" s="1"/>
  <c r="V659" i="4" s="1"/>
  <c r="L655" i="4"/>
  <c r="S655" i="4" s="1"/>
  <c r="V655" i="4" s="1"/>
  <c r="L651" i="4"/>
  <c r="S651" i="4" s="1"/>
  <c r="V651" i="4" s="1"/>
  <c r="L647" i="4"/>
  <c r="S647" i="4" s="1"/>
  <c r="V647" i="4" s="1"/>
  <c r="L643" i="4"/>
  <c r="S643" i="4" s="1"/>
  <c r="V643" i="4" s="1"/>
  <c r="L639" i="4"/>
  <c r="S639" i="4" s="1"/>
  <c r="V639" i="4" s="1"/>
  <c r="L635" i="4"/>
  <c r="S635" i="4" s="1"/>
  <c r="V635" i="4" s="1"/>
  <c r="L631" i="4"/>
  <c r="S631" i="4" s="1"/>
  <c r="V631" i="4" s="1"/>
  <c r="L627" i="4"/>
  <c r="S627" i="4" s="1"/>
  <c r="V627" i="4" s="1"/>
  <c r="L623" i="4"/>
  <c r="S623" i="4" s="1"/>
  <c r="V623" i="4" s="1"/>
  <c r="L619" i="4"/>
  <c r="S619" i="4" s="1"/>
  <c r="V619" i="4" s="1"/>
  <c r="L615" i="4"/>
  <c r="S615" i="4" s="1"/>
  <c r="V615" i="4" s="1"/>
  <c r="L611" i="4"/>
  <c r="S611" i="4" s="1"/>
  <c r="V611" i="4" s="1"/>
  <c r="L607" i="4"/>
  <c r="S607" i="4" s="1"/>
  <c r="V607" i="4" s="1"/>
  <c r="L603" i="4"/>
  <c r="S603" i="4" s="1"/>
  <c r="V603" i="4" s="1"/>
  <c r="L599" i="4"/>
  <c r="S599" i="4" s="1"/>
  <c r="V599" i="4" s="1"/>
  <c r="L595" i="4"/>
  <c r="S595" i="4" s="1"/>
  <c r="V595" i="4" s="1"/>
  <c r="L591" i="4"/>
  <c r="S591" i="4" s="1"/>
  <c r="V591" i="4" s="1"/>
  <c r="L587" i="4"/>
  <c r="S587" i="4" s="1"/>
  <c r="V587" i="4" s="1"/>
  <c r="L583" i="4"/>
  <c r="S583" i="4" s="1"/>
  <c r="V583" i="4" s="1"/>
  <c r="L579" i="4"/>
  <c r="S579" i="4" s="1"/>
  <c r="V579" i="4" s="1"/>
  <c r="L575" i="4"/>
  <c r="S575" i="4" s="1"/>
  <c r="V575" i="4" s="1"/>
  <c r="L571" i="4"/>
  <c r="S571" i="4" s="1"/>
  <c r="V571" i="4" s="1"/>
  <c r="L567" i="4"/>
  <c r="S567" i="4" s="1"/>
  <c r="V567" i="4" s="1"/>
  <c r="L563" i="4"/>
  <c r="S563" i="4" s="1"/>
  <c r="V563" i="4" s="1"/>
  <c r="L559" i="4"/>
  <c r="S559" i="4" s="1"/>
  <c r="V559" i="4" s="1"/>
  <c r="L555" i="4"/>
  <c r="S555" i="4" s="1"/>
  <c r="V555" i="4" s="1"/>
  <c r="L551" i="4"/>
  <c r="S551" i="4" s="1"/>
  <c r="V551" i="4" s="1"/>
  <c r="L547" i="4"/>
  <c r="S547" i="4" s="1"/>
  <c r="V547" i="4" s="1"/>
  <c r="L543" i="4"/>
  <c r="S543" i="4" s="1"/>
  <c r="V543" i="4" s="1"/>
  <c r="L539" i="4"/>
  <c r="S539" i="4" s="1"/>
  <c r="V539" i="4" s="1"/>
  <c r="L535" i="4"/>
  <c r="S535" i="4" s="1"/>
  <c r="V535" i="4" s="1"/>
  <c r="L531" i="4"/>
  <c r="S531" i="4" s="1"/>
  <c r="V531" i="4" s="1"/>
  <c r="L527" i="4"/>
  <c r="S527" i="4" s="1"/>
  <c r="V527" i="4" s="1"/>
  <c r="L523" i="4"/>
  <c r="S523" i="4" s="1"/>
  <c r="V523" i="4" s="1"/>
  <c r="L519" i="4"/>
  <c r="S519" i="4" s="1"/>
  <c r="V519" i="4" s="1"/>
  <c r="L515" i="4"/>
  <c r="S515" i="4" s="1"/>
  <c r="V515" i="4" s="1"/>
  <c r="L511" i="4"/>
  <c r="S511" i="4" s="1"/>
  <c r="V511" i="4" s="1"/>
  <c r="L507" i="4"/>
  <c r="S507" i="4" s="1"/>
  <c r="V507" i="4" s="1"/>
  <c r="L503" i="4"/>
  <c r="S503" i="4" s="1"/>
  <c r="V503" i="4" s="1"/>
  <c r="L499" i="4"/>
  <c r="S499" i="4" s="1"/>
  <c r="V499" i="4" s="1"/>
  <c r="L495" i="4"/>
  <c r="S495" i="4" s="1"/>
  <c r="V495" i="4" s="1"/>
  <c r="L491" i="4"/>
  <c r="S491" i="4" s="1"/>
  <c r="V491" i="4" s="1"/>
  <c r="L487" i="4"/>
  <c r="S487" i="4" s="1"/>
  <c r="V487" i="4" s="1"/>
  <c r="L483" i="4"/>
  <c r="S483" i="4" s="1"/>
  <c r="V483" i="4" s="1"/>
  <c r="L479" i="4"/>
  <c r="S479" i="4" s="1"/>
  <c r="V479" i="4" s="1"/>
  <c r="L475" i="4"/>
  <c r="S475" i="4" s="1"/>
  <c r="V475" i="4" s="1"/>
  <c r="L471" i="4"/>
  <c r="S471" i="4" s="1"/>
  <c r="V471" i="4" s="1"/>
  <c r="L467" i="4"/>
  <c r="S467" i="4" s="1"/>
  <c r="V467" i="4" s="1"/>
  <c r="L463" i="4"/>
  <c r="S463" i="4" s="1"/>
  <c r="V463" i="4" s="1"/>
  <c r="L459" i="4"/>
  <c r="S459" i="4" s="1"/>
  <c r="V459" i="4" s="1"/>
  <c r="L455" i="4"/>
  <c r="S455" i="4" s="1"/>
  <c r="V455" i="4" s="1"/>
  <c r="L451" i="4"/>
  <c r="S451" i="4" s="1"/>
  <c r="V451" i="4" s="1"/>
  <c r="L447" i="4"/>
  <c r="S447" i="4" s="1"/>
  <c r="V447" i="4" s="1"/>
  <c r="L443" i="4"/>
  <c r="S443" i="4" s="1"/>
  <c r="V443" i="4" s="1"/>
  <c r="L439" i="4"/>
  <c r="S439" i="4" s="1"/>
  <c r="V439" i="4" s="1"/>
  <c r="L435" i="4"/>
  <c r="S435" i="4" s="1"/>
  <c r="V435" i="4" s="1"/>
  <c r="L431" i="4"/>
  <c r="S431" i="4" s="1"/>
  <c r="V431" i="4" s="1"/>
  <c r="L427" i="4"/>
  <c r="S427" i="4" s="1"/>
  <c r="V427" i="4" s="1"/>
  <c r="L423" i="4"/>
  <c r="S423" i="4" s="1"/>
  <c r="V423" i="4" s="1"/>
  <c r="L419" i="4"/>
  <c r="S419" i="4" s="1"/>
  <c r="V419" i="4" s="1"/>
  <c r="L415" i="4"/>
  <c r="S415" i="4" s="1"/>
  <c r="V415" i="4" s="1"/>
  <c r="L411" i="4"/>
  <c r="S411" i="4" s="1"/>
  <c r="V411" i="4" s="1"/>
  <c r="L407" i="4"/>
  <c r="S407" i="4" s="1"/>
  <c r="V407" i="4" s="1"/>
  <c r="L403" i="4"/>
  <c r="S403" i="4" s="1"/>
  <c r="V403" i="4" s="1"/>
  <c r="L399" i="4"/>
  <c r="S399" i="4" s="1"/>
  <c r="V399" i="4" s="1"/>
  <c r="L395" i="4"/>
  <c r="S395" i="4" s="1"/>
  <c r="V395" i="4" s="1"/>
  <c r="L391" i="4"/>
  <c r="S391" i="4" s="1"/>
  <c r="V391" i="4" s="1"/>
  <c r="L387" i="4"/>
  <c r="S387" i="4" s="1"/>
  <c r="V387" i="4" s="1"/>
  <c r="L383" i="4"/>
  <c r="S383" i="4" s="1"/>
  <c r="V383" i="4" s="1"/>
  <c r="L379" i="4"/>
  <c r="S379" i="4" s="1"/>
  <c r="V379" i="4" s="1"/>
  <c r="L375" i="4"/>
  <c r="S375" i="4" s="1"/>
  <c r="V375" i="4" s="1"/>
  <c r="L371" i="4"/>
  <c r="S371" i="4" s="1"/>
  <c r="V371" i="4" s="1"/>
  <c r="L367" i="4"/>
  <c r="S367" i="4" s="1"/>
  <c r="V367" i="4" s="1"/>
  <c r="L363" i="4"/>
  <c r="S363" i="4" s="1"/>
  <c r="V363" i="4" s="1"/>
  <c r="L359" i="4"/>
  <c r="S359" i="4" s="1"/>
  <c r="V359" i="4" s="1"/>
  <c r="L355" i="4"/>
  <c r="S355" i="4" s="1"/>
  <c r="V355" i="4" s="1"/>
  <c r="L351" i="4"/>
  <c r="S351" i="4" s="1"/>
  <c r="V351" i="4" s="1"/>
  <c r="L347" i="4"/>
  <c r="S347" i="4" s="1"/>
  <c r="V347" i="4" s="1"/>
  <c r="L343" i="4"/>
  <c r="S343" i="4" s="1"/>
  <c r="V343" i="4" s="1"/>
  <c r="L339" i="4"/>
  <c r="S339" i="4" s="1"/>
  <c r="V339" i="4" s="1"/>
  <c r="L335" i="4"/>
  <c r="S335" i="4" s="1"/>
  <c r="V335" i="4" s="1"/>
  <c r="L331" i="4"/>
  <c r="S331" i="4" s="1"/>
  <c r="V331" i="4" s="1"/>
  <c r="L327" i="4"/>
  <c r="S327" i="4" s="1"/>
  <c r="V327" i="4" s="1"/>
  <c r="L323" i="4"/>
  <c r="S323" i="4" s="1"/>
  <c r="V323" i="4" s="1"/>
  <c r="L319" i="4"/>
  <c r="S319" i="4" s="1"/>
  <c r="V319" i="4" s="1"/>
  <c r="L315" i="4"/>
  <c r="S315" i="4" s="1"/>
  <c r="V315" i="4" s="1"/>
  <c r="L311" i="4"/>
  <c r="S311" i="4" s="1"/>
  <c r="V311" i="4" s="1"/>
  <c r="L307" i="4"/>
  <c r="S307" i="4" s="1"/>
  <c r="V307" i="4" s="1"/>
  <c r="L303" i="4"/>
  <c r="S303" i="4" s="1"/>
  <c r="V303" i="4" s="1"/>
  <c r="L299" i="4"/>
  <c r="S299" i="4" s="1"/>
  <c r="V299" i="4" s="1"/>
  <c r="L295" i="4"/>
  <c r="S295" i="4" s="1"/>
  <c r="V295" i="4" s="1"/>
  <c r="L291" i="4"/>
  <c r="S291" i="4" s="1"/>
  <c r="V291" i="4" s="1"/>
  <c r="L287" i="4"/>
  <c r="S287" i="4" s="1"/>
  <c r="V287" i="4" s="1"/>
  <c r="L283" i="4"/>
  <c r="S283" i="4" s="1"/>
  <c r="V283" i="4" s="1"/>
  <c r="L279" i="4"/>
  <c r="S279" i="4" s="1"/>
  <c r="V279" i="4" s="1"/>
  <c r="L275" i="4"/>
  <c r="S275" i="4" s="1"/>
  <c r="V275" i="4" s="1"/>
  <c r="L271" i="4"/>
  <c r="S271" i="4" s="1"/>
  <c r="V271" i="4" s="1"/>
  <c r="L267" i="4"/>
  <c r="S267" i="4" s="1"/>
  <c r="V267" i="4" s="1"/>
  <c r="L263" i="4"/>
  <c r="S263" i="4" s="1"/>
  <c r="V263" i="4" s="1"/>
  <c r="L259" i="4"/>
  <c r="S259" i="4" s="1"/>
  <c r="V259" i="4" s="1"/>
  <c r="L255" i="4"/>
  <c r="S255" i="4" s="1"/>
  <c r="V255" i="4" s="1"/>
  <c r="L251" i="4"/>
  <c r="S251" i="4" s="1"/>
  <c r="V251" i="4" s="1"/>
  <c r="L247" i="4"/>
  <c r="S247" i="4" s="1"/>
  <c r="V247" i="4" s="1"/>
  <c r="L243" i="4"/>
  <c r="S243" i="4" s="1"/>
  <c r="V243" i="4" s="1"/>
  <c r="L239" i="4"/>
  <c r="S239" i="4" s="1"/>
  <c r="V239" i="4" s="1"/>
  <c r="L235" i="4"/>
  <c r="S235" i="4" s="1"/>
  <c r="V235" i="4" s="1"/>
  <c r="L231" i="4"/>
  <c r="S231" i="4" s="1"/>
  <c r="V231" i="4" s="1"/>
  <c r="L227" i="4"/>
  <c r="S227" i="4" s="1"/>
  <c r="V227" i="4" s="1"/>
  <c r="L223" i="4"/>
  <c r="S223" i="4" s="1"/>
  <c r="V223" i="4" s="1"/>
  <c r="L219" i="4"/>
  <c r="S219" i="4" s="1"/>
  <c r="V219" i="4" s="1"/>
  <c r="L215" i="4"/>
  <c r="S215" i="4" s="1"/>
  <c r="V215" i="4" s="1"/>
  <c r="L211" i="4"/>
  <c r="S211" i="4" s="1"/>
  <c r="V211" i="4" s="1"/>
  <c r="L207" i="4"/>
  <c r="S207" i="4" s="1"/>
  <c r="V207" i="4" s="1"/>
  <c r="L203" i="4"/>
  <c r="S203" i="4" s="1"/>
  <c r="V203" i="4" s="1"/>
  <c r="L199" i="4"/>
  <c r="S199" i="4" s="1"/>
  <c r="V199" i="4" s="1"/>
  <c r="L195" i="4"/>
  <c r="S195" i="4" s="1"/>
  <c r="V195" i="4" s="1"/>
  <c r="L191" i="4"/>
  <c r="S191" i="4" s="1"/>
  <c r="V191" i="4" s="1"/>
  <c r="L187" i="4"/>
  <c r="S187" i="4" s="1"/>
  <c r="V187" i="4" s="1"/>
  <c r="L183" i="4"/>
  <c r="S183" i="4" s="1"/>
  <c r="V183" i="4" s="1"/>
  <c r="L179" i="4"/>
  <c r="S179" i="4" s="1"/>
  <c r="V179" i="4" s="1"/>
  <c r="L175" i="4"/>
  <c r="S175" i="4" s="1"/>
  <c r="V175" i="4" s="1"/>
  <c r="L171" i="4"/>
  <c r="S171" i="4" s="1"/>
  <c r="V171" i="4" s="1"/>
  <c r="L167" i="4"/>
  <c r="S167" i="4" s="1"/>
  <c r="V167" i="4" s="1"/>
  <c r="L163" i="4"/>
  <c r="S163" i="4" s="1"/>
  <c r="V163" i="4" s="1"/>
  <c r="L159" i="4"/>
  <c r="S159" i="4" s="1"/>
  <c r="V159" i="4" s="1"/>
  <c r="L155" i="4"/>
  <c r="S155" i="4" s="1"/>
  <c r="V155" i="4" s="1"/>
  <c r="L151" i="4"/>
  <c r="S151" i="4" s="1"/>
  <c r="V151" i="4" s="1"/>
  <c r="L147" i="4"/>
  <c r="S147" i="4" s="1"/>
  <c r="V147" i="4" s="1"/>
  <c r="L143" i="4"/>
  <c r="S143" i="4" s="1"/>
  <c r="V143" i="4" s="1"/>
  <c r="L139" i="4"/>
  <c r="S139" i="4" s="1"/>
  <c r="V139" i="4" s="1"/>
  <c r="L135" i="4"/>
  <c r="S135" i="4" s="1"/>
  <c r="V135" i="4" s="1"/>
  <c r="L131" i="4"/>
  <c r="S131" i="4" s="1"/>
  <c r="V131" i="4" s="1"/>
  <c r="L127" i="4"/>
  <c r="S127" i="4" s="1"/>
  <c r="V127" i="4" s="1"/>
  <c r="L123" i="4"/>
  <c r="S123" i="4" s="1"/>
  <c r="V123" i="4" s="1"/>
  <c r="L119" i="4"/>
  <c r="S119" i="4" s="1"/>
  <c r="V119" i="4" s="1"/>
  <c r="L115" i="4"/>
  <c r="S115" i="4" s="1"/>
  <c r="V115" i="4" s="1"/>
  <c r="L111" i="4"/>
  <c r="S111" i="4" s="1"/>
  <c r="V111" i="4" s="1"/>
  <c r="L107" i="4"/>
  <c r="S107" i="4" s="1"/>
  <c r="V107" i="4" s="1"/>
  <c r="L103" i="4"/>
  <c r="S103" i="4" s="1"/>
  <c r="V103" i="4" s="1"/>
  <c r="L99" i="4"/>
  <c r="S99" i="4" s="1"/>
  <c r="V99" i="4" s="1"/>
  <c r="L95" i="4"/>
  <c r="S95" i="4" s="1"/>
  <c r="V95" i="4" s="1"/>
  <c r="L91" i="4"/>
  <c r="S91" i="4" s="1"/>
  <c r="V91" i="4" s="1"/>
  <c r="L87" i="4"/>
  <c r="S87" i="4" s="1"/>
  <c r="V87" i="4" s="1"/>
  <c r="L83" i="4"/>
  <c r="S83" i="4" s="1"/>
  <c r="V83" i="4" s="1"/>
  <c r="L79" i="4"/>
  <c r="S79" i="4" s="1"/>
  <c r="V79" i="4" s="1"/>
  <c r="L75" i="4"/>
  <c r="S75" i="4" s="1"/>
  <c r="V75" i="4" s="1"/>
  <c r="L71" i="4"/>
  <c r="S71" i="4" s="1"/>
  <c r="V71" i="4" s="1"/>
  <c r="L67" i="4"/>
  <c r="S67" i="4" s="1"/>
  <c r="V67" i="4" s="1"/>
  <c r="L63" i="4"/>
  <c r="S63" i="4" s="1"/>
  <c r="V63" i="4" s="1"/>
  <c r="L59" i="4"/>
  <c r="S59" i="4" s="1"/>
  <c r="V59" i="4" s="1"/>
  <c r="L55" i="4"/>
  <c r="S55" i="4" s="1"/>
  <c r="V55" i="4" s="1"/>
  <c r="L51" i="4"/>
  <c r="S51" i="4" s="1"/>
  <c r="V51" i="4" s="1"/>
  <c r="L47" i="4"/>
  <c r="S47" i="4" s="1"/>
  <c r="V47" i="4" s="1"/>
  <c r="L43" i="4"/>
  <c r="S43" i="4" s="1"/>
  <c r="V43" i="4" s="1"/>
  <c r="L39" i="4"/>
  <c r="S39" i="4" s="1"/>
  <c r="V39" i="4" s="1"/>
  <c r="L35" i="4"/>
  <c r="S35" i="4" s="1"/>
  <c r="V35" i="4" s="1"/>
  <c r="L31" i="4"/>
  <c r="S31" i="4" s="1"/>
  <c r="V31" i="4" s="1"/>
  <c r="L27" i="4"/>
  <c r="S27" i="4" s="1"/>
  <c r="V27" i="4" s="1"/>
  <c r="L23" i="4"/>
  <c r="S23" i="4" s="1"/>
  <c r="V23" i="4" s="1"/>
  <c r="L19" i="4"/>
  <c r="S19" i="4" s="1"/>
  <c r="V19" i="4" s="1"/>
  <c r="L4" i="4"/>
  <c r="S4" i="4" s="1"/>
  <c r="M1004" i="5"/>
  <c r="T1004" i="5" s="1"/>
  <c r="W1004" i="5" s="1"/>
  <c r="K1004" i="5"/>
  <c r="J1004" i="5" s="1"/>
  <c r="S1004" i="5" s="1"/>
  <c r="V1004" i="5" s="1"/>
  <c r="M1002" i="5"/>
  <c r="T1002" i="5" s="1"/>
  <c r="W1002" i="5" s="1"/>
  <c r="K1002" i="5"/>
  <c r="J1002" i="5" s="1"/>
  <c r="S1002" i="5" s="1"/>
  <c r="V1002" i="5" s="1"/>
  <c r="M1000" i="5"/>
  <c r="T1000" i="5" s="1"/>
  <c r="W1000" i="5" s="1"/>
  <c r="K1000" i="5"/>
  <c r="J1000" i="5" s="1"/>
  <c r="S1000" i="5" s="1"/>
  <c r="V1000" i="5" s="1"/>
  <c r="M998" i="5"/>
  <c r="T998" i="5" s="1"/>
  <c r="W998" i="5" s="1"/>
  <c r="K998" i="5"/>
  <c r="J998" i="5" s="1"/>
  <c r="S998" i="5" s="1"/>
  <c r="V998" i="5" s="1"/>
  <c r="M996" i="5"/>
  <c r="T996" i="5" s="1"/>
  <c r="W996" i="5" s="1"/>
  <c r="K996" i="5"/>
  <c r="J996" i="5" s="1"/>
  <c r="S996" i="5" s="1"/>
  <c r="V996" i="5" s="1"/>
  <c r="M994" i="5"/>
  <c r="T994" i="5" s="1"/>
  <c r="W994" i="5" s="1"/>
  <c r="K994" i="5"/>
  <c r="J994" i="5" s="1"/>
  <c r="S994" i="5" s="1"/>
  <c r="V994" i="5" s="1"/>
  <c r="M992" i="5"/>
  <c r="T992" i="5" s="1"/>
  <c r="W992" i="5" s="1"/>
  <c r="K992" i="5"/>
  <c r="J992" i="5" s="1"/>
  <c r="S992" i="5" s="1"/>
  <c r="V992" i="5" s="1"/>
  <c r="M990" i="5"/>
  <c r="T990" i="5" s="1"/>
  <c r="W990" i="5" s="1"/>
  <c r="K990" i="5"/>
  <c r="J990" i="5" s="1"/>
  <c r="S990" i="5" s="1"/>
  <c r="V990" i="5" s="1"/>
  <c r="M988" i="5"/>
  <c r="T988" i="5" s="1"/>
  <c r="W988" i="5" s="1"/>
  <c r="K988" i="5"/>
  <c r="J988" i="5" s="1"/>
  <c r="S988" i="5" s="1"/>
  <c r="V988" i="5" s="1"/>
  <c r="M986" i="5"/>
  <c r="T986" i="5" s="1"/>
  <c r="W986" i="5" s="1"/>
  <c r="K986" i="5"/>
  <c r="J986" i="5" s="1"/>
  <c r="S986" i="5" s="1"/>
  <c r="V986" i="5" s="1"/>
  <c r="M984" i="5"/>
  <c r="T984" i="5" s="1"/>
  <c r="W984" i="5" s="1"/>
  <c r="K984" i="5"/>
  <c r="J984" i="5" s="1"/>
  <c r="S984" i="5" s="1"/>
  <c r="V984" i="5" s="1"/>
  <c r="M982" i="5"/>
  <c r="T982" i="5" s="1"/>
  <c r="W982" i="5" s="1"/>
  <c r="K982" i="5"/>
  <c r="J982" i="5" s="1"/>
  <c r="S982" i="5" s="1"/>
  <c r="V982" i="5" s="1"/>
  <c r="M980" i="5"/>
  <c r="T980" i="5" s="1"/>
  <c r="W980" i="5" s="1"/>
  <c r="K980" i="5"/>
  <c r="J980" i="5" s="1"/>
  <c r="S980" i="5" s="1"/>
  <c r="V980" i="5" s="1"/>
  <c r="M978" i="5"/>
  <c r="T978" i="5" s="1"/>
  <c r="W978" i="5" s="1"/>
  <c r="K978" i="5"/>
  <c r="J978" i="5" s="1"/>
  <c r="S978" i="5" s="1"/>
  <c r="V978" i="5" s="1"/>
  <c r="M976" i="5"/>
  <c r="T976" i="5" s="1"/>
  <c r="W976" i="5" s="1"/>
  <c r="K976" i="5"/>
  <c r="J976" i="5" s="1"/>
  <c r="S976" i="5" s="1"/>
  <c r="V976" i="5" s="1"/>
  <c r="M974" i="5"/>
  <c r="T974" i="5" s="1"/>
  <c r="W974" i="5" s="1"/>
  <c r="K974" i="5"/>
  <c r="J974" i="5" s="1"/>
  <c r="S974" i="5" s="1"/>
  <c r="V974" i="5" s="1"/>
  <c r="M972" i="5"/>
  <c r="T972" i="5" s="1"/>
  <c r="W972" i="5" s="1"/>
  <c r="K972" i="5"/>
  <c r="J972" i="5" s="1"/>
  <c r="S972" i="5" s="1"/>
  <c r="V972" i="5" s="1"/>
  <c r="M970" i="5"/>
  <c r="T970" i="5" s="1"/>
  <c r="W970" i="5" s="1"/>
  <c r="K970" i="5"/>
  <c r="J970" i="5" s="1"/>
  <c r="S970" i="5" s="1"/>
  <c r="V970" i="5" s="1"/>
  <c r="M968" i="5"/>
  <c r="T968" i="5" s="1"/>
  <c r="W968" i="5" s="1"/>
  <c r="K968" i="5"/>
  <c r="J968" i="5" s="1"/>
  <c r="S968" i="5" s="1"/>
  <c r="V968" i="5" s="1"/>
  <c r="M966" i="5"/>
  <c r="T966" i="5" s="1"/>
  <c r="W966" i="5" s="1"/>
  <c r="K966" i="5"/>
  <c r="J966" i="5" s="1"/>
  <c r="S966" i="5" s="1"/>
  <c r="V966" i="5" s="1"/>
  <c r="M964" i="5"/>
  <c r="T964" i="5" s="1"/>
  <c r="W964" i="5" s="1"/>
  <c r="K964" i="5"/>
  <c r="J964" i="5" s="1"/>
  <c r="S964" i="5" s="1"/>
  <c r="V964" i="5" s="1"/>
  <c r="M962" i="5"/>
  <c r="T962" i="5" s="1"/>
  <c r="W962" i="5" s="1"/>
  <c r="K962" i="5"/>
  <c r="J962" i="5" s="1"/>
  <c r="S962" i="5" s="1"/>
  <c r="V962" i="5" s="1"/>
  <c r="M960" i="5"/>
  <c r="T960" i="5" s="1"/>
  <c r="W960" i="5" s="1"/>
  <c r="K960" i="5"/>
  <c r="J960" i="5" s="1"/>
  <c r="S960" i="5" s="1"/>
  <c r="V960" i="5" s="1"/>
  <c r="M958" i="5"/>
  <c r="T958" i="5" s="1"/>
  <c r="W958" i="5" s="1"/>
  <c r="K958" i="5"/>
  <c r="J958" i="5" s="1"/>
  <c r="S958" i="5" s="1"/>
  <c r="V958" i="5" s="1"/>
  <c r="M956" i="5"/>
  <c r="T956" i="5" s="1"/>
  <c r="W956" i="5" s="1"/>
  <c r="K956" i="5"/>
  <c r="J956" i="5" s="1"/>
  <c r="S956" i="5" s="1"/>
  <c r="V956" i="5" s="1"/>
  <c r="M954" i="5"/>
  <c r="T954" i="5" s="1"/>
  <c r="W954" i="5" s="1"/>
  <c r="K954" i="5"/>
  <c r="J954" i="5" s="1"/>
  <c r="S954" i="5" s="1"/>
  <c r="V954" i="5" s="1"/>
  <c r="M952" i="5"/>
  <c r="T952" i="5" s="1"/>
  <c r="W952" i="5" s="1"/>
  <c r="K952" i="5"/>
  <c r="J952" i="5" s="1"/>
  <c r="S952" i="5" s="1"/>
  <c r="V952" i="5" s="1"/>
  <c r="M950" i="5"/>
  <c r="T950" i="5" s="1"/>
  <c r="W950" i="5" s="1"/>
  <c r="K950" i="5"/>
  <c r="J950" i="5" s="1"/>
  <c r="S950" i="5" s="1"/>
  <c r="V950" i="5" s="1"/>
  <c r="M948" i="5"/>
  <c r="T948" i="5" s="1"/>
  <c r="W948" i="5" s="1"/>
  <c r="K948" i="5"/>
  <c r="J948" i="5" s="1"/>
  <c r="S948" i="5" s="1"/>
  <c r="V948" i="5" s="1"/>
  <c r="M946" i="5"/>
  <c r="T946" i="5" s="1"/>
  <c r="W946" i="5" s="1"/>
  <c r="K946" i="5"/>
  <c r="J946" i="5" s="1"/>
  <c r="S946" i="5" s="1"/>
  <c r="V946" i="5" s="1"/>
  <c r="M944" i="5"/>
  <c r="T944" i="5" s="1"/>
  <c r="W944" i="5" s="1"/>
  <c r="K944" i="5"/>
  <c r="J944" i="5" s="1"/>
  <c r="S944" i="5" s="1"/>
  <c r="V944" i="5" s="1"/>
  <c r="M942" i="5"/>
  <c r="T942" i="5" s="1"/>
  <c r="W942" i="5" s="1"/>
  <c r="K942" i="5"/>
  <c r="J942" i="5" s="1"/>
  <c r="S942" i="5" s="1"/>
  <c r="V942" i="5" s="1"/>
  <c r="M940" i="5"/>
  <c r="T940" i="5" s="1"/>
  <c r="W940" i="5" s="1"/>
  <c r="K940" i="5"/>
  <c r="J940" i="5" s="1"/>
  <c r="S940" i="5" s="1"/>
  <c r="V940" i="5" s="1"/>
  <c r="M938" i="5"/>
  <c r="T938" i="5" s="1"/>
  <c r="W938" i="5" s="1"/>
  <c r="K938" i="5"/>
  <c r="J938" i="5" s="1"/>
  <c r="S938" i="5" s="1"/>
  <c r="V938" i="5" s="1"/>
  <c r="M936" i="5"/>
  <c r="T936" i="5" s="1"/>
  <c r="W936" i="5" s="1"/>
  <c r="K936" i="5"/>
  <c r="J936" i="5" s="1"/>
  <c r="S936" i="5" s="1"/>
  <c r="V936" i="5" s="1"/>
  <c r="M934" i="5"/>
  <c r="T934" i="5" s="1"/>
  <c r="W934" i="5" s="1"/>
  <c r="K934" i="5"/>
  <c r="J934" i="5" s="1"/>
  <c r="S934" i="5" s="1"/>
  <c r="V934" i="5" s="1"/>
  <c r="M932" i="5"/>
  <c r="T932" i="5" s="1"/>
  <c r="W932" i="5" s="1"/>
  <c r="K932" i="5"/>
  <c r="J932" i="5" s="1"/>
  <c r="S932" i="5" s="1"/>
  <c r="V932" i="5" s="1"/>
  <c r="M930" i="5"/>
  <c r="T930" i="5" s="1"/>
  <c r="W930" i="5" s="1"/>
  <c r="K930" i="5"/>
  <c r="J930" i="5" s="1"/>
  <c r="S930" i="5" s="1"/>
  <c r="V930" i="5" s="1"/>
  <c r="M928" i="5"/>
  <c r="T928" i="5" s="1"/>
  <c r="W928" i="5" s="1"/>
  <c r="K928" i="5"/>
  <c r="J928" i="5" s="1"/>
  <c r="S928" i="5" s="1"/>
  <c r="V928" i="5" s="1"/>
  <c r="M926" i="5"/>
  <c r="T926" i="5" s="1"/>
  <c r="W926" i="5" s="1"/>
  <c r="K926" i="5"/>
  <c r="J926" i="5" s="1"/>
  <c r="S926" i="5" s="1"/>
  <c r="V926" i="5" s="1"/>
  <c r="M924" i="5"/>
  <c r="T924" i="5" s="1"/>
  <c r="W924" i="5" s="1"/>
  <c r="K924" i="5"/>
  <c r="J924" i="5" s="1"/>
  <c r="S924" i="5" s="1"/>
  <c r="V924" i="5" s="1"/>
  <c r="M922" i="5"/>
  <c r="T922" i="5" s="1"/>
  <c r="W922" i="5" s="1"/>
  <c r="K922" i="5"/>
  <c r="J922" i="5" s="1"/>
  <c r="S922" i="5" s="1"/>
  <c r="V922" i="5" s="1"/>
  <c r="M920" i="5"/>
  <c r="T920" i="5" s="1"/>
  <c r="W920" i="5" s="1"/>
  <c r="K920" i="5"/>
  <c r="J920" i="5" s="1"/>
  <c r="S920" i="5" s="1"/>
  <c r="V920" i="5" s="1"/>
  <c r="M918" i="5"/>
  <c r="T918" i="5" s="1"/>
  <c r="W918" i="5" s="1"/>
  <c r="K918" i="5"/>
  <c r="J918" i="5" s="1"/>
  <c r="S918" i="5" s="1"/>
  <c r="V918" i="5" s="1"/>
  <c r="M916" i="5"/>
  <c r="T916" i="5" s="1"/>
  <c r="W916" i="5" s="1"/>
  <c r="K916" i="5"/>
  <c r="J916" i="5" s="1"/>
  <c r="S916" i="5" s="1"/>
  <c r="V916" i="5" s="1"/>
  <c r="M914" i="5"/>
  <c r="T914" i="5" s="1"/>
  <c r="W914" i="5" s="1"/>
  <c r="K914" i="5"/>
  <c r="J914" i="5" s="1"/>
  <c r="S914" i="5" s="1"/>
  <c r="V914" i="5" s="1"/>
  <c r="M912" i="5"/>
  <c r="T912" i="5" s="1"/>
  <c r="W912" i="5" s="1"/>
  <c r="K912" i="5"/>
  <c r="J912" i="5" s="1"/>
  <c r="S912" i="5" s="1"/>
  <c r="V912" i="5" s="1"/>
  <c r="M910" i="5"/>
  <c r="T910" i="5" s="1"/>
  <c r="W910" i="5" s="1"/>
  <c r="K910" i="5"/>
  <c r="J910" i="5" s="1"/>
  <c r="S910" i="5" s="1"/>
  <c r="V910" i="5" s="1"/>
  <c r="M908" i="5"/>
  <c r="T908" i="5" s="1"/>
  <c r="W908" i="5" s="1"/>
  <c r="K908" i="5"/>
  <c r="J908" i="5" s="1"/>
  <c r="S908" i="5" s="1"/>
  <c r="V908" i="5" s="1"/>
  <c r="M906" i="5"/>
  <c r="T906" i="5" s="1"/>
  <c r="W906" i="5" s="1"/>
  <c r="K906" i="5"/>
  <c r="J906" i="5" s="1"/>
  <c r="S906" i="5" s="1"/>
  <c r="V906" i="5" s="1"/>
  <c r="M904" i="5"/>
  <c r="T904" i="5" s="1"/>
  <c r="W904" i="5" s="1"/>
  <c r="K904" i="5"/>
  <c r="J904" i="5" s="1"/>
  <c r="S904" i="5" s="1"/>
  <c r="V904" i="5" s="1"/>
  <c r="M902" i="5"/>
  <c r="T902" i="5" s="1"/>
  <c r="W902" i="5" s="1"/>
  <c r="K902" i="5"/>
  <c r="J902" i="5" s="1"/>
  <c r="S902" i="5" s="1"/>
  <c r="V902" i="5" s="1"/>
  <c r="M900" i="5"/>
  <c r="T900" i="5" s="1"/>
  <c r="W900" i="5" s="1"/>
  <c r="K900" i="5"/>
  <c r="J900" i="5" s="1"/>
  <c r="S900" i="5" s="1"/>
  <c r="V900" i="5" s="1"/>
  <c r="M898" i="5"/>
  <c r="T898" i="5" s="1"/>
  <c r="W898" i="5" s="1"/>
  <c r="K898" i="5"/>
  <c r="J898" i="5" s="1"/>
  <c r="S898" i="5" s="1"/>
  <c r="V898" i="5" s="1"/>
  <c r="M896" i="5"/>
  <c r="T896" i="5" s="1"/>
  <c r="W896" i="5" s="1"/>
  <c r="K896" i="5"/>
  <c r="J896" i="5" s="1"/>
  <c r="S896" i="5" s="1"/>
  <c r="V896" i="5" s="1"/>
  <c r="M894" i="5"/>
  <c r="T894" i="5" s="1"/>
  <c r="W894" i="5" s="1"/>
  <c r="K894" i="5"/>
  <c r="J894" i="5" s="1"/>
  <c r="S894" i="5" s="1"/>
  <c r="V894" i="5" s="1"/>
  <c r="M892" i="5"/>
  <c r="T892" i="5" s="1"/>
  <c r="W892" i="5" s="1"/>
  <c r="K892" i="5"/>
  <c r="J892" i="5" s="1"/>
  <c r="S892" i="5" s="1"/>
  <c r="V892" i="5" s="1"/>
  <c r="M890" i="5"/>
  <c r="T890" i="5" s="1"/>
  <c r="W890" i="5" s="1"/>
  <c r="K890" i="5"/>
  <c r="J890" i="5" s="1"/>
  <c r="S890" i="5" s="1"/>
  <c r="V890" i="5" s="1"/>
  <c r="M888" i="5"/>
  <c r="T888" i="5" s="1"/>
  <c r="W888" i="5" s="1"/>
  <c r="K888" i="5"/>
  <c r="J888" i="5" s="1"/>
  <c r="S888" i="5" s="1"/>
  <c r="V888" i="5" s="1"/>
  <c r="M886" i="5"/>
  <c r="T886" i="5" s="1"/>
  <c r="W886" i="5" s="1"/>
  <c r="K886" i="5"/>
  <c r="J886" i="5" s="1"/>
  <c r="S886" i="5" s="1"/>
  <c r="V886" i="5" s="1"/>
  <c r="M884" i="5"/>
  <c r="T884" i="5" s="1"/>
  <c r="W884" i="5" s="1"/>
  <c r="K884" i="5"/>
  <c r="J884" i="5" s="1"/>
  <c r="S884" i="5" s="1"/>
  <c r="V884" i="5" s="1"/>
  <c r="M882" i="5"/>
  <c r="T882" i="5" s="1"/>
  <c r="W882" i="5" s="1"/>
  <c r="K882" i="5"/>
  <c r="J882" i="5" s="1"/>
  <c r="S882" i="5" s="1"/>
  <c r="V882" i="5" s="1"/>
  <c r="M880" i="5"/>
  <c r="T880" i="5" s="1"/>
  <c r="W880" i="5" s="1"/>
  <c r="K880" i="5"/>
  <c r="J880" i="5" s="1"/>
  <c r="S880" i="5" s="1"/>
  <c r="V880" i="5" s="1"/>
  <c r="M878" i="5"/>
  <c r="T878" i="5" s="1"/>
  <c r="W878" i="5" s="1"/>
  <c r="K878" i="5"/>
  <c r="J878" i="5" s="1"/>
  <c r="S878" i="5" s="1"/>
  <c r="V878" i="5" s="1"/>
  <c r="M876" i="5"/>
  <c r="T876" i="5" s="1"/>
  <c r="W876" i="5" s="1"/>
  <c r="K876" i="5"/>
  <c r="J876" i="5" s="1"/>
  <c r="S876" i="5" s="1"/>
  <c r="V876" i="5" s="1"/>
  <c r="M874" i="5"/>
  <c r="T874" i="5" s="1"/>
  <c r="W874" i="5" s="1"/>
  <c r="K874" i="5"/>
  <c r="J874" i="5" s="1"/>
  <c r="S874" i="5" s="1"/>
  <c r="V874" i="5" s="1"/>
  <c r="M872" i="5"/>
  <c r="T872" i="5" s="1"/>
  <c r="W872" i="5" s="1"/>
  <c r="K872" i="5"/>
  <c r="J872" i="5" s="1"/>
  <c r="S872" i="5" s="1"/>
  <c r="V872" i="5" s="1"/>
  <c r="M870" i="5"/>
  <c r="T870" i="5" s="1"/>
  <c r="W870" i="5" s="1"/>
  <c r="K870" i="5"/>
  <c r="J870" i="5" s="1"/>
  <c r="S870" i="5" s="1"/>
  <c r="V870" i="5" s="1"/>
  <c r="M868" i="5"/>
  <c r="T868" i="5" s="1"/>
  <c r="W868" i="5" s="1"/>
  <c r="K868" i="5"/>
  <c r="J868" i="5" s="1"/>
  <c r="S868" i="5" s="1"/>
  <c r="V868" i="5" s="1"/>
  <c r="M866" i="5"/>
  <c r="T866" i="5" s="1"/>
  <c r="W866" i="5" s="1"/>
  <c r="K866" i="5"/>
  <c r="J866" i="5" s="1"/>
  <c r="S866" i="5" s="1"/>
  <c r="V866" i="5" s="1"/>
  <c r="M864" i="5"/>
  <c r="T864" i="5" s="1"/>
  <c r="W864" i="5" s="1"/>
  <c r="K864" i="5"/>
  <c r="J864" i="5" s="1"/>
  <c r="S864" i="5" s="1"/>
  <c r="V864" i="5" s="1"/>
  <c r="M862" i="5"/>
  <c r="T862" i="5" s="1"/>
  <c r="W862" i="5" s="1"/>
  <c r="K862" i="5"/>
  <c r="J862" i="5" s="1"/>
  <c r="S862" i="5" s="1"/>
  <c r="V862" i="5" s="1"/>
  <c r="M860" i="5"/>
  <c r="T860" i="5" s="1"/>
  <c r="W860" i="5" s="1"/>
  <c r="K860" i="5"/>
  <c r="J860" i="5" s="1"/>
  <c r="S860" i="5" s="1"/>
  <c r="V860" i="5" s="1"/>
  <c r="M858" i="5"/>
  <c r="T858" i="5" s="1"/>
  <c r="W858" i="5" s="1"/>
  <c r="K858" i="5"/>
  <c r="J858" i="5" s="1"/>
  <c r="S858" i="5" s="1"/>
  <c r="V858" i="5" s="1"/>
  <c r="M856" i="5"/>
  <c r="T856" i="5" s="1"/>
  <c r="W856" i="5" s="1"/>
  <c r="K856" i="5"/>
  <c r="J856" i="5" s="1"/>
  <c r="S856" i="5" s="1"/>
  <c r="V856" i="5" s="1"/>
  <c r="M854" i="5"/>
  <c r="T854" i="5" s="1"/>
  <c r="W854" i="5" s="1"/>
  <c r="K854" i="5"/>
  <c r="J854" i="5" s="1"/>
  <c r="S854" i="5" s="1"/>
  <c r="V854" i="5" s="1"/>
  <c r="M852" i="5"/>
  <c r="T852" i="5" s="1"/>
  <c r="W852" i="5" s="1"/>
  <c r="K852" i="5"/>
  <c r="J852" i="5" s="1"/>
  <c r="S852" i="5" s="1"/>
  <c r="V852" i="5" s="1"/>
  <c r="M850" i="5"/>
  <c r="T850" i="5" s="1"/>
  <c r="W850" i="5" s="1"/>
  <c r="K850" i="5"/>
  <c r="J850" i="5" s="1"/>
  <c r="S850" i="5" s="1"/>
  <c r="V850" i="5" s="1"/>
  <c r="M848" i="5"/>
  <c r="T848" i="5" s="1"/>
  <c r="W848" i="5" s="1"/>
  <c r="K848" i="5"/>
  <c r="J848" i="5" s="1"/>
  <c r="S848" i="5" s="1"/>
  <c r="V848" i="5" s="1"/>
  <c r="M846" i="5"/>
  <c r="T846" i="5" s="1"/>
  <c r="W846" i="5" s="1"/>
  <c r="K846" i="5"/>
  <c r="J846" i="5" s="1"/>
  <c r="S846" i="5" s="1"/>
  <c r="V846" i="5" s="1"/>
  <c r="M844" i="5"/>
  <c r="T844" i="5" s="1"/>
  <c r="W844" i="5" s="1"/>
  <c r="K844" i="5"/>
  <c r="J844" i="5" s="1"/>
  <c r="S844" i="5" s="1"/>
  <c r="V844" i="5" s="1"/>
  <c r="M842" i="5"/>
  <c r="T842" i="5" s="1"/>
  <c r="W842" i="5" s="1"/>
  <c r="K842" i="5"/>
  <c r="J842" i="5" s="1"/>
  <c r="S842" i="5" s="1"/>
  <c r="V842" i="5" s="1"/>
  <c r="M840" i="5"/>
  <c r="T840" i="5" s="1"/>
  <c r="W840" i="5" s="1"/>
  <c r="K840" i="5"/>
  <c r="J840" i="5" s="1"/>
  <c r="S840" i="5" s="1"/>
  <c r="V840" i="5" s="1"/>
  <c r="M838" i="5"/>
  <c r="T838" i="5" s="1"/>
  <c r="W838" i="5" s="1"/>
  <c r="K838" i="5"/>
  <c r="J838" i="5" s="1"/>
  <c r="S838" i="5" s="1"/>
  <c r="V838" i="5" s="1"/>
  <c r="M836" i="5"/>
  <c r="T836" i="5" s="1"/>
  <c r="W836" i="5" s="1"/>
  <c r="K836" i="5"/>
  <c r="J836" i="5" s="1"/>
  <c r="S836" i="5" s="1"/>
  <c r="V836" i="5" s="1"/>
  <c r="M834" i="5"/>
  <c r="T834" i="5" s="1"/>
  <c r="W834" i="5" s="1"/>
  <c r="K834" i="5"/>
  <c r="J834" i="5" s="1"/>
  <c r="S834" i="5" s="1"/>
  <c r="V834" i="5" s="1"/>
  <c r="M832" i="5"/>
  <c r="T832" i="5" s="1"/>
  <c r="W832" i="5" s="1"/>
  <c r="K832" i="5"/>
  <c r="J832" i="5" s="1"/>
  <c r="S832" i="5" s="1"/>
  <c r="V832" i="5" s="1"/>
  <c r="M830" i="5"/>
  <c r="T830" i="5" s="1"/>
  <c r="W830" i="5" s="1"/>
  <c r="K830" i="5"/>
  <c r="J830" i="5" s="1"/>
  <c r="S830" i="5" s="1"/>
  <c r="V830" i="5" s="1"/>
  <c r="M828" i="5"/>
  <c r="T828" i="5" s="1"/>
  <c r="W828" i="5" s="1"/>
  <c r="K828" i="5"/>
  <c r="J828" i="5" s="1"/>
  <c r="S828" i="5" s="1"/>
  <c r="V828" i="5" s="1"/>
  <c r="M826" i="5"/>
  <c r="T826" i="5" s="1"/>
  <c r="W826" i="5" s="1"/>
  <c r="K826" i="5"/>
  <c r="J826" i="5" s="1"/>
  <c r="S826" i="5" s="1"/>
  <c r="V826" i="5" s="1"/>
  <c r="M824" i="5"/>
  <c r="T824" i="5" s="1"/>
  <c r="W824" i="5" s="1"/>
  <c r="K824" i="5"/>
  <c r="J824" i="5" s="1"/>
  <c r="S824" i="5" s="1"/>
  <c r="V824" i="5" s="1"/>
  <c r="M822" i="5"/>
  <c r="T822" i="5" s="1"/>
  <c r="W822" i="5" s="1"/>
  <c r="K822" i="5"/>
  <c r="J822" i="5" s="1"/>
  <c r="S822" i="5" s="1"/>
  <c r="V822" i="5" s="1"/>
  <c r="M820" i="5"/>
  <c r="T820" i="5" s="1"/>
  <c r="W820" i="5" s="1"/>
  <c r="K820" i="5"/>
  <c r="J820" i="5" s="1"/>
  <c r="S820" i="5" s="1"/>
  <c r="V820" i="5" s="1"/>
  <c r="M818" i="5"/>
  <c r="T818" i="5" s="1"/>
  <c r="W818" i="5" s="1"/>
  <c r="K818" i="5"/>
  <c r="J818" i="5" s="1"/>
  <c r="S818" i="5" s="1"/>
  <c r="V818" i="5" s="1"/>
  <c r="M816" i="5"/>
  <c r="T816" i="5" s="1"/>
  <c r="W816" i="5" s="1"/>
  <c r="K816" i="5"/>
  <c r="J816" i="5" s="1"/>
  <c r="S816" i="5" s="1"/>
  <c r="V816" i="5" s="1"/>
  <c r="M814" i="5"/>
  <c r="T814" i="5" s="1"/>
  <c r="W814" i="5" s="1"/>
  <c r="K814" i="5"/>
  <c r="J814" i="5" s="1"/>
  <c r="S814" i="5" s="1"/>
  <c r="V814" i="5" s="1"/>
  <c r="M812" i="5"/>
  <c r="T812" i="5" s="1"/>
  <c r="W812" i="5" s="1"/>
  <c r="K812" i="5"/>
  <c r="J812" i="5" s="1"/>
  <c r="S812" i="5" s="1"/>
  <c r="V812" i="5" s="1"/>
  <c r="M810" i="5"/>
  <c r="T810" i="5" s="1"/>
  <c r="W810" i="5" s="1"/>
  <c r="K810" i="5"/>
  <c r="J810" i="5" s="1"/>
  <c r="S810" i="5" s="1"/>
  <c r="V810" i="5" s="1"/>
  <c r="M808" i="5"/>
  <c r="T808" i="5" s="1"/>
  <c r="W808" i="5" s="1"/>
  <c r="K808" i="5"/>
  <c r="J808" i="5" s="1"/>
  <c r="S808" i="5" s="1"/>
  <c r="V808" i="5" s="1"/>
  <c r="M806" i="5"/>
  <c r="T806" i="5" s="1"/>
  <c r="W806" i="5" s="1"/>
  <c r="K806" i="5"/>
  <c r="J806" i="5" s="1"/>
  <c r="S806" i="5" s="1"/>
  <c r="V806" i="5" s="1"/>
  <c r="M804" i="5"/>
  <c r="T804" i="5" s="1"/>
  <c r="W804" i="5" s="1"/>
  <c r="K804" i="5"/>
  <c r="J804" i="5" s="1"/>
  <c r="S804" i="5" s="1"/>
  <c r="V804" i="5" s="1"/>
  <c r="M802" i="5"/>
  <c r="T802" i="5" s="1"/>
  <c r="W802" i="5" s="1"/>
  <c r="K802" i="5"/>
  <c r="J802" i="5" s="1"/>
  <c r="S802" i="5" s="1"/>
  <c r="V802" i="5" s="1"/>
  <c r="M800" i="5"/>
  <c r="T800" i="5" s="1"/>
  <c r="W800" i="5" s="1"/>
  <c r="K800" i="5"/>
  <c r="J800" i="5" s="1"/>
  <c r="S800" i="5" s="1"/>
  <c r="V800" i="5" s="1"/>
  <c r="M798" i="5"/>
  <c r="T798" i="5" s="1"/>
  <c r="W798" i="5" s="1"/>
  <c r="K798" i="5"/>
  <c r="J798" i="5" s="1"/>
  <c r="S798" i="5" s="1"/>
  <c r="V798" i="5" s="1"/>
  <c r="M796" i="5"/>
  <c r="T796" i="5" s="1"/>
  <c r="W796" i="5" s="1"/>
  <c r="K796" i="5"/>
  <c r="J796" i="5" s="1"/>
  <c r="S796" i="5" s="1"/>
  <c r="V796" i="5" s="1"/>
  <c r="M794" i="5"/>
  <c r="T794" i="5" s="1"/>
  <c r="W794" i="5" s="1"/>
  <c r="K794" i="5"/>
  <c r="J794" i="5" s="1"/>
  <c r="S794" i="5" s="1"/>
  <c r="V794" i="5" s="1"/>
  <c r="M792" i="5"/>
  <c r="T792" i="5" s="1"/>
  <c r="W792" i="5" s="1"/>
  <c r="K792" i="5"/>
  <c r="J792" i="5" s="1"/>
  <c r="S792" i="5" s="1"/>
  <c r="V792" i="5" s="1"/>
  <c r="M790" i="5"/>
  <c r="T790" i="5" s="1"/>
  <c r="W790" i="5" s="1"/>
  <c r="K790" i="5"/>
  <c r="J790" i="5" s="1"/>
  <c r="S790" i="5" s="1"/>
  <c r="V790" i="5" s="1"/>
  <c r="M788" i="5"/>
  <c r="T788" i="5" s="1"/>
  <c r="W788" i="5" s="1"/>
  <c r="K788" i="5"/>
  <c r="J788" i="5" s="1"/>
  <c r="S788" i="5" s="1"/>
  <c r="V788" i="5" s="1"/>
  <c r="M786" i="5"/>
  <c r="T786" i="5" s="1"/>
  <c r="W786" i="5" s="1"/>
  <c r="K786" i="5"/>
  <c r="J786" i="5" s="1"/>
  <c r="S786" i="5" s="1"/>
  <c r="V786" i="5" s="1"/>
  <c r="M784" i="5"/>
  <c r="T784" i="5" s="1"/>
  <c r="W784" i="5" s="1"/>
  <c r="K784" i="5"/>
  <c r="J784" i="5" s="1"/>
  <c r="S784" i="5" s="1"/>
  <c r="V784" i="5" s="1"/>
  <c r="M782" i="5"/>
  <c r="T782" i="5" s="1"/>
  <c r="W782" i="5" s="1"/>
  <c r="K782" i="5"/>
  <c r="J782" i="5" s="1"/>
  <c r="S782" i="5" s="1"/>
  <c r="V782" i="5" s="1"/>
  <c r="M780" i="5"/>
  <c r="T780" i="5" s="1"/>
  <c r="W780" i="5" s="1"/>
  <c r="K780" i="5"/>
  <c r="J780" i="5" s="1"/>
  <c r="S780" i="5" s="1"/>
  <c r="V780" i="5" s="1"/>
  <c r="M778" i="5"/>
  <c r="T778" i="5" s="1"/>
  <c r="W778" i="5" s="1"/>
  <c r="K778" i="5"/>
  <c r="J778" i="5" s="1"/>
  <c r="S778" i="5" s="1"/>
  <c r="V778" i="5" s="1"/>
  <c r="M776" i="5"/>
  <c r="T776" i="5" s="1"/>
  <c r="W776" i="5" s="1"/>
  <c r="K776" i="5"/>
  <c r="J776" i="5" s="1"/>
  <c r="S776" i="5" s="1"/>
  <c r="V776" i="5" s="1"/>
  <c r="M774" i="5"/>
  <c r="T774" i="5" s="1"/>
  <c r="W774" i="5" s="1"/>
  <c r="K774" i="5"/>
  <c r="J774" i="5" s="1"/>
  <c r="S774" i="5" s="1"/>
  <c r="V774" i="5" s="1"/>
  <c r="M772" i="5"/>
  <c r="T772" i="5" s="1"/>
  <c r="W772" i="5" s="1"/>
  <c r="K772" i="5"/>
  <c r="J772" i="5" s="1"/>
  <c r="S772" i="5" s="1"/>
  <c r="V772" i="5" s="1"/>
  <c r="M770" i="5"/>
  <c r="T770" i="5" s="1"/>
  <c r="W770" i="5" s="1"/>
  <c r="K770" i="5"/>
  <c r="J770" i="5" s="1"/>
  <c r="S770" i="5" s="1"/>
  <c r="V770" i="5" s="1"/>
  <c r="M768" i="5"/>
  <c r="T768" i="5" s="1"/>
  <c r="W768" i="5" s="1"/>
  <c r="K768" i="5"/>
  <c r="J768" i="5" s="1"/>
  <c r="S768" i="5" s="1"/>
  <c r="V768" i="5" s="1"/>
  <c r="M766" i="5"/>
  <c r="T766" i="5" s="1"/>
  <c r="W766" i="5" s="1"/>
  <c r="K766" i="5"/>
  <c r="J766" i="5" s="1"/>
  <c r="S766" i="5" s="1"/>
  <c r="V766" i="5" s="1"/>
  <c r="M764" i="5"/>
  <c r="T764" i="5" s="1"/>
  <c r="W764" i="5" s="1"/>
  <c r="K764" i="5"/>
  <c r="J764" i="5" s="1"/>
  <c r="S764" i="5" s="1"/>
  <c r="V764" i="5" s="1"/>
  <c r="M762" i="5"/>
  <c r="T762" i="5" s="1"/>
  <c r="W762" i="5" s="1"/>
  <c r="K762" i="5"/>
  <c r="J762" i="5" s="1"/>
  <c r="S762" i="5" s="1"/>
  <c r="V762" i="5" s="1"/>
  <c r="M760" i="5"/>
  <c r="T760" i="5" s="1"/>
  <c r="W760" i="5" s="1"/>
  <c r="K760" i="5"/>
  <c r="J760" i="5" s="1"/>
  <c r="S760" i="5" s="1"/>
  <c r="V760" i="5" s="1"/>
  <c r="M758" i="5"/>
  <c r="T758" i="5" s="1"/>
  <c r="W758" i="5" s="1"/>
  <c r="K758" i="5"/>
  <c r="J758" i="5" s="1"/>
  <c r="S758" i="5" s="1"/>
  <c r="V758" i="5" s="1"/>
  <c r="M756" i="5"/>
  <c r="T756" i="5" s="1"/>
  <c r="W756" i="5" s="1"/>
  <c r="K756" i="5"/>
  <c r="J756" i="5" s="1"/>
  <c r="S756" i="5" s="1"/>
  <c r="V756" i="5" s="1"/>
  <c r="M754" i="5"/>
  <c r="T754" i="5" s="1"/>
  <c r="W754" i="5" s="1"/>
  <c r="K754" i="5"/>
  <c r="J754" i="5" s="1"/>
  <c r="S754" i="5" s="1"/>
  <c r="V754" i="5" s="1"/>
  <c r="M752" i="5"/>
  <c r="T752" i="5" s="1"/>
  <c r="W752" i="5" s="1"/>
  <c r="K752" i="5"/>
  <c r="J752" i="5" s="1"/>
  <c r="S752" i="5" s="1"/>
  <c r="V752" i="5" s="1"/>
  <c r="M750" i="5"/>
  <c r="T750" i="5" s="1"/>
  <c r="W750" i="5" s="1"/>
  <c r="K750" i="5"/>
  <c r="J750" i="5" s="1"/>
  <c r="S750" i="5" s="1"/>
  <c r="V750" i="5" s="1"/>
  <c r="M748" i="5"/>
  <c r="T748" i="5" s="1"/>
  <c r="W748" i="5" s="1"/>
  <c r="K748" i="5"/>
  <c r="J748" i="5" s="1"/>
  <c r="S748" i="5" s="1"/>
  <c r="V748" i="5" s="1"/>
  <c r="M746" i="5"/>
  <c r="T746" i="5" s="1"/>
  <c r="W746" i="5" s="1"/>
  <c r="K746" i="5"/>
  <c r="J746" i="5" s="1"/>
  <c r="S746" i="5" s="1"/>
  <c r="V746" i="5" s="1"/>
  <c r="M744" i="5"/>
  <c r="T744" i="5" s="1"/>
  <c r="W744" i="5" s="1"/>
  <c r="K744" i="5"/>
  <c r="J744" i="5" s="1"/>
  <c r="S744" i="5" s="1"/>
  <c r="V744" i="5" s="1"/>
  <c r="M742" i="5"/>
  <c r="T742" i="5" s="1"/>
  <c r="W742" i="5" s="1"/>
  <c r="K742" i="5"/>
  <c r="J742" i="5" s="1"/>
  <c r="S742" i="5" s="1"/>
  <c r="V742" i="5" s="1"/>
  <c r="M740" i="5"/>
  <c r="T740" i="5" s="1"/>
  <c r="W740" i="5" s="1"/>
  <c r="K740" i="5"/>
  <c r="J740" i="5" s="1"/>
  <c r="S740" i="5" s="1"/>
  <c r="V740" i="5" s="1"/>
  <c r="M738" i="5"/>
  <c r="T738" i="5" s="1"/>
  <c r="W738" i="5" s="1"/>
  <c r="K738" i="5"/>
  <c r="J738" i="5" s="1"/>
  <c r="S738" i="5" s="1"/>
  <c r="V738" i="5" s="1"/>
  <c r="M736" i="5"/>
  <c r="T736" i="5" s="1"/>
  <c r="W736" i="5" s="1"/>
  <c r="K736" i="5"/>
  <c r="J736" i="5" s="1"/>
  <c r="S736" i="5" s="1"/>
  <c r="V736" i="5" s="1"/>
  <c r="M734" i="5"/>
  <c r="T734" i="5" s="1"/>
  <c r="W734" i="5" s="1"/>
  <c r="K734" i="5"/>
  <c r="J734" i="5" s="1"/>
  <c r="S734" i="5" s="1"/>
  <c r="V734" i="5" s="1"/>
  <c r="M732" i="5"/>
  <c r="T732" i="5" s="1"/>
  <c r="W732" i="5" s="1"/>
  <c r="K732" i="5"/>
  <c r="J732" i="5" s="1"/>
  <c r="S732" i="5" s="1"/>
  <c r="V732" i="5" s="1"/>
  <c r="M730" i="5"/>
  <c r="T730" i="5" s="1"/>
  <c r="W730" i="5" s="1"/>
  <c r="K730" i="5"/>
  <c r="J730" i="5" s="1"/>
  <c r="S730" i="5" s="1"/>
  <c r="V730" i="5" s="1"/>
  <c r="M728" i="5"/>
  <c r="T728" i="5" s="1"/>
  <c r="W728" i="5" s="1"/>
  <c r="K728" i="5"/>
  <c r="J728" i="5" s="1"/>
  <c r="S728" i="5" s="1"/>
  <c r="V728" i="5" s="1"/>
  <c r="M726" i="5"/>
  <c r="T726" i="5" s="1"/>
  <c r="W726" i="5" s="1"/>
  <c r="K726" i="5"/>
  <c r="J726" i="5" s="1"/>
  <c r="S726" i="5" s="1"/>
  <c r="V726" i="5" s="1"/>
  <c r="M724" i="5"/>
  <c r="T724" i="5" s="1"/>
  <c r="W724" i="5" s="1"/>
  <c r="K724" i="5"/>
  <c r="J724" i="5" s="1"/>
  <c r="S724" i="5" s="1"/>
  <c r="V724" i="5" s="1"/>
  <c r="M722" i="5"/>
  <c r="T722" i="5" s="1"/>
  <c r="W722" i="5" s="1"/>
  <c r="K722" i="5"/>
  <c r="J722" i="5" s="1"/>
  <c r="S722" i="5" s="1"/>
  <c r="V722" i="5" s="1"/>
  <c r="M720" i="5"/>
  <c r="T720" i="5" s="1"/>
  <c r="W720" i="5" s="1"/>
  <c r="K720" i="5"/>
  <c r="J720" i="5" s="1"/>
  <c r="S720" i="5" s="1"/>
  <c r="V720" i="5" s="1"/>
  <c r="M718" i="5"/>
  <c r="T718" i="5" s="1"/>
  <c r="W718" i="5" s="1"/>
  <c r="K718" i="5"/>
  <c r="J718" i="5" s="1"/>
  <c r="S718" i="5" s="1"/>
  <c r="V718" i="5" s="1"/>
  <c r="M716" i="5"/>
  <c r="T716" i="5" s="1"/>
  <c r="W716" i="5" s="1"/>
  <c r="K716" i="5"/>
  <c r="J716" i="5" s="1"/>
  <c r="S716" i="5" s="1"/>
  <c r="V716" i="5" s="1"/>
  <c r="M714" i="5"/>
  <c r="T714" i="5" s="1"/>
  <c r="W714" i="5" s="1"/>
  <c r="K714" i="5"/>
  <c r="J714" i="5" s="1"/>
  <c r="S714" i="5" s="1"/>
  <c r="V714" i="5" s="1"/>
  <c r="M712" i="5"/>
  <c r="T712" i="5" s="1"/>
  <c r="W712" i="5" s="1"/>
  <c r="K712" i="5"/>
  <c r="J712" i="5" s="1"/>
  <c r="S712" i="5" s="1"/>
  <c r="V712" i="5" s="1"/>
  <c r="M710" i="5"/>
  <c r="T710" i="5" s="1"/>
  <c r="W710" i="5" s="1"/>
  <c r="K710" i="5"/>
  <c r="J710" i="5" s="1"/>
  <c r="S710" i="5" s="1"/>
  <c r="V710" i="5" s="1"/>
  <c r="M708" i="5"/>
  <c r="T708" i="5" s="1"/>
  <c r="W708" i="5" s="1"/>
  <c r="K708" i="5"/>
  <c r="J708" i="5" s="1"/>
  <c r="S708" i="5" s="1"/>
  <c r="V708" i="5" s="1"/>
  <c r="M706" i="5"/>
  <c r="T706" i="5" s="1"/>
  <c r="W706" i="5" s="1"/>
  <c r="K706" i="5"/>
  <c r="J706" i="5" s="1"/>
  <c r="S706" i="5" s="1"/>
  <c r="V706" i="5" s="1"/>
  <c r="M704" i="5"/>
  <c r="T704" i="5" s="1"/>
  <c r="W704" i="5" s="1"/>
  <c r="K704" i="5"/>
  <c r="J704" i="5" s="1"/>
  <c r="S704" i="5" s="1"/>
  <c r="V704" i="5" s="1"/>
  <c r="M702" i="5"/>
  <c r="T702" i="5" s="1"/>
  <c r="W702" i="5" s="1"/>
  <c r="K702" i="5"/>
  <c r="J702" i="5" s="1"/>
  <c r="S702" i="5" s="1"/>
  <c r="V702" i="5" s="1"/>
  <c r="M700" i="5"/>
  <c r="T700" i="5" s="1"/>
  <c r="W700" i="5" s="1"/>
  <c r="K700" i="5"/>
  <c r="J700" i="5" s="1"/>
  <c r="S700" i="5" s="1"/>
  <c r="V700" i="5" s="1"/>
  <c r="M698" i="5"/>
  <c r="T698" i="5" s="1"/>
  <c r="W698" i="5" s="1"/>
  <c r="K698" i="5"/>
  <c r="J698" i="5" s="1"/>
  <c r="S698" i="5" s="1"/>
  <c r="V698" i="5" s="1"/>
  <c r="M696" i="5"/>
  <c r="T696" i="5" s="1"/>
  <c r="W696" i="5" s="1"/>
  <c r="K696" i="5"/>
  <c r="J696" i="5" s="1"/>
  <c r="S696" i="5" s="1"/>
  <c r="V696" i="5" s="1"/>
  <c r="M694" i="5"/>
  <c r="T694" i="5" s="1"/>
  <c r="W694" i="5" s="1"/>
  <c r="K694" i="5"/>
  <c r="J694" i="5" s="1"/>
  <c r="S694" i="5" s="1"/>
  <c r="V694" i="5" s="1"/>
  <c r="M692" i="5"/>
  <c r="T692" i="5" s="1"/>
  <c r="W692" i="5" s="1"/>
  <c r="K692" i="5"/>
  <c r="J692" i="5" s="1"/>
  <c r="S692" i="5" s="1"/>
  <c r="V692" i="5" s="1"/>
  <c r="M690" i="5"/>
  <c r="T690" i="5" s="1"/>
  <c r="W690" i="5" s="1"/>
  <c r="K690" i="5"/>
  <c r="J690" i="5" s="1"/>
  <c r="S690" i="5" s="1"/>
  <c r="V690" i="5" s="1"/>
  <c r="M688" i="5"/>
  <c r="T688" i="5" s="1"/>
  <c r="W688" i="5" s="1"/>
  <c r="K688" i="5"/>
  <c r="J688" i="5" s="1"/>
  <c r="S688" i="5" s="1"/>
  <c r="V688" i="5" s="1"/>
  <c r="M686" i="5"/>
  <c r="T686" i="5" s="1"/>
  <c r="W686" i="5" s="1"/>
  <c r="K686" i="5"/>
  <c r="J686" i="5" s="1"/>
  <c r="S686" i="5" s="1"/>
  <c r="V686" i="5" s="1"/>
  <c r="M684" i="5"/>
  <c r="T684" i="5" s="1"/>
  <c r="W684" i="5" s="1"/>
  <c r="K684" i="5"/>
  <c r="J684" i="5" s="1"/>
  <c r="S684" i="5" s="1"/>
  <c r="V684" i="5" s="1"/>
  <c r="M682" i="5"/>
  <c r="T682" i="5" s="1"/>
  <c r="W682" i="5" s="1"/>
  <c r="K682" i="5"/>
  <c r="J682" i="5" s="1"/>
  <c r="S682" i="5" s="1"/>
  <c r="V682" i="5" s="1"/>
  <c r="M680" i="5"/>
  <c r="T680" i="5" s="1"/>
  <c r="W680" i="5" s="1"/>
  <c r="K680" i="5"/>
  <c r="J680" i="5" s="1"/>
  <c r="S680" i="5" s="1"/>
  <c r="V680" i="5" s="1"/>
  <c r="M678" i="5"/>
  <c r="T678" i="5" s="1"/>
  <c r="W678" i="5" s="1"/>
  <c r="K678" i="5"/>
  <c r="J678" i="5" s="1"/>
  <c r="S678" i="5" s="1"/>
  <c r="V678" i="5" s="1"/>
  <c r="M676" i="5"/>
  <c r="T676" i="5" s="1"/>
  <c r="W676" i="5" s="1"/>
  <c r="K676" i="5"/>
  <c r="J676" i="5" s="1"/>
  <c r="S676" i="5" s="1"/>
  <c r="V676" i="5" s="1"/>
  <c r="M674" i="5"/>
  <c r="T674" i="5" s="1"/>
  <c r="W674" i="5" s="1"/>
  <c r="K674" i="5"/>
  <c r="J674" i="5" s="1"/>
  <c r="S674" i="5" s="1"/>
  <c r="V674" i="5" s="1"/>
  <c r="M672" i="5"/>
  <c r="T672" i="5" s="1"/>
  <c r="W672" i="5" s="1"/>
  <c r="K672" i="5"/>
  <c r="J672" i="5" s="1"/>
  <c r="S672" i="5" s="1"/>
  <c r="V672" i="5" s="1"/>
  <c r="M670" i="5"/>
  <c r="T670" i="5" s="1"/>
  <c r="W670" i="5" s="1"/>
  <c r="K670" i="5"/>
  <c r="J670" i="5" s="1"/>
  <c r="S670" i="5" s="1"/>
  <c r="V670" i="5" s="1"/>
  <c r="M668" i="5"/>
  <c r="T668" i="5" s="1"/>
  <c r="W668" i="5" s="1"/>
  <c r="K668" i="5"/>
  <c r="J668" i="5" s="1"/>
  <c r="S668" i="5" s="1"/>
  <c r="V668" i="5" s="1"/>
  <c r="M666" i="5"/>
  <c r="T666" i="5" s="1"/>
  <c r="W666" i="5" s="1"/>
  <c r="K666" i="5"/>
  <c r="J666" i="5" s="1"/>
  <c r="S666" i="5" s="1"/>
  <c r="V666" i="5" s="1"/>
  <c r="M664" i="5"/>
  <c r="T664" i="5" s="1"/>
  <c r="W664" i="5" s="1"/>
  <c r="K664" i="5"/>
  <c r="J664" i="5" s="1"/>
  <c r="S664" i="5" s="1"/>
  <c r="V664" i="5" s="1"/>
  <c r="M662" i="5"/>
  <c r="T662" i="5" s="1"/>
  <c r="W662" i="5" s="1"/>
  <c r="K662" i="5"/>
  <c r="J662" i="5" s="1"/>
  <c r="S662" i="5" s="1"/>
  <c r="V662" i="5" s="1"/>
  <c r="M660" i="5"/>
  <c r="T660" i="5" s="1"/>
  <c r="W660" i="5" s="1"/>
  <c r="K660" i="5"/>
  <c r="J660" i="5" s="1"/>
  <c r="S660" i="5" s="1"/>
  <c r="V660" i="5" s="1"/>
  <c r="M658" i="5"/>
  <c r="T658" i="5" s="1"/>
  <c r="W658" i="5" s="1"/>
  <c r="K658" i="5"/>
  <c r="J658" i="5" s="1"/>
  <c r="S658" i="5" s="1"/>
  <c r="V658" i="5" s="1"/>
  <c r="M656" i="5"/>
  <c r="T656" i="5" s="1"/>
  <c r="W656" i="5" s="1"/>
  <c r="K656" i="5"/>
  <c r="J656" i="5" s="1"/>
  <c r="S656" i="5" s="1"/>
  <c r="V656" i="5" s="1"/>
  <c r="M654" i="5"/>
  <c r="T654" i="5" s="1"/>
  <c r="W654" i="5" s="1"/>
  <c r="K654" i="5"/>
  <c r="J654" i="5" s="1"/>
  <c r="S654" i="5" s="1"/>
  <c r="V654" i="5" s="1"/>
  <c r="M652" i="5"/>
  <c r="T652" i="5" s="1"/>
  <c r="W652" i="5" s="1"/>
  <c r="K652" i="5"/>
  <c r="J652" i="5" s="1"/>
  <c r="S652" i="5" s="1"/>
  <c r="V652" i="5" s="1"/>
  <c r="M650" i="5"/>
  <c r="T650" i="5" s="1"/>
  <c r="W650" i="5" s="1"/>
  <c r="K650" i="5"/>
  <c r="J650" i="5" s="1"/>
  <c r="S650" i="5" s="1"/>
  <c r="V650" i="5" s="1"/>
  <c r="M648" i="5"/>
  <c r="T648" i="5" s="1"/>
  <c r="W648" i="5" s="1"/>
  <c r="K648" i="5"/>
  <c r="J648" i="5" s="1"/>
  <c r="S648" i="5" s="1"/>
  <c r="V648" i="5" s="1"/>
  <c r="M646" i="5"/>
  <c r="T646" i="5" s="1"/>
  <c r="W646" i="5" s="1"/>
  <c r="K646" i="5"/>
  <c r="J646" i="5" s="1"/>
  <c r="S646" i="5" s="1"/>
  <c r="V646" i="5" s="1"/>
  <c r="M644" i="5"/>
  <c r="T644" i="5" s="1"/>
  <c r="W644" i="5" s="1"/>
  <c r="K644" i="5"/>
  <c r="J644" i="5" s="1"/>
  <c r="S644" i="5" s="1"/>
  <c r="V644" i="5" s="1"/>
  <c r="M642" i="5"/>
  <c r="T642" i="5" s="1"/>
  <c r="W642" i="5" s="1"/>
  <c r="K642" i="5"/>
  <c r="J642" i="5" s="1"/>
  <c r="S642" i="5" s="1"/>
  <c r="V642" i="5" s="1"/>
  <c r="M640" i="5"/>
  <c r="T640" i="5" s="1"/>
  <c r="W640" i="5" s="1"/>
  <c r="K640" i="5"/>
  <c r="J640" i="5" s="1"/>
  <c r="S640" i="5" s="1"/>
  <c r="V640" i="5" s="1"/>
  <c r="M638" i="5"/>
  <c r="T638" i="5" s="1"/>
  <c r="W638" i="5" s="1"/>
  <c r="K638" i="5"/>
  <c r="J638" i="5" s="1"/>
  <c r="S638" i="5" s="1"/>
  <c r="V638" i="5" s="1"/>
  <c r="M636" i="5"/>
  <c r="T636" i="5" s="1"/>
  <c r="W636" i="5" s="1"/>
  <c r="K636" i="5"/>
  <c r="J636" i="5" s="1"/>
  <c r="S636" i="5" s="1"/>
  <c r="V636" i="5" s="1"/>
  <c r="M634" i="5"/>
  <c r="T634" i="5" s="1"/>
  <c r="W634" i="5" s="1"/>
  <c r="K634" i="5"/>
  <c r="J634" i="5" s="1"/>
  <c r="S634" i="5" s="1"/>
  <c r="V634" i="5" s="1"/>
  <c r="M632" i="5"/>
  <c r="T632" i="5" s="1"/>
  <c r="W632" i="5" s="1"/>
  <c r="K632" i="5"/>
  <c r="J632" i="5" s="1"/>
  <c r="S632" i="5" s="1"/>
  <c r="V632" i="5" s="1"/>
  <c r="M630" i="5"/>
  <c r="T630" i="5" s="1"/>
  <c r="W630" i="5" s="1"/>
  <c r="K630" i="5"/>
  <c r="J630" i="5" s="1"/>
  <c r="S630" i="5" s="1"/>
  <c r="V630" i="5" s="1"/>
  <c r="M628" i="5"/>
  <c r="T628" i="5" s="1"/>
  <c r="W628" i="5" s="1"/>
  <c r="K628" i="5"/>
  <c r="J628" i="5" s="1"/>
  <c r="S628" i="5" s="1"/>
  <c r="V628" i="5" s="1"/>
  <c r="M626" i="5"/>
  <c r="T626" i="5" s="1"/>
  <c r="W626" i="5" s="1"/>
  <c r="K626" i="5"/>
  <c r="J626" i="5" s="1"/>
  <c r="S626" i="5" s="1"/>
  <c r="V626" i="5" s="1"/>
  <c r="M624" i="5"/>
  <c r="T624" i="5" s="1"/>
  <c r="W624" i="5" s="1"/>
  <c r="K624" i="5"/>
  <c r="J624" i="5" s="1"/>
  <c r="S624" i="5" s="1"/>
  <c r="V624" i="5" s="1"/>
  <c r="M622" i="5"/>
  <c r="T622" i="5" s="1"/>
  <c r="W622" i="5" s="1"/>
  <c r="K622" i="5"/>
  <c r="J622" i="5" s="1"/>
  <c r="S622" i="5" s="1"/>
  <c r="V622" i="5" s="1"/>
  <c r="M620" i="5"/>
  <c r="T620" i="5" s="1"/>
  <c r="W620" i="5" s="1"/>
  <c r="K620" i="5"/>
  <c r="J620" i="5" s="1"/>
  <c r="S620" i="5" s="1"/>
  <c r="V620" i="5" s="1"/>
  <c r="M618" i="5"/>
  <c r="T618" i="5" s="1"/>
  <c r="W618" i="5" s="1"/>
  <c r="K618" i="5"/>
  <c r="J618" i="5" s="1"/>
  <c r="S618" i="5" s="1"/>
  <c r="V618" i="5" s="1"/>
  <c r="M616" i="5"/>
  <c r="T616" i="5" s="1"/>
  <c r="W616" i="5" s="1"/>
  <c r="K616" i="5"/>
  <c r="J616" i="5" s="1"/>
  <c r="S616" i="5" s="1"/>
  <c r="V616" i="5" s="1"/>
  <c r="M614" i="5"/>
  <c r="T614" i="5" s="1"/>
  <c r="W614" i="5" s="1"/>
  <c r="K614" i="5"/>
  <c r="J614" i="5" s="1"/>
  <c r="S614" i="5" s="1"/>
  <c r="V614" i="5" s="1"/>
  <c r="M612" i="5"/>
  <c r="T612" i="5" s="1"/>
  <c r="W612" i="5" s="1"/>
  <c r="K612" i="5"/>
  <c r="J612" i="5" s="1"/>
  <c r="S612" i="5" s="1"/>
  <c r="V612" i="5" s="1"/>
  <c r="M610" i="5"/>
  <c r="T610" i="5" s="1"/>
  <c r="W610" i="5" s="1"/>
  <c r="K610" i="5"/>
  <c r="J610" i="5" s="1"/>
  <c r="S610" i="5" s="1"/>
  <c r="V610" i="5" s="1"/>
  <c r="M608" i="5"/>
  <c r="T608" i="5" s="1"/>
  <c r="W608" i="5" s="1"/>
  <c r="K608" i="5"/>
  <c r="J608" i="5" s="1"/>
  <c r="S608" i="5" s="1"/>
  <c r="V608" i="5" s="1"/>
  <c r="M606" i="5"/>
  <c r="T606" i="5" s="1"/>
  <c r="W606" i="5" s="1"/>
  <c r="K606" i="5"/>
  <c r="J606" i="5" s="1"/>
  <c r="S606" i="5" s="1"/>
  <c r="V606" i="5" s="1"/>
  <c r="M604" i="5"/>
  <c r="T604" i="5" s="1"/>
  <c r="W604" i="5" s="1"/>
  <c r="K604" i="5"/>
  <c r="J604" i="5" s="1"/>
  <c r="S604" i="5" s="1"/>
  <c r="V604" i="5" s="1"/>
  <c r="M602" i="5"/>
  <c r="T602" i="5" s="1"/>
  <c r="W602" i="5" s="1"/>
  <c r="K602" i="5"/>
  <c r="J602" i="5" s="1"/>
  <c r="S602" i="5" s="1"/>
  <c r="V602" i="5" s="1"/>
  <c r="M600" i="5"/>
  <c r="T600" i="5" s="1"/>
  <c r="W600" i="5" s="1"/>
  <c r="K600" i="5"/>
  <c r="J600" i="5" s="1"/>
  <c r="S600" i="5" s="1"/>
  <c r="V600" i="5" s="1"/>
  <c r="M598" i="5"/>
  <c r="T598" i="5" s="1"/>
  <c r="W598" i="5" s="1"/>
  <c r="K598" i="5"/>
  <c r="J598" i="5" s="1"/>
  <c r="S598" i="5" s="1"/>
  <c r="V598" i="5" s="1"/>
  <c r="M596" i="5"/>
  <c r="T596" i="5" s="1"/>
  <c r="W596" i="5" s="1"/>
  <c r="K596" i="5"/>
  <c r="J596" i="5" s="1"/>
  <c r="S596" i="5" s="1"/>
  <c r="V596" i="5" s="1"/>
  <c r="M594" i="5"/>
  <c r="T594" i="5" s="1"/>
  <c r="W594" i="5" s="1"/>
  <c r="K594" i="5"/>
  <c r="J594" i="5" s="1"/>
  <c r="S594" i="5" s="1"/>
  <c r="V594" i="5" s="1"/>
  <c r="M592" i="5"/>
  <c r="T592" i="5" s="1"/>
  <c r="W592" i="5" s="1"/>
  <c r="K592" i="5"/>
  <c r="J592" i="5" s="1"/>
  <c r="S592" i="5" s="1"/>
  <c r="V592" i="5" s="1"/>
  <c r="M590" i="5"/>
  <c r="T590" i="5" s="1"/>
  <c r="W590" i="5" s="1"/>
  <c r="K590" i="5"/>
  <c r="J590" i="5" s="1"/>
  <c r="S590" i="5" s="1"/>
  <c r="V590" i="5" s="1"/>
  <c r="M588" i="5"/>
  <c r="T588" i="5" s="1"/>
  <c r="W588" i="5" s="1"/>
  <c r="K588" i="5"/>
  <c r="J588" i="5" s="1"/>
  <c r="S588" i="5" s="1"/>
  <c r="V588" i="5" s="1"/>
  <c r="M586" i="5"/>
  <c r="T586" i="5" s="1"/>
  <c r="W586" i="5" s="1"/>
  <c r="K586" i="5"/>
  <c r="J586" i="5" s="1"/>
  <c r="S586" i="5" s="1"/>
  <c r="V586" i="5" s="1"/>
  <c r="M584" i="5"/>
  <c r="T584" i="5" s="1"/>
  <c r="W584" i="5" s="1"/>
  <c r="K584" i="5"/>
  <c r="J584" i="5" s="1"/>
  <c r="S584" i="5" s="1"/>
  <c r="V584" i="5" s="1"/>
  <c r="M582" i="5"/>
  <c r="T582" i="5" s="1"/>
  <c r="W582" i="5" s="1"/>
  <c r="K582" i="5"/>
  <c r="J582" i="5" s="1"/>
  <c r="S582" i="5" s="1"/>
  <c r="V582" i="5" s="1"/>
  <c r="M580" i="5"/>
  <c r="T580" i="5" s="1"/>
  <c r="W580" i="5" s="1"/>
  <c r="K580" i="5"/>
  <c r="J580" i="5" s="1"/>
  <c r="S580" i="5" s="1"/>
  <c r="V580" i="5" s="1"/>
  <c r="M578" i="5"/>
  <c r="T578" i="5" s="1"/>
  <c r="W578" i="5" s="1"/>
  <c r="K578" i="5"/>
  <c r="J578" i="5" s="1"/>
  <c r="S578" i="5" s="1"/>
  <c r="V578" i="5" s="1"/>
  <c r="M576" i="5"/>
  <c r="T576" i="5" s="1"/>
  <c r="W576" i="5" s="1"/>
  <c r="K576" i="5"/>
  <c r="J576" i="5" s="1"/>
  <c r="S576" i="5" s="1"/>
  <c r="V576" i="5" s="1"/>
  <c r="M574" i="5"/>
  <c r="T574" i="5" s="1"/>
  <c r="W574" i="5" s="1"/>
  <c r="K574" i="5"/>
  <c r="J574" i="5" s="1"/>
  <c r="S574" i="5" s="1"/>
  <c r="V574" i="5" s="1"/>
  <c r="M572" i="5"/>
  <c r="T572" i="5" s="1"/>
  <c r="W572" i="5" s="1"/>
  <c r="K572" i="5"/>
  <c r="J572" i="5" s="1"/>
  <c r="S572" i="5" s="1"/>
  <c r="V572" i="5" s="1"/>
  <c r="M570" i="5"/>
  <c r="T570" i="5" s="1"/>
  <c r="W570" i="5" s="1"/>
  <c r="K570" i="5"/>
  <c r="J570" i="5" s="1"/>
  <c r="S570" i="5" s="1"/>
  <c r="V570" i="5" s="1"/>
  <c r="M568" i="5"/>
  <c r="T568" i="5" s="1"/>
  <c r="W568" i="5" s="1"/>
  <c r="K568" i="5"/>
  <c r="J568" i="5" s="1"/>
  <c r="S568" i="5" s="1"/>
  <c r="V568" i="5" s="1"/>
  <c r="M566" i="5"/>
  <c r="T566" i="5" s="1"/>
  <c r="W566" i="5" s="1"/>
  <c r="K566" i="5"/>
  <c r="J566" i="5" s="1"/>
  <c r="S566" i="5" s="1"/>
  <c r="V566" i="5" s="1"/>
  <c r="M564" i="5"/>
  <c r="T564" i="5" s="1"/>
  <c r="W564" i="5" s="1"/>
  <c r="K564" i="5"/>
  <c r="J564" i="5" s="1"/>
  <c r="S564" i="5" s="1"/>
  <c r="V564" i="5" s="1"/>
  <c r="M562" i="5"/>
  <c r="T562" i="5" s="1"/>
  <c r="W562" i="5" s="1"/>
  <c r="K562" i="5"/>
  <c r="J562" i="5" s="1"/>
  <c r="S562" i="5" s="1"/>
  <c r="V562" i="5" s="1"/>
  <c r="M560" i="5"/>
  <c r="T560" i="5" s="1"/>
  <c r="W560" i="5" s="1"/>
  <c r="K560" i="5"/>
  <c r="J560" i="5" s="1"/>
  <c r="S560" i="5" s="1"/>
  <c r="V560" i="5" s="1"/>
  <c r="M558" i="5"/>
  <c r="T558" i="5" s="1"/>
  <c r="W558" i="5" s="1"/>
  <c r="K558" i="5"/>
  <c r="J558" i="5" s="1"/>
  <c r="S558" i="5" s="1"/>
  <c r="V558" i="5" s="1"/>
  <c r="M556" i="5"/>
  <c r="T556" i="5" s="1"/>
  <c r="W556" i="5" s="1"/>
  <c r="K556" i="5"/>
  <c r="J556" i="5" s="1"/>
  <c r="S556" i="5" s="1"/>
  <c r="V556" i="5" s="1"/>
  <c r="M554" i="5"/>
  <c r="T554" i="5" s="1"/>
  <c r="W554" i="5" s="1"/>
  <c r="K554" i="5"/>
  <c r="J554" i="5" s="1"/>
  <c r="S554" i="5" s="1"/>
  <c r="V554" i="5" s="1"/>
  <c r="M552" i="5"/>
  <c r="T552" i="5" s="1"/>
  <c r="W552" i="5" s="1"/>
  <c r="K552" i="5"/>
  <c r="J552" i="5" s="1"/>
  <c r="S552" i="5" s="1"/>
  <c r="V552" i="5" s="1"/>
  <c r="M550" i="5"/>
  <c r="T550" i="5" s="1"/>
  <c r="W550" i="5" s="1"/>
  <c r="K550" i="5"/>
  <c r="J550" i="5" s="1"/>
  <c r="S550" i="5" s="1"/>
  <c r="V550" i="5" s="1"/>
  <c r="M548" i="5"/>
  <c r="T548" i="5" s="1"/>
  <c r="W548" i="5" s="1"/>
  <c r="K548" i="5"/>
  <c r="J548" i="5" s="1"/>
  <c r="S548" i="5" s="1"/>
  <c r="V548" i="5" s="1"/>
  <c r="M546" i="5"/>
  <c r="T546" i="5" s="1"/>
  <c r="W546" i="5" s="1"/>
  <c r="K546" i="5"/>
  <c r="J546" i="5" s="1"/>
  <c r="S546" i="5" s="1"/>
  <c r="V546" i="5" s="1"/>
  <c r="M544" i="5"/>
  <c r="T544" i="5" s="1"/>
  <c r="W544" i="5" s="1"/>
  <c r="K544" i="5"/>
  <c r="J544" i="5" s="1"/>
  <c r="S544" i="5" s="1"/>
  <c r="V544" i="5" s="1"/>
  <c r="M542" i="5"/>
  <c r="T542" i="5" s="1"/>
  <c r="W542" i="5" s="1"/>
  <c r="K542" i="5"/>
  <c r="J542" i="5" s="1"/>
  <c r="S542" i="5" s="1"/>
  <c r="V542" i="5" s="1"/>
  <c r="M540" i="5"/>
  <c r="T540" i="5" s="1"/>
  <c r="W540" i="5" s="1"/>
  <c r="K540" i="5"/>
  <c r="J540" i="5" s="1"/>
  <c r="S540" i="5" s="1"/>
  <c r="V540" i="5" s="1"/>
  <c r="M538" i="5"/>
  <c r="T538" i="5" s="1"/>
  <c r="W538" i="5" s="1"/>
  <c r="K538" i="5"/>
  <c r="J538" i="5" s="1"/>
  <c r="S538" i="5" s="1"/>
  <c r="V538" i="5" s="1"/>
  <c r="M536" i="5"/>
  <c r="T536" i="5" s="1"/>
  <c r="W536" i="5" s="1"/>
  <c r="K536" i="5"/>
  <c r="J536" i="5" s="1"/>
  <c r="S536" i="5" s="1"/>
  <c r="V536" i="5" s="1"/>
  <c r="M534" i="5"/>
  <c r="T534" i="5" s="1"/>
  <c r="W534" i="5" s="1"/>
  <c r="K534" i="5"/>
  <c r="J534" i="5" s="1"/>
  <c r="S534" i="5" s="1"/>
  <c r="V534" i="5" s="1"/>
  <c r="M532" i="5"/>
  <c r="T532" i="5" s="1"/>
  <c r="W532" i="5" s="1"/>
  <c r="K532" i="5"/>
  <c r="J532" i="5" s="1"/>
  <c r="S532" i="5" s="1"/>
  <c r="V532" i="5" s="1"/>
  <c r="M530" i="5"/>
  <c r="T530" i="5" s="1"/>
  <c r="W530" i="5" s="1"/>
  <c r="K530" i="5"/>
  <c r="J530" i="5" s="1"/>
  <c r="S530" i="5" s="1"/>
  <c r="V530" i="5" s="1"/>
  <c r="M528" i="5"/>
  <c r="T528" i="5" s="1"/>
  <c r="W528" i="5" s="1"/>
  <c r="K528" i="5"/>
  <c r="J528" i="5" s="1"/>
  <c r="S528" i="5" s="1"/>
  <c r="V528" i="5" s="1"/>
  <c r="M526" i="5"/>
  <c r="T526" i="5" s="1"/>
  <c r="W526" i="5" s="1"/>
  <c r="K526" i="5"/>
  <c r="J526" i="5" s="1"/>
  <c r="S526" i="5" s="1"/>
  <c r="V526" i="5" s="1"/>
  <c r="M524" i="5"/>
  <c r="T524" i="5" s="1"/>
  <c r="W524" i="5" s="1"/>
  <c r="K524" i="5"/>
  <c r="J524" i="5" s="1"/>
  <c r="S524" i="5" s="1"/>
  <c r="V524" i="5" s="1"/>
  <c r="M522" i="5"/>
  <c r="T522" i="5" s="1"/>
  <c r="W522" i="5" s="1"/>
  <c r="K522" i="5"/>
  <c r="J522" i="5" s="1"/>
  <c r="S522" i="5" s="1"/>
  <c r="V522" i="5" s="1"/>
  <c r="M520" i="5"/>
  <c r="T520" i="5" s="1"/>
  <c r="W520" i="5" s="1"/>
  <c r="K520" i="5"/>
  <c r="J520" i="5" s="1"/>
  <c r="S520" i="5" s="1"/>
  <c r="V520" i="5" s="1"/>
  <c r="M518" i="5"/>
  <c r="T518" i="5" s="1"/>
  <c r="W518" i="5" s="1"/>
  <c r="K518" i="5"/>
  <c r="J518" i="5" s="1"/>
  <c r="S518" i="5" s="1"/>
  <c r="V518" i="5" s="1"/>
  <c r="M516" i="5"/>
  <c r="T516" i="5" s="1"/>
  <c r="W516" i="5" s="1"/>
  <c r="K516" i="5"/>
  <c r="J516" i="5" s="1"/>
  <c r="S516" i="5" s="1"/>
  <c r="V516" i="5" s="1"/>
  <c r="M514" i="5"/>
  <c r="T514" i="5" s="1"/>
  <c r="W514" i="5" s="1"/>
  <c r="K514" i="5"/>
  <c r="J514" i="5" s="1"/>
  <c r="S514" i="5" s="1"/>
  <c r="V514" i="5" s="1"/>
  <c r="M512" i="5"/>
  <c r="T512" i="5" s="1"/>
  <c r="W512" i="5" s="1"/>
  <c r="K512" i="5"/>
  <c r="J512" i="5" s="1"/>
  <c r="S512" i="5" s="1"/>
  <c r="V512" i="5" s="1"/>
  <c r="M510" i="5"/>
  <c r="T510" i="5" s="1"/>
  <c r="W510" i="5" s="1"/>
  <c r="K510" i="5"/>
  <c r="J510" i="5" s="1"/>
  <c r="S510" i="5" s="1"/>
  <c r="V510" i="5" s="1"/>
  <c r="M508" i="5"/>
  <c r="T508" i="5" s="1"/>
  <c r="W508" i="5" s="1"/>
  <c r="K508" i="5"/>
  <c r="J508" i="5" s="1"/>
  <c r="S508" i="5" s="1"/>
  <c r="V508" i="5" s="1"/>
  <c r="M506" i="5"/>
  <c r="T506" i="5" s="1"/>
  <c r="W506" i="5" s="1"/>
  <c r="K506" i="5"/>
  <c r="J506" i="5" s="1"/>
  <c r="S506" i="5" s="1"/>
  <c r="V506" i="5" s="1"/>
  <c r="M504" i="5"/>
  <c r="T504" i="5" s="1"/>
  <c r="W504" i="5" s="1"/>
  <c r="K504" i="5"/>
  <c r="J504" i="5" s="1"/>
  <c r="S504" i="5" s="1"/>
  <c r="V504" i="5" s="1"/>
  <c r="M502" i="5"/>
  <c r="T502" i="5" s="1"/>
  <c r="W502" i="5" s="1"/>
  <c r="K502" i="5"/>
  <c r="J502" i="5" s="1"/>
  <c r="S502" i="5" s="1"/>
  <c r="V502" i="5" s="1"/>
  <c r="M500" i="5"/>
  <c r="T500" i="5" s="1"/>
  <c r="W500" i="5" s="1"/>
  <c r="K500" i="5"/>
  <c r="J500" i="5" s="1"/>
  <c r="S500" i="5" s="1"/>
  <c r="V500" i="5" s="1"/>
  <c r="M498" i="5"/>
  <c r="T498" i="5" s="1"/>
  <c r="W498" i="5" s="1"/>
  <c r="K498" i="5"/>
  <c r="J498" i="5" s="1"/>
  <c r="S498" i="5" s="1"/>
  <c r="V498" i="5" s="1"/>
  <c r="M496" i="5"/>
  <c r="T496" i="5" s="1"/>
  <c r="W496" i="5" s="1"/>
  <c r="K496" i="5"/>
  <c r="J496" i="5" s="1"/>
  <c r="S496" i="5" s="1"/>
  <c r="V496" i="5" s="1"/>
  <c r="M494" i="5"/>
  <c r="T494" i="5" s="1"/>
  <c r="W494" i="5" s="1"/>
  <c r="K494" i="5"/>
  <c r="J494" i="5" s="1"/>
  <c r="S494" i="5" s="1"/>
  <c r="V494" i="5" s="1"/>
  <c r="M492" i="5"/>
  <c r="T492" i="5" s="1"/>
  <c r="W492" i="5" s="1"/>
  <c r="K492" i="5"/>
  <c r="J492" i="5" s="1"/>
  <c r="S492" i="5" s="1"/>
  <c r="V492" i="5" s="1"/>
  <c r="M490" i="5"/>
  <c r="T490" i="5" s="1"/>
  <c r="W490" i="5" s="1"/>
  <c r="K490" i="5"/>
  <c r="J490" i="5" s="1"/>
  <c r="S490" i="5" s="1"/>
  <c r="V490" i="5" s="1"/>
  <c r="M488" i="5"/>
  <c r="T488" i="5" s="1"/>
  <c r="W488" i="5" s="1"/>
  <c r="K488" i="5"/>
  <c r="J488" i="5" s="1"/>
  <c r="S488" i="5" s="1"/>
  <c r="V488" i="5" s="1"/>
  <c r="M486" i="5"/>
  <c r="T486" i="5" s="1"/>
  <c r="W486" i="5" s="1"/>
  <c r="K486" i="5"/>
  <c r="J486" i="5" s="1"/>
  <c r="S486" i="5" s="1"/>
  <c r="V486" i="5" s="1"/>
  <c r="M484" i="5"/>
  <c r="T484" i="5" s="1"/>
  <c r="W484" i="5" s="1"/>
  <c r="K484" i="5"/>
  <c r="J484" i="5" s="1"/>
  <c r="S484" i="5" s="1"/>
  <c r="V484" i="5" s="1"/>
  <c r="M482" i="5"/>
  <c r="T482" i="5" s="1"/>
  <c r="W482" i="5" s="1"/>
  <c r="K482" i="5"/>
  <c r="J482" i="5" s="1"/>
  <c r="S482" i="5" s="1"/>
  <c r="V482" i="5" s="1"/>
  <c r="M480" i="5"/>
  <c r="T480" i="5" s="1"/>
  <c r="W480" i="5" s="1"/>
  <c r="K480" i="5"/>
  <c r="J480" i="5" s="1"/>
  <c r="S480" i="5" s="1"/>
  <c r="V480" i="5" s="1"/>
  <c r="M478" i="5"/>
  <c r="T478" i="5" s="1"/>
  <c r="W478" i="5" s="1"/>
  <c r="K478" i="5"/>
  <c r="J478" i="5" s="1"/>
  <c r="S478" i="5" s="1"/>
  <c r="V478" i="5" s="1"/>
  <c r="M476" i="5"/>
  <c r="T476" i="5" s="1"/>
  <c r="W476" i="5" s="1"/>
  <c r="K476" i="5"/>
  <c r="J476" i="5" s="1"/>
  <c r="S476" i="5" s="1"/>
  <c r="V476" i="5" s="1"/>
  <c r="M474" i="5"/>
  <c r="T474" i="5" s="1"/>
  <c r="W474" i="5" s="1"/>
  <c r="K474" i="5"/>
  <c r="J474" i="5" s="1"/>
  <c r="S474" i="5" s="1"/>
  <c r="V474" i="5" s="1"/>
  <c r="M472" i="5"/>
  <c r="T472" i="5" s="1"/>
  <c r="W472" i="5" s="1"/>
  <c r="K472" i="5"/>
  <c r="J472" i="5" s="1"/>
  <c r="S472" i="5" s="1"/>
  <c r="V472" i="5" s="1"/>
  <c r="M470" i="5"/>
  <c r="T470" i="5" s="1"/>
  <c r="W470" i="5" s="1"/>
  <c r="K470" i="5"/>
  <c r="J470" i="5" s="1"/>
  <c r="S470" i="5" s="1"/>
  <c r="V470" i="5" s="1"/>
  <c r="M468" i="5"/>
  <c r="T468" i="5" s="1"/>
  <c r="W468" i="5" s="1"/>
  <c r="K468" i="5"/>
  <c r="J468" i="5" s="1"/>
  <c r="S468" i="5" s="1"/>
  <c r="V468" i="5" s="1"/>
  <c r="M466" i="5"/>
  <c r="T466" i="5" s="1"/>
  <c r="W466" i="5" s="1"/>
  <c r="K466" i="5"/>
  <c r="J466" i="5" s="1"/>
  <c r="S466" i="5" s="1"/>
  <c r="V466" i="5" s="1"/>
  <c r="M464" i="5"/>
  <c r="T464" i="5" s="1"/>
  <c r="W464" i="5" s="1"/>
  <c r="K464" i="5"/>
  <c r="J464" i="5" s="1"/>
  <c r="S464" i="5" s="1"/>
  <c r="V464" i="5" s="1"/>
  <c r="M462" i="5"/>
  <c r="T462" i="5" s="1"/>
  <c r="W462" i="5" s="1"/>
  <c r="K462" i="5"/>
  <c r="J462" i="5" s="1"/>
  <c r="S462" i="5" s="1"/>
  <c r="V462" i="5" s="1"/>
  <c r="M460" i="5"/>
  <c r="T460" i="5" s="1"/>
  <c r="W460" i="5" s="1"/>
  <c r="K460" i="5"/>
  <c r="J460" i="5" s="1"/>
  <c r="S460" i="5" s="1"/>
  <c r="V460" i="5" s="1"/>
  <c r="M458" i="5"/>
  <c r="T458" i="5" s="1"/>
  <c r="W458" i="5" s="1"/>
  <c r="K458" i="5"/>
  <c r="J458" i="5" s="1"/>
  <c r="S458" i="5" s="1"/>
  <c r="V458" i="5" s="1"/>
  <c r="M456" i="5"/>
  <c r="T456" i="5" s="1"/>
  <c r="W456" i="5" s="1"/>
  <c r="K456" i="5"/>
  <c r="J456" i="5" s="1"/>
  <c r="S456" i="5" s="1"/>
  <c r="V456" i="5" s="1"/>
  <c r="M454" i="5"/>
  <c r="T454" i="5" s="1"/>
  <c r="W454" i="5" s="1"/>
  <c r="K454" i="5"/>
  <c r="J454" i="5" s="1"/>
  <c r="S454" i="5" s="1"/>
  <c r="V454" i="5" s="1"/>
  <c r="M452" i="5"/>
  <c r="T452" i="5" s="1"/>
  <c r="W452" i="5" s="1"/>
  <c r="K452" i="5"/>
  <c r="J452" i="5" s="1"/>
  <c r="S452" i="5" s="1"/>
  <c r="V452" i="5" s="1"/>
  <c r="M450" i="5"/>
  <c r="T450" i="5" s="1"/>
  <c r="W450" i="5" s="1"/>
  <c r="K450" i="5"/>
  <c r="J450" i="5" s="1"/>
  <c r="S450" i="5" s="1"/>
  <c r="V450" i="5" s="1"/>
  <c r="M448" i="5"/>
  <c r="T448" i="5" s="1"/>
  <c r="W448" i="5" s="1"/>
  <c r="K448" i="5"/>
  <c r="J448" i="5" s="1"/>
  <c r="S448" i="5" s="1"/>
  <c r="V448" i="5" s="1"/>
  <c r="M446" i="5"/>
  <c r="T446" i="5" s="1"/>
  <c r="W446" i="5" s="1"/>
  <c r="K446" i="5"/>
  <c r="J446" i="5" s="1"/>
  <c r="S446" i="5" s="1"/>
  <c r="V446" i="5" s="1"/>
  <c r="M444" i="5"/>
  <c r="T444" i="5" s="1"/>
  <c r="W444" i="5" s="1"/>
  <c r="K444" i="5"/>
  <c r="J444" i="5" s="1"/>
  <c r="S444" i="5" s="1"/>
  <c r="V444" i="5" s="1"/>
  <c r="M442" i="5"/>
  <c r="T442" i="5" s="1"/>
  <c r="W442" i="5" s="1"/>
  <c r="K442" i="5"/>
  <c r="J442" i="5" s="1"/>
  <c r="S442" i="5" s="1"/>
  <c r="V442" i="5" s="1"/>
  <c r="M440" i="5"/>
  <c r="T440" i="5" s="1"/>
  <c r="W440" i="5" s="1"/>
  <c r="K440" i="5"/>
  <c r="J440" i="5" s="1"/>
  <c r="S440" i="5" s="1"/>
  <c r="V440" i="5" s="1"/>
  <c r="M438" i="5"/>
  <c r="T438" i="5" s="1"/>
  <c r="W438" i="5" s="1"/>
  <c r="K438" i="5"/>
  <c r="J438" i="5" s="1"/>
  <c r="S438" i="5" s="1"/>
  <c r="V438" i="5" s="1"/>
  <c r="M436" i="5"/>
  <c r="T436" i="5" s="1"/>
  <c r="W436" i="5" s="1"/>
  <c r="K436" i="5"/>
  <c r="J436" i="5" s="1"/>
  <c r="S436" i="5" s="1"/>
  <c r="V436" i="5" s="1"/>
  <c r="M434" i="5"/>
  <c r="T434" i="5" s="1"/>
  <c r="W434" i="5" s="1"/>
  <c r="K434" i="5"/>
  <c r="J434" i="5" s="1"/>
  <c r="S434" i="5" s="1"/>
  <c r="V434" i="5" s="1"/>
  <c r="M432" i="5"/>
  <c r="T432" i="5" s="1"/>
  <c r="W432" i="5" s="1"/>
  <c r="K432" i="5"/>
  <c r="J432" i="5" s="1"/>
  <c r="S432" i="5" s="1"/>
  <c r="V432" i="5" s="1"/>
  <c r="M430" i="5"/>
  <c r="T430" i="5" s="1"/>
  <c r="W430" i="5" s="1"/>
  <c r="K430" i="5"/>
  <c r="J430" i="5" s="1"/>
  <c r="S430" i="5" s="1"/>
  <c r="V430" i="5" s="1"/>
  <c r="M428" i="5"/>
  <c r="T428" i="5" s="1"/>
  <c r="W428" i="5" s="1"/>
  <c r="K428" i="5"/>
  <c r="J428" i="5" s="1"/>
  <c r="S428" i="5" s="1"/>
  <c r="V428" i="5" s="1"/>
  <c r="M426" i="5"/>
  <c r="T426" i="5" s="1"/>
  <c r="W426" i="5" s="1"/>
  <c r="K426" i="5"/>
  <c r="J426" i="5" s="1"/>
  <c r="S426" i="5" s="1"/>
  <c r="V426" i="5" s="1"/>
  <c r="M424" i="5"/>
  <c r="T424" i="5" s="1"/>
  <c r="W424" i="5" s="1"/>
  <c r="K424" i="5"/>
  <c r="J424" i="5" s="1"/>
  <c r="S424" i="5" s="1"/>
  <c r="V424" i="5" s="1"/>
  <c r="M422" i="5"/>
  <c r="T422" i="5" s="1"/>
  <c r="W422" i="5" s="1"/>
  <c r="K422" i="5"/>
  <c r="J422" i="5" s="1"/>
  <c r="S422" i="5" s="1"/>
  <c r="V422" i="5" s="1"/>
  <c r="M420" i="5"/>
  <c r="T420" i="5" s="1"/>
  <c r="W420" i="5" s="1"/>
  <c r="K420" i="5"/>
  <c r="J420" i="5" s="1"/>
  <c r="S420" i="5" s="1"/>
  <c r="V420" i="5" s="1"/>
  <c r="M418" i="5"/>
  <c r="T418" i="5" s="1"/>
  <c r="W418" i="5" s="1"/>
  <c r="K418" i="5"/>
  <c r="J418" i="5" s="1"/>
  <c r="S418" i="5" s="1"/>
  <c r="V418" i="5" s="1"/>
  <c r="M416" i="5"/>
  <c r="T416" i="5" s="1"/>
  <c r="W416" i="5" s="1"/>
  <c r="K416" i="5"/>
  <c r="J416" i="5" s="1"/>
  <c r="S416" i="5" s="1"/>
  <c r="V416" i="5" s="1"/>
  <c r="M414" i="5"/>
  <c r="T414" i="5" s="1"/>
  <c r="W414" i="5" s="1"/>
  <c r="K414" i="5"/>
  <c r="J414" i="5" s="1"/>
  <c r="S414" i="5" s="1"/>
  <c r="V414" i="5" s="1"/>
  <c r="M412" i="5"/>
  <c r="T412" i="5" s="1"/>
  <c r="W412" i="5" s="1"/>
  <c r="K412" i="5"/>
  <c r="J412" i="5" s="1"/>
  <c r="S412" i="5" s="1"/>
  <c r="V412" i="5" s="1"/>
  <c r="M410" i="5"/>
  <c r="T410" i="5" s="1"/>
  <c r="W410" i="5" s="1"/>
  <c r="K410" i="5"/>
  <c r="J410" i="5" s="1"/>
  <c r="S410" i="5" s="1"/>
  <c r="V410" i="5" s="1"/>
  <c r="M408" i="5"/>
  <c r="T408" i="5" s="1"/>
  <c r="W408" i="5" s="1"/>
  <c r="K408" i="5"/>
  <c r="J408" i="5" s="1"/>
  <c r="S408" i="5" s="1"/>
  <c r="V408" i="5" s="1"/>
  <c r="M406" i="5"/>
  <c r="T406" i="5" s="1"/>
  <c r="W406" i="5" s="1"/>
  <c r="K406" i="5"/>
  <c r="J406" i="5" s="1"/>
  <c r="S406" i="5" s="1"/>
  <c r="V406" i="5" s="1"/>
  <c r="M404" i="5"/>
  <c r="T404" i="5" s="1"/>
  <c r="W404" i="5" s="1"/>
  <c r="K404" i="5"/>
  <c r="J404" i="5" s="1"/>
  <c r="S404" i="5" s="1"/>
  <c r="V404" i="5" s="1"/>
  <c r="M402" i="5"/>
  <c r="T402" i="5" s="1"/>
  <c r="W402" i="5" s="1"/>
  <c r="K402" i="5"/>
  <c r="J402" i="5" s="1"/>
  <c r="S402" i="5" s="1"/>
  <c r="V402" i="5" s="1"/>
  <c r="M400" i="5"/>
  <c r="T400" i="5" s="1"/>
  <c r="W400" i="5" s="1"/>
  <c r="K400" i="5"/>
  <c r="J400" i="5" s="1"/>
  <c r="S400" i="5" s="1"/>
  <c r="V400" i="5" s="1"/>
  <c r="M398" i="5"/>
  <c r="T398" i="5" s="1"/>
  <c r="W398" i="5" s="1"/>
  <c r="K398" i="5"/>
  <c r="J398" i="5" s="1"/>
  <c r="S398" i="5" s="1"/>
  <c r="V398" i="5" s="1"/>
  <c r="M396" i="5"/>
  <c r="T396" i="5" s="1"/>
  <c r="W396" i="5" s="1"/>
  <c r="K396" i="5"/>
  <c r="J396" i="5" s="1"/>
  <c r="S396" i="5" s="1"/>
  <c r="V396" i="5" s="1"/>
  <c r="M394" i="5"/>
  <c r="T394" i="5" s="1"/>
  <c r="W394" i="5" s="1"/>
  <c r="K394" i="5"/>
  <c r="J394" i="5" s="1"/>
  <c r="S394" i="5" s="1"/>
  <c r="V394" i="5" s="1"/>
  <c r="M392" i="5"/>
  <c r="T392" i="5" s="1"/>
  <c r="W392" i="5" s="1"/>
  <c r="K392" i="5"/>
  <c r="J392" i="5" s="1"/>
  <c r="S392" i="5" s="1"/>
  <c r="V392" i="5" s="1"/>
  <c r="M390" i="5"/>
  <c r="T390" i="5" s="1"/>
  <c r="W390" i="5" s="1"/>
  <c r="K390" i="5"/>
  <c r="J390" i="5" s="1"/>
  <c r="S390" i="5" s="1"/>
  <c r="V390" i="5" s="1"/>
  <c r="M388" i="5"/>
  <c r="T388" i="5" s="1"/>
  <c r="W388" i="5" s="1"/>
  <c r="K388" i="5"/>
  <c r="J388" i="5" s="1"/>
  <c r="S388" i="5" s="1"/>
  <c r="V388" i="5" s="1"/>
  <c r="M386" i="5"/>
  <c r="T386" i="5" s="1"/>
  <c r="W386" i="5" s="1"/>
  <c r="K386" i="5"/>
  <c r="J386" i="5" s="1"/>
  <c r="S386" i="5" s="1"/>
  <c r="V386" i="5" s="1"/>
  <c r="M384" i="5"/>
  <c r="T384" i="5" s="1"/>
  <c r="W384" i="5" s="1"/>
  <c r="K384" i="5"/>
  <c r="J384" i="5" s="1"/>
  <c r="S384" i="5" s="1"/>
  <c r="V384" i="5" s="1"/>
  <c r="M382" i="5"/>
  <c r="T382" i="5" s="1"/>
  <c r="W382" i="5" s="1"/>
  <c r="K382" i="5"/>
  <c r="J382" i="5" s="1"/>
  <c r="S382" i="5" s="1"/>
  <c r="V382" i="5" s="1"/>
  <c r="M380" i="5"/>
  <c r="T380" i="5" s="1"/>
  <c r="W380" i="5" s="1"/>
  <c r="K380" i="5"/>
  <c r="J380" i="5" s="1"/>
  <c r="S380" i="5" s="1"/>
  <c r="V380" i="5" s="1"/>
  <c r="M378" i="5"/>
  <c r="T378" i="5" s="1"/>
  <c r="W378" i="5" s="1"/>
  <c r="K378" i="5"/>
  <c r="J378" i="5" s="1"/>
  <c r="S378" i="5" s="1"/>
  <c r="V378" i="5" s="1"/>
  <c r="M376" i="5"/>
  <c r="T376" i="5" s="1"/>
  <c r="W376" i="5" s="1"/>
  <c r="K376" i="5"/>
  <c r="J376" i="5" s="1"/>
  <c r="S376" i="5" s="1"/>
  <c r="V376" i="5" s="1"/>
  <c r="M374" i="5"/>
  <c r="T374" i="5" s="1"/>
  <c r="W374" i="5" s="1"/>
  <c r="K374" i="5"/>
  <c r="J374" i="5" s="1"/>
  <c r="S374" i="5" s="1"/>
  <c r="V374" i="5" s="1"/>
  <c r="M372" i="5"/>
  <c r="T372" i="5" s="1"/>
  <c r="W372" i="5" s="1"/>
  <c r="K372" i="5"/>
  <c r="J372" i="5" s="1"/>
  <c r="S372" i="5" s="1"/>
  <c r="V372" i="5" s="1"/>
  <c r="M370" i="5"/>
  <c r="T370" i="5" s="1"/>
  <c r="W370" i="5" s="1"/>
  <c r="K370" i="5"/>
  <c r="J370" i="5" s="1"/>
  <c r="S370" i="5" s="1"/>
  <c r="V370" i="5" s="1"/>
  <c r="M368" i="5"/>
  <c r="T368" i="5" s="1"/>
  <c r="W368" i="5" s="1"/>
  <c r="K368" i="5"/>
  <c r="J368" i="5" s="1"/>
  <c r="S368" i="5" s="1"/>
  <c r="V368" i="5" s="1"/>
  <c r="M366" i="5"/>
  <c r="T366" i="5" s="1"/>
  <c r="W366" i="5" s="1"/>
  <c r="K366" i="5"/>
  <c r="J366" i="5" s="1"/>
  <c r="S366" i="5" s="1"/>
  <c r="V366" i="5" s="1"/>
  <c r="M364" i="5"/>
  <c r="T364" i="5" s="1"/>
  <c r="W364" i="5" s="1"/>
  <c r="K364" i="5"/>
  <c r="J364" i="5" s="1"/>
  <c r="S364" i="5" s="1"/>
  <c r="V364" i="5" s="1"/>
  <c r="M362" i="5"/>
  <c r="T362" i="5" s="1"/>
  <c r="W362" i="5" s="1"/>
  <c r="K362" i="5"/>
  <c r="J362" i="5" s="1"/>
  <c r="S362" i="5" s="1"/>
  <c r="V362" i="5" s="1"/>
  <c r="M360" i="5"/>
  <c r="T360" i="5" s="1"/>
  <c r="W360" i="5" s="1"/>
  <c r="K360" i="5"/>
  <c r="J360" i="5" s="1"/>
  <c r="S360" i="5" s="1"/>
  <c r="V360" i="5" s="1"/>
  <c r="M358" i="5"/>
  <c r="T358" i="5" s="1"/>
  <c r="W358" i="5" s="1"/>
  <c r="K358" i="5"/>
  <c r="J358" i="5" s="1"/>
  <c r="S358" i="5" s="1"/>
  <c r="V358" i="5" s="1"/>
  <c r="M356" i="5"/>
  <c r="T356" i="5" s="1"/>
  <c r="W356" i="5" s="1"/>
  <c r="K356" i="5"/>
  <c r="J356" i="5" s="1"/>
  <c r="S356" i="5" s="1"/>
  <c r="V356" i="5" s="1"/>
  <c r="M354" i="5"/>
  <c r="T354" i="5" s="1"/>
  <c r="W354" i="5" s="1"/>
  <c r="K354" i="5"/>
  <c r="J354" i="5" s="1"/>
  <c r="S354" i="5" s="1"/>
  <c r="V354" i="5" s="1"/>
  <c r="M352" i="5"/>
  <c r="T352" i="5" s="1"/>
  <c r="W352" i="5" s="1"/>
  <c r="K352" i="5"/>
  <c r="J352" i="5" s="1"/>
  <c r="S352" i="5" s="1"/>
  <c r="V352" i="5" s="1"/>
  <c r="M350" i="5"/>
  <c r="T350" i="5" s="1"/>
  <c r="W350" i="5" s="1"/>
  <c r="K350" i="5"/>
  <c r="J350" i="5" s="1"/>
  <c r="S350" i="5" s="1"/>
  <c r="V350" i="5" s="1"/>
  <c r="M348" i="5"/>
  <c r="T348" i="5" s="1"/>
  <c r="W348" i="5" s="1"/>
  <c r="K348" i="5"/>
  <c r="J348" i="5" s="1"/>
  <c r="S348" i="5" s="1"/>
  <c r="V348" i="5" s="1"/>
  <c r="M346" i="5"/>
  <c r="T346" i="5" s="1"/>
  <c r="W346" i="5" s="1"/>
  <c r="K346" i="5"/>
  <c r="J346" i="5" s="1"/>
  <c r="S346" i="5" s="1"/>
  <c r="V346" i="5" s="1"/>
  <c r="M344" i="5"/>
  <c r="T344" i="5" s="1"/>
  <c r="W344" i="5" s="1"/>
  <c r="K344" i="5"/>
  <c r="J344" i="5" s="1"/>
  <c r="S344" i="5" s="1"/>
  <c r="V344" i="5" s="1"/>
  <c r="M342" i="5"/>
  <c r="T342" i="5" s="1"/>
  <c r="W342" i="5" s="1"/>
  <c r="K342" i="5"/>
  <c r="J342" i="5" s="1"/>
  <c r="S342" i="5" s="1"/>
  <c r="V342" i="5" s="1"/>
  <c r="M340" i="5"/>
  <c r="T340" i="5" s="1"/>
  <c r="W340" i="5" s="1"/>
  <c r="K340" i="5"/>
  <c r="J340" i="5" s="1"/>
  <c r="S340" i="5" s="1"/>
  <c r="V340" i="5" s="1"/>
  <c r="M338" i="5"/>
  <c r="T338" i="5" s="1"/>
  <c r="W338" i="5" s="1"/>
  <c r="K338" i="5"/>
  <c r="J338" i="5" s="1"/>
  <c r="S338" i="5" s="1"/>
  <c r="V338" i="5" s="1"/>
  <c r="M336" i="5"/>
  <c r="T336" i="5" s="1"/>
  <c r="W336" i="5" s="1"/>
  <c r="K336" i="5"/>
  <c r="J336" i="5" s="1"/>
  <c r="S336" i="5" s="1"/>
  <c r="V336" i="5" s="1"/>
  <c r="M334" i="5"/>
  <c r="T334" i="5" s="1"/>
  <c r="W334" i="5" s="1"/>
  <c r="K334" i="5"/>
  <c r="J334" i="5" s="1"/>
  <c r="S334" i="5" s="1"/>
  <c r="V334" i="5" s="1"/>
  <c r="M332" i="5"/>
  <c r="T332" i="5" s="1"/>
  <c r="W332" i="5" s="1"/>
  <c r="K332" i="5"/>
  <c r="J332" i="5" s="1"/>
  <c r="S332" i="5" s="1"/>
  <c r="V332" i="5" s="1"/>
  <c r="M330" i="5"/>
  <c r="T330" i="5" s="1"/>
  <c r="W330" i="5" s="1"/>
  <c r="K330" i="5"/>
  <c r="J330" i="5" s="1"/>
  <c r="S330" i="5" s="1"/>
  <c r="V330" i="5" s="1"/>
  <c r="M328" i="5"/>
  <c r="T328" i="5" s="1"/>
  <c r="W328" i="5" s="1"/>
  <c r="K328" i="5"/>
  <c r="J328" i="5" s="1"/>
  <c r="S328" i="5" s="1"/>
  <c r="V328" i="5" s="1"/>
  <c r="M326" i="5"/>
  <c r="T326" i="5" s="1"/>
  <c r="W326" i="5" s="1"/>
  <c r="K326" i="5"/>
  <c r="J326" i="5" s="1"/>
  <c r="S326" i="5" s="1"/>
  <c r="V326" i="5" s="1"/>
  <c r="M324" i="5"/>
  <c r="T324" i="5" s="1"/>
  <c r="W324" i="5" s="1"/>
  <c r="K324" i="5"/>
  <c r="J324" i="5" s="1"/>
  <c r="S324" i="5" s="1"/>
  <c r="V324" i="5" s="1"/>
  <c r="M322" i="5"/>
  <c r="T322" i="5" s="1"/>
  <c r="W322" i="5" s="1"/>
  <c r="K322" i="5"/>
  <c r="J322" i="5" s="1"/>
  <c r="S322" i="5" s="1"/>
  <c r="V322" i="5" s="1"/>
  <c r="M320" i="5"/>
  <c r="T320" i="5" s="1"/>
  <c r="W320" i="5" s="1"/>
  <c r="K320" i="5"/>
  <c r="J320" i="5" s="1"/>
  <c r="S320" i="5" s="1"/>
  <c r="V320" i="5" s="1"/>
  <c r="M318" i="5"/>
  <c r="T318" i="5" s="1"/>
  <c r="W318" i="5" s="1"/>
  <c r="K318" i="5"/>
  <c r="J318" i="5" s="1"/>
  <c r="S318" i="5" s="1"/>
  <c r="V318" i="5" s="1"/>
  <c r="M316" i="5"/>
  <c r="T316" i="5" s="1"/>
  <c r="W316" i="5" s="1"/>
  <c r="K316" i="5"/>
  <c r="J316" i="5" s="1"/>
  <c r="S316" i="5" s="1"/>
  <c r="V316" i="5" s="1"/>
  <c r="M314" i="5"/>
  <c r="T314" i="5" s="1"/>
  <c r="W314" i="5" s="1"/>
  <c r="K314" i="5"/>
  <c r="J314" i="5" s="1"/>
  <c r="S314" i="5" s="1"/>
  <c r="V314" i="5" s="1"/>
  <c r="M312" i="5"/>
  <c r="T312" i="5" s="1"/>
  <c r="W312" i="5" s="1"/>
  <c r="K312" i="5"/>
  <c r="J312" i="5" s="1"/>
  <c r="S312" i="5" s="1"/>
  <c r="V312" i="5" s="1"/>
  <c r="M310" i="5"/>
  <c r="T310" i="5" s="1"/>
  <c r="W310" i="5" s="1"/>
  <c r="K310" i="5"/>
  <c r="J310" i="5" s="1"/>
  <c r="S310" i="5" s="1"/>
  <c r="V310" i="5" s="1"/>
  <c r="M308" i="5"/>
  <c r="T308" i="5" s="1"/>
  <c r="W308" i="5" s="1"/>
  <c r="K308" i="5"/>
  <c r="J308" i="5" s="1"/>
  <c r="S308" i="5" s="1"/>
  <c r="V308" i="5" s="1"/>
  <c r="M306" i="5"/>
  <c r="T306" i="5" s="1"/>
  <c r="W306" i="5" s="1"/>
  <c r="K306" i="5"/>
  <c r="J306" i="5" s="1"/>
  <c r="S306" i="5" s="1"/>
  <c r="V306" i="5" s="1"/>
  <c r="M304" i="5"/>
  <c r="T304" i="5" s="1"/>
  <c r="W304" i="5" s="1"/>
  <c r="K304" i="5"/>
  <c r="J304" i="5" s="1"/>
  <c r="S304" i="5" s="1"/>
  <c r="V304" i="5" s="1"/>
  <c r="M302" i="5"/>
  <c r="T302" i="5" s="1"/>
  <c r="W302" i="5" s="1"/>
  <c r="K302" i="5"/>
  <c r="J302" i="5" s="1"/>
  <c r="S302" i="5" s="1"/>
  <c r="V302" i="5" s="1"/>
  <c r="M300" i="5"/>
  <c r="T300" i="5" s="1"/>
  <c r="W300" i="5" s="1"/>
  <c r="K300" i="5"/>
  <c r="J300" i="5" s="1"/>
  <c r="S300" i="5" s="1"/>
  <c r="V300" i="5" s="1"/>
  <c r="M298" i="5"/>
  <c r="T298" i="5" s="1"/>
  <c r="W298" i="5" s="1"/>
  <c r="K298" i="5"/>
  <c r="J298" i="5" s="1"/>
  <c r="S298" i="5" s="1"/>
  <c r="V298" i="5" s="1"/>
  <c r="M296" i="5"/>
  <c r="T296" i="5" s="1"/>
  <c r="W296" i="5" s="1"/>
  <c r="K296" i="5"/>
  <c r="J296" i="5" s="1"/>
  <c r="S296" i="5" s="1"/>
  <c r="V296" i="5" s="1"/>
  <c r="M294" i="5"/>
  <c r="T294" i="5" s="1"/>
  <c r="W294" i="5" s="1"/>
  <c r="K294" i="5"/>
  <c r="J294" i="5" s="1"/>
  <c r="S294" i="5" s="1"/>
  <c r="V294" i="5" s="1"/>
  <c r="M292" i="5"/>
  <c r="T292" i="5" s="1"/>
  <c r="W292" i="5" s="1"/>
  <c r="K292" i="5"/>
  <c r="J292" i="5" s="1"/>
  <c r="S292" i="5" s="1"/>
  <c r="V292" i="5" s="1"/>
  <c r="M290" i="5"/>
  <c r="T290" i="5" s="1"/>
  <c r="W290" i="5" s="1"/>
  <c r="K290" i="5"/>
  <c r="J290" i="5" s="1"/>
  <c r="S290" i="5" s="1"/>
  <c r="V290" i="5" s="1"/>
  <c r="M288" i="5"/>
  <c r="T288" i="5" s="1"/>
  <c r="W288" i="5" s="1"/>
  <c r="K288" i="5"/>
  <c r="J288" i="5" s="1"/>
  <c r="S288" i="5" s="1"/>
  <c r="V288" i="5" s="1"/>
  <c r="M286" i="5"/>
  <c r="T286" i="5" s="1"/>
  <c r="W286" i="5" s="1"/>
  <c r="K286" i="5"/>
  <c r="J286" i="5" s="1"/>
  <c r="S286" i="5" s="1"/>
  <c r="V286" i="5" s="1"/>
  <c r="M284" i="5"/>
  <c r="T284" i="5" s="1"/>
  <c r="W284" i="5" s="1"/>
  <c r="K284" i="5"/>
  <c r="J284" i="5" s="1"/>
  <c r="S284" i="5" s="1"/>
  <c r="V284" i="5" s="1"/>
  <c r="M282" i="5"/>
  <c r="T282" i="5" s="1"/>
  <c r="W282" i="5" s="1"/>
  <c r="K282" i="5"/>
  <c r="J282" i="5" s="1"/>
  <c r="S282" i="5" s="1"/>
  <c r="V282" i="5" s="1"/>
  <c r="M280" i="5"/>
  <c r="T280" i="5" s="1"/>
  <c r="W280" i="5" s="1"/>
  <c r="K280" i="5"/>
  <c r="J280" i="5" s="1"/>
  <c r="S280" i="5" s="1"/>
  <c r="V280" i="5" s="1"/>
  <c r="M278" i="5"/>
  <c r="T278" i="5" s="1"/>
  <c r="W278" i="5" s="1"/>
  <c r="K278" i="5"/>
  <c r="J278" i="5" s="1"/>
  <c r="S278" i="5" s="1"/>
  <c r="V278" i="5" s="1"/>
  <c r="M276" i="5"/>
  <c r="T276" i="5" s="1"/>
  <c r="W276" i="5" s="1"/>
  <c r="K276" i="5"/>
  <c r="J276" i="5" s="1"/>
  <c r="S276" i="5" s="1"/>
  <c r="V276" i="5" s="1"/>
  <c r="M274" i="5"/>
  <c r="T274" i="5" s="1"/>
  <c r="W274" i="5" s="1"/>
  <c r="K274" i="5"/>
  <c r="J274" i="5" s="1"/>
  <c r="S274" i="5" s="1"/>
  <c r="V274" i="5" s="1"/>
  <c r="M272" i="5"/>
  <c r="T272" i="5" s="1"/>
  <c r="W272" i="5" s="1"/>
  <c r="K272" i="5"/>
  <c r="J272" i="5" s="1"/>
  <c r="S272" i="5" s="1"/>
  <c r="V272" i="5" s="1"/>
  <c r="M270" i="5"/>
  <c r="T270" i="5" s="1"/>
  <c r="W270" i="5" s="1"/>
  <c r="K270" i="5"/>
  <c r="J270" i="5" s="1"/>
  <c r="S270" i="5" s="1"/>
  <c r="V270" i="5" s="1"/>
  <c r="M268" i="5"/>
  <c r="T268" i="5" s="1"/>
  <c r="W268" i="5" s="1"/>
  <c r="K268" i="5"/>
  <c r="J268" i="5" s="1"/>
  <c r="S268" i="5" s="1"/>
  <c r="V268" i="5" s="1"/>
  <c r="M266" i="5"/>
  <c r="T266" i="5" s="1"/>
  <c r="W266" i="5" s="1"/>
  <c r="K266" i="5"/>
  <c r="J266" i="5" s="1"/>
  <c r="S266" i="5" s="1"/>
  <c r="V266" i="5" s="1"/>
  <c r="M264" i="5"/>
  <c r="T264" i="5" s="1"/>
  <c r="W264" i="5" s="1"/>
  <c r="K264" i="5"/>
  <c r="J264" i="5" s="1"/>
  <c r="S264" i="5" s="1"/>
  <c r="V264" i="5" s="1"/>
  <c r="M262" i="5"/>
  <c r="T262" i="5" s="1"/>
  <c r="W262" i="5" s="1"/>
  <c r="K262" i="5"/>
  <c r="J262" i="5" s="1"/>
  <c r="S262" i="5" s="1"/>
  <c r="V262" i="5" s="1"/>
  <c r="M260" i="5"/>
  <c r="T260" i="5" s="1"/>
  <c r="W260" i="5" s="1"/>
  <c r="K260" i="5"/>
  <c r="J260" i="5" s="1"/>
  <c r="S260" i="5" s="1"/>
  <c r="V260" i="5" s="1"/>
  <c r="M258" i="5"/>
  <c r="T258" i="5" s="1"/>
  <c r="W258" i="5" s="1"/>
  <c r="K258" i="5"/>
  <c r="J258" i="5" s="1"/>
  <c r="S258" i="5" s="1"/>
  <c r="V258" i="5" s="1"/>
  <c r="M256" i="5"/>
  <c r="T256" i="5" s="1"/>
  <c r="W256" i="5" s="1"/>
  <c r="K256" i="5"/>
  <c r="J256" i="5" s="1"/>
  <c r="S256" i="5" s="1"/>
  <c r="V256" i="5" s="1"/>
  <c r="M254" i="5"/>
  <c r="T254" i="5" s="1"/>
  <c r="W254" i="5" s="1"/>
  <c r="K254" i="5"/>
  <c r="J254" i="5" s="1"/>
  <c r="S254" i="5" s="1"/>
  <c r="V254" i="5" s="1"/>
  <c r="M252" i="5"/>
  <c r="T252" i="5" s="1"/>
  <c r="W252" i="5" s="1"/>
  <c r="K252" i="5"/>
  <c r="J252" i="5" s="1"/>
  <c r="S252" i="5" s="1"/>
  <c r="V252" i="5" s="1"/>
  <c r="M250" i="5"/>
  <c r="T250" i="5" s="1"/>
  <c r="W250" i="5" s="1"/>
  <c r="K250" i="5"/>
  <c r="J250" i="5" s="1"/>
  <c r="S250" i="5" s="1"/>
  <c r="V250" i="5" s="1"/>
  <c r="M248" i="5"/>
  <c r="T248" i="5" s="1"/>
  <c r="W248" i="5" s="1"/>
  <c r="K248" i="5"/>
  <c r="J248" i="5" s="1"/>
  <c r="S248" i="5" s="1"/>
  <c r="V248" i="5" s="1"/>
  <c r="M246" i="5"/>
  <c r="T246" i="5" s="1"/>
  <c r="W246" i="5" s="1"/>
  <c r="K246" i="5"/>
  <c r="J246" i="5" s="1"/>
  <c r="S246" i="5" s="1"/>
  <c r="V246" i="5" s="1"/>
  <c r="M244" i="5"/>
  <c r="T244" i="5" s="1"/>
  <c r="W244" i="5" s="1"/>
  <c r="K244" i="5"/>
  <c r="J244" i="5" s="1"/>
  <c r="S244" i="5" s="1"/>
  <c r="V244" i="5" s="1"/>
  <c r="M242" i="5"/>
  <c r="T242" i="5" s="1"/>
  <c r="W242" i="5" s="1"/>
  <c r="K242" i="5"/>
  <c r="J242" i="5" s="1"/>
  <c r="S242" i="5" s="1"/>
  <c r="V242" i="5" s="1"/>
  <c r="M240" i="5"/>
  <c r="T240" i="5" s="1"/>
  <c r="W240" i="5" s="1"/>
  <c r="K240" i="5"/>
  <c r="J240" i="5" s="1"/>
  <c r="S240" i="5" s="1"/>
  <c r="V240" i="5" s="1"/>
  <c r="M238" i="5"/>
  <c r="T238" i="5" s="1"/>
  <c r="W238" i="5" s="1"/>
  <c r="K238" i="5"/>
  <c r="J238" i="5" s="1"/>
  <c r="S238" i="5" s="1"/>
  <c r="V238" i="5" s="1"/>
  <c r="M236" i="5"/>
  <c r="T236" i="5" s="1"/>
  <c r="W236" i="5" s="1"/>
  <c r="K236" i="5"/>
  <c r="J236" i="5" s="1"/>
  <c r="S236" i="5" s="1"/>
  <c r="V236" i="5" s="1"/>
  <c r="M234" i="5"/>
  <c r="T234" i="5" s="1"/>
  <c r="W234" i="5" s="1"/>
  <c r="K234" i="5"/>
  <c r="J234" i="5" s="1"/>
  <c r="S234" i="5" s="1"/>
  <c r="V234" i="5" s="1"/>
  <c r="M232" i="5"/>
  <c r="T232" i="5" s="1"/>
  <c r="W232" i="5" s="1"/>
  <c r="K232" i="5"/>
  <c r="J232" i="5" s="1"/>
  <c r="S232" i="5" s="1"/>
  <c r="V232" i="5" s="1"/>
  <c r="M230" i="5"/>
  <c r="T230" i="5" s="1"/>
  <c r="W230" i="5" s="1"/>
  <c r="K230" i="5"/>
  <c r="J230" i="5" s="1"/>
  <c r="S230" i="5" s="1"/>
  <c r="V230" i="5" s="1"/>
  <c r="M228" i="5"/>
  <c r="T228" i="5" s="1"/>
  <c r="W228" i="5" s="1"/>
  <c r="K228" i="5"/>
  <c r="J228" i="5" s="1"/>
  <c r="S228" i="5" s="1"/>
  <c r="V228" i="5" s="1"/>
  <c r="M226" i="5"/>
  <c r="T226" i="5" s="1"/>
  <c r="W226" i="5" s="1"/>
  <c r="K226" i="5"/>
  <c r="J226" i="5" s="1"/>
  <c r="S226" i="5" s="1"/>
  <c r="V226" i="5" s="1"/>
  <c r="M224" i="5"/>
  <c r="T224" i="5" s="1"/>
  <c r="W224" i="5" s="1"/>
  <c r="K224" i="5"/>
  <c r="J224" i="5" s="1"/>
  <c r="S224" i="5" s="1"/>
  <c r="V224" i="5" s="1"/>
  <c r="M222" i="5"/>
  <c r="T222" i="5" s="1"/>
  <c r="W222" i="5" s="1"/>
  <c r="K222" i="5"/>
  <c r="J222" i="5" s="1"/>
  <c r="S222" i="5" s="1"/>
  <c r="V222" i="5" s="1"/>
  <c r="M220" i="5"/>
  <c r="T220" i="5" s="1"/>
  <c r="W220" i="5" s="1"/>
  <c r="K220" i="5"/>
  <c r="J220" i="5" s="1"/>
  <c r="S220" i="5" s="1"/>
  <c r="V220" i="5" s="1"/>
  <c r="M218" i="5"/>
  <c r="T218" i="5" s="1"/>
  <c r="W218" i="5" s="1"/>
  <c r="K218" i="5"/>
  <c r="J218" i="5" s="1"/>
  <c r="S218" i="5" s="1"/>
  <c r="V218" i="5" s="1"/>
  <c r="M216" i="5"/>
  <c r="T216" i="5" s="1"/>
  <c r="W216" i="5" s="1"/>
  <c r="K216" i="5"/>
  <c r="J216" i="5" s="1"/>
  <c r="S216" i="5" s="1"/>
  <c r="V216" i="5" s="1"/>
  <c r="M214" i="5"/>
  <c r="T214" i="5" s="1"/>
  <c r="W214" i="5" s="1"/>
  <c r="K214" i="5"/>
  <c r="J214" i="5" s="1"/>
  <c r="S214" i="5" s="1"/>
  <c r="V214" i="5" s="1"/>
  <c r="M212" i="5"/>
  <c r="T212" i="5" s="1"/>
  <c r="W212" i="5" s="1"/>
  <c r="K212" i="5"/>
  <c r="J212" i="5" s="1"/>
  <c r="S212" i="5" s="1"/>
  <c r="V212" i="5" s="1"/>
  <c r="M210" i="5"/>
  <c r="T210" i="5" s="1"/>
  <c r="W210" i="5" s="1"/>
  <c r="K210" i="5"/>
  <c r="J210" i="5" s="1"/>
  <c r="S210" i="5" s="1"/>
  <c r="V210" i="5" s="1"/>
  <c r="M208" i="5"/>
  <c r="T208" i="5" s="1"/>
  <c r="W208" i="5" s="1"/>
  <c r="K208" i="5"/>
  <c r="J208" i="5" s="1"/>
  <c r="S208" i="5" s="1"/>
  <c r="V208" i="5" s="1"/>
  <c r="M206" i="5"/>
  <c r="T206" i="5" s="1"/>
  <c r="W206" i="5" s="1"/>
  <c r="K206" i="5"/>
  <c r="J206" i="5" s="1"/>
  <c r="S206" i="5" s="1"/>
  <c r="V206" i="5" s="1"/>
  <c r="M204" i="5"/>
  <c r="T204" i="5" s="1"/>
  <c r="W204" i="5" s="1"/>
  <c r="K204" i="5"/>
  <c r="J204" i="5" s="1"/>
  <c r="S204" i="5" s="1"/>
  <c r="V204" i="5" s="1"/>
  <c r="M202" i="5"/>
  <c r="T202" i="5" s="1"/>
  <c r="W202" i="5" s="1"/>
  <c r="K202" i="5"/>
  <c r="J202" i="5" s="1"/>
  <c r="S202" i="5" s="1"/>
  <c r="V202" i="5" s="1"/>
  <c r="M200" i="5"/>
  <c r="T200" i="5" s="1"/>
  <c r="W200" i="5" s="1"/>
  <c r="K200" i="5"/>
  <c r="J200" i="5" s="1"/>
  <c r="S200" i="5" s="1"/>
  <c r="V200" i="5" s="1"/>
  <c r="M198" i="5"/>
  <c r="T198" i="5" s="1"/>
  <c r="W198" i="5" s="1"/>
  <c r="K198" i="5"/>
  <c r="J198" i="5" s="1"/>
  <c r="S198" i="5" s="1"/>
  <c r="V198" i="5" s="1"/>
  <c r="M196" i="5"/>
  <c r="T196" i="5" s="1"/>
  <c r="W196" i="5" s="1"/>
  <c r="K196" i="5"/>
  <c r="J196" i="5" s="1"/>
  <c r="S196" i="5" s="1"/>
  <c r="V196" i="5" s="1"/>
  <c r="M194" i="5"/>
  <c r="T194" i="5" s="1"/>
  <c r="W194" i="5" s="1"/>
  <c r="K194" i="5"/>
  <c r="J194" i="5" s="1"/>
  <c r="S194" i="5" s="1"/>
  <c r="V194" i="5" s="1"/>
  <c r="M192" i="5"/>
  <c r="T192" i="5" s="1"/>
  <c r="W192" i="5" s="1"/>
  <c r="K192" i="5"/>
  <c r="J192" i="5" s="1"/>
  <c r="S192" i="5" s="1"/>
  <c r="V192" i="5" s="1"/>
  <c r="M190" i="5"/>
  <c r="T190" i="5" s="1"/>
  <c r="W190" i="5" s="1"/>
  <c r="K190" i="5"/>
  <c r="J190" i="5" s="1"/>
  <c r="S190" i="5" s="1"/>
  <c r="V190" i="5" s="1"/>
  <c r="M188" i="5"/>
  <c r="T188" i="5" s="1"/>
  <c r="W188" i="5" s="1"/>
  <c r="K188" i="5"/>
  <c r="J188" i="5" s="1"/>
  <c r="S188" i="5" s="1"/>
  <c r="V188" i="5" s="1"/>
  <c r="M186" i="5"/>
  <c r="T186" i="5" s="1"/>
  <c r="W186" i="5" s="1"/>
  <c r="K186" i="5"/>
  <c r="J186" i="5" s="1"/>
  <c r="S186" i="5" s="1"/>
  <c r="V186" i="5" s="1"/>
  <c r="M184" i="5"/>
  <c r="T184" i="5" s="1"/>
  <c r="W184" i="5" s="1"/>
  <c r="K184" i="5"/>
  <c r="J184" i="5" s="1"/>
  <c r="S184" i="5" s="1"/>
  <c r="V184" i="5" s="1"/>
  <c r="M182" i="5"/>
  <c r="T182" i="5" s="1"/>
  <c r="W182" i="5" s="1"/>
  <c r="K182" i="5"/>
  <c r="J182" i="5" s="1"/>
  <c r="S182" i="5" s="1"/>
  <c r="V182" i="5" s="1"/>
  <c r="M180" i="5"/>
  <c r="T180" i="5" s="1"/>
  <c r="W180" i="5" s="1"/>
  <c r="K180" i="5"/>
  <c r="J180" i="5" s="1"/>
  <c r="S180" i="5" s="1"/>
  <c r="V180" i="5" s="1"/>
  <c r="M178" i="5"/>
  <c r="T178" i="5" s="1"/>
  <c r="W178" i="5" s="1"/>
  <c r="K178" i="5"/>
  <c r="J178" i="5" s="1"/>
  <c r="S178" i="5" s="1"/>
  <c r="V178" i="5" s="1"/>
  <c r="M176" i="5"/>
  <c r="T176" i="5" s="1"/>
  <c r="W176" i="5" s="1"/>
  <c r="K176" i="5"/>
  <c r="J176" i="5" s="1"/>
  <c r="S176" i="5" s="1"/>
  <c r="V176" i="5" s="1"/>
  <c r="M174" i="5"/>
  <c r="T174" i="5" s="1"/>
  <c r="W174" i="5" s="1"/>
  <c r="K174" i="5"/>
  <c r="J174" i="5" s="1"/>
  <c r="S174" i="5" s="1"/>
  <c r="V174" i="5" s="1"/>
  <c r="M172" i="5"/>
  <c r="T172" i="5" s="1"/>
  <c r="W172" i="5" s="1"/>
  <c r="K172" i="5"/>
  <c r="J172" i="5" s="1"/>
  <c r="S172" i="5" s="1"/>
  <c r="V172" i="5" s="1"/>
  <c r="M170" i="5"/>
  <c r="T170" i="5" s="1"/>
  <c r="W170" i="5" s="1"/>
  <c r="K170" i="5"/>
  <c r="J170" i="5" s="1"/>
  <c r="S170" i="5" s="1"/>
  <c r="V170" i="5" s="1"/>
  <c r="M168" i="5"/>
  <c r="T168" i="5" s="1"/>
  <c r="W168" i="5" s="1"/>
  <c r="K168" i="5"/>
  <c r="J168" i="5" s="1"/>
  <c r="S168" i="5" s="1"/>
  <c r="V168" i="5" s="1"/>
  <c r="M166" i="5"/>
  <c r="T166" i="5" s="1"/>
  <c r="W166" i="5" s="1"/>
  <c r="K166" i="5"/>
  <c r="J166" i="5" s="1"/>
  <c r="S166" i="5" s="1"/>
  <c r="V166" i="5" s="1"/>
  <c r="M164" i="5"/>
  <c r="T164" i="5" s="1"/>
  <c r="W164" i="5" s="1"/>
  <c r="K164" i="5"/>
  <c r="J164" i="5" s="1"/>
  <c r="S164" i="5" s="1"/>
  <c r="V164" i="5" s="1"/>
  <c r="M162" i="5"/>
  <c r="T162" i="5" s="1"/>
  <c r="W162" i="5" s="1"/>
  <c r="K162" i="5"/>
  <c r="J162" i="5" s="1"/>
  <c r="S162" i="5" s="1"/>
  <c r="V162" i="5" s="1"/>
  <c r="M160" i="5"/>
  <c r="T160" i="5" s="1"/>
  <c r="W160" i="5" s="1"/>
  <c r="K160" i="5"/>
  <c r="J160" i="5" s="1"/>
  <c r="S160" i="5" s="1"/>
  <c r="V160" i="5" s="1"/>
  <c r="M158" i="5"/>
  <c r="T158" i="5" s="1"/>
  <c r="W158" i="5" s="1"/>
  <c r="K158" i="5"/>
  <c r="J158" i="5" s="1"/>
  <c r="S158" i="5" s="1"/>
  <c r="V158" i="5" s="1"/>
  <c r="M156" i="5"/>
  <c r="T156" i="5" s="1"/>
  <c r="W156" i="5" s="1"/>
  <c r="K156" i="5"/>
  <c r="J156" i="5" s="1"/>
  <c r="S156" i="5" s="1"/>
  <c r="V156" i="5" s="1"/>
  <c r="M154" i="5"/>
  <c r="T154" i="5" s="1"/>
  <c r="W154" i="5" s="1"/>
  <c r="K154" i="5"/>
  <c r="J154" i="5" s="1"/>
  <c r="S154" i="5" s="1"/>
  <c r="V154" i="5" s="1"/>
  <c r="M152" i="5"/>
  <c r="T152" i="5" s="1"/>
  <c r="W152" i="5" s="1"/>
  <c r="K152" i="5"/>
  <c r="J152" i="5" s="1"/>
  <c r="S152" i="5" s="1"/>
  <c r="V152" i="5" s="1"/>
  <c r="M150" i="5"/>
  <c r="T150" i="5" s="1"/>
  <c r="W150" i="5" s="1"/>
  <c r="K150" i="5"/>
  <c r="J150" i="5" s="1"/>
  <c r="S150" i="5" s="1"/>
  <c r="V150" i="5" s="1"/>
  <c r="M148" i="5"/>
  <c r="T148" i="5" s="1"/>
  <c r="W148" i="5" s="1"/>
  <c r="K148" i="5"/>
  <c r="J148" i="5" s="1"/>
  <c r="S148" i="5" s="1"/>
  <c r="V148" i="5" s="1"/>
  <c r="M146" i="5"/>
  <c r="T146" i="5" s="1"/>
  <c r="W146" i="5" s="1"/>
  <c r="K146" i="5"/>
  <c r="J146" i="5" s="1"/>
  <c r="S146" i="5" s="1"/>
  <c r="V146" i="5" s="1"/>
  <c r="M144" i="5"/>
  <c r="T144" i="5" s="1"/>
  <c r="W144" i="5" s="1"/>
  <c r="K144" i="5"/>
  <c r="J144" i="5" s="1"/>
  <c r="S144" i="5" s="1"/>
  <c r="V144" i="5" s="1"/>
  <c r="M142" i="5"/>
  <c r="T142" i="5" s="1"/>
  <c r="W142" i="5" s="1"/>
  <c r="K142" i="5"/>
  <c r="J142" i="5" s="1"/>
  <c r="S142" i="5" s="1"/>
  <c r="V142" i="5" s="1"/>
  <c r="M140" i="5"/>
  <c r="T140" i="5" s="1"/>
  <c r="W140" i="5" s="1"/>
  <c r="K140" i="5"/>
  <c r="J140" i="5" s="1"/>
  <c r="S140" i="5" s="1"/>
  <c r="V140" i="5" s="1"/>
  <c r="M138" i="5"/>
  <c r="T138" i="5" s="1"/>
  <c r="W138" i="5" s="1"/>
  <c r="K138" i="5"/>
  <c r="J138" i="5" s="1"/>
  <c r="S138" i="5" s="1"/>
  <c r="V138" i="5" s="1"/>
  <c r="M136" i="5"/>
  <c r="T136" i="5" s="1"/>
  <c r="W136" i="5" s="1"/>
  <c r="K136" i="5"/>
  <c r="J136" i="5" s="1"/>
  <c r="S136" i="5" s="1"/>
  <c r="V136" i="5" s="1"/>
  <c r="M134" i="5"/>
  <c r="T134" i="5" s="1"/>
  <c r="W134" i="5" s="1"/>
  <c r="K134" i="5"/>
  <c r="J134" i="5" s="1"/>
  <c r="S134" i="5" s="1"/>
  <c r="V134" i="5" s="1"/>
  <c r="M132" i="5"/>
  <c r="T132" i="5" s="1"/>
  <c r="W132" i="5" s="1"/>
  <c r="K132" i="5"/>
  <c r="J132" i="5" s="1"/>
  <c r="S132" i="5" s="1"/>
  <c r="V132" i="5" s="1"/>
  <c r="M130" i="5"/>
  <c r="T130" i="5" s="1"/>
  <c r="W130" i="5" s="1"/>
  <c r="K130" i="5"/>
  <c r="J130" i="5" s="1"/>
  <c r="S130" i="5" s="1"/>
  <c r="V130" i="5" s="1"/>
  <c r="M128" i="5"/>
  <c r="T128" i="5" s="1"/>
  <c r="W128" i="5" s="1"/>
  <c r="K128" i="5"/>
  <c r="J128" i="5" s="1"/>
  <c r="S128" i="5" s="1"/>
  <c r="V128" i="5" s="1"/>
  <c r="M126" i="5"/>
  <c r="T126" i="5" s="1"/>
  <c r="W126" i="5" s="1"/>
  <c r="K126" i="5"/>
  <c r="J126" i="5" s="1"/>
  <c r="S126" i="5" s="1"/>
  <c r="V126" i="5" s="1"/>
  <c r="M124" i="5"/>
  <c r="T124" i="5" s="1"/>
  <c r="W124" i="5" s="1"/>
  <c r="K124" i="5"/>
  <c r="J124" i="5" s="1"/>
  <c r="S124" i="5" s="1"/>
  <c r="V124" i="5" s="1"/>
  <c r="M122" i="5"/>
  <c r="T122" i="5" s="1"/>
  <c r="W122" i="5" s="1"/>
  <c r="K122" i="5"/>
  <c r="J122" i="5" s="1"/>
  <c r="S122" i="5" s="1"/>
  <c r="V122" i="5" s="1"/>
  <c r="M120" i="5"/>
  <c r="T120" i="5" s="1"/>
  <c r="W120" i="5" s="1"/>
  <c r="K120" i="5"/>
  <c r="J120" i="5" s="1"/>
  <c r="S120" i="5" s="1"/>
  <c r="V120" i="5" s="1"/>
  <c r="M118" i="5"/>
  <c r="T118" i="5" s="1"/>
  <c r="W118" i="5" s="1"/>
  <c r="K118" i="5"/>
  <c r="J118" i="5" s="1"/>
  <c r="S118" i="5" s="1"/>
  <c r="V118" i="5" s="1"/>
  <c r="M116" i="5"/>
  <c r="T116" i="5" s="1"/>
  <c r="W116" i="5" s="1"/>
  <c r="K116" i="5"/>
  <c r="J116" i="5" s="1"/>
  <c r="S116" i="5" s="1"/>
  <c r="V116" i="5" s="1"/>
  <c r="M114" i="5"/>
  <c r="T114" i="5" s="1"/>
  <c r="W114" i="5" s="1"/>
  <c r="K114" i="5"/>
  <c r="J114" i="5" s="1"/>
  <c r="S114" i="5" s="1"/>
  <c r="V114" i="5" s="1"/>
  <c r="M112" i="5"/>
  <c r="T112" i="5" s="1"/>
  <c r="W112" i="5" s="1"/>
  <c r="K112" i="5"/>
  <c r="J112" i="5" s="1"/>
  <c r="S112" i="5" s="1"/>
  <c r="V112" i="5" s="1"/>
  <c r="M110" i="5"/>
  <c r="T110" i="5" s="1"/>
  <c r="W110" i="5" s="1"/>
  <c r="K110" i="5"/>
  <c r="J110" i="5" s="1"/>
  <c r="S110" i="5" s="1"/>
  <c r="V110" i="5" s="1"/>
  <c r="M108" i="5"/>
  <c r="T108" i="5" s="1"/>
  <c r="W108" i="5" s="1"/>
  <c r="K108" i="5"/>
  <c r="J108" i="5" s="1"/>
  <c r="S108" i="5" s="1"/>
  <c r="V108" i="5" s="1"/>
  <c r="M106" i="5"/>
  <c r="T106" i="5" s="1"/>
  <c r="W106" i="5" s="1"/>
  <c r="K106" i="5"/>
  <c r="J106" i="5" s="1"/>
  <c r="S106" i="5" s="1"/>
  <c r="V106" i="5" s="1"/>
  <c r="M104" i="5"/>
  <c r="T104" i="5" s="1"/>
  <c r="W104" i="5" s="1"/>
  <c r="K104" i="5"/>
  <c r="J104" i="5" s="1"/>
  <c r="S104" i="5" s="1"/>
  <c r="V104" i="5" s="1"/>
  <c r="M102" i="5"/>
  <c r="T102" i="5" s="1"/>
  <c r="W102" i="5" s="1"/>
  <c r="K102" i="5"/>
  <c r="J102" i="5" s="1"/>
  <c r="S102" i="5" s="1"/>
  <c r="V102" i="5" s="1"/>
  <c r="M100" i="5"/>
  <c r="T100" i="5" s="1"/>
  <c r="W100" i="5" s="1"/>
  <c r="K100" i="5"/>
  <c r="J100" i="5" s="1"/>
  <c r="S100" i="5" s="1"/>
  <c r="V100" i="5" s="1"/>
  <c r="M98" i="5"/>
  <c r="T98" i="5" s="1"/>
  <c r="W98" i="5" s="1"/>
  <c r="K98" i="5"/>
  <c r="J98" i="5" s="1"/>
  <c r="S98" i="5" s="1"/>
  <c r="V98" i="5" s="1"/>
  <c r="M96" i="5"/>
  <c r="T96" i="5" s="1"/>
  <c r="W96" i="5" s="1"/>
  <c r="K96" i="5"/>
  <c r="J96" i="5" s="1"/>
  <c r="S96" i="5" s="1"/>
  <c r="V96" i="5" s="1"/>
  <c r="M94" i="5"/>
  <c r="T94" i="5" s="1"/>
  <c r="W94" i="5" s="1"/>
  <c r="K94" i="5"/>
  <c r="J94" i="5" s="1"/>
  <c r="S94" i="5" s="1"/>
  <c r="V94" i="5" s="1"/>
  <c r="M92" i="5"/>
  <c r="T92" i="5" s="1"/>
  <c r="W92" i="5" s="1"/>
  <c r="K92" i="5"/>
  <c r="J92" i="5" s="1"/>
  <c r="S92" i="5" s="1"/>
  <c r="V92" i="5" s="1"/>
  <c r="M90" i="5"/>
  <c r="T90" i="5" s="1"/>
  <c r="W90" i="5" s="1"/>
  <c r="K90" i="5"/>
  <c r="J90" i="5" s="1"/>
  <c r="S90" i="5" s="1"/>
  <c r="V90" i="5" s="1"/>
  <c r="M88" i="5"/>
  <c r="T88" i="5" s="1"/>
  <c r="W88" i="5" s="1"/>
  <c r="K88" i="5"/>
  <c r="J88" i="5" s="1"/>
  <c r="S88" i="5" s="1"/>
  <c r="V88" i="5" s="1"/>
  <c r="M86" i="5"/>
  <c r="T86" i="5" s="1"/>
  <c r="W86" i="5" s="1"/>
  <c r="K86" i="5"/>
  <c r="J86" i="5" s="1"/>
  <c r="S86" i="5" s="1"/>
  <c r="V86" i="5" s="1"/>
  <c r="M84" i="5"/>
  <c r="T84" i="5" s="1"/>
  <c r="W84" i="5" s="1"/>
  <c r="K84" i="5"/>
  <c r="J84" i="5" s="1"/>
  <c r="S84" i="5" s="1"/>
  <c r="V84" i="5" s="1"/>
  <c r="M82" i="5"/>
  <c r="T82" i="5" s="1"/>
  <c r="W82" i="5" s="1"/>
  <c r="K82" i="5"/>
  <c r="J82" i="5" s="1"/>
  <c r="S82" i="5" s="1"/>
  <c r="V82" i="5" s="1"/>
  <c r="M80" i="5"/>
  <c r="T80" i="5" s="1"/>
  <c r="W80" i="5" s="1"/>
  <c r="K80" i="5"/>
  <c r="J80" i="5" s="1"/>
  <c r="S80" i="5" s="1"/>
  <c r="V80" i="5" s="1"/>
  <c r="M78" i="5"/>
  <c r="T78" i="5" s="1"/>
  <c r="W78" i="5" s="1"/>
  <c r="K78" i="5"/>
  <c r="J78" i="5" s="1"/>
  <c r="S78" i="5" s="1"/>
  <c r="V78" i="5" s="1"/>
  <c r="M76" i="5"/>
  <c r="T76" i="5" s="1"/>
  <c r="W76" i="5" s="1"/>
  <c r="K76" i="5"/>
  <c r="J76" i="5" s="1"/>
  <c r="S76" i="5" s="1"/>
  <c r="V76" i="5" s="1"/>
  <c r="M74" i="5"/>
  <c r="T74" i="5" s="1"/>
  <c r="W74" i="5" s="1"/>
  <c r="K74" i="5"/>
  <c r="J74" i="5" s="1"/>
  <c r="S74" i="5" s="1"/>
  <c r="V74" i="5" s="1"/>
  <c r="M72" i="5"/>
  <c r="T72" i="5" s="1"/>
  <c r="W72" i="5" s="1"/>
  <c r="K72" i="5"/>
  <c r="J72" i="5" s="1"/>
  <c r="S72" i="5" s="1"/>
  <c r="V72" i="5" s="1"/>
  <c r="M70" i="5"/>
  <c r="T70" i="5" s="1"/>
  <c r="W70" i="5" s="1"/>
  <c r="K70" i="5"/>
  <c r="J70" i="5" s="1"/>
  <c r="S70" i="5" s="1"/>
  <c r="V70" i="5" s="1"/>
  <c r="M68" i="5"/>
  <c r="T68" i="5" s="1"/>
  <c r="W68" i="5" s="1"/>
  <c r="K68" i="5"/>
  <c r="J68" i="5" s="1"/>
  <c r="S68" i="5" s="1"/>
  <c r="V68" i="5" s="1"/>
  <c r="M66" i="5"/>
  <c r="T66" i="5" s="1"/>
  <c r="W66" i="5" s="1"/>
  <c r="K66" i="5"/>
  <c r="J66" i="5" s="1"/>
  <c r="S66" i="5" s="1"/>
  <c r="V66" i="5" s="1"/>
  <c r="M64" i="5"/>
  <c r="T64" i="5" s="1"/>
  <c r="W64" i="5" s="1"/>
  <c r="K64" i="5"/>
  <c r="J64" i="5" s="1"/>
  <c r="S64" i="5" s="1"/>
  <c r="V64" i="5" s="1"/>
  <c r="M62" i="5"/>
  <c r="T62" i="5" s="1"/>
  <c r="W62" i="5" s="1"/>
  <c r="K62" i="5"/>
  <c r="J62" i="5" s="1"/>
  <c r="S62" i="5" s="1"/>
  <c r="V62" i="5" s="1"/>
  <c r="M60" i="5"/>
  <c r="T60" i="5" s="1"/>
  <c r="W60" i="5" s="1"/>
  <c r="K60" i="5"/>
  <c r="J60" i="5" s="1"/>
  <c r="S60" i="5" s="1"/>
  <c r="V60" i="5" s="1"/>
  <c r="M58" i="5"/>
  <c r="T58" i="5" s="1"/>
  <c r="W58" i="5" s="1"/>
  <c r="K58" i="5"/>
  <c r="J58" i="5" s="1"/>
  <c r="S58" i="5" s="1"/>
  <c r="V58" i="5" s="1"/>
  <c r="M56" i="5"/>
  <c r="T56" i="5" s="1"/>
  <c r="W56" i="5" s="1"/>
  <c r="K56" i="5"/>
  <c r="J56" i="5" s="1"/>
  <c r="S56" i="5" s="1"/>
  <c r="V56" i="5" s="1"/>
  <c r="M54" i="5"/>
  <c r="T54" i="5" s="1"/>
  <c r="W54" i="5" s="1"/>
  <c r="C54" i="5" s="1"/>
  <c r="B54" i="5" s="1"/>
  <c r="K54" i="5"/>
  <c r="J54" i="5" s="1"/>
  <c r="S54" i="5" s="1"/>
  <c r="V54" i="5" s="1"/>
  <c r="M52" i="5"/>
  <c r="T52" i="5" s="1"/>
  <c r="W52" i="5" s="1"/>
  <c r="K52" i="5"/>
  <c r="J52" i="5" s="1"/>
  <c r="S52" i="5" s="1"/>
  <c r="V52" i="5" s="1"/>
  <c r="M50" i="5"/>
  <c r="T50" i="5" s="1"/>
  <c r="W50" i="5" s="1"/>
  <c r="K50" i="5"/>
  <c r="J50" i="5" s="1"/>
  <c r="S50" i="5" s="1"/>
  <c r="V50" i="5" s="1"/>
  <c r="M48" i="5"/>
  <c r="T48" i="5" s="1"/>
  <c r="W48" i="5" s="1"/>
  <c r="K48" i="5"/>
  <c r="J48" i="5" s="1"/>
  <c r="S48" i="5" s="1"/>
  <c r="V48" i="5" s="1"/>
  <c r="M46" i="5"/>
  <c r="T46" i="5" s="1"/>
  <c r="W46" i="5" s="1"/>
  <c r="K46" i="5"/>
  <c r="J46" i="5" s="1"/>
  <c r="S46" i="5" s="1"/>
  <c r="V46" i="5" s="1"/>
  <c r="M44" i="5"/>
  <c r="T44" i="5" s="1"/>
  <c r="W44" i="5" s="1"/>
  <c r="K44" i="5"/>
  <c r="J44" i="5" s="1"/>
  <c r="S44" i="5" s="1"/>
  <c r="V44" i="5" s="1"/>
  <c r="M42" i="5"/>
  <c r="T42" i="5" s="1"/>
  <c r="W42" i="5" s="1"/>
  <c r="K42" i="5"/>
  <c r="J42" i="5" s="1"/>
  <c r="S42" i="5" s="1"/>
  <c r="V42" i="5" s="1"/>
  <c r="M40" i="5"/>
  <c r="T40" i="5" s="1"/>
  <c r="W40" i="5" s="1"/>
  <c r="K40" i="5"/>
  <c r="J40" i="5" s="1"/>
  <c r="S40" i="5" s="1"/>
  <c r="V40" i="5" s="1"/>
  <c r="M38" i="5"/>
  <c r="T38" i="5" s="1"/>
  <c r="W38" i="5" s="1"/>
  <c r="K38" i="5"/>
  <c r="J38" i="5" s="1"/>
  <c r="S38" i="5" s="1"/>
  <c r="V38" i="5" s="1"/>
  <c r="M36" i="5"/>
  <c r="T36" i="5" s="1"/>
  <c r="W36" i="5" s="1"/>
  <c r="K36" i="5"/>
  <c r="J36" i="5" s="1"/>
  <c r="S36" i="5" s="1"/>
  <c r="V36" i="5" s="1"/>
  <c r="M34" i="5"/>
  <c r="T34" i="5" s="1"/>
  <c r="W34" i="5" s="1"/>
  <c r="K34" i="5"/>
  <c r="J34" i="5" s="1"/>
  <c r="S34" i="5" s="1"/>
  <c r="V34" i="5" s="1"/>
  <c r="M32" i="5"/>
  <c r="T32" i="5" s="1"/>
  <c r="W32" i="5" s="1"/>
  <c r="K32" i="5"/>
  <c r="J32" i="5" s="1"/>
  <c r="S32" i="5" s="1"/>
  <c r="V32" i="5" s="1"/>
  <c r="M30" i="5"/>
  <c r="T30" i="5" s="1"/>
  <c r="W30" i="5" s="1"/>
  <c r="K30" i="5"/>
  <c r="J30" i="5" s="1"/>
  <c r="S30" i="5" s="1"/>
  <c r="V30" i="5" s="1"/>
  <c r="M28" i="5"/>
  <c r="T28" i="5" s="1"/>
  <c r="W28" i="5" s="1"/>
  <c r="K28" i="5"/>
  <c r="J28" i="5" s="1"/>
  <c r="S28" i="5" s="1"/>
  <c r="V28" i="5" s="1"/>
  <c r="M26" i="5"/>
  <c r="T26" i="5" s="1"/>
  <c r="W26" i="5" s="1"/>
  <c r="K26" i="5"/>
  <c r="J26" i="5" s="1"/>
  <c r="S26" i="5" s="1"/>
  <c r="V26" i="5" s="1"/>
  <c r="M24" i="5"/>
  <c r="T24" i="5" s="1"/>
  <c r="W24" i="5" s="1"/>
  <c r="K24" i="5"/>
  <c r="J24" i="5" s="1"/>
  <c r="S24" i="5" s="1"/>
  <c r="V24" i="5" s="1"/>
  <c r="M22" i="5"/>
  <c r="T22" i="5" s="1"/>
  <c r="W22" i="5" s="1"/>
  <c r="K22" i="5"/>
  <c r="J22" i="5" s="1"/>
  <c r="S22" i="5" s="1"/>
  <c r="V22" i="5" s="1"/>
  <c r="M20" i="5"/>
  <c r="T20" i="5" s="1"/>
  <c r="W20" i="5" s="1"/>
  <c r="K20" i="5"/>
  <c r="J20" i="5" s="1"/>
  <c r="S20" i="5" s="1"/>
  <c r="V20" i="5" s="1"/>
  <c r="K18" i="5"/>
  <c r="J18" i="5" s="1"/>
  <c r="S18" i="5" s="1"/>
  <c r="M16" i="5"/>
  <c r="T16" i="5" s="1"/>
  <c r="W16" i="5" s="1"/>
  <c r="K16" i="5"/>
  <c r="J16" i="5" s="1"/>
  <c r="S16" i="5" s="1"/>
  <c r="M14" i="5"/>
  <c r="T14" i="5" s="1"/>
  <c r="W14" i="5" s="1"/>
  <c r="K14" i="5"/>
  <c r="J14" i="5" s="1"/>
  <c r="S14" i="5" s="1"/>
  <c r="M12" i="5"/>
  <c r="T12" i="5" s="1"/>
  <c r="W12" i="5" s="1"/>
  <c r="K12" i="5"/>
  <c r="J12" i="5" s="1"/>
  <c r="S12" i="5" s="1"/>
  <c r="V12" i="5" s="1"/>
  <c r="M10" i="5"/>
  <c r="T10" i="5" s="1"/>
  <c r="W10" i="5" s="1"/>
  <c r="K10" i="5"/>
  <c r="J10" i="5" s="1"/>
  <c r="S10" i="5" s="1"/>
  <c r="M8" i="5"/>
  <c r="T8" i="5" s="1"/>
  <c r="W8" i="5" s="1"/>
  <c r="K8" i="5"/>
  <c r="J8" i="5" s="1"/>
  <c r="S8" i="5" s="1"/>
  <c r="M6" i="5"/>
  <c r="T6" i="5" s="1"/>
  <c r="W6" i="5" s="1"/>
  <c r="K6" i="5"/>
  <c r="J6" i="5" s="1"/>
  <c r="M4" i="5"/>
  <c r="T4" i="5" s="1"/>
  <c r="W4" i="5" s="1"/>
  <c r="K4" i="5"/>
  <c r="J4" i="5" s="1"/>
  <c r="S4" i="5" s="1"/>
  <c r="V4" i="5" s="1"/>
  <c r="C25" i="5"/>
  <c r="B25" i="5" s="1"/>
  <c r="L1001" i="4"/>
  <c r="S1001" i="4" s="1"/>
  <c r="V1001" i="4" s="1"/>
  <c r="L997" i="4"/>
  <c r="S997" i="4" s="1"/>
  <c r="V997" i="4" s="1"/>
  <c r="L993" i="4"/>
  <c r="S993" i="4" s="1"/>
  <c r="V993" i="4" s="1"/>
  <c r="L989" i="4"/>
  <c r="S989" i="4" s="1"/>
  <c r="V989" i="4" s="1"/>
  <c r="L985" i="4"/>
  <c r="S985" i="4" s="1"/>
  <c r="V985" i="4" s="1"/>
  <c r="L981" i="4"/>
  <c r="S981" i="4" s="1"/>
  <c r="V981" i="4" s="1"/>
  <c r="L977" i="4"/>
  <c r="S977" i="4" s="1"/>
  <c r="V977" i="4" s="1"/>
  <c r="L973" i="4"/>
  <c r="S973" i="4" s="1"/>
  <c r="V973" i="4" s="1"/>
  <c r="L969" i="4"/>
  <c r="S969" i="4" s="1"/>
  <c r="V969" i="4" s="1"/>
  <c r="L965" i="4"/>
  <c r="S965" i="4" s="1"/>
  <c r="V965" i="4" s="1"/>
  <c r="L961" i="4"/>
  <c r="S961" i="4" s="1"/>
  <c r="V961" i="4" s="1"/>
  <c r="L957" i="4"/>
  <c r="S957" i="4" s="1"/>
  <c r="V957" i="4" s="1"/>
  <c r="L953" i="4"/>
  <c r="S953" i="4" s="1"/>
  <c r="V953" i="4" s="1"/>
  <c r="L949" i="4"/>
  <c r="S949" i="4" s="1"/>
  <c r="V949" i="4" s="1"/>
  <c r="L945" i="4"/>
  <c r="S945" i="4" s="1"/>
  <c r="V945" i="4" s="1"/>
  <c r="L941" i="4"/>
  <c r="S941" i="4" s="1"/>
  <c r="V941" i="4" s="1"/>
  <c r="L937" i="4"/>
  <c r="S937" i="4" s="1"/>
  <c r="V937" i="4" s="1"/>
  <c r="L933" i="4"/>
  <c r="S933" i="4" s="1"/>
  <c r="V933" i="4" s="1"/>
  <c r="L929" i="4"/>
  <c r="S929" i="4" s="1"/>
  <c r="V929" i="4" s="1"/>
  <c r="L925" i="4"/>
  <c r="S925" i="4" s="1"/>
  <c r="V925" i="4" s="1"/>
  <c r="L921" i="4"/>
  <c r="S921" i="4" s="1"/>
  <c r="V921" i="4" s="1"/>
  <c r="L917" i="4"/>
  <c r="S917" i="4" s="1"/>
  <c r="V917" i="4" s="1"/>
  <c r="L913" i="4"/>
  <c r="S913" i="4" s="1"/>
  <c r="V913" i="4" s="1"/>
  <c r="L909" i="4"/>
  <c r="S909" i="4" s="1"/>
  <c r="V909" i="4" s="1"/>
  <c r="L905" i="4"/>
  <c r="S905" i="4" s="1"/>
  <c r="V905" i="4" s="1"/>
  <c r="L901" i="4"/>
  <c r="S901" i="4" s="1"/>
  <c r="V901" i="4" s="1"/>
  <c r="L897" i="4"/>
  <c r="S897" i="4" s="1"/>
  <c r="V897" i="4" s="1"/>
  <c r="L893" i="4"/>
  <c r="S893" i="4" s="1"/>
  <c r="V893" i="4" s="1"/>
  <c r="L889" i="4"/>
  <c r="S889" i="4" s="1"/>
  <c r="V889" i="4" s="1"/>
  <c r="L885" i="4"/>
  <c r="S885" i="4" s="1"/>
  <c r="V885" i="4" s="1"/>
  <c r="L881" i="4"/>
  <c r="S881" i="4" s="1"/>
  <c r="V881" i="4" s="1"/>
  <c r="L877" i="4"/>
  <c r="S877" i="4" s="1"/>
  <c r="V877" i="4" s="1"/>
  <c r="L873" i="4"/>
  <c r="S873" i="4" s="1"/>
  <c r="V873" i="4" s="1"/>
  <c r="L869" i="4"/>
  <c r="S869" i="4" s="1"/>
  <c r="V869" i="4" s="1"/>
  <c r="L865" i="4"/>
  <c r="S865" i="4" s="1"/>
  <c r="V865" i="4" s="1"/>
  <c r="L861" i="4"/>
  <c r="S861" i="4" s="1"/>
  <c r="V861" i="4" s="1"/>
  <c r="L857" i="4"/>
  <c r="S857" i="4" s="1"/>
  <c r="V857" i="4" s="1"/>
  <c r="L853" i="4"/>
  <c r="S853" i="4" s="1"/>
  <c r="V853" i="4" s="1"/>
  <c r="L849" i="4"/>
  <c r="S849" i="4" s="1"/>
  <c r="V849" i="4" s="1"/>
  <c r="L845" i="4"/>
  <c r="S845" i="4" s="1"/>
  <c r="V845" i="4" s="1"/>
  <c r="L841" i="4"/>
  <c r="S841" i="4" s="1"/>
  <c r="V841" i="4" s="1"/>
  <c r="L837" i="4"/>
  <c r="S837" i="4" s="1"/>
  <c r="V837" i="4" s="1"/>
  <c r="L833" i="4"/>
  <c r="S833" i="4" s="1"/>
  <c r="V833" i="4" s="1"/>
  <c r="L829" i="4"/>
  <c r="S829" i="4" s="1"/>
  <c r="V829" i="4" s="1"/>
  <c r="L825" i="4"/>
  <c r="S825" i="4" s="1"/>
  <c r="V825" i="4" s="1"/>
  <c r="L821" i="4"/>
  <c r="S821" i="4" s="1"/>
  <c r="V821" i="4" s="1"/>
  <c r="L817" i="4"/>
  <c r="S817" i="4" s="1"/>
  <c r="V817" i="4" s="1"/>
  <c r="L813" i="4"/>
  <c r="S813" i="4" s="1"/>
  <c r="V813" i="4" s="1"/>
  <c r="L809" i="4"/>
  <c r="S809" i="4" s="1"/>
  <c r="V809" i="4" s="1"/>
  <c r="L805" i="4"/>
  <c r="S805" i="4" s="1"/>
  <c r="V805" i="4" s="1"/>
  <c r="L801" i="4"/>
  <c r="S801" i="4" s="1"/>
  <c r="V801" i="4" s="1"/>
  <c r="L797" i="4"/>
  <c r="S797" i="4" s="1"/>
  <c r="V797" i="4" s="1"/>
  <c r="L793" i="4"/>
  <c r="S793" i="4" s="1"/>
  <c r="V793" i="4" s="1"/>
  <c r="L789" i="4"/>
  <c r="S789" i="4" s="1"/>
  <c r="V789" i="4" s="1"/>
  <c r="L785" i="4"/>
  <c r="S785" i="4" s="1"/>
  <c r="V785" i="4" s="1"/>
  <c r="L781" i="4"/>
  <c r="S781" i="4" s="1"/>
  <c r="V781" i="4" s="1"/>
  <c r="L777" i="4"/>
  <c r="S777" i="4" s="1"/>
  <c r="V777" i="4" s="1"/>
  <c r="L773" i="4"/>
  <c r="S773" i="4" s="1"/>
  <c r="V773" i="4" s="1"/>
  <c r="L769" i="4"/>
  <c r="S769" i="4" s="1"/>
  <c r="V769" i="4" s="1"/>
  <c r="L765" i="4"/>
  <c r="S765" i="4" s="1"/>
  <c r="V765" i="4" s="1"/>
  <c r="L761" i="4"/>
  <c r="S761" i="4" s="1"/>
  <c r="V761" i="4" s="1"/>
  <c r="L757" i="4"/>
  <c r="S757" i="4" s="1"/>
  <c r="V757" i="4" s="1"/>
  <c r="L753" i="4"/>
  <c r="S753" i="4" s="1"/>
  <c r="V753" i="4" s="1"/>
  <c r="L749" i="4"/>
  <c r="S749" i="4" s="1"/>
  <c r="V749" i="4" s="1"/>
  <c r="L745" i="4"/>
  <c r="S745" i="4" s="1"/>
  <c r="V745" i="4" s="1"/>
  <c r="L741" i="4"/>
  <c r="S741" i="4" s="1"/>
  <c r="V741" i="4" s="1"/>
  <c r="L737" i="4"/>
  <c r="S737" i="4" s="1"/>
  <c r="V737" i="4" s="1"/>
  <c r="L733" i="4"/>
  <c r="S733" i="4" s="1"/>
  <c r="V733" i="4" s="1"/>
  <c r="L729" i="4"/>
  <c r="S729" i="4" s="1"/>
  <c r="V729" i="4" s="1"/>
  <c r="L725" i="4"/>
  <c r="S725" i="4" s="1"/>
  <c r="V725" i="4" s="1"/>
  <c r="L721" i="4"/>
  <c r="S721" i="4" s="1"/>
  <c r="V721" i="4" s="1"/>
  <c r="L717" i="4"/>
  <c r="S717" i="4" s="1"/>
  <c r="V717" i="4" s="1"/>
  <c r="L713" i="4"/>
  <c r="S713" i="4" s="1"/>
  <c r="V713" i="4" s="1"/>
  <c r="L709" i="4"/>
  <c r="S709" i="4" s="1"/>
  <c r="V709" i="4" s="1"/>
  <c r="L705" i="4"/>
  <c r="S705" i="4" s="1"/>
  <c r="V705" i="4" s="1"/>
  <c r="L701" i="4"/>
  <c r="S701" i="4" s="1"/>
  <c r="V701" i="4" s="1"/>
  <c r="L697" i="4"/>
  <c r="S697" i="4" s="1"/>
  <c r="V697" i="4" s="1"/>
  <c r="L693" i="4"/>
  <c r="S693" i="4" s="1"/>
  <c r="V693" i="4" s="1"/>
  <c r="L689" i="4"/>
  <c r="S689" i="4" s="1"/>
  <c r="V689" i="4" s="1"/>
  <c r="L685" i="4"/>
  <c r="S685" i="4" s="1"/>
  <c r="V685" i="4" s="1"/>
  <c r="L681" i="4"/>
  <c r="S681" i="4" s="1"/>
  <c r="V681" i="4" s="1"/>
  <c r="L677" i="4"/>
  <c r="S677" i="4" s="1"/>
  <c r="V677" i="4" s="1"/>
  <c r="L673" i="4"/>
  <c r="S673" i="4" s="1"/>
  <c r="V673" i="4" s="1"/>
  <c r="L669" i="4"/>
  <c r="S669" i="4" s="1"/>
  <c r="V669" i="4" s="1"/>
  <c r="L665" i="4"/>
  <c r="S665" i="4" s="1"/>
  <c r="V665" i="4" s="1"/>
  <c r="L661" i="4"/>
  <c r="S661" i="4" s="1"/>
  <c r="V661" i="4" s="1"/>
  <c r="L657" i="4"/>
  <c r="S657" i="4" s="1"/>
  <c r="V657" i="4" s="1"/>
  <c r="L653" i="4"/>
  <c r="S653" i="4" s="1"/>
  <c r="V653" i="4" s="1"/>
  <c r="L649" i="4"/>
  <c r="S649" i="4" s="1"/>
  <c r="V649" i="4" s="1"/>
  <c r="L645" i="4"/>
  <c r="S645" i="4" s="1"/>
  <c r="V645" i="4" s="1"/>
  <c r="L641" i="4"/>
  <c r="S641" i="4" s="1"/>
  <c r="V641" i="4" s="1"/>
  <c r="L637" i="4"/>
  <c r="S637" i="4" s="1"/>
  <c r="V637" i="4" s="1"/>
  <c r="L633" i="4"/>
  <c r="S633" i="4" s="1"/>
  <c r="V633" i="4" s="1"/>
  <c r="L629" i="4"/>
  <c r="S629" i="4" s="1"/>
  <c r="V629" i="4" s="1"/>
  <c r="L625" i="4"/>
  <c r="S625" i="4" s="1"/>
  <c r="V625" i="4" s="1"/>
  <c r="L621" i="4"/>
  <c r="S621" i="4" s="1"/>
  <c r="V621" i="4" s="1"/>
  <c r="L617" i="4"/>
  <c r="S617" i="4" s="1"/>
  <c r="V617" i="4" s="1"/>
  <c r="L613" i="4"/>
  <c r="S613" i="4" s="1"/>
  <c r="V613" i="4" s="1"/>
  <c r="L609" i="4"/>
  <c r="S609" i="4" s="1"/>
  <c r="V609" i="4" s="1"/>
  <c r="L605" i="4"/>
  <c r="S605" i="4" s="1"/>
  <c r="V605" i="4" s="1"/>
  <c r="L601" i="4"/>
  <c r="S601" i="4" s="1"/>
  <c r="V601" i="4" s="1"/>
  <c r="L597" i="4"/>
  <c r="S597" i="4" s="1"/>
  <c r="V597" i="4" s="1"/>
  <c r="L593" i="4"/>
  <c r="S593" i="4" s="1"/>
  <c r="V593" i="4" s="1"/>
  <c r="L589" i="4"/>
  <c r="S589" i="4" s="1"/>
  <c r="V589" i="4" s="1"/>
  <c r="L585" i="4"/>
  <c r="S585" i="4" s="1"/>
  <c r="V585" i="4" s="1"/>
  <c r="L581" i="4"/>
  <c r="S581" i="4" s="1"/>
  <c r="V581" i="4" s="1"/>
  <c r="L577" i="4"/>
  <c r="S577" i="4" s="1"/>
  <c r="V577" i="4" s="1"/>
  <c r="L573" i="4"/>
  <c r="S573" i="4" s="1"/>
  <c r="V573" i="4" s="1"/>
  <c r="L569" i="4"/>
  <c r="S569" i="4" s="1"/>
  <c r="V569" i="4" s="1"/>
  <c r="L565" i="4"/>
  <c r="S565" i="4" s="1"/>
  <c r="V565" i="4" s="1"/>
  <c r="L561" i="4"/>
  <c r="S561" i="4" s="1"/>
  <c r="V561" i="4" s="1"/>
  <c r="L557" i="4"/>
  <c r="S557" i="4" s="1"/>
  <c r="V557" i="4" s="1"/>
  <c r="L553" i="4"/>
  <c r="S553" i="4" s="1"/>
  <c r="V553" i="4" s="1"/>
  <c r="L549" i="4"/>
  <c r="S549" i="4" s="1"/>
  <c r="V549" i="4" s="1"/>
  <c r="L545" i="4"/>
  <c r="S545" i="4" s="1"/>
  <c r="V545" i="4" s="1"/>
  <c r="L541" i="4"/>
  <c r="S541" i="4" s="1"/>
  <c r="V541" i="4" s="1"/>
  <c r="L537" i="4"/>
  <c r="S537" i="4" s="1"/>
  <c r="V537" i="4" s="1"/>
  <c r="L533" i="4"/>
  <c r="S533" i="4" s="1"/>
  <c r="V533" i="4" s="1"/>
  <c r="L529" i="4"/>
  <c r="S529" i="4" s="1"/>
  <c r="V529" i="4" s="1"/>
  <c r="L525" i="4"/>
  <c r="S525" i="4" s="1"/>
  <c r="V525" i="4" s="1"/>
  <c r="L521" i="4"/>
  <c r="S521" i="4" s="1"/>
  <c r="V521" i="4" s="1"/>
  <c r="L517" i="4"/>
  <c r="S517" i="4" s="1"/>
  <c r="V517" i="4" s="1"/>
  <c r="L513" i="4"/>
  <c r="S513" i="4" s="1"/>
  <c r="V513" i="4" s="1"/>
  <c r="L509" i="4"/>
  <c r="S509" i="4" s="1"/>
  <c r="V509" i="4" s="1"/>
  <c r="L505" i="4"/>
  <c r="S505" i="4" s="1"/>
  <c r="V505" i="4" s="1"/>
  <c r="L501" i="4"/>
  <c r="S501" i="4" s="1"/>
  <c r="V501" i="4" s="1"/>
  <c r="L497" i="4"/>
  <c r="S497" i="4" s="1"/>
  <c r="V497" i="4" s="1"/>
  <c r="L493" i="4"/>
  <c r="S493" i="4" s="1"/>
  <c r="V493" i="4" s="1"/>
  <c r="L489" i="4"/>
  <c r="S489" i="4" s="1"/>
  <c r="V489" i="4" s="1"/>
  <c r="L485" i="4"/>
  <c r="S485" i="4" s="1"/>
  <c r="V485" i="4" s="1"/>
  <c r="L481" i="4"/>
  <c r="S481" i="4" s="1"/>
  <c r="V481" i="4" s="1"/>
  <c r="L477" i="4"/>
  <c r="S477" i="4" s="1"/>
  <c r="V477" i="4" s="1"/>
  <c r="L473" i="4"/>
  <c r="S473" i="4" s="1"/>
  <c r="V473" i="4" s="1"/>
  <c r="L469" i="4"/>
  <c r="S469" i="4" s="1"/>
  <c r="V469" i="4" s="1"/>
  <c r="L465" i="4"/>
  <c r="S465" i="4" s="1"/>
  <c r="V465" i="4" s="1"/>
  <c r="L461" i="4"/>
  <c r="S461" i="4" s="1"/>
  <c r="V461" i="4" s="1"/>
  <c r="L457" i="4"/>
  <c r="S457" i="4" s="1"/>
  <c r="V457" i="4" s="1"/>
  <c r="L453" i="4"/>
  <c r="S453" i="4" s="1"/>
  <c r="V453" i="4" s="1"/>
  <c r="L449" i="4"/>
  <c r="S449" i="4" s="1"/>
  <c r="V449" i="4" s="1"/>
  <c r="L445" i="4"/>
  <c r="S445" i="4" s="1"/>
  <c r="V445" i="4" s="1"/>
  <c r="L441" i="4"/>
  <c r="S441" i="4" s="1"/>
  <c r="V441" i="4" s="1"/>
  <c r="L437" i="4"/>
  <c r="S437" i="4" s="1"/>
  <c r="V437" i="4" s="1"/>
  <c r="L433" i="4"/>
  <c r="S433" i="4" s="1"/>
  <c r="V433" i="4" s="1"/>
  <c r="L429" i="4"/>
  <c r="S429" i="4" s="1"/>
  <c r="V429" i="4" s="1"/>
  <c r="L425" i="4"/>
  <c r="S425" i="4" s="1"/>
  <c r="V425" i="4" s="1"/>
  <c r="L421" i="4"/>
  <c r="S421" i="4" s="1"/>
  <c r="V421" i="4" s="1"/>
  <c r="L417" i="4"/>
  <c r="S417" i="4" s="1"/>
  <c r="V417" i="4" s="1"/>
  <c r="L413" i="4"/>
  <c r="S413" i="4" s="1"/>
  <c r="V413" i="4" s="1"/>
  <c r="L409" i="4"/>
  <c r="S409" i="4" s="1"/>
  <c r="V409" i="4" s="1"/>
  <c r="L405" i="4"/>
  <c r="S405" i="4" s="1"/>
  <c r="V405" i="4" s="1"/>
  <c r="L401" i="4"/>
  <c r="S401" i="4" s="1"/>
  <c r="V401" i="4" s="1"/>
  <c r="L397" i="4"/>
  <c r="S397" i="4" s="1"/>
  <c r="V397" i="4" s="1"/>
  <c r="L393" i="4"/>
  <c r="S393" i="4" s="1"/>
  <c r="V393" i="4" s="1"/>
  <c r="L389" i="4"/>
  <c r="S389" i="4" s="1"/>
  <c r="V389" i="4" s="1"/>
  <c r="L385" i="4"/>
  <c r="S385" i="4" s="1"/>
  <c r="V385" i="4" s="1"/>
  <c r="L381" i="4"/>
  <c r="S381" i="4" s="1"/>
  <c r="V381" i="4" s="1"/>
  <c r="L377" i="4"/>
  <c r="S377" i="4" s="1"/>
  <c r="V377" i="4" s="1"/>
  <c r="L373" i="4"/>
  <c r="S373" i="4" s="1"/>
  <c r="V373" i="4" s="1"/>
  <c r="L369" i="4"/>
  <c r="S369" i="4" s="1"/>
  <c r="V369" i="4" s="1"/>
  <c r="L365" i="4"/>
  <c r="S365" i="4" s="1"/>
  <c r="V365" i="4" s="1"/>
  <c r="L361" i="4"/>
  <c r="S361" i="4" s="1"/>
  <c r="V361" i="4" s="1"/>
  <c r="L357" i="4"/>
  <c r="S357" i="4" s="1"/>
  <c r="V357" i="4" s="1"/>
  <c r="L353" i="4"/>
  <c r="S353" i="4" s="1"/>
  <c r="V353" i="4" s="1"/>
  <c r="L349" i="4"/>
  <c r="S349" i="4" s="1"/>
  <c r="V349" i="4" s="1"/>
  <c r="L345" i="4"/>
  <c r="S345" i="4" s="1"/>
  <c r="V345" i="4" s="1"/>
  <c r="L341" i="4"/>
  <c r="S341" i="4" s="1"/>
  <c r="V341" i="4" s="1"/>
  <c r="L337" i="4"/>
  <c r="S337" i="4" s="1"/>
  <c r="V337" i="4" s="1"/>
  <c r="L333" i="4"/>
  <c r="S333" i="4" s="1"/>
  <c r="V333" i="4" s="1"/>
  <c r="L329" i="4"/>
  <c r="S329" i="4" s="1"/>
  <c r="V329" i="4" s="1"/>
  <c r="L325" i="4"/>
  <c r="S325" i="4" s="1"/>
  <c r="V325" i="4" s="1"/>
  <c r="L321" i="4"/>
  <c r="S321" i="4" s="1"/>
  <c r="V321" i="4" s="1"/>
  <c r="L317" i="4"/>
  <c r="S317" i="4" s="1"/>
  <c r="V317" i="4" s="1"/>
  <c r="L313" i="4"/>
  <c r="S313" i="4" s="1"/>
  <c r="V313" i="4" s="1"/>
  <c r="L309" i="4"/>
  <c r="S309" i="4" s="1"/>
  <c r="V309" i="4" s="1"/>
  <c r="L305" i="4"/>
  <c r="S305" i="4" s="1"/>
  <c r="V305" i="4" s="1"/>
  <c r="L301" i="4"/>
  <c r="S301" i="4" s="1"/>
  <c r="V301" i="4" s="1"/>
  <c r="L297" i="4"/>
  <c r="S297" i="4" s="1"/>
  <c r="V297" i="4" s="1"/>
  <c r="L293" i="4"/>
  <c r="S293" i="4" s="1"/>
  <c r="V293" i="4" s="1"/>
  <c r="L289" i="4"/>
  <c r="S289" i="4" s="1"/>
  <c r="V289" i="4" s="1"/>
  <c r="L285" i="4"/>
  <c r="S285" i="4" s="1"/>
  <c r="V285" i="4" s="1"/>
  <c r="L281" i="4"/>
  <c r="S281" i="4" s="1"/>
  <c r="V281" i="4" s="1"/>
  <c r="L277" i="4"/>
  <c r="S277" i="4" s="1"/>
  <c r="V277" i="4" s="1"/>
  <c r="L273" i="4"/>
  <c r="S273" i="4" s="1"/>
  <c r="V273" i="4" s="1"/>
  <c r="L269" i="4"/>
  <c r="S269" i="4" s="1"/>
  <c r="V269" i="4" s="1"/>
  <c r="L265" i="4"/>
  <c r="S265" i="4" s="1"/>
  <c r="V265" i="4" s="1"/>
  <c r="L261" i="4"/>
  <c r="S261" i="4" s="1"/>
  <c r="V261" i="4" s="1"/>
  <c r="L257" i="4"/>
  <c r="S257" i="4" s="1"/>
  <c r="V257" i="4" s="1"/>
  <c r="L253" i="4"/>
  <c r="S253" i="4" s="1"/>
  <c r="V253" i="4" s="1"/>
  <c r="L249" i="4"/>
  <c r="S249" i="4" s="1"/>
  <c r="V249" i="4" s="1"/>
  <c r="L245" i="4"/>
  <c r="S245" i="4" s="1"/>
  <c r="V245" i="4" s="1"/>
  <c r="L241" i="4"/>
  <c r="S241" i="4" s="1"/>
  <c r="V241" i="4" s="1"/>
  <c r="L237" i="4"/>
  <c r="S237" i="4" s="1"/>
  <c r="V237" i="4" s="1"/>
  <c r="L233" i="4"/>
  <c r="S233" i="4" s="1"/>
  <c r="V233" i="4" s="1"/>
  <c r="L229" i="4"/>
  <c r="S229" i="4" s="1"/>
  <c r="V229" i="4" s="1"/>
  <c r="L225" i="4"/>
  <c r="S225" i="4" s="1"/>
  <c r="V225" i="4" s="1"/>
  <c r="L221" i="4"/>
  <c r="S221" i="4" s="1"/>
  <c r="V221" i="4" s="1"/>
  <c r="L217" i="4"/>
  <c r="S217" i="4" s="1"/>
  <c r="V217" i="4" s="1"/>
  <c r="L213" i="4"/>
  <c r="S213" i="4" s="1"/>
  <c r="V213" i="4" s="1"/>
  <c r="L209" i="4"/>
  <c r="S209" i="4" s="1"/>
  <c r="V209" i="4" s="1"/>
  <c r="L205" i="4"/>
  <c r="S205" i="4" s="1"/>
  <c r="V205" i="4" s="1"/>
  <c r="L201" i="4"/>
  <c r="S201" i="4" s="1"/>
  <c r="V201" i="4" s="1"/>
  <c r="L197" i="4"/>
  <c r="S197" i="4" s="1"/>
  <c r="V197" i="4" s="1"/>
  <c r="L193" i="4"/>
  <c r="S193" i="4" s="1"/>
  <c r="V193" i="4" s="1"/>
  <c r="L189" i="4"/>
  <c r="S189" i="4" s="1"/>
  <c r="V189" i="4" s="1"/>
  <c r="L185" i="4"/>
  <c r="S185" i="4" s="1"/>
  <c r="V185" i="4" s="1"/>
  <c r="L181" i="4"/>
  <c r="S181" i="4" s="1"/>
  <c r="V181" i="4" s="1"/>
  <c r="L177" i="4"/>
  <c r="S177" i="4" s="1"/>
  <c r="V177" i="4" s="1"/>
  <c r="L173" i="4"/>
  <c r="S173" i="4" s="1"/>
  <c r="V173" i="4" s="1"/>
  <c r="L169" i="4"/>
  <c r="S169" i="4" s="1"/>
  <c r="V169" i="4" s="1"/>
  <c r="L165" i="4"/>
  <c r="S165" i="4" s="1"/>
  <c r="V165" i="4" s="1"/>
  <c r="L161" i="4"/>
  <c r="S161" i="4" s="1"/>
  <c r="V161" i="4" s="1"/>
  <c r="L157" i="4"/>
  <c r="S157" i="4" s="1"/>
  <c r="V157" i="4" s="1"/>
  <c r="L153" i="4"/>
  <c r="S153" i="4" s="1"/>
  <c r="V153" i="4" s="1"/>
  <c r="L149" i="4"/>
  <c r="S149" i="4" s="1"/>
  <c r="V149" i="4" s="1"/>
  <c r="L145" i="4"/>
  <c r="S145" i="4" s="1"/>
  <c r="V145" i="4" s="1"/>
  <c r="L141" i="4"/>
  <c r="S141" i="4" s="1"/>
  <c r="V141" i="4" s="1"/>
  <c r="L137" i="4"/>
  <c r="S137" i="4" s="1"/>
  <c r="V137" i="4" s="1"/>
  <c r="L133" i="4"/>
  <c r="S133" i="4" s="1"/>
  <c r="V133" i="4" s="1"/>
  <c r="L129" i="4"/>
  <c r="S129" i="4" s="1"/>
  <c r="V129" i="4" s="1"/>
  <c r="L125" i="4"/>
  <c r="S125" i="4" s="1"/>
  <c r="V125" i="4" s="1"/>
  <c r="L121" i="4"/>
  <c r="S121" i="4" s="1"/>
  <c r="V121" i="4" s="1"/>
  <c r="L117" i="4"/>
  <c r="S117" i="4" s="1"/>
  <c r="V117" i="4" s="1"/>
  <c r="L113" i="4"/>
  <c r="S113" i="4" s="1"/>
  <c r="V113" i="4" s="1"/>
  <c r="L109" i="4"/>
  <c r="S109" i="4" s="1"/>
  <c r="V109" i="4" s="1"/>
  <c r="L105" i="4"/>
  <c r="S105" i="4" s="1"/>
  <c r="V105" i="4" s="1"/>
  <c r="L101" i="4"/>
  <c r="S101" i="4" s="1"/>
  <c r="V101" i="4" s="1"/>
  <c r="L97" i="4"/>
  <c r="S97" i="4" s="1"/>
  <c r="V97" i="4" s="1"/>
  <c r="L93" i="4"/>
  <c r="S93" i="4" s="1"/>
  <c r="V93" i="4" s="1"/>
  <c r="L89" i="4"/>
  <c r="S89" i="4" s="1"/>
  <c r="V89" i="4" s="1"/>
  <c r="L85" i="4"/>
  <c r="S85" i="4" s="1"/>
  <c r="V85" i="4" s="1"/>
  <c r="L81" i="4"/>
  <c r="S81" i="4" s="1"/>
  <c r="V81" i="4" s="1"/>
  <c r="L77" i="4"/>
  <c r="S77" i="4" s="1"/>
  <c r="V77" i="4" s="1"/>
  <c r="L73" i="4"/>
  <c r="S73" i="4" s="1"/>
  <c r="V73" i="4" s="1"/>
  <c r="L69" i="4"/>
  <c r="S69" i="4" s="1"/>
  <c r="V69" i="4" s="1"/>
  <c r="L65" i="4"/>
  <c r="S65" i="4" s="1"/>
  <c r="V65" i="4" s="1"/>
  <c r="L61" i="4"/>
  <c r="S61" i="4" s="1"/>
  <c r="V61" i="4" s="1"/>
  <c r="L57" i="4"/>
  <c r="S57" i="4" s="1"/>
  <c r="V57" i="4" s="1"/>
  <c r="L53" i="4"/>
  <c r="S53" i="4" s="1"/>
  <c r="V53" i="4" s="1"/>
  <c r="L49" i="4"/>
  <c r="S49" i="4" s="1"/>
  <c r="V49" i="4" s="1"/>
  <c r="L45" i="4"/>
  <c r="S45" i="4" s="1"/>
  <c r="V45" i="4" s="1"/>
  <c r="L41" i="4"/>
  <c r="S41" i="4" s="1"/>
  <c r="V41" i="4" s="1"/>
  <c r="L37" i="4"/>
  <c r="S37" i="4" s="1"/>
  <c r="V37" i="4" s="1"/>
  <c r="L33" i="4"/>
  <c r="S33" i="4" s="1"/>
  <c r="V33" i="4" s="1"/>
  <c r="L29" i="4"/>
  <c r="S29" i="4" s="1"/>
  <c r="V29" i="4" s="1"/>
  <c r="L25" i="4"/>
  <c r="S25" i="4" s="1"/>
  <c r="V25" i="4" s="1"/>
  <c r="L21" i="4"/>
  <c r="S21" i="4" s="1"/>
  <c r="V21" i="4" s="1"/>
  <c r="L17" i="4"/>
  <c r="S17" i="4" s="1"/>
  <c r="L15" i="4"/>
  <c r="S15" i="4" s="1"/>
  <c r="L13" i="4"/>
  <c r="S13" i="4" s="1"/>
  <c r="L11" i="4"/>
  <c r="S11" i="4" s="1"/>
  <c r="L9" i="4"/>
  <c r="S9" i="4" s="1"/>
  <c r="L7" i="4"/>
  <c r="S7" i="4" s="1"/>
  <c r="L5" i="4"/>
  <c r="S5" i="4" s="1"/>
  <c r="A6" i="7"/>
  <c r="T3" i="4" l="1"/>
  <c r="T2" i="4" s="1"/>
  <c r="C31" i="6"/>
  <c r="B31" i="6" s="1"/>
  <c r="E42" i="7"/>
  <c r="B6" i="7" s="1"/>
  <c r="M5" i="5"/>
  <c r="T5" i="5" s="1"/>
  <c r="W5" i="5" s="1"/>
  <c r="S6" i="5"/>
  <c r="V6" i="5" s="1"/>
  <c r="V17" i="4"/>
  <c r="C17" i="4" s="1"/>
  <c r="B17" i="4" s="1"/>
  <c r="V15" i="4"/>
  <c r="C15" i="4" s="1"/>
  <c r="B15" i="4" s="1"/>
  <c r="U14" i="4"/>
  <c r="C14" i="4" s="1"/>
  <c r="B14" i="4" s="1"/>
  <c r="V13" i="4"/>
  <c r="C13" i="4" s="1"/>
  <c r="B13" i="4" s="1"/>
  <c r="U12" i="4"/>
  <c r="C12" i="4" s="1"/>
  <c r="B12" i="4" s="1"/>
  <c r="U16" i="4"/>
  <c r="C16" i="4" s="1"/>
  <c r="B16" i="4" s="1"/>
  <c r="M18" i="5"/>
  <c r="T18" i="5" s="1"/>
  <c r="W18" i="5" s="1"/>
  <c r="T3" i="6"/>
  <c r="T2" i="6" s="1"/>
  <c r="C23" i="5"/>
  <c r="B23" i="5" s="1"/>
  <c r="C22" i="5"/>
  <c r="B22" i="5" s="1"/>
  <c r="C20" i="5"/>
  <c r="B20" i="5" s="1"/>
  <c r="C15" i="5"/>
  <c r="B15" i="5" s="1"/>
  <c r="C41" i="6"/>
  <c r="B41" i="6" s="1"/>
  <c r="C39" i="6"/>
  <c r="B39" i="6" s="1"/>
  <c r="C37" i="6"/>
  <c r="B37" i="6" s="1"/>
  <c r="C34" i="6"/>
  <c r="B34" i="6" s="1"/>
  <c r="C33" i="6"/>
  <c r="B33" i="6" s="1"/>
  <c r="C29" i="6"/>
  <c r="B29" i="6" s="1"/>
  <c r="U3" i="5"/>
  <c r="U2" i="5" s="1"/>
  <c r="C24" i="5"/>
  <c r="B24" i="5" s="1"/>
  <c r="C47" i="5"/>
  <c r="B47" i="5" s="1"/>
  <c r="C46" i="5"/>
  <c r="B46" i="5" s="1"/>
  <c r="C45" i="5"/>
  <c r="B45" i="5" s="1"/>
  <c r="C44" i="5"/>
  <c r="B44" i="5" s="1"/>
  <c r="C43" i="5"/>
  <c r="B43" i="5" s="1"/>
  <c r="C42" i="5"/>
  <c r="B42" i="5" s="1"/>
  <c r="C41" i="5"/>
  <c r="B41" i="5" s="1"/>
  <c r="C40" i="5"/>
  <c r="B40" i="5" s="1"/>
  <c r="C39" i="5"/>
  <c r="B39" i="5" s="1"/>
  <c r="C38" i="5"/>
  <c r="B38" i="5" s="1"/>
  <c r="C37" i="5"/>
  <c r="B37" i="5" s="1"/>
  <c r="C36" i="5"/>
  <c r="B36" i="5" s="1"/>
  <c r="C35" i="5"/>
  <c r="B35" i="5" s="1"/>
  <c r="C34" i="5"/>
  <c r="B34" i="5" s="1"/>
  <c r="C33" i="5"/>
  <c r="B33" i="5" s="1"/>
  <c r="C32" i="5"/>
  <c r="B32" i="5" s="1"/>
  <c r="C31" i="5"/>
  <c r="B31" i="5" s="1"/>
  <c r="C30" i="5"/>
  <c r="B30" i="5" s="1"/>
  <c r="C29" i="5"/>
  <c r="B29" i="5" s="1"/>
  <c r="C28" i="5"/>
  <c r="B28" i="5" s="1"/>
  <c r="C27" i="5"/>
  <c r="B27" i="5" s="1"/>
  <c r="C26" i="5"/>
  <c r="B26" i="5" s="1"/>
  <c r="C21" i="5"/>
  <c r="B21" i="5" s="1"/>
  <c r="C19" i="5"/>
  <c r="B19" i="5" s="1"/>
  <c r="C17" i="5"/>
  <c r="B17" i="5" s="1"/>
  <c r="C13" i="5"/>
  <c r="B13" i="5" s="1"/>
  <c r="C11" i="5"/>
  <c r="B11" i="5" s="1"/>
  <c r="C9" i="5"/>
  <c r="B9" i="5" s="1"/>
  <c r="C5" i="5"/>
  <c r="B5" i="5" s="1"/>
  <c r="V26" i="6"/>
  <c r="C26" i="6" s="1"/>
  <c r="B26" i="6" s="1"/>
  <c r="U25" i="6"/>
  <c r="C25" i="6" s="1"/>
  <c r="B25" i="6" s="1"/>
  <c r="V24" i="6"/>
  <c r="C24" i="6" s="1"/>
  <c r="B24" i="6" s="1"/>
  <c r="C20" i="6"/>
  <c r="B20" i="6" s="1"/>
  <c r="C18" i="6"/>
  <c r="B18" i="6" s="1"/>
  <c r="V11" i="4"/>
  <c r="C11" i="4" s="1"/>
  <c r="B11" i="4" s="1"/>
  <c r="U23" i="6"/>
  <c r="C23" i="6" s="1"/>
  <c r="B23" i="6" s="1"/>
  <c r="U21" i="6"/>
  <c r="C21" i="6" s="1"/>
  <c r="B21" i="6" s="1"/>
  <c r="C16" i="6"/>
  <c r="B16" i="6" s="1"/>
  <c r="C14" i="6"/>
  <c r="B14" i="6" s="1"/>
  <c r="U10" i="4"/>
  <c r="C10" i="4" s="1"/>
  <c r="B10" i="4" s="1"/>
  <c r="V9" i="4"/>
  <c r="C9" i="4" s="1"/>
  <c r="B9" i="4" s="1"/>
  <c r="U8" i="4"/>
  <c r="C8" i="4" s="1"/>
  <c r="B8" i="4" s="1"/>
  <c r="V7" i="4"/>
  <c r="C7" i="4" s="1"/>
  <c r="B7" i="4" s="1"/>
  <c r="V4" i="4"/>
  <c r="C4" i="4" s="1"/>
  <c r="B4" i="4" s="1"/>
  <c r="U6" i="4"/>
  <c r="V5" i="4"/>
  <c r="V6" i="4"/>
  <c r="U17" i="6"/>
  <c r="C17" i="6" s="1"/>
  <c r="B17" i="6" s="1"/>
  <c r="U13" i="6"/>
  <c r="C13" i="6" s="1"/>
  <c r="B13" i="6" s="1"/>
  <c r="V12" i="6"/>
  <c r="C12" i="6" s="1"/>
  <c r="B12" i="6" s="1"/>
  <c r="V10" i="6"/>
  <c r="C10" i="6" s="1"/>
  <c r="B10" i="6" s="1"/>
  <c r="U9" i="6"/>
  <c r="C9" i="6" s="1"/>
  <c r="B9" i="6" s="1"/>
  <c r="V8" i="6"/>
  <c r="C8" i="6" s="1"/>
  <c r="B8" i="6" s="1"/>
  <c r="V18" i="5"/>
  <c r="V16" i="5"/>
  <c r="C16" i="5" s="1"/>
  <c r="B16" i="5" s="1"/>
  <c r="V14" i="5"/>
  <c r="C14" i="5" s="1"/>
  <c r="B14" i="5" s="1"/>
  <c r="V10" i="5"/>
  <c r="C10" i="5" s="1"/>
  <c r="B10" i="5" s="1"/>
  <c r="V7" i="5"/>
  <c r="C7" i="5" s="1"/>
  <c r="B7" i="5" s="1"/>
  <c r="W3" i="5"/>
  <c r="W2" i="5" s="1"/>
  <c r="V8" i="5"/>
  <c r="V6" i="6"/>
  <c r="C6" i="6" s="1"/>
  <c r="B6" i="6" s="1"/>
  <c r="U5" i="6"/>
  <c r="C5" i="6" s="1"/>
  <c r="B5" i="6" s="1"/>
  <c r="U4" i="6"/>
  <c r="C12" i="5"/>
  <c r="B12" i="5" s="1"/>
  <c r="C4" i="5"/>
  <c r="B4" i="5" s="1"/>
  <c r="C6" i="5"/>
  <c r="B6" i="5" s="1"/>
  <c r="C22" i="6"/>
  <c r="B22" i="6" s="1"/>
  <c r="K4" i="7"/>
  <c r="IZ3" i="7"/>
  <c r="IY2" i="7"/>
  <c r="IY3" i="7" s="1"/>
  <c r="J4" i="7"/>
  <c r="IX3" i="7"/>
  <c r="D7" i="7"/>
  <c r="D6" i="7"/>
  <c r="L4" i="7" l="1"/>
  <c r="C6" i="4"/>
  <c r="B6" i="4" s="1"/>
  <c r="C18" i="5"/>
  <c r="B18" i="5" s="1"/>
  <c r="U3" i="4"/>
  <c r="U2" i="4" s="1"/>
  <c r="V3" i="4"/>
  <c r="V2" i="4" s="1"/>
  <c r="C5" i="4"/>
  <c r="B5" i="4" s="1"/>
  <c r="C4" i="6"/>
  <c r="B4" i="6" s="1"/>
  <c r="U3" i="6"/>
  <c r="U2" i="6" s="1"/>
  <c r="V3" i="6"/>
  <c r="V2" i="6" s="1"/>
  <c r="V3" i="5"/>
  <c r="V2" i="5" s="1"/>
  <c r="X2" i="5" s="1"/>
  <c r="C8" i="5"/>
  <c r="B8" i="5" s="1"/>
  <c r="JA3" i="7"/>
  <c r="JA4" i="7" s="1"/>
  <c r="JA5" i="7" s="1"/>
  <c r="JA6" i="7" s="1"/>
  <c r="JB2" i="7"/>
  <c r="JA2" i="7"/>
  <c r="B7" i="7"/>
  <c r="C6" i="7" s="1"/>
  <c r="E15" i="7" l="1"/>
  <c r="E11" i="7" s="1"/>
  <c r="AC15" i="7"/>
  <c r="AA15" i="7"/>
  <c r="Y15" i="7"/>
  <c r="W15" i="7"/>
  <c r="U15" i="7"/>
  <c r="S15" i="7"/>
  <c r="Q15" i="7"/>
  <c r="O15" i="7"/>
  <c r="M15" i="7"/>
  <c r="K15" i="7"/>
  <c r="I15" i="7"/>
  <c r="AB15" i="7"/>
  <c r="Z15" i="7"/>
  <c r="X15" i="7"/>
  <c r="V15" i="7"/>
  <c r="T15" i="7"/>
  <c r="R15" i="7"/>
  <c r="P15" i="7"/>
  <c r="N15" i="7"/>
  <c r="L15" i="7"/>
  <c r="J15" i="7"/>
  <c r="H15" i="7"/>
  <c r="G15" i="7"/>
  <c r="G11" i="7" s="1"/>
  <c r="F15" i="7"/>
  <c r="F11" i="7" s="1"/>
  <c r="A13" i="7"/>
  <c r="W2" i="4"/>
  <c r="X2" i="4" s="1"/>
  <c r="Y3" i="4" s="1"/>
  <c r="Z3" i="4" s="1"/>
  <c r="AA3" i="4" s="1"/>
  <c r="AB3" i="4" s="1"/>
  <c r="W2" i="6"/>
  <c r="X2" i="6" s="1"/>
  <c r="X3" i="6" s="1"/>
  <c r="Y3" i="6" s="1"/>
  <c r="Z3" i="6" s="1"/>
  <c r="AA3" i="6" s="1"/>
  <c r="AB3" i="6" s="1"/>
  <c r="Y2" i="5"/>
  <c r="Y3" i="5" s="1"/>
  <c r="Z3" i="5" s="1"/>
  <c r="AA3" i="5" s="1"/>
  <c r="AB3" i="5" s="1"/>
  <c r="H3" i="5"/>
  <c r="JA7" i="7"/>
  <c r="JA8" i="7" s="1"/>
  <c r="JA9" i="7" s="1"/>
  <c r="C7" i="7"/>
  <c r="E23" i="7" s="1"/>
  <c r="L14" i="7" l="1"/>
  <c r="L11" i="7"/>
  <c r="T14" i="7"/>
  <c r="T11" i="7"/>
  <c r="AB14" i="7"/>
  <c r="AB11" i="7"/>
  <c r="O11" i="7"/>
  <c r="O14" i="7"/>
  <c r="S11" i="7"/>
  <c r="S14" i="7"/>
  <c r="AA11" i="7"/>
  <c r="AA14" i="7"/>
  <c r="E14" i="7"/>
  <c r="J14" i="7"/>
  <c r="J11" i="7"/>
  <c r="N14" i="7"/>
  <c r="N11" i="7"/>
  <c r="R14" i="7"/>
  <c r="R11" i="7"/>
  <c r="V14" i="7"/>
  <c r="V11" i="7"/>
  <c r="Z14" i="7"/>
  <c r="Z11" i="7"/>
  <c r="I11" i="7"/>
  <c r="I14" i="7"/>
  <c r="M11" i="7"/>
  <c r="M14" i="7"/>
  <c r="Q11" i="7"/>
  <c r="Q14" i="7"/>
  <c r="U11" i="7"/>
  <c r="U14" i="7"/>
  <c r="Y11" i="7"/>
  <c r="Y14" i="7"/>
  <c r="AC11" i="7"/>
  <c r="AC14" i="7"/>
  <c r="H14" i="7"/>
  <c r="H11" i="7"/>
  <c r="P14" i="7"/>
  <c r="P11" i="7"/>
  <c r="X14" i="7"/>
  <c r="X11" i="7"/>
  <c r="K11" i="7"/>
  <c r="K14" i="7"/>
  <c r="W11" i="7"/>
  <c r="W14" i="7"/>
  <c r="G14" i="7"/>
  <c r="F14" i="7"/>
  <c r="H3" i="6"/>
  <c r="H3" i="4"/>
  <c r="B13" i="7"/>
  <c r="E25" i="7" s="1"/>
  <c r="F25" i="7" s="1"/>
  <c r="G25" i="7" s="1"/>
  <c r="AC3" i="6"/>
  <c r="G3" i="5"/>
  <c r="AC3" i="4"/>
  <c r="AD3" i="4" s="1"/>
  <c r="AE3" i="4" s="1"/>
  <c r="G1" i="7"/>
  <c r="AN100" i="7"/>
  <c r="AN13" i="7" s="1"/>
  <c r="AJ100" i="7"/>
  <c r="AJ13" i="7" s="1"/>
  <c r="AF100" i="7"/>
  <c r="AF13" i="7" s="1"/>
  <c r="AM100" i="7"/>
  <c r="AM13" i="7" s="1"/>
  <c r="AE100" i="7"/>
  <c r="AE13" i="7" s="1"/>
  <c r="AO100" i="7"/>
  <c r="AO13" i="7" s="1"/>
  <c r="AI100" i="7"/>
  <c r="AI13" i="7" s="1"/>
  <c r="AK100" i="7"/>
  <c r="AK13" i="7" s="1"/>
  <c r="AG100" i="7"/>
  <c r="AG13" i="7" s="1"/>
  <c r="G12" i="7" l="1"/>
  <c r="G100" i="7" s="1"/>
  <c r="F12" i="7"/>
  <c r="F99" i="7" s="1"/>
  <c r="F101" i="7" s="1"/>
  <c r="E12" i="7"/>
  <c r="E99" i="7" s="1"/>
  <c r="E101" i="7" s="1"/>
  <c r="L99" i="7"/>
  <c r="L101" i="7" s="1"/>
  <c r="W12" i="7"/>
  <c r="W100" i="7" s="1"/>
  <c r="Y12" i="7"/>
  <c r="Y100" i="7" s="1"/>
  <c r="Q12" i="7"/>
  <c r="Q100" i="7" s="1"/>
  <c r="I12" i="7"/>
  <c r="I100" i="7" s="1"/>
  <c r="AB12" i="7"/>
  <c r="AB100" i="7" s="1"/>
  <c r="K12" i="7"/>
  <c r="K100" i="7" s="1"/>
  <c r="AC12" i="7"/>
  <c r="AC100" i="7" s="1"/>
  <c r="U12" i="7"/>
  <c r="U100" i="7" s="1"/>
  <c r="M12" i="7"/>
  <c r="M100" i="7" s="1"/>
  <c r="T12" i="7"/>
  <c r="T100" i="7" s="1"/>
  <c r="L12" i="7"/>
  <c r="L100" i="7" s="1"/>
  <c r="X12" i="7"/>
  <c r="X100" i="7" s="1"/>
  <c r="P12" i="7"/>
  <c r="P100" i="7" s="1"/>
  <c r="H12" i="7"/>
  <c r="H100" i="7" s="1"/>
  <c r="Z12" i="7"/>
  <c r="Z100" i="7" s="1"/>
  <c r="V12" i="7"/>
  <c r="V100" i="7" s="1"/>
  <c r="R12" i="7"/>
  <c r="R100" i="7" s="1"/>
  <c r="N12" i="7"/>
  <c r="N100" i="7" s="1"/>
  <c r="J12" i="7"/>
  <c r="J100" i="7" s="1"/>
  <c r="AA12" i="7"/>
  <c r="AA100" i="7" s="1"/>
  <c r="S12" i="7"/>
  <c r="S100" i="7" s="1"/>
  <c r="O12" i="7"/>
  <c r="O100" i="7" s="1"/>
  <c r="H25" i="7"/>
  <c r="I25" i="7" s="1"/>
  <c r="J25" i="7" s="1"/>
  <c r="K25" i="7" s="1"/>
  <c r="A11" i="7"/>
  <c r="AL100" i="7"/>
  <c r="AL13" i="7" s="1"/>
  <c r="AH100" i="7"/>
  <c r="AH13" i="7" s="1"/>
  <c r="AD100" i="7"/>
  <c r="AD13" i="7" s="1"/>
  <c r="BK100" i="7"/>
  <c r="BK13" i="7" s="1"/>
  <c r="BA100" i="7"/>
  <c r="BA13" i="7" s="1"/>
  <c r="BD100" i="7"/>
  <c r="BD13" i="7" s="1"/>
  <c r="BI100" i="7"/>
  <c r="BI13" i="7" s="1"/>
  <c r="BC100" i="7"/>
  <c r="BC13" i="7" s="1"/>
  <c r="AU100" i="7"/>
  <c r="AU13" i="7" s="1"/>
  <c r="BE100" i="7"/>
  <c r="BE13" i="7" s="1"/>
  <c r="AW100" i="7"/>
  <c r="AW13" i="7" s="1"/>
  <c r="BJ100" i="7"/>
  <c r="BJ13" i="7" s="1"/>
  <c r="AX100" i="7"/>
  <c r="AX13" i="7" s="1"/>
  <c r="BG100" i="7"/>
  <c r="BG13" i="7" s="1"/>
  <c r="AY100" i="7"/>
  <c r="AY13" i="7" s="1"/>
  <c r="BP100" i="7"/>
  <c r="BP13" i="7" s="1"/>
  <c r="BM100" i="7"/>
  <c r="BM13" i="7" s="1"/>
  <c r="BO100" i="7"/>
  <c r="BO13" i="7" s="1"/>
  <c r="BL100" i="7"/>
  <c r="BL13" i="7" s="1"/>
  <c r="BN100" i="7"/>
  <c r="BN13" i="7" s="1"/>
  <c r="BF100" i="7"/>
  <c r="BF13" i="7" s="1"/>
  <c r="BB100" i="7"/>
  <c r="BB13" i="7" s="1"/>
  <c r="AT100" i="7"/>
  <c r="AT13" i="7" s="1"/>
  <c r="AP100" i="7"/>
  <c r="AP13" i="7" s="1"/>
  <c r="AS100" i="7"/>
  <c r="AS13" i="7" s="1"/>
  <c r="BH100" i="7"/>
  <c r="BH13" i="7" s="1"/>
  <c r="AZ100" i="7"/>
  <c r="AZ13" i="7" s="1"/>
  <c r="AV100" i="7"/>
  <c r="AV13" i="7" s="1"/>
  <c r="AR100" i="7"/>
  <c r="AR13" i="7" s="1"/>
  <c r="AQ100" i="7"/>
  <c r="AQ13" i="7" s="1"/>
  <c r="AD3" i="6"/>
  <c r="G3" i="6" s="1"/>
  <c r="F100" i="7" l="1"/>
  <c r="F13" i="7" s="1"/>
  <c r="R99" i="7"/>
  <c r="R101" i="7" s="1"/>
  <c r="R13" i="7" s="1"/>
  <c r="AB99" i="7"/>
  <c r="AB101" i="7" s="1"/>
  <c r="AB13" i="7" s="1"/>
  <c r="K99" i="7"/>
  <c r="K101" i="7" s="1"/>
  <c r="K13" i="7" s="1"/>
  <c r="N99" i="7"/>
  <c r="N101" i="7" s="1"/>
  <c r="N13" i="7" s="1"/>
  <c r="W99" i="7"/>
  <c r="W101" i="7" s="1"/>
  <c r="W13" i="7" s="1"/>
  <c r="J99" i="7"/>
  <c r="J101" i="7" s="1"/>
  <c r="J13" i="7" s="1"/>
  <c r="AC99" i="7"/>
  <c r="AC101" i="7" s="1"/>
  <c r="AC13" i="7" s="1"/>
  <c r="G99" i="7"/>
  <c r="G101" i="7" s="1"/>
  <c r="G13" i="7" s="1"/>
  <c r="H99" i="7"/>
  <c r="H101" i="7" s="1"/>
  <c r="H13" i="7" s="1"/>
  <c r="AA99" i="7"/>
  <c r="AA101" i="7" s="1"/>
  <c r="AA13" i="7" s="1"/>
  <c r="L13" i="7"/>
  <c r="I99" i="7"/>
  <c r="I101" i="7" s="1"/>
  <c r="I13" i="7" s="1"/>
  <c r="U99" i="7"/>
  <c r="U101" i="7" s="1"/>
  <c r="U13" i="7" s="1"/>
  <c r="E100" i="7"/>
  <c r="Q99" i="7"/>
  <c r="Q101" i="7" s="1"/>
  <c r="Q13" i="7" s="1"/>
  <c r="X99" i="7"/>
  <c r="X101" i="7" s="1"/>
  <c r="X13" i="7" s="1"/>
  <c r="Z99" i="7"/>
  <c r="Z101" i="7" s="1"/>
  <c r="Z13" i="7" s="1"/>
  <c r="T99" i="7"/>
  <c r="T101" i="7" s="1"/>
  <c r="T13" i="7" s="1"/>
  <c r="O99" i="7"/>
  <c r="O101" i="7" s="1"/>
  <c r="O13" i="7" s="1"/>
  <c r="Y99" i="7"/>
  <c r="Y101" i="7" s="1"/>
  <c r="Y13" i="7" s="1"/>
  <c r="S99" i="7"/>
  <c r="S101" i="7" s="1"/>
  <c r="S13" i="7" s="1"/>
  <c r="P99" i="7"/>
  <c r="P101" i="7" s="1"/>
  <c r="P13" i="7" s="1"/>
  <c r="M99" i="7"/>
  <c r="M101" i="7" s="1"/>
  <c r="M13" i="7" s="1"/>
  <c r="V99" i="7"/>
  <c r="V101" i="7" s="1"/>
  <c r="V13" i="7" s="1"/>
  <c r="L24" i="7"/>
  <c r="N24" i="7" s="1"/>
  <c r="L25" i="7"/>
  <c r="M41" i="7"/>
  <c r="M42" i="7" s="1"/>
  <c r="E28" i="7"/>
  <c r="F28" i="7" s="1"/>
  <c r="I5" i="7"/>
  <c r="G3" i="4"/>
  <c r="J5" i="7"/>
  <c r="M43" i="7" l="1"/>
  <c r="I6" i="7" s="1"/>
  <c r="E13" i="7"/>
  <c r="G28" i="7"/>
  <c r="H28" i="7" s="1"/>
  <c r="I28" i="7" s="1"/>
  <c r="J28" i="7" s="1"/>
  <c r="K28" i="7" s="1"/>
  <c r="L28" i="7" s="1"/>
  <c r="K5" i="7"/>
  <c r="M44" i="7" l="1"/>
  <c r="M45" i="7" s="1"/>
  <c r="J6" i="7" s="1"/>
  <c r="M46" i="7" l="1"/>
  <c r="M47" i="7" s="1"/>
  <c r="K6" i="7" s="1"/>
  <c r="U3" i="3"/>
  <c r="Z3" i="3" l="1"/>
  <c r="AD3" i="3" s="1"/>
  <c r="AB3" i="3"/>
  <c r="AA3" i="3" l="1"/>
  <c r="X3" i="3" s="1"/>
  <c r="W3" i="3"/>
  <c r="V3" i="3" s="1"/>
  <c r="AG3" i="3"/>
  <c r="AG4" i="3" s="1"/>
  <c r="AE3" i="3" l="1"/>
  <c r="AH3" i="3" s="1"/>
  <c r="AH4" i="3" s="1"/>
  <c r="Y3" i="3"/>
  <c r="AF3" i="3" s="1"/>
  <c r="AI3" i="3" s="1"/>
  <c r="AI4" i="3" s="1"/>
  <c r="AJ4" i="3" l="1"/>
  <c r="AJ5" i="3" s="1"/>
  <c r="AJ6" i="3" l="1"/>
  <c r="AJ7" i="3" s="1"/>
  <c r="AJ8" i="3" s="1"/>
  <c r="AJ9" i="3" s="1"/>
  <c r="AJ10" i="3" s="1"/>
  <c r="F14" i="1" l="1"/>
  <c r="O8" i="1"/>
  <c r="F15" i="1" s="1"/>
  <c r="C14" i="1"/>
  <c r="L23" i="1"/>
  <c r="L43" i="1" s="1"/>
  <c r="L44" i="1" s="1"/>
  <c r="L24" i="1"/>
  <c r="F12" i="1"/>
  <c r="F13" i="1"/>
  <c r="C12" i="1"/>
  <c r="H13" i="1"/>
  <c r="L21" i="1" s="1"/>
  <c r="H11" i="1"/>
  <c r="L18" i="1" s="1"/>
  <c r="F8" i="1"/>
  <c r="L8" i="1"/>
  <c r="F9" i="1" s="1"/>
  <c r="H9" i="1"/>
  <c r="L15" i="1" s="1"/>
  <c r="L27" i="1"/>
  <c r="F16" i="1"/>
  <c r="P8" i="1"/>
  <c r="F17" i="1" s="1"/>
  <c r="C16" i="1"/>
  <c r="L26" i="1"/>
  <c r="L46" i="1" s="1"/>
  <c r="L47" i="1" s="1"/>
  <c r="O12" i="3"/>
  <c r="N2" i="3"/>
  <c r="F65" i="3"/>
  <c r="F64" i="3"/>
  <c r="F45" i="3"/>
  <c r="F44" i="3"/>
  <c r="F43" i="3"/>
  <c r="F42" i="3"/>
  <c r="F41" i="3"/>
  <c r="F40" i="3"/>
  <c r="F39" i="3"/>
  <c r="F38" i="3"/>
  <c r="T7" i="1"/>
  <c r="U27" i="1"/>
  <c r="T27" i="1"/>
  <c r="S27" i="1"/>
  <c r="R27" i="1"/>
  <c r="Q27" i="1"/>
  <c r="P27" i="1"/>
  <c r="H17" i="1"/>
  <c r="O27" i="1"/>
  <c r="N27" i="1"/>
  <c r="M27" i="1"/>
  <c r="U26" i="1"/>
  <c r="T26" i="1"/>
  <c r="S26" i="1"/>
  <c r="R26" i="1"/>
  <c r="Q26" i="1"/>
  <c r="P26" i="1"/>
  <c r="O26" i="1"/>
  <c r="N26" i="1"/>
  <c r="M26" i="1"/>
  <c r="Q14" i="1"/>
  <c r="R14" i="1"/>
  <c r="S14" i="1"/>
  <c r="T14" i="1"/>
  <c r="P20" i="1"/>
  <c r="Q20" i="1"/>
  <c r="R20" i="1"/>
  <c r="S20" i="1"/>
  <c r="T20" i="1"/>
  <c r="U20" i="1"/>
  <c r="M23" i="1"/>
  <c r="N23" i="1"/>
  <c r="O23" i="1"/>
  <c r="P23" i="1"/>
  <c r="Q23" i="1"/>
  <c r="R23" i="1"/>
  <c r="S23" i="1"/>
  <c r="T23" i="1"/>
  <c r="U23" i="1"/>
  <c r="T3" i="1"/>
  <c r="U24" i="1"/>
  <c r="T24" i="1"/>
  <c r="S24" i="1"/>
  <c r="R24" i="1"/>
  <c r="Q24" i="1"/>
  <c r="H15" i="1"/>
  <c r="P24" i="1"/>
  <c r="O24" i="1"/>
  <c r="N24" i="1"/>
  <c r="M24" i="1"/>
  <c r="U21" i="1"/>
  <c r="T21" i="1"/>
  <c r="S21" i="1"/>
  <c r="R21" i="1"/>
  <c r="Q21" i="1"/>
  <c r="P21" i="1"/>
  <c r="O21" i="1"/>
  <c r="T15" i="1"/>
  <c r="S15" i="1"/>
  <c r="R15" i="1"/>
  <c r="Q15" i="1"/>
  <c r="M21" i="1" l="1"/>
  <c r="N21" i="1"/>
  <c r="P15" i="1"/>
  <c r="U18" i="1"/>
  <c r="O15" i="1"/>
  <c r="Q18" i="1"/>
  <c r="S18" i="1"/>
  <c r="R18" i="1"/>
  <c r="T18" i="1"/>
  <c r="E17" i="3"/>
  <c r="G17" i="3"/>
  <c r="F17" i="3"/>
  <c r="N12" i="3"/>
  <c r="D17" i="3"/>
  <c r="C17" i="3"/>
  <c r="E10" i="1"/>
  <c r="D10" i="1" s="1"/>
  <c r="B10" i="1" s="1"/>
  <c r="H10" i="1" s="1"/>
  <c r="E14" i="1"/>
  <c r="D14" i="1" s="1"/>
  <c r="B14" i="1" s="1"/>
  <c r="M18" i="1"/>
  <c r="P18" i="1"/>
  <c r="E12" i="1"/>
  <c r="D12" i="1" s="1"/>
  <c r="B12" i="1" s="1"/>
  <c r="L45" i="1"/>
  <c r="M45" i="1" s="1"/>
  <c r="L48" i="1"/>
  <c r="M48" i="1" s="1"/>
  <c r="M15" i="1"/>
  <c r="N15" i="1"/>
  <c r="O18" i="1"/>
  <c r="V26" i="1"/>
  <c r="Q8" i="1"/>
  <c r="L40" i="3"/>
  <c r="P40" i="3" s="1"/>
  <c r="S40" i="3" s="1"/>
  <c r="N40" i="3"/>
  <c r="L39" i="3"/>
  <c r="P39" i="3" s="1"/>
  <c r="S39" i="3" s="1"/>
  <c r="C39" i="3" s="1"/>
  <c r="B39" i="3" s="1"/>
  <c r="N39" i="3"/>
  <c r="L41" i="3"/>
  <c r="P41" i="3" s="1"/>
  <c r="S41" i="3" s="1"/>
  <c r="C41" i="3" s="1"/>
  <c r="B41" i="3" s="1"/>
  <c r="N41" i="3"/>
  <c r="L43" i="3"/>
  <c r="P43" i="3" s="1"/>
  <c r="S43" i="3" s="1"/>
  <c r="C43" i="3" s="1"/>
  <c r="B43" i="3" s="1"/>
  <c r="N43" i="3"/>
  <c r="L45" i="3"/>
  <c r="P45" i="3" s="1"/>
  <c r="S45" i="3" s="1"/>
  <c r="C45" i="3" s="1"/>
  <c r="B45" i="3" s="1"/>
  <c r="N45" i="3"/>
  <c r="L64" i="3"/>
  <c r="P64" i="3" s="1"/>
  <c r="S64" i="3" s="1"/>
  <c r="N64" i="3"/>
  <c r="L38" i="3"/>
  <c r="P38" i="3" s="1"/>
  <c r="S38" i="3" s="1"/>
  <c r="N38" i="3"/>
  <c r="L42" i="3"/>
  <c r="P42" i="3" s="1"/>
  <c r="S42" i="3" s="1"/>
  <c r="N42" i="3"/>
  <c r="L44" i="3"/>
  <c r="P44" i="3" s="1"/>
  <c r="S44" i="3" s="1"/>
  <c r="N44" i="3"/>
  <c r="L65" i="3"/>
  <c r="P65" i="3" s="1"/>
  <c r="S65" i="3" s="1"/>
  <c r="C65" i="3" s="1"/>
  <c r="B65" i="3" s="1"/>
  <c r="N65" i="3"/>
  <c r="O13" i="3"/>
  <c r="V23" i="1"/>
  <c r="N18" i="1"/>
  <c r="E16" i="1"/>
  <c r="D16" i="1" s="1"/>
  <c r="B16" i="1" s="1"/>
  <c r="E8" i="1"/>
  <c r="L17" i="1" l="1"/>
  <c r="T17" i="1"/>
  <c r="R17" i="1"/>
  <c r="S17" i="1"/>
  <c r="E19" i="1"/>
  <c r="G22" i="3"/>
  <c r="H22" i="3"/>
  <c r="F22" i="3"/>
  <c r="D22" i="3"/>
  <c r="E22" i="3"/>
  <c r="C22" i="3"/>
  <c r="M43" i="3"/>
  <c r="J43" i="3" s="1"/>
  <c r="M40" i="3"/>
  <c r="J40" i="3" s="1"/>
  <c r="M41" i="3"/>
  <c r="J41" i="3" s="1"/>
  <c r="M39" i="3"/>
  <c r="J39" i="3" s="1"/>
  <c r="M64" i="3"/>
  <c r="J64" i="3" s="1"/>
  <c r="M45" i="3"/>
  <c r="J45" i="3" s="1"/>
  <c r="M42" i="3"/>
  <c r="J42" i="3" s="1"/>
  <c r="M65" i="3"/>
  <c r="J65" i="3" s="1"/>
  <c r="AB7" i="3"/>
  <c r="M38" i="3"/>
  <c r="J38" i="3" s="1"/>
  <c r="M44" i="3"/>
  <c r="J44" i="3" s="1"/>
  <c r="H14" i="1"/>
  <c r="A14" i="1"/>
  <c r="I65" i="3"/>
  <c r="H65" i="3" s="1"/>
  <c r="I44" i="3"/>
  <c r="H44" i="3" s="1"/>
  <c r="I38" i="3"/>
  <c r="H38" i="3" s="1"/>
  <c r="I45" i="3"/>
  <c r="H45" i="3" s="1"/>
  <c r="I41" i="3"/>
  <c r="H41" i="3" s="1"/>
  <c r="I42" i="3"/>
  <c r="H42" i="3" s="1"/>
  <c r="I64" i="3"/>
  <c r="H64" i="3" s="1"/>
  <c r="I43" i="3"/>
  <c r="H43" i="3" s="1"/>
  <c r="I39" i="3"/>
  <c r="H39" i="3" s="1"/>
  <c r="I40" i="3"/>
  <c r="H40" i="3" s="1"/>
  <c r="N6" i="3"/>
  <c r="O6" i="3" s="1"/>
  <c r="N13" i="3"/>
  <c r="N14" i="3" s="1"/>
  <c r="D8" i="1"/>
  <c r="B8" i="1" s="1"/>
  <c r="A8" i="1" s="1"/>
  <c r="H12" i="1"/>
  <c r="A12" i="1"/>
  <c r="A10" i="1"/>
  <c r="H16" i="1"/>
  <c r="A16" i="1"/>
  <c r="O20" i="1" l="1"/>
  <c r="N20" i="1"/>
  <c r="Q44" i="3"/>
  <c r="T44" i="3" s="1"/>
  <c r="K43" i="3"/>
  <c r="R43" i="3" s="1"/>
  <c r="U43" i="3" s="1"/>
  <c r="Q41" i="3"/>
  <c r="T41" i="3" s="1"/>
  <c r="K40" i="3"/>
  <c r="R40" i="3" s="1"/>
  <c r="U40" i="3" s="1"/>
  <c r="C40" i="3" s="1"/>
  <c r="B40" i="3" s="1"/>
  <c r="Q39" i="3"/>
  <c r="T39" i="3" s="1"/>
  <c r="K45" i="3"/>
  <c r="R45" i="3" s="1"/>
  <c r="U45" i="3" s="1"/>
  <c r="K65" i="3"/>
  <c r="R65" i="3" s="1"/>
  <c r="U65" i="3" s="1"/>
  <c r="N15" i="3"/>
  <c r="D13" i="3" s="1"/>
  <c r="L20" i="1"/>
  <c r="M20" i="1"/>
  <c r="Q43" i="3"/>
  <c r="T43" i="3" s="1"/>
  <c r="Q40" i="3"/>
  <c r="T40" i="3" s="1"/>
  <c r="K64" i="3"/>
  <c r="R64" i="3" s="1"/>
  <c r="U64" i="3" s="1"/>
  <c r="C64" i="3" s="1"/>
  <c r="B64" i="3" s="1"/>
  <c r="Q42" i="3"/>
  <c r="T42" i="3" s="1"/>
  <c r="K41" i="3"/>
  <c r="R41" i="3" s="1"/>
  <c r="U41" i="3" s="1"/>
  <c r="Q38" i="3"/>
  <c r="T38" i="3" s="1"/>
  <c r="K39" i="3"/>
  <c r="R39" i="3" s="1"/>
  <c r="U39" i="3" s="1"/>
  <c r="Q64" i="3"/>
  <c r="T64" i="3" s="1"/>
  <c r="Q45" i="3"/>
  <c r="T45" i="3" s="1"/>
  <c r="P17" i="1"/>
  <c r="Q17" i="1"/>
  <c r="K42" i="3"/>
  <c r="R42" i="3" s="1"/>
  <c r="U42" i="3" s="1"/>
  <c r="C42" i="3" s="1"/>
  <c r="B42" i="3" s="1"/>
  <c r="Q65" i="3"/>
  <c r="T65" i="3" s="1"/>
  <c r="AE7" i="3"/>
  <c r="K38" i="3"/>
  <c r="R38" i="3" s="1"/>
  <c r="U38" i="3" s="1"/>
  <c r="C38" i="3" s="1"/>
  <c r="B38" i="3" s="1"/>
  <c r="K44" i="3"/>
  <c r="R44" i="3" s="1"/>
  <c r="U44" i="3" s="1"/>
  <c r="C44" i="3" s="1"/>
  <c r="B44" i="3" s="1"/>
  <c r="N8" i="3"/>
  <c r="O8" i="3" s="1"/>
  <c r="M17" i="1"/>
  <c r="O17" i="1"/>
  <c r="N17" i="1"/>
  <c r="H8" i="1"/>
  <c r="B21" i="1"/>
  <c r="G23" i="3" l="1"/>
  <c r="H23" i="3"/>
  <c r="F23" i="3"/>
  <c r="E18" i="3"/>
  <c r="G18" i="3"/>
  <c r="F18" i="3"/>
  <c r="N16" i="3"/>
  <c r="D18" i="3"/>
  <c r="C18" i="3"/>
  <c r="N7" i="3" s="1"/>
  <c r="O7" i="3" s="1"/>
  <c r="C13" i="3"/>
  <c r="N5" i="3" s="1"/>
  <c r="O5" i="3" s="1"/>
  <c r="E23" i="3"/>
  <c r="C23" i="3"/>
  <c r="N25" i="3" s="1"/>
  <c r="O25" i="3" s="1"/>
  <c r="D23" i="3"/>
  <c r="O14" i="1"/>
  <c r="P14" i="1"/>
  <c r="V20" i="1"/>
  <c r="L40" i="1"/>
  <c r="L42" i="1" s="1"/>
  <c r="L37" i="1"/>
  <c r="L14" i="1"/>
  <c r="L34" i="1" s="1"/>
  <c r="N14" i="1"/>
  <c r="M14" i="1"/>
  <c r="V17" i="1"/>
  <c r="C12" i="3" l="1"/>
  <c r="D12" i="3"/>
  <c r="N9" i="3"/>
  <c r="O9" i="3" s="1"/>
  <c r="N22" i="3"/>
  <c r="O22" i="3" s="1"/>
  <c r="AA7" i="3"/>
  <c r="O26" i="3"/>
  <c r="J8" i="3" s="1"/>
  <c r="AD7" i="3"/>
  <c r="L41" i="1"/>
  <c r="M42" i="1" s="1"/>
  <c r="N10" i="1" s="1"/>
  <c r="L39" i="1"/>
  <c r="L38" i="1"/>
  <c r="L36" i="1"/>
  <c r="V14" i="1"/>
  <c r="V29" i="1" s="1"/>
  <c r="Y7" i="3" l="1"/>
  <c r="N19" i="3"/>
  <c r="O20" i="3" s="1"/>
  <c r="N4" i="3"/>
  <c r="O4" i="3" s="1"/>
  <c r="O10" i="3" s="1"/>
  <c r="X7" i="3"/>
  <c r="X8" i="3" s="1"/>
  <c r="X9" i="3" s="1"/>
  <c r="O23" i="3"/>
  <c r="J6" i="3" s="1"/>
  <c r="AC7" i="3"/>
  <c r="AA8" i="3"/>
  <c r="AA9" i="3" s="1"/>
  <c r="AA10" i="3" s="1"/>
  <c r="AF7" i="3"/>
  <c r="AD8" i="3"/>
  <c r="AD9" i="3" s="1"/>
  <c r="AD10" i="3" s="1"/>
  <c r="M39" i="1"/>
  <c r="M10" i="1" s="1"/>
  <c r="L35" i="1"/>
  <c r="M36" i="1" s="1"/>
  <c r="L10" i="1" s="1"/>
  <c r="F53" i="3"/>
  <c r="F52" i="3"/>
  <c r="F55" i="3"/>
  <c r="F54" i="3"/>
  <c r="Z7" i="3" l="1"/>
  <c r="AG7" i="3" s="1"/>
  <c r="O19" i="3"/>
  <c r="J4" i="3" s="1"/>
  <c r="X10" i="3"/>
  <c r="X11" i="3" s="1"/>
  <c r="AD11" i="3"/>
  <c r="AD12" i="3" s="1"/>
  <c r="AD13" i="3" s="1"/>
  <c r="AD15" i="3" s="1"/>
  <c r="E24" i="3" s="1"/>
  <c r="F58" i="3" s="1"/>
  <c r="AA11" i="3"/>
  <c r="AA12" i="3" s="1"/>
  <c r="AA13" i="3" s="1"/>
  <c r="F63" i="3"/>
  <c r="L63" i="3" s="1"/>
  <c r="P63" i="3" s="1"/>
  <c r="S63" i="3" s="1"/>
  <c r="F51" i="3"/>
  <c r="L51" i="3" s="1"/>
  <c r="P51" i="3" s="1"/>
  <c r="S51" i="3" s="1"/>
  <c r="F62" i="3"/>
  <c r="L54" i="3"/>
  <c r="P54" i="3" s="1"/>
  <c r="S54" i="3" s="1"/>
  <c r="N54" i="3"/>
  <c r="L52" i="3"/>
  <c r="P52" i="3" s="1"/>
  <c r="S52" i="3" s="1"/>
  <c r="N52" i="3"/>
  <c r="L55" i="3"/>
  <c r="P55" i="3" s="1"/>
  <c r="S55" i="3" s="1"/>
  <c r="N55" i="3"/>
  <c r="L53" i="3"/>
  <c r="P53" i="3" s="1"/>
  <c r="S53" i="3" s="1"/>
  <c r="N53" i="3"/>
  <c r="X12" i="3" l="1"/>
  <c r="X13" i="3" s="1"/>
  <c r="X15" i="3" s="1"/>
  <c r="C24" i="3"/>
  <c r="F56" i="3" s="1"/>
  <c r="L56" i="3" s="1"/>
  <c r="P56" i="3" s="1"/>
  <c r="S56" i="3" s="1"/>
  <c r="H24" i="3"/>
  <c r="F61" i="3" s="1"/>
  <c r="N61" i="3" s="1"/>
  <c r="G24" i="3"/>
  <c r="F60" i="3" s="1"/>
  <c r="N60" i="3" s="1"/>
  <c r="F24" i="3"/>
  <c r="F59" i="3" s="1"/>
  <c r="N59" i="3" s="1"/>
  <c r="AA15" i="3"/>
  <c r="D24" i="3"/>
  <c r="F57" i="3" s="1"/>
  <c r="L57" i="3" s="1"/>
  <c r="P57" i="3" s="1"/>
  <c r="S57" i="3" s="1"/>
  <c r="N58" i="3"/>
  <c r="L58" i="3"/>
  <c r="P58" i="3" s="1"/>
  <c r="S58" i="3" s="1"/>
  <c r="N63" i="3"/>
  <c r="I63" i="3" s="1"/>
  <c r="H63" i="3" s="1"/>
  <c r="N51" i="3"/>
  <c r="I51" i="3" s="1"/>
  <c r="H51" i="3" s="1"/>
  <c r="M63" i="3"/>
  <c r="J63" i="3" s="1"/>
  <c r="N62" i="3"/>
  <c r="L62" i="3"/>
  <c r="P62" i="3" s="1"/>
  <c r="S62" i="3" s="1"/>
  <c r="L61" i="3"/>
  <c r="P61" i="3" s="1"/>
  <c r="S61" i="3" s="1"/>
  <c r="M54" i="3"/>
  <c r="J54" i="3" s="1"/>
  <c r="M52" i="3"/>
  <c r="J52" i="3" s="1"/>
  <c r="M53" i="3"/>
  <c r="J53" i="3" s="1"/>
  <c r="M55" i="3"/>
  <c r="J55" i="3" s="1"/>
  <c r="M51" i="3"/>
  <c r="J51" i="3" s="1"/>
  <c r="I53" i="3"/>
  <c r="H53" i="3" s="1"/>
  <c r="I52" i="3"/>
  <c r="H52" i="3" s="1"/>
  <c r="C53" i="3"/>
  <c r="B53" i="3" s="1"/>
  <c r="I55" i="3"/>
  <c r="H55" i="3" s="1"/>
  <c r="I54" i="3"/>
  <c r="H54" i="3" s="1"/>
  <c r="C14" i="3" l="1"/>
  <c r="K4" i="3" s="1"/>
  <c r="D14" i="3"/>
  <c r="F37" i="3" s="1"/>
  <c r="L37" i="3" s="1"/>
  <c r="P37" i="3" s="1"/>
  <c r="S37" i="3" s="1"/>
  <c r="L59" i="3"/>
  <c r="P59" i="3" s="1"/>
  <c r="S59" i="3" s="1"/>
  <c r="L60" i="3"/>
  <c r="P60" i="3" s="1"/>
  <c r="S60" i="3" s="1"/>
  <c r="N57" i="3"/>
  <c r="I57" i="3" s="1"/>
  <c r="H57" i="3" s="1"/>
  <c r="M56" i="3"/>
  <c r="J56" i="3" s="1"/>
  <c r="N56" i="3"/>
  <c r="I56" i="3" s="1"/>
  <c r="H56" i="3" s="1"/>
  <c r="K8" i="3"/>
  <c r="F19" i="3"/>
  <c r="F49" i="3" s="1"/>
  <c r="G19" i="3"/>
  <c r="F50" i="3" s="1"/>
  <c r="I58" i="3"/>
  <c r="H58" i="3" s="1"/>
  <c r="E19" i="3"/>
  <c r="F48" i="3" s="1"/>
  <c r="C19" i="3"/>
  <c r="D19" i="3"/>
  <c r="F47" i="3" s="1"/>
  <c r="M57" i="3"/>
  <c r="J57" i="3" s="1"/>
  <c r="M58" i="3"/>
  <c r="J58" i="3" s="1"/>
  <c r="Q54" i="3"/>
  <c r="T54" i="3" s="1"/>
  <c r="M61" i="3"/>
  <c r="J61" i="3" s="1"/>
  <c r="K63" i="3"/>
  <c r="R63" i="3" s="1"/>
  <c r="U63" i="3" s="1"/>
  <c r="Q63" i="3"/>
  <c r="T63" i="3" s="1"/>
  <c r="C63" i="3" s="1"/>
  <c r="B63" i="3" s="1"/>
  <c r="K53" i="3"/>
  <c r="R53" i="3" s="1"/>
  <c r="U53" i="3" s="1"/>
  <c r="Q52" i="3"/>
  <c r="T52" i="3" s="1"/>
  <c r="I61" i="3"/>
  <c r="H61" i="3" s="1"/>
  <c r="I62" i="3"/>
  <c r="H62" i="3" s="1"/>
  <c r="M62" i="3"/>
  <c r="J62" i="3" s="1"/>
  <c r="K54" i="3"/>
  <c r="R54" i="3" s="1"/>
  <c r="U54" i="3" s="1"/>
  <c r="K52" i="3"/>
  <c r="R52" i="3" s="1"/>
  <c r="U52" i="3" s="1"/>
  <c r="C52" i="3" s="1"/>
  <c r="B52" i="3" s="1"/>
  <c r="K55" i="3"/>
  <c r="R55" i="3" s="1"/>
  <c r="U55" i="3" s="1"/>
  <c r="K51" i="3"/>
  <c r="R51" i="3" s="1"/>
  <c r="U51" i="3" s="1"/>
  <c r="Q53" i="3"/>
  <c r="T53" i="3" s="1"/>
  <c r="Q55" i="3"/>
  <c r="T55" i="3" s="1"/>
  <c r="C55" i="3" s="1"/>
  <c r="B55" i="3" s="1"/>
  <c r="Q51" i="3"/>
  <c r="T51" i="3" s="1"/>
  <c r="C54" i="3"/>
  <c r="B54" i="3" s="1"/>
  <c r="Q56" i="3" l="1"/>
  <c r="T56" i="3" s="1"/>
  <c r="F36" i="3"/>
  <c r="L36" i="3" s="1"/>
  <c r="P36" i="3" s="1"/>
  <c r="S36" i="3" s="1"/>
  <c r="N37" i="3"/>
  <c r="I37" i="3" s="1"/>
  <c r="H37" i="3" s="1"/>
  <c r="I59" i="3"/>
  <c r="H59" i="3" s="1"/>
  <c r="M59" i="3"/>
  <c r="J59" i="3" s="1"/>
  <c r="I60" i="3"/>
  <c r="H60" i="3" s="1"/>
  <c r="M60" i="3"/>
  <c r="J60" i="3" s="1"/>
  <c r="K56" i="3"/>
  <c r="R56" i="3" s="1"/>
  <c r="U56" i="3" s="1"/>
  <c r="K57" i="3"/>
  <c r="R57" i="3" s="1"/>
  <c r="U57" i="3" s="1"/>
  <c r="Q58" i="3"/>
  <c r="T58" i="3" s="1"/>
  <c r="L50" i="3"/>
  <c r="P50" i="3" s="1"/>
  <c r="S50" i="3" s="1"/>
  <c r="N50" i="3"/>
  <c r="N49" i="3"/>
  <c r="L49" i="3"/>
  <c r="M49" i="3" s="1"/>
  <c r="J49" i="3" s="1"/>
  <c r="Q57" i="3"/>
  <c r="T57" i="3" s="1"/>
  <c r="F46" i="3"/>
  <c r="K6" i="3"/>
  <c r="N47" i="3"/>
  <c r="L47" i="3"/>
  <c r="L48" i="3"/>
  <c r="P48" i="3" s="1"/>
  <c r="S48" i="3" s="1"/>
  <c r="N48" i="3"/>
  <c r="K58" i="3"/>
  <c r="R58" i="3" s="1"/>
  <c r="U58" i="3" s="1"/>
  <c r="Q61" i="3"/>
  <c r="T61" i="3" s="1"/>
  <c r="C51" i="3"/>
  <c r="B51" i="3" s="1"/>
  <c r="K61" i="3"/>
  <c r="R61" i="3" s="1"/>
  <c r="U61" i="3" s="1"/>
  <c r="Q62" i="3"/>
  <c r="T62" i="3" s="1"/>
  <c r="K62" i="3"/>
  <c r="R62" i="3" s="1"/>
  <c r="U62" i="3" s="1"/>
  <c r="C62" i="3" s="1"/>
  <c r="B62" i="3" s="1"/>
  <c r="M37" i="3"/>
  <c r="J37" i="3" s="1"/>
  <c r="K59" i="3"/>
  <c r="R59" i="3" s="1"/>
  <c r="U59" i="3" s="1"/>
  <c r="N36" i="3"/>
  <c r="C56" i="3" l="1"/>
  <c r="B56" i="3" s="1"/>
  <c r="Q59" i="3"/>
  <c r="T59" i="3" s="1"/>
  <c r="C59" i="3" s="1"/>
  <c r="B59" i="3" s="1"/>
  <c r="K60" i="3"/>
  <c r="R60" i="3" s="1"/>
  <c r="U60" i="3" s="1"/>
  <c r="Q60" i="3"/>
  <c r="T60" i="3" s="1"/>
  <c r="M50" i="3"/>
  <c r="J50" i="3" s="1"/>
  <c r="C58" i="3"/>
  <c r="B58" i="3" s="1"/>
  <c r="C57" i="3"/>
  <c r="B57" i="3" s="1"/>
  <c r="I49" i="3"/>
  <c r="H49" i="3" s="1"/>
  <c r="Q49" i="3" s="1"/>
  <c r="T49" i="3" s="1"/>
  <c r="K49" i="3"/>
  <c r="R49" i="3" s="1"/>
  <c r="U49" i="3" s="1"/>
  <c r="I50" i="3"/>
  <c r="H50" i="3" s="1"/>
  <c r="P49" i="3"/>
  <c r="S49" i="3" s="1"/>
  <c r="M48" i="3"/>
  <c r="J48" i="3" s="1"/>
  <c r="I48" i="3"/>
  <c r="H48" i="3" s="1"/>
  <c r="M47" i="3"/>
  <c r="J47" i="3" s="1"/>
  <c r="P47" i="3"/>
  <c r="S47" i="3" s="1"/>
  <c r="I47" i="3"/>
  <c r="H47" i="3" s="1"/>
  <c r="N46" i="3"/>
  <c r="L46" i="3"/>
  <c r="P46" i="3" s="1"/>
  <c r="S46" i="3" s="1"/>
  <c r="C61" i="3"/>
  <c r="B61" i="3" s="1"/>
  <c r="Q37" i="3"/>
  <c r="T37" i="3" s="1"/>
  <c r="K37" i="3"/>
  <c r="R37" i="3" s="1"/>
  <c r="U37" i="3" s="1"/>
  <c r="M36" i="3"/>
  <c r="J36" i="3" s="1"/>
  <c r="I36" i="3"/>
  <c r="H36" i="3" s="1"/>
  <c r="Q50" i="3" l="1"/>
  <c r="T50" i="3" s="1"/>
  <c r="K50" i="3"/>
  <c r="R50" i="3" s="1"/>
  <c r="U50" i="3" s="1"/>
  <c r="C60" i="3"/>
  <c r="B60" i="3" s="1"/>
  <c r="C49" i="3"/>
  <c r="B49" i="3" s="1"/>
  <c r="C50" i="3"/>
  <c r="B50" i="3" s="1"/>
  <c r="K48" i="3"/>
  <c r="R48" i="3" s="1"/>
  <c r="U48" i="3" s="1"/>
  <c r="S35" i="3"/>
  <c r="S34" i="3" s="1"/>
  <c r="Q48" i="3"/>
  <c r="T48" i="3" s="1"/>
  <c r="Q47" i="3"/>
  <c r="T47" i="3" s="1"/>
  <c r="M46" i="3"/>
  <c r="J46" i="3" s="1"/>
  <c r="K47" i="3"/>
  <c r="R47" i="3" s="1"/>
  <c r="U47" i="3" s="1"/>
  <c r="I46" i="3"/>
  <c r="H46" i="3" s="1"/>
  <c r="C37" i="3"/>
  <c r="B37" i="3" s="1"/>
  <c r="Q36" i="3"/>
  <c r="T36" i="3" s="1"/>
  <c r="K36" i="3"/>
  <c r="R36" i="3" s="1"/>
  <c r="U36" i="3" s="1"/>
  <c r="C48" i="3" l="1"/>
  <c r="B48" i="3" s="1"/>
  <c r="C47" i="3"/>
  <c r="B47" i="3" s="1"/>
  <c r="Q46" i="3"/>
  <c r="T46" i="3" s="1"/>
  <c r="K46" i="3"/>
  <c r="R46" i="3" s="1"/>
  <c r="U46" i="3" s="1"/>
  <c r="U35" i="3" s="1"/>
  <c r="U34" i="3" s="1"/>
  <c r="C36" i="3"/>
  <c r="B36" i="3" s="1"/>
  <c r="C46" i="3" l="1"/>
  <c r="B46" i="3" s="1"/>
  <c r="T35" i="3"/>
  <c r="T34" i="3" l="1"/>
  <c r="V34" i="3" s="1"/>
  <c r="W35" i="3" s="1"/>
  <c r="X35" i="3" s="1"/>
  <c r="Y35" i="3" l="1"/>
  <c r="Z35" i="3" s="1"/>
  <c r="AA35" i="3" s="1"/>
  <c r="AB35" i="3" s="1"/>
  <c r="AC35" i="3" s="1"/>
  <c r="F35" i="3" l="1"/>
  <c r="E8" i="3" s="1"/>
</calcChain>
</file>

<file path=xl/sharedStrings.xml><?xml version="1.0" encoding="utf-8"?>
<sst xmlns="http://schemas.openxmlformats.org/spreadsheetml/2006/main" count="568" uniqueCount="445">
  <si>
    <t>Share-1</t>
  </si>
  <si>
    <t>Share-2</t>
  </si>
  <si>
    <t>Share-3</t>
  </si>
  <si>
    <t>Share-4</t>
  </si>
  <si>
    <t>Over</t>
  </si>
  <si>
    <t>Total</t>
  </si>
  <si>
    <t>Share-5</t>
  </si>
  <si>
    <t>Total Share's</t>
  </si>
  <si>
    <t>Wife</t>
  </si>
  <si>
    <t>Sons</t>
  </si>
  <si>
    <t>Daughters</t>
  </si>
  <si>
    <t>No.</t>
  </si>
  <si>
    <t>Description</t>
  </si>
  <si>
    <t>Wife's Share</t>
  </si>
  <si>
    <t>Sons' Share</t>
  </si>
  <si>
    <t>Daughters' Share</t>
  </si>
  <si>
    <t>کا شتکاران کے لئے</t>
  </si>
  <si>
    <t>Rakba</t>
  </si>
  <si>
    <t>Enter Total Rakba</t>
  </si>
  <si>
    <t>K</t>
  </si>
  <si>
    <t>M</t>
  </si>
  <si>
    <t>S</t>
  </si>
  <si>
    <t>Total of All</t>
  </si>
  <si>
    <t>Square Foot Per Marla</t>
  </si>
  <si>
    <t>This Sheet is Help for Sum "Rakba" in That Formate "K-M-S"</t>
  </si>
  <si>
    <t xml:space="preserve"> </t>
  </si>
  <si>
    <t>Sr #</t>
  </si>
  <si>
    <t>Note:</t>
  </si>
  <si>
    <t>This Sheet Help For Sum If Square Foot have always Zero, We can Enter only This Formate "K-M"</t>
  </si>
  <si>
    <t>S.F Calcultion
Full Formate</t>
  </si>
  <si>
    <t>This Sheet is Help for Sum "Rakba" in That Formate "K-M-Sarsahi"</t>
  </si>
  <si>
    <t>Enter Mezan Khewat</t>
  </si>
  <si>
    <t>Note: You have Enter Only Mezan Khewat and The Shares of Malkan in Green Cells.</t>
  </si>
  <si>
    <t>LCM with (Greatest Division)</t>
  </si>
  <si>
    <t>Kanal</t>
  </si>
  <si>
    <t>Maralas</t>
  </si>
  <si>
    <t>Sarsahi</t>
  </si>
  <si>
    <t>855/549</t>
  </si>
  <si>
    <t>LCM</t>
  </si>
  <si>
    <t>Remaining</t>
  </si>
  <si>
    <t>Mezhan Khewat</t>
  </si>
  <si>
    <t>Mezhan Malkaan</t>
  </si>
  <si>
    <t>Different</t>
  </si>
  <si>
    <t>Sr.#</t>
  </si>
  <si>
    <t>M.Kwt</t>
  </si>
  <si>
    <t>M.Mkn</t>
  </si>
  <si>
    <t>Marals</t>
  </si>
  <si>
    <t>For sum any value use these tables</t>
  </si>
  <si>
    <t>Enter Here Shares of Malkan</t>
  </si>
  <si>
    <t>Sum Values</t>
  </si>
  <si>
    <t>Sr. #</t>
  </si>
  <si>
    <t>E</t>
  </si>
  <si>
    <t>Enter Share's</t>
  </si>
  <si>
    <t>FADS</t>
  </si>
  <si>
    <t>ASRF</t>
  </si>
  <si>
    <t>SEFQ</t>
  </si>
  <si>
    <t>SEQFG</t>
  </si>
  <si>
    <t>SSEW</t>
  </si>
  <si>
    <t>SDK</t>
  </si>
  <si>
    <t>DFDG</t>
  </si>
  <si>
    <t>GTIY7GH</t>
  </si>
  <si>
    <t>GGRSS</t>
  </si>
  <si>
    <t>SEHI</t>
  </si>
  <si>
    <t>WRGYU</t>
  </si>
  <si>
    <t>DRUIG</t>
  </si>
  <si>
    <t>DERHDI</t>
  </si>
  <si>
    <t>LWIDK</t>
  </si>
  <si>
    <t>KLWDI</t>
  </si>
  <si>
    <t>SDSEI</t>
  </si>
  <si>
    <t>SSEEIKS</t>
  </si>
  <si>
    <t>SSEISK</t>
  </si>
  <si>
    <t>FOWKS</t>
  </si>
  <si>
    <t>DKWOVK</t>
  </si>
  <si>
    <t>WIDN2EDI</t>
  </si>
  <si>
    <t>DWDKW</t>
  </si>
  <si>
    <t>SKEIWHSK</t>
  </si>
  <si>
    <t>SESGHJ</t>
  </si>
  <si>
    <t>SGJSW</t>
  </si>
  <si>
    <t>GKERIS</t>
  </si>
  <si>
    <t>DDFGFKH</t>
  </si>
  <si>
    <t>FKFKG</t>
  </si>
  <si>
    <t>GLHODF</t>
  </si>
  <si>
    <t>SDFIRNMV</t>
  </si>
  <si>
    <t>FJTOG</t>
  </si>
  <si>
    <t>FJKEIOF</t>
  </si>
  <si>
    <t>GKYOD</t>
  </si>
  <si>
    <t>DKDKEOD</t>
  </si>
  <si>
    <t>SDLFTJS</t>
  </si>
  <si>
    <t>SKEFKFKF</t>
  </si>
  <si>
    <t>SDKSDKWJ</t>
  </si>
  <si>
    <t>SSD45SD</t>
  </si>
  <si>
    <t>SDD4SDS</t>
  </si>
  <si>
    <t>DQWD4D</t>
  </si>
  <si>
    <t>SEWD4S</t>
  </si>
  <si>
    <t>SWEWS</t>
  </si>
  <si>
    <t>FWFA5A</t>
  </si>
  <si>
    <t>SWERE5</t>
  </si>
  <si>
    <t>EWE54</t>
  </si>
  <si>
    <t>FJFJ5JD</t>
  </si>
  <si>
    <t>45JFFJS</t>
  </si>
  <si>
    <t>48TJVG</t>
  </si>
  <si>
    <t>FJGU458</t>
  </si>
  <si>
    <t>FJDUI486</t>
  </si>
  <si>
    <t>FJKFIS3</t>
  </si>
  <si>
    <t>DK30F</t>
  </si>
  <si>
    <t>FJDD-SQWQ-GPRJ-PSKO</t>
  </si>
  <si>
    <t>KFTM-LRMIS-SSDK-WISK</t>
  </si>
  <si>
    <t>Your Registeration #</t>
  </si>
  <si>
    <t>WIDJDW</t>
  </si>
  <si>
    <t>DFW-F5</t>
  </si>
  <si>
    <t>SDDW4</t>
  </si>
  <si>
    <t>D745R34</t>
  </si>
  <si>
    <t>SD3478</t>
  </si>
  <si>
    <t>FHO78</t>
  </si>
  <si>
    <t>SD345</t>
  </si>
  <si>
    <t>DFF34</t>
  </si>
  <si>
    <t>VGEY7</t>
  </si>
  <si>
    <t>SDFTY87</t>
  </si>
  <si>
    <t>DF47</t>
  </si>
  <si>
    <t>DGI868</t>
  </si>
  <si>
    <t>VU564</t>
  </si>
  <si>
    <t>DG6234</t>
  </si>
  <si>
    <t>FG34B</t>
  </si>
  <si>
    <t>346GHF</t>
  </si>
  <si>
    <t>54GDF7</t>
  </si>
  <si>
    <t>3456GF</t>
  </si>
  <si>
    <t>74G</t>
  </si>
  <si>
    <t>343F</t>
  </si>
  <si>
    <t>DY83</t>
  </si>
  <si>
    <t>D6GH7</t>
  </si>
  <si>
    <t>DFRYJ2</t>
  </si>
  <si>
    <t>DRHE6</t>
  </si>
  <si>
    <t>756DF</t>
  </si>
  <si>
    <t>SF3467</t>
  </si>
  <si>
    <t>FDF345</t>
  </si>
  <si>
    <t>HEGH6</t>
  </si>
  <si>
    <t>HE3267</t>
  </si>
  <si>
    <t>DH7734</t>
  </si>
  <si>
    <t>GDDJI3</t>
  </si>
  <si>
    <t>JHK35</t>
  </si>
  <si>
    <t>DFJ4G3</t>
  </si>
  <si>
    <t>GDHJK24</t>
  </si>
  <si>
    <t>DF3GF3</t>
  </si>
  <si>
    <t>FHJW34</t>
  </si>
  <si>
    <t>36GFD</t>
  </si>
  <si>
    <t>476FGJ</t>
  </si>
  <si>
    <t>GJU5</t>
  </si>
  <si>
    <t>FGFJ4</t>
  </si>
  <si>
    <t>DFRU3G</t>
  </si>
  <si>
    <t>FJJKE34</t>
  </si>
  <si>
    <t>DFFHJ6</t>
  </si>
  <si>
    <t>DF34H</t>
  </si>
  <si>
    <t>FDFH4</t>
  </si>
  <si>
    <t>GDU45</t>
  </si>
  <si>
    <t>F3656F</t>
  </si>
  <si>
    <t>FDH4</t>
  </si>
  <si>
    <t>GWKS-SKWG-HJFS-W2IS</t>
  </si>
  <si>
    <t>WKDK-WGKK-GLKW-GQWR</t>
  </si>
  <si>
    <t>SSWK-SKWW-SGKW-GJWS</t>
  </si>
  <si>
    <t>DKKS-SKJG-WSKI-GKSK</t>
  </si>
  <si>
    <t>HKS-SLSK-KSLD-DLDD</t>
  </si>
  <si>
    <t>SGHF-SLGH-SKGJAW-WS</t>
  </si>
  <si>
    <t>ESSK-WKSS-SKGW-KSKW</t>
  </si>
  <si>
    <t>SDJK-SKW-SKW-SSKW</t>
  </si>
  <si>
    <t>XSSS-WKSW-SWK-SKLW</t>
  </si>
  <si>
    <t>PSKJ-WSWE-WKDJ-XSS</t>
  </si>
  <si>
    <t>SEKS-SKWJS-SKWS-S</t>
  </si>
  <si>
    <t>SJW-KD2JD-SS2S</t>
  </si>
  <si>
    <t>SJKSW-2KDK2-SKS</t>
  </si>
  <si>
    <t>PALS-KSKW-KWIS-SS</t>
  </si>
  <si>
    <t>SKW-WKDS-WSDK-W</t>
  </si>
  <si>
    <t>SDDW-SSW-SKWS-WS</t>
  </si>
  <si>
    <t>SDKJS-SKW-SKWKS</t>
  </si>
  <si>
    <t>SDJKWDK-SK2SKSS-S</t>
  </si>
  <si>
    <t>SSJK-SDK2SK-SKWS</t>
  </si>
  <si>
    <t>KSKJR-SKFR-SKS</t>
  </si>
  <si>
    <t>SKSK-SKWIS-SKJ-S</t>
  </si>
  <si>
    <t>KWISK-SKJGK-SKG</t>
  </si>
  <si>
    <t>SKWKS-SKWKS-SKKS</t>
  </si>
  <si>
    <t>KWISDK-SLGLS-SKGJW</t>
  </si>
  <si>
    <t>KSKW-GKWLW-SDLGKW</t>
  </si>
  <si>
    <t>SGFSD-SKWKS-S</t>
  </si>
  <si>
    <t>SKSWKS-SSKS-DFKW</t>
  </si>
  <si>
    <t>SDKT-SGW-SGFW</t>
  </si>
  <si>
    <t>Mobile #</t>
  </si>
  <si>
    <t>0302-6640359</t>
  </si>
  <si>
    <t>0321-5965322</t>
  </si>
  <si>
    <t>You are using a trail version which will be expired after</t>
  </si>
  <si>
    <t>-days</t>
  </si>
  <si>
    <t>This Sheet is Help for Sum "Rakba" in That Formate "K-M-Squre Foot"</t>
  </si>
  <si>
    <t>Use from following -1 for subtract</t>
  </si>
  <si>
    <t>Your trail is expired without registration you cannot use this excel software.</t>
  </si>
  <si>
    <t>Sum</t>
  </si>
  <si>
    <t>User:</t>
  </si>
  <si>
    <t>Nadeem</t>
  </si>
  <si>
    <t>abc</t>
  </si>
  <si>
    <t>سادہ وراثت کے انتقال کے لئے</t>
  </si>
  <si>
    <t>2-</t>
  </si>
  <si>
    <t>After Entering Data Press Start Button</t>
  </si>
  <si>
    <t>Note:    1-</t>
  </si>
  <si>
    <t>Before Entering Data Press Refresh Button</t>
  </si>
  <si>
    <t>Sarsahi or Square Foot</t>
  </si>
  <si>
    <t>Marlas</t>
  </si>
  <si>
    <t>F</t>
  </si>
  <si>
    <t>G</t>
  </si>
  <si>
    <t>H</t>
  </si>
  <si>
    <t>I</t>
  </si>
  <si>
    <t>J</t>
  </si>
  <si>
    <t>L</t>
  </si>
  <si>
    <t>N</t>
  </si>
  <si>
    <t>O</t>
  </si>
  <si>
    <t>P</t>
  </si>
  <si>
    <t>Q</t>
  </si>
  <si>
    <t>R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</si>
  <si>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</si>
  <si>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</si>
  <si>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</si>
  <si>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</si>
  <si>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</si>
  <si>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</si>
  <si>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</si>
  <si>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</si>
  <si>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</si>
  <si>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</si>
  <si>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</si>
  <si>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</si>
  <si>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</si>
  <si>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</si>
  <si>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</si>
  <si>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</si>
  <si>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</si>
  <si>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</si>
  <si>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</si>
  <si>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</si>
  <si>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</si>
  <si>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</si>
  <si>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</si>
  <si>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</si>
  <si>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</si>
  <si>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</si>
  <si>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</si>
  <si>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</si>
  <si>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</si>
  <si>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</si>
  <si>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</si>
  <si>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</si>
  <si>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</si>
  <si>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</si>
  <si>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</si>
  <si>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</si>
  <si>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</si>
  <si>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</si>
  <si>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</si>
  <si>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</si>
  <si>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</si>
  <si>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</si>
  <si>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</si>
  <si>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</si>
  <si>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</si>
  <si>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</si>
  <si>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</si>
  <si>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</si>
  <si>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</si>
  <si>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</si>
  <si>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</si>
  <si>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</si>
  <si>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</si>
  <si>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</si>
  <si>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</si>
  <si>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</si>
  <si>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</si>
  <si>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</si>
  <si>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</si>
  <si>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</si>
  <si>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</si>
  <si>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</si>
  <si>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</si>
  <si>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</si>
  <si>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</si>
  <si>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</si>
  <si>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</si>
  <si>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</si>
  <si>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</si>
  <si>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</si>
  <si>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</si>
  <si>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</si>
  <si>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</si>
  <si>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</si>
  <si>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</si>
  <si>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</si>
  <si>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</si>
  <si>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</si>
  <si>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</si>
  <si>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</si>
  <si>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</si>
  <si>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</si>
  <si>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</si>
  <si>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</si>
  <si>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</si>
  <si>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</si>
  <si>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</si>
  <si>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</si>
  <si>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</si>
  <si>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</si>
  <si>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</si>
  <si>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</si>
  <si>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</si>
  <si>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</si>
  <si>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</si>
  <si>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</si>
  <si>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</si>
  <si>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</si>
  <si>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</si>
  <si>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</si>
  <si>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</si>
  <si>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</si>
  <si>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</si>
  <si>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</si>
  <si>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</si>
  <si>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</si>
  <si>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</si>
  <si>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</si>
  <si>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</si>
  <si>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</si>
  <si>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</si>
  <si>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</si>
  <si>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</si>
  <si>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</si>
  <si>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</si>
  <si>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</si>
  <si>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</si>
  <si>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</si>
  <si>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</si>
  <si>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</si>
  <si>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</si>
  <si>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</si>
  <si>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</si>
  <si>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</si>
  <si>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</si>
  <si>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</si>
  <si>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</si>
  <si>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</si>
  <si>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</si>
  <si>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</si>
  <si>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</si>
  <si>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</si>
  <si>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</si>
  <si>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</si>
  <si>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</si>
  <si>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</si>
  <si>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</si>
  <si>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</si>
  <si>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</si>
  <si>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</si>
  <si>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</si>
  <si>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</si>
  <si>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</si>
  <si>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</si>
  <si>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</si>
  <si>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</si>
  <si>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</si>
  <si>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</si>
  <si>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</si>
  <si>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</si>
  <si>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</si>
  <si>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</si>
  <si>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</si>
  <si>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</si>
  <si>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</si>
  <si>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</si>
  <si>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</si>
  <si>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</si>
  <si>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</si>
  <si>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</si>
  <si>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</si>
  <si>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</si>
  <si>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</si>
  <si>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</si>
  <si>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</si>
  <si>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</si>
  <si>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</si>
  <si>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</si>
  <si>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</si>
  <si>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</si>
  <si>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</si>
  <si>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</si>
  <si>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</si>
  <si>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</si>
  <si>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</si>
  <si>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</si>
  <si>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</si>
  <si>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</si>
  <si>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</si>
  <si>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</si>
  <si>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</si>
  <si>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</si>
  <si>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</si>
  <si>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</si>
  <si>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</si>
  <si>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</si>
  <si>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</si>
  <si>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</si>
  <si>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</si>
  <si>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</si>
  <si>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</si>
  <si>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</si>
  <si>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</si>
  <si>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</si>
  <si>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</si>
  <si>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</si>
  <si>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</si>
  <si>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</si>
  <si>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</si>
  <si>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</si>
  <si>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</si>
  <si>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</si>
  <si>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</si>
  <si>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</si>
  <si>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</si>
  <si>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</si>
  <si>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</si>
  <si>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</si>
  <si>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</si>
  <si>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</si>
  <si>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</si>
  <si>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</si>
  <si>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</si>
  <si>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</si>
  <si>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</si>
  <si>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</si>
  <si>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</si>
  <si>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</si>
  <si>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</si>
  <si>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</si>
  <si>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</si>
  <si>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</si>
  <si>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</si>
  <si>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Rakba In</t>
  </si>
  <si>
    <t>Per Marla</t>
  </si>
  <si>
    <t>10-11-0</t>
  </si>
  <si>
    <t>Square Foot</t>
  </si>
  <si>
    <t>Copy Rights @ m.ali_bor@yahoo.com</t>
  </si>
  <si>
    <t>Enter Persons
In Respective Share</t>
  </si>
  <si>
    <t>Share</t>
  </si>
  <si>
    <t>2-2-0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</si>
</sst>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1"/>
      <color theme="0"/>
      <name val="Calibri"/>
      <family val="2"/>
      <scheme val="minor"/>
    </font>
    <font>
      <sz val="25"/>
      <name val="Jameel Noori Nastaleeq"/>
    </font>
    <font>
      <b/>
      <sz val="10"/>
      <color theme="0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FF"/>
      <name val="Calibri"/>
      <family val="2"/>
    </font>
    <font>
      <sz val="10"/>
      <color theme="0"/>
      <name val="Arial"/>
      <family val="2"/>
    </font>
    <font>
      <sz val="25"/>
      <color theme="0"/>
      <name val="Jameel Noori Nastaleeq"/>
    </font>
    <font>
      <sz val="10"/>
      <color rgb="FFC00000"/>
      <name val="Arial"/>
      <family val="2"/>
    </font>
    <font>
      <sz val="12"/>
      <name val="Times New Roman"/>
      <family val="1"/>
    </font>
    <font>
      <b/>
      <sz val="10"/>
      <color rgb="FFFF0000"/>
      <name val="Arial"/>
      <family val="2"/>
    </font>
    <font>
      <sz val="8"/>
      <color rgb="FFFF0000"/>
      <name val="Arial"/>
      <family val="2"/>
    </font>
    <font>
      <b/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theme="1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0" tint="-4.9989318521683403E-2"/>
      </left>
      <right/>
      <top style="medium">
        <color theme="0" tint="-4.9989318521683403E-2"/>
      </top>
      <bottom style="medium">
        <color theme="0" tint="-4.9989318521683403E-2"/>
      </bottom>
      <diagonal/>
    </border>
    <border>
      <left/>
      <right/>
      <top style="medium">
        <color theme="0" tint="-4.9989318521683403E-2"/>
      </top>
      <bottom style="medium">
        <color theme="0" tint="-4.9989318521683403E-2"/>
      </bottom>
      <diagonal/>
    </border>
    <border>
      <left/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0" tint="-0.14996795556505021"/>
      </left>
      <right style="medium">
        <color indexed="64"/>
      </right>
      <top style="medium">
        <color theme="0" tint="-0.14996795556505021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</borders>
  <cellStyleXfs count="4">
    <xf numFmtId="0" fontId="0" fillId="0" borderId="0"/>
    <xf numFmtId="9" fontId="12" fillId="0" borderId="0" applyFont="0" applyFill="0" applyBorder="0" applyAlignment="0" applyProtection="0"/>
    <xf numFmtId="0" fontId="11" fillId="0" borderId="0"/>
    <xf numFmtId="43" fontId="11" fillId="0" borderId="0" applyFont="0" applyFill="0" applyBorder="0" applyAlignment="0" applyProtection="0"/>
  </cellStyleXfs>
  <cellXfs count="238">
    <xf numFmtId="0" fontId="0" fillId="0" borderId="0" xfId="0"/>
    <xf numFmtId="0" fontId="13" fillId="0" borderId="0" xfId="0" applyFont="1"/>
    <xf numFmtId="0" fontId="14" fillId="0" borderId="0" xfId="0" applyFont="1"/>
    <xf numFmtId="0" fontId="12" fillId="0" borderId="0" xfId="0" applyFont="1"/>
    <xf numFmtId="0" fontId="16" fillId="0" borderId="0" xfId="0" applyFont="1"/>
    <xf numFmtId="0" fontId="16" fillId="0" borderId="5" xfId="0" applyFont="1" applyBorder="1"/>
    <xf numFmtId="0" fontId="16" fillId="0" borderId="6" xfId="0" applyFont="1" applyBorder="1"/>
    <xf numFmtId="9" fontId="16" fillId="0" borderId="6" xfId="1" applyFont="1" applyBorder="1"/>
    <xf numFmtId="0" fontId="16" fillId="0" borderId="7" xfId="0" applyFont="1" applyBorder="1"/>
    <xf numFmtId="0" fontId="15" fillId="0" borderId="0" xfId="0" applyFont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0" fontId="16" fillId="0" borderId="0" xfId="0" applyFont="1" applyFill="1" applyBorder="1"/>
    <xf numFmtId="9" fontId="16" fillId="0" borderId="0" xfId="0" applyNumberFormat="1" applyFont="1"/>
    <xf numFmtId="1" fontId="16" fillId="0" borderId="0" xfId="0" applyNumberFormat="1" applyFont="1"/>
    <xf numFmtId="0" fontId="16" fillId="0" borderId="0" xfId="0" applyFont="1" applyAlignment="1">
      <alignment horizontal="center"/>
    </xf>
    <xf numFmtId="9" fontId="16" fillId="0" borderId="0" xfId="1" applyFont="1" applyAlignment="1">
      <alignment horizontal="center"/>
    </xf>
    <xf numFmtId="0" fontId="17" fillId="0" borderId="0" xfId="0" applyFont="1"/>
    <xf numFmtId="0" fontId="19" fillId="0" borderId="0" xfId="0" applyFont="1" applyAlignment="1"/>
    <xf numFmtId="0" fontId="20" fillId="4" borderId="15" xfId="0" applyFont="1" applyFill="1" applyBorder="1"/>
    <xf numFmtId="0" fontId="20" fillId="4" borderId="17" xfId="0" applyFont="1" applyFill="1" applyBorder="1" applyAlignment="1">
      <alignment horizontal="center"/>
    </xf>
    <xf numFmtId="0" fontId="13" fillId="5" borderId="24" xfId="0" applyFont="1" applyFill="1" applyBorder="1"/>
    <xf numFmtId="0" fontId="13" fillId="5" borderId="18" xfId="0" applyFont="1" applyFill="1" applyBorder="1"/>
    <xf numFmtId="49" fontId="0" fillId="0" borderId="0" xfId="0" applyNumberFormat="1" applyProtection="1"/>
    <xf numFmtId="0" fontId="0" fillId="0" borderId="0" xfId="0" quotePrefix="1" applyProtection="1"/>
    <xf numFmtId="0" fontId="0" fillId="0" borderId="0" xfId="0" applyProtection="1"/>
    <xf numFmtId="2" fontId="0" fillId="0" borderId="0" xfId="0" applyNumberFormat="1" applyProtection="1"/>
    <xf numFmtId="49" fontId="21" fillId="0" borderId="0" xfId="0" applyNumberFormat="1" applyFont="1" applyProtection="1"/>
    <xf numFmtId="0" fontId="13" fillId="6" borderId="27" xfId="0" applyFont="1" applyFill="1" applyBorder="1"/>
    <xf numFmtId="0" fontId="0" fillId="10" borderId="24" xfId="0" applyFill="1" applyBorder="1"/>
    <xf numFmtId="0" fontId="0" fillId="10" borderId="29" xfId="0" applyFill="1" applyBorder="1" applyAlignment="1">
      <alignment horizontal="center" vertical="center"/>
    </xf>
    <xf numFmtId="0" fontId="18" fillId="11" borderId="0" xfId="0" applyFont="1" applyFill="1" applyAlignment="1">
      <alignment horizontal="center" vertical="center" wrapText="1"/>
    </xf>
    <xf numFmtId="1" fontId="0" fillId="0" borderId="0" xfId="0" applyNumberFormat="1"/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/>
    <xf numFmtId="0" fontId="18" fillId="13" borderId="7" xfId="0" applyFont="1" applyFill="1" applyBorder="1"/>
    <xf numFmtId="2" fontId="0" fillId="0" borderId="0" xfId="0" applyNumberFormat="1"/>
    <xf numFmtId="0" fontId="0" fillId="0" borderId="26" xfId="0" applyBorder="1" applyAlignment="1">
      <alignment horizontal="center" vertical="center"/>
    </xf>
    <xf numFmtId="0" fontId="0" fillId="0" borderId="0" xfId="0" quotePrefix="1"/>
    <xf numFmtId="0" fontId="21" fillId="9" borderId="0" xfId="0" applyNumberFormat="1" applyFont="1" applyFill="1" applyProtection="1">
      <protection locked="0"/>
    </xf>
    <xf numFmtId="0" fontId="11" fillId="0" borderId="0" xfId="2"/>
    <xf numFmtId="0" fontId="18" fillId="11" borderId="0" xfId="2" applyFont="1" applyFill="1" applyAlignment="1">
      <alignment horizontal="center" vertical="center" wrapText="1"/>
    </xf>
    <xf numFmtId="1" fontId="11" fillId="0" borderId="0" xfId="2" applyNumberFormat="1"/>
    <xf numFmtId="2" fontId="11" fillId="0" borderId="0" xfId="2" applyNumberFormat="1"/>
    <xf numFmtId="0" fontId="11" fillId="0" borderId="26" xfId="2" applyBorder="1" applyAlignment="1">
      <alignment horizontal="center" vertical="center"/>
    </xf>
    <xf numFmtId="0" fontId="11" fillId="0" borderId="0" xfId="2" quotePrefix="1"/>
    <xf numFmtId="49" fontId="11" fillId="0" borderId="0" xfId="2" applyNumberFormat="1" applyProtection="1">
      <protection locked="0"/>
    </xf>
    <xf numFmtId="49" fontId="11" fillId="0" borderId="0" xfId="2" applyNumberFormat="1"/>
    <xf numFmtId="0" fontId="11" fillId="0" borderId="8" xfId="2" applyBorder="1" applyAlignment="1">
      <alignment horizontal="center" vertical="center"/>
    </xf>
    <xf numFmtId="0" fontId="11" fillId="0" borderId="0" xfId="2" applyProtection="1"/>
    <xf numFmtId="0" fontId="11" fillId="0" borderId="0" xfId="2" applyAlignment="1" applyProtection="1">
      <alignment horizontal="center" vertical="center" wrapText="1"/>
    </xf>
    <xf numFmtId="1" fontId="11" fillId="0" borderId="0" xfId="2" applyNumberFormat="1" applyProtection="1"/>
    <xf numFmtId="0" fontId="11" fillId="0" borderId="5" xfId="2" applyBorder="1" applyProtection="1"/>
    <xf numFmtId="0" fontId="18" fillId="13" borderId="0" xfId="2" applyFont="1" applyFill="1" applyProtection="1"/>
    <xf numFmtId="2" fontId="11" fillId="0" borderId="0" xfId="2" applyNumberFormat="1" applyProtection="1"/>
    <xf numFmtId="0" fontId="11" fillId="0" borderId="26" xfId="2" applyBorder="1" applyAlignment="1" applyProtection="1">
      <alignment horizontal="center" vertical="center"/>
    </xf>
    <xf numFmtId="0" fontId="11" fillId="0" borderId="0" xfId="2" applyNumberFormat="1" applyProtection="1"/>
    <xf numFmtId="0" fontId="11" fillId="0" borderId="0" xfId="2" quotePrefix="1" applyProtection="1"/>
    <xf numFmtId="49" fontId="11" fillId="0" borderId="0" xfId="2" applyNumberFormat="1" applyProtection="1"/>
    <xf numFmtId="0" fontId="11" fillId="0" borderId="0" xfId="2" applyAlignment="1" applyProtection="1">
      <alignment horizontal="center" vertical="center"/>
    </xf>
    <xf numFmtId="0" fontId="11" fillId="0" borderId="0" xfId="2" applyAlignment="1" applyProtection="1">
      <alignment wrapText="1"/>
    </xf>
    <xf numFmtId="0" fontId="18" fillId="9" borderId="28" xfId="2" applyFont="1" applyFill="1" applyBorder="1" applyAlignment="1" applyProtection="1">
      <alignment horizontal="center" vertical="center"/>
      <protection locked="0"/>
    </xf>
    <xf numFmtId="0" fontId="24" fillId="0" borderId="30" xfId="2" applyFont="1" applyBorder="1" applyProtection="1"/>
    <xf numFmtId="0" fontId="24" fillId="0" borderId="16" xfId="2" applyFont="1" applyBorder="1" applyProtection="1"/>
    <xf numFmtId="0" fontId="24" fillId="0" borderId="17" xfId="2" applyFont="1" applyBorder="1" applyProtection="1"/>
    <xf numFmtId="164" fontId="0" fillId="16" borderId="32" xfId="3" applyNumberFormat="1" applyFont="1" applyFill="1" applyBorder="1" applyProtection="1"/>
    <xf numFmtId="164" fontId="0" fillId="16" borderId="29" xfId="3" applyNumberFormat="1" applyFont="1" applyFill="1" applyBorder="1" applyProtection="1"/>
    <xf numFmtId="164" fontId="11" fillId="0" borderId="0" xfId="2" applyNumberFormat="1" applyProtection="1"/>
    <xf numFmtId="164" fontId="11" fillId="17" borderId="32" xfId="2" applyNumberFormat="1" applyFill="1" applyBorder="1" applyProtection="1"/>
    <xf numFmtId="164" fontId="11" fillId="17" borderId="29" xfId="2" applyNumberFormat="1" applyFill="1" applyBorder="1" applyProtection="1"/>
    <xf numFmtId="0" fontId="25" fillId="4" borderId="33" xfId="2" applyFont="1" applyFill="1" applyBorder="1" applyAlignment="1" applyProtection="1">
      <alignment horizontal="center"/>
    </xf>
    <xf numFmtId="164" fontId="18" fillId="18" borderId="34" xfId="2" applyNumberFormat="1" applyFont="1" applyFill="1" applyBorder="1" applyProtection="1"/>
    <xf numFmtId="0" fontId="29" fillId="20" borderId="29" xfId="2" applyFont="1" applyFill="1" applyBorder="1" applyProtection="1"/>
    <xf numFmtId="1" fontId="11" fillId="5" borderId="29" xfId="2" applyNumberFormat="1" applyFill="1" applyBorder="1" applyAlignment="1" applyProtection="1">
      <alignment horizontal="center"/>
    </xf>
    <xf numFmtId="0" fontId="25" fillId="4" borderId="37" xfId="2" applyFont="1" applyFill="1" applyBorder="1" applyProtection="1"/>
    <xf numFmtId="0" fontId="25" fillId="4" borderId="4" xfId="2" applyFont="1" applyFill="1" applyBorder="1" applyProtection="1"/>
    <xf numFmtId="0" fontId="29" fillId="20" borderId="32" xfId="2" applyFont="1" applyFill="1" applyBorder="1" applyProtection="1"/>
    <xf numFmtId="0" fontId="11" fillId="21" borderId="29" xfId="2" applyFill="1" applyBorder="1" applyAlignment="1" applyProtection="1">
      <alignment horizontal="center"/>
    </xf>
    <xf numFmtId="0" fontId="11" fillId="19" borderId="29" xfId="2" applyFill="1" applyBorder="1" applyAlignment="1" applyProtection="1">
      <alignment horizontal="center"/>
    </xf>
    <xf numFmtId="0" fontId="11" fillId="0" borderId="29" xfId="2" applyBorder="1" applyProtection="1"/>
    <xf numFmtId="0" fontId="31" fillId="0" borderId="0" xfId="2" applyFont="1" applyAlignment="1" applyProtection="1">
      <alignment horizontal="left" vertical="center"/>
    </xf>
    <xf numFmtId="0" fontId="32" fillId="0" borderId="11" xfId="2" applyFont="1" applyBorder="1" applyAlignment="1" applyProtection="1"/>
    <xf numFmtId="0" fontId="32" fillId="0" borderId="13" xfId="2" applyFont="1" applyBorder="1" applyAlignment="1" applyProtection="1">
      <alignment horizontal="center" vertical="center"/>
    </xf>
    <xf numFmtId="0" fontId="32" fillId="0" borderId="14" xfId="2" applyFont="1" applyBorder="1" applyAlignment="1" applyProtection="1">
      <alignment horizontal="center" vertical="center"/>
    </xf>
    <xf numFmtId="0" fontId="25" fillId="9" borderId="32" xfId="2" applyFont="1" applyFill="1" applyBorder="1" applyAlignment="1" applyProtection="1">
      <alignment horizontal="center" vertical="center"/>
      <protection locked="0"/>
    </xf>
    <xf numFmtId="0" fontId="25" fillId="9" borderId="29" xfId="2" applyFont="1" applyFill="1" applyBorder="1" applyAlignment="1" applyProtection="1">
      <alignment horizontal="center" vertical="center"/>
      <protection locked="0"/>
    </xf>
    <xf numFmtId="0" fontId="25" fillId="18" borderId="1" xfId="2" applyFont="1" applyFill="1" applyBorder="1" applyAlignment="1" applyProtection="1">
      <alignment horizontal="center"/>
    </xf>
    <xf numFmtId="0" fontId="25" fillId="9" borderId="38" xfId="2" applyFont="1" applyFill="1" applyBorder="1" applyAlignment="1" applyProtection="1">
      <alignment horizontal="center" vertical="center"/>
      <protection locked="0"/>
    </xf>
    <xf numFmtId="0" fontId="25" fillId="9" borderId="39" xfId="2" applyFont="1" applyFill="1" applyBorder="1" applyAlignment="1" applyProtection="1">
      <alignment horizontal="center" vertical="center"/>
      <protection locked="0"/>
    </xf>
    <xf numFmtId="0" fontId="25" fillId="9" borderId="40" xfId="2" applyFont="1" applyFill="1" applyBorder="1" applyAlignment="1" applyProtection="1">
      <alignment horizontal="center" vertical="center"/>
      <protection locked="0"/>
    </xf>
    <xf numFmtId="0" fontId="23" fillId="15" borderId="1" xfId="2" applyFont="1" applyFill="1" applyBorder="1" applyAlignment="1" applyProtection="1">
      <alignment horizontal="center" vertical="center"/>
    </xf>
    <xf numFmtId="0" fontId="11" fillId="0" borderId="1" xfId="2" applyBorder="1" applyAlignment="1" applyProtection="1">
      <alignment horizontal="center" vertical="center" wrapText="1"/>
    </xf>
    <xf numFmtId="0" fontId="11" fillId="0" borderId="5" xfId="2" applyBorder="1" applyAlignment="1">
      <alignment horizontal="center" vertical="center"/>
    </xf>
    <xf numFmtId="1" fontId="10" fillId="0" borderId="0" xfId="2" applyNumberFormat="1" applyFont="1"/>
    <xf numFmtId="0" fontId="11" fillId="0" borderId="1" xfId="2" applyBorder="1" applyAlignment="1" applyProtection="1">
      <alignment horizontal="center" vertical="center"/>
      <protection locked="0"/>
    </xf>
    <xf numFmtId="0" fontId="33" fillId="0" borderId="0" xfId="0" applyFont="1" applyAlignment="1">
      <alignment horizontal="center"/>
    </xf>
    <xf numFmtId="0" fontId="20" fillId="4" borderId="2" xfId="0" applyFont="1" applyFill="1" applyBorder="1"/>
    <xf numFmtId="0" fontId="20" fillId="4" borderId="3" xfId="0" applyFont="1" applyFill="1" applyBorder="1"/>
    <xf numFmtId="0" fontId="20" fillId="4" borderId="4" xfId="0" applyFont="1" applyFill="1" applyBorder="1"/>
    <xf numFmtId="0" fontId="13" fillId="23" borderId="1" xfId="0" applyFont="1" applyFill="1" applyBorder="1" applyAlignment="1">
      <alignment horizontal="center" vertical="center"/>
    </xf>
    <xf numFmtId="0" fontId="16" fillId="6" borderId="11" xfId="0" applyFont="1" applyFill="1" applyBorder="1"/>
    <xf numFmtId="0" fontId="13" fillId="6" borderId="13" xfId="0" applyFont="1" applyFill="1" applyBorder="1"/>
    <xf numFmtId="0" fontId="13" fillId="6" borderId="14" xfId="0" applyFont="1" applyFill="1" applyBorder="1"/>
    <xf numFmtId="0" fontId="16" fillId="15" borderId="0" xfId="0" applyFont="1" applyFill="1" applyBorder="1"/>
    <xf numFmtId="0" fontId="16" fillId="15" borderId="12" xfId="0" applyFont="1" applyFill="1" applyBorder="1"/>
    <xf numFmtId="0" fontId="16" fillId="15" borderId="9" xfId="0" applyFont="1" applyFill="1" applyBorder="1"/>
    <xf numFmtId="0" fontId="16" fillId="15" borderId="10" xfId="0" applyFont="1" applyFill="1" applyBorder="1"/>
    <xf numFmtId="0" fontId="16" fillId="15" borderId="6" xfId="0" applyFont="1" applyFill="1" applyBorder="1"/>
    <xf numFmtId="0" fontId="16" fillId="15" borderId="7" xfId="0" applyFont="1" applyFill="1" applyBorder="1"/>
    <xf numFmtId="0" fontId="16" fillId="15" borderId="0" xfId="0" applyFont="1" applyFill="1"/>
    <xf numFmtId="0" fontId="16" fillId="11" borderId="0" xfId="0" applyFont="1" applyFill="1"/>
    <xf numFmtId="0" fontId="36" fillId="0" borderId="0" xfId="0" applyFont="1"/>
    <xf numFmtId="0" fontId="34" fillId="11" borderId="15" xfId="0" applyFont="1" applyFill="1" applyBorder="1" applyAlignment="1" applyProtection="1">
      <alignment horizontal="center"/>
      <protection locked="0"/>
    </xf>
    <xf numFmtId="0" fontId="34" fillId="11" borderId="16" xfId="0" applyFont="1" applyFill="1" applyBorder="1" applyAlignment="1" applyProtection="1">
      <alignment horizontal="center"/>
      <protection locked="0"/>
    </xf>
    <xf numFmtId="0" fontId="34" fillId="11" borderId="17" xfId="0" applyFont="1" applyFill="1" applyBorder="1" applyAlignment="1" applyProtection="1">
      <alignment horizontal="center"/>
      <protection locked="0"/>
    </xf>
    <xf numFmtId="0" fontId="34" fillId="11" borderId="21" xfId="0" applyFont="1" applyFill="1" applyBorder="1" applyAlignment="1" applyProtection="1">
      <alignment horizontal="center"/>
      <protection locked="0"/>
    </xf>
    <xf numFmtId="0" fontId="34" fillId="11" borderId="22" xfId="0" applyFont="1" applyFill="1" applyBorder="1" applyAlignment="1" applyProtection="1">
      <alignment horizontal="center"/>
      <protection locked="0"/>
    </xf>
    <xf numFmtId="0" fontId="34" fillId="11" borderId="23" xfId="0" applyFont="1" applyFill="1" applyBorder="1" applyAlignment="1" applyProtection="1">
      <alignment horizontal="center"/>
      <protection locked="0"/>
    </xf>
    <xf numFmtId="0" fontId="0" fillId="3" borderId="0" xfId="0" applyFill="1" applyProtection="1">
      <protection locked="0"/>
    </xf>
    <xf numFmtId="0" fontId="13" fillId="6" borderId="6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0" fontId="34" fillId="0" borderId="0" xfId="0" applyFont="1" applyFill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11" fillId="0" borderId="0" xfId="2" applyProtection="1">
      <protection locked="0"/>
    </xf>
    <xf numFmtId="0" fontId="15" fillId="2" borderId="28" xfId="0" applyFont="1" applyFill="1" applyBorder="1" applyAlignment="1" applyProtection="1">
      <alignment horizontal="center"/>
      <protection locked="0"/>
    </xf>
    <xf numFmtId="0" fontId="13" fillId="9" borderId="25" xfId="0" applyFont="1" applyFill="1" applyBorder="1" applyAlignment="1" applyProtection="1">
      <alignment horizontal="center"/>
      <protection locked="0"/>
    </xf>
    <xf numFmtId="0" fontId="13" fillId="9" borderId="20" xfId="0" applyFont="1" applyFill="1" applyBorder="1" applyAlignment="1" applyProtection="1">
      <alignment horizontal="center"/>
      <protection locked="0"/>
    </xf>
    <xf numFmtId="0" fontId="37" fillId="0" borderId="0" xfId="0" applyFont="1"/>
    <xf numFmtId="0" fontId="12" fillId="0" borderId="0" xfId="0" quotePrefix="1" applyFont="1"/>
    <xf numFmtId="0" fontId="20" fillId="4" borderId="44" xfId="0" applyFont="1" applyFill="1" applyBorder="1" applyAlignment="1">
      <alignment horizontal="center"/>
    </xf>
    <xf numFmtId="0" fontId="15" fillId="2" borderId="45" xfId="0" applyFont="1" applyFill="1" applyBorder="1" applyAlignment="1" applyProtection="1">
      <alignment horizontal="center"/>
      <protection locked="0"/>
    </xf>
    <xf numFmtId="0" fontId="13" fillId="24" borderId="45" xfId="0" applyFont="1" applyFill="1" applyBorder="1" applyAlignment="1" applyProtection="1">
      <alignment horizontal="center"/>
      <protection locked="0"/>
    </xf>
    <xf numFmtId="0" fontId="11" fillId="11" borderId="0" xfId="2" applyFill="1" applyAlignment="1">
      <alignment horizontal="center" vertical="center"/>
    </xf>
    <xf numFmtId="0" fontId="11" fillId="11" borderId="0" xfId="2" applyFill="1" applyAlignment="1" applyProtection="1">
      <alignment horizontal="center" vertical="center"/>
      <protection locked="0"/>
    </xf>
    <xf numFmtId="0" fontId="24" fillId="0" borderId="0" xfId="2" applyFont="1" applyProtection="1"/>
    <xf numFmtId="0" fontId="18" fillId="13" borderId="27" xfId="2" applyFont="1" applyFill="1" applyBorder="1" applyProtection="1"/>
    <xf numFmtId="49" fontId="11" fillId="9" borderId="31" xfId="2" applyNumberFormat="1" applyFill="1" applyBorder="1" applyProtection="1">
      <protection locked="0"/>
    </xf>
    <xf numFmtId="49" fontId="11" fillId="9" borderId="28" xfId="2" applyNumberFormat="1" applyFill="1" applyBorder="1" applyProtection="1">
      <protection locked="0"/>
    </xf>
    <xf numFmtId="0" fontId="24" fillId="0" borderId="5" xfId="2" applyFont="1" applyBorder="1"/>
    <xf numFmtId="0" fontId="18" fillId="13" borderId="27" xfId="2" applyFont="1" applyFill="1" applyBorder="1"/>
    <xf numFmtId="49" fontId="8" fillId="9" borderId="31" xfId="2" applyNumberFormat="1" applyFont="1" applyFill="1" applyBorder="1" applyProtection="1">
      <protection locked="0"/>
    </xf>
    <xf numFmtId="49" fontId="7" fillId="9" borderId="31" xfId="2" applyNumberFormat="1" applyFont="1" applyFill="1" applyBorder="1" applyProtection="1">
      <protection locked="0"/>
    </xf>
    <xf numFmtId="49" fontId="6" fillId="9" borderId="31" xfId="2" applyNumberFormat="1" applyFont="1" applyFill="1" applyBorder="1" applyProtection="1">
      <protection locked="0"/>
    </xf>
    <xf numFmtId="14" fontId="0" fillId="0" borderId="0" xfId="0" applyNumberFormat="1"/>
    <xf numFmtId="0" fontId="0" fillId="0" borderId="0" xfId="0" applyNumberFormat="1"/>
    <xf numFmtId="0" fontId="38" fillId="0" borderId="0" xfId="0" applyFont="1"/>
    <xf numFmtId="0" fontId="12" fillId="0" borderId="0" xfId="0" applyFont="1" applyAlignment="1">
      <alignment horizontal="right"/>
    </xf>
    <xf numFmtId="0" fontId="39" fillId="27" borderId="0" xfId="0" applyFont="1" applyFill="1" applyBorder="1"/>
    <xf numFmtId="49" fontId="5" fillId="9" borderId="31" xfId="2" applyNumberFormat="1" applyFont="1" applyFill="1" applyBorder="1" applyProtection="1">
      <protection locked="0"/>
    </xf>
    <xf numFmtId="49" fontId="4" fillId="9" borderId="31" xfId="2" applyNumberFormat="1" applyFont="1" applyFill="1" applyBorder="1" applyProtection="1">
      <protection locked="0"/>
    </xf>
    <xf numFmtId="0" fontId="34" fillId="11" borderId="18" xfId="0" applyFont="1" applyFill="1" applyBorder="1" applyAlignment="1" applyProtection="1">
      <alignment horizontal="center"/>
    </xf>
    <xf numFmtId="0" fontId="34" fillId="11" borderId="20" xfId="0" applyFont="1" applyFill="1" applyBorder="1" applyAlignment="1" applyProtection="1">
      <alignment horizontal="center"/>
    </xf>
    <xf numFmtId="0" fontId="3" fillId="0" borderId="0" xfId="2" applyFont="1" applyProtection="1"/>
    <xf numFmtId="0" fontId="3" fillId="0" borderId="0" xfId="2" applyFont="1" applyAlignment="1" applyProtection="1">
      <alignment horizontal="center" vertical="center" wrapText="1"/>
    </xf>
    <xf numFmtId="0" fontId="26" fillId="18" borderId="0" xfId="2" applyFont="1" applyFill="1" applyAlignment="1" applyProtection="1">
      <alignment horizontal="center" vertical="center"/>
    </xf>
    <xf numFmtId="43" fontId="0" fillId="0" borderId="0" xfId="3" applyFont="1" applyProtection="1"/>
    <xf numFmtId="43" fontId="11" fillId="0" borderId="0" xfId="2" applyNumberFormat="1" applyProtection="1"/>
    <xf numFmtId="0" fontId="40" fillId="0" borderId="0" xfId="2" applyFont="1" applyProtection="1"/>
    <xf numFmtId="0" fontId="41" fillId="0" borderId="0" xfId="2" applyFont="1" applyProtection="1"/>
    <xf numFmtId="0" fontId="18" fillId="9" borderId="1" xfId="2" applyFont="1" applyFill="1" applyBorder="1" applyAlignment="1" applyProtection="1">
      <alignment horizontal="center" vertical="center"/>
      <protection locked="0"/>
    </xf>
    <xf numFmtId="1" fontId="30" fillId="22" borderId="33" xfId="2" applyNumberFormat="1" applyFont="1" applyFill="1" applyBorder="1" applyAlignment="1" applyProtection="1">
      <alignment horizontal="center"/>
    </xf>
    <xf numFmtId="0" fontId="25" fillId="0" borderId="0" xfId="2" applyFont="1" applyProtection="1"/>
    <xf numFmtId="0" fontId="0" fillId="9" borderId="1" xfId="0" applyFill="1" applyBorder="1" applyAlignment="1" applyProtection="1">
      <alignment horizontal="center" vertical="center"/>
      <protection locked="0"/>
    </xf>
    <xf numFmtId="0" fontId="42" fillId="5" borderId="1" xfId="0" applyFont="1" applyFill="1" applyBorder="1" applyAlignment="1">
      <alignment horizontal="center" vertical="center"/>
    </xf>
    <xf numFmtId="0" fontId="43" fillId="9" borderId="1" xfId="0" applyFont="1" applyFill="1" applyBorder="1" applyAlignment="1" applyProtection="1">
      <alignment horizontal="center" vertical="center"/>
      <protection locked="0"/>
    </xf>
    <xf numFmtId="0" fontId="25" fillId="25" borderId="0" xfId="2" applyFont="1" applyFill="1" applyProtection="1"/>
    <xf numFmtId="0" fontId="25" fillId="25" borderId="0" xfId="2" applyFont="1" applyFill="1" applyAlignment="1" applyProtection="1">
      <alignment horizontal="center"/>
    </xf>
    <xf numFmtId="0" fontId="21" fillId="0" borderId="0" xfId="0" applyFont="1" applyAlignment="1">
      <alignment horizontal="center" vertical="center"/>
    </xf>
    <xf numFmtId="0" fontId="15" fillId="0" borderId="1" xfId="0" applyFont="1" applyBorder="1"/>
    <xf numFmtId="0" fontId="15" fillId="0" borderId="28" xfId="0" applyFont="1" applyBorder="1" applyAlignment="1">
      <alignment horizontal="center"/>
    </xf>
    <xf numFmtId="0" fontId="21" fillId="28" borderId="18" xfId="0" applyFont="1" applyFill="1" applyBorder="1"/>
    <xf numFmtId="0" fontId="0" fillId="28" borderId="19" xfId="0" applyFill="1" applyBorder="1" applyAlignment="1">
      <alignment horizontal="center" vertical="center"/>
    </xf>
    <xf numFmtId="14" fontId="25" fillId="9" borderId="32" xfId="2" applyNumberFormat="1" applyFont="1" applyFill="1" applyBorder="1" applyAlignment="1" applyProtection="1">
      <alignment horizontal="center" vertical="center"/>
      <protection locked="0"/>
    </xf>
    <xf numFmtId="49" fontId="2" fillId="9" borderId="31" xfId="2" applyNumberFormat="1" applyFont="1" applyFill="1" applyBorder="1" applyProtection="1">
      <protection locked="0"/>
    </xf>
    <xf numFmtId="49" fontId="1" fillId="9" borderId="31" xfId="2" applyNumberFormat="1" applyFont="1" applyFill="1" applyBorder="1" applyProtection="1">
      <protection locked="0"/>
    </xf>
    <xf numFmtId="0" fontId="20" fillId="11" borderId="0" xfId="0" applyFont="1" applyFill="1" applyAlignment="1" applyProtection="1">
      <alignment horizontal="center"/>
      <protection locked="0"/>
    </xf>
    <xf numFmtId="0" fontId="9" fillId="14" borderId="11" xfId="2" applyFont="1" applyFill="1" applyBorder="1" applyAlignment="1">
      <alignment horizontal="center" vertical="center" wrapText="1"/>
    </xf>
    <xf numFmtId="0" fontId="11" fillId="14" borderId="14" xfId="2" applyFill="1" applyBorder="1" applyAlignment="1">
      <alignment horizontal="center" vertical="center" wrapText="1"/>
    </xf>
    <xf numFmtId="0" fontId="23" fillId="15" borderId="11" xfId="2" applyFont="1" applyFill="1" applyBorder="1" applyAlignment="1" applyProtection="1">
      <alignment horizontal="center" vertical="center"/>
    </xf>
    <xf numFmtId="0" fontId="23" fillId="15" borderId="14" xfId="2" applyFont="1" applyFill="1" applyBorder="1" applyAlignment="1" applyProtection="1">
      <alignment horizontal="center" vertical="center"/>
    </xf>
    <xf numFmtId="0" fontId="25" fillId="25" borderId="26" xfId="2" applyFont="1" applyFill="1" applyBorder="1" applyAlignment="1">
      <alignment horizontal="center" vertical="center" wrapText="1"/>
    </xf>
    <xf numFmtId="0" fontId="25" fillId="25" borderId="8" xfId="2" applyFont="1" applyFill="1" applyBorder="1" applyAlignment="1">
      <alignment horizontal="center" vertical="center" wrapText="1"/>
    </xf>
    <xf numFmtId="0" fontId="11" fillId="14" borderId="11" xfId="2" applyFill="1" applyBorder="1" applyAlignment="1" applyProtection="1">
      <alignment horizontal="center" vertical="center" wrapText="1"/>
    </xf>
    <xf numFmtId="0" fontId="11" fillId="14" borderId="14" xfId="2" applyFill="1" applyBorder="1" applyAlignment="1" applyProtection="1">
      <alignment horizontal="center" vertical="center" wrapText="1"/>
    </xf>
    <xf numFmtId="0" fontId="11" fillId="19" borderId="35" xfId="2" applyFill="1" applyBorder="1" applyAlignment="1" applyProtection="1">
      <alignment horizontal="center"/>
    </xf>
    <xf numFmtId="0" fontId="11" fillId="19" borderId="36" xfId="2" applyFill="1" applyBorder="1" applyAlignment="1" applyProtection="1">
      <alignment horizontal="center"/>
    </xf>
    <xf numFmtId="0" fontId="11" fillId="0" borderId="27" xfId="2" applyBorder="1" applyAlignment="1" applyProtection="1">
      <alignment horizontal="center" vertical="center" wrapText="1"/>
    </xf>
    <xf numFmtId="0" fontId="11" fillId="0" borderId="28" xfId="2" applyBorder="1" applyAlignment="1" applyProtection="1">
      <alignment horizontal="center" vertical="center" wrapText="1"/>
    </xf>
    <xf numFmtId="0" fontId="11" fillId="0" borderId="24" xfId="2" applyBorder="1" applyAlignment="1" applyProtection="1">
      <alignment horizontal="center"/>
    </xf>
    <xf numFmtId="0" fontId="11" fillId="0" borderId="25" xfId="2" applyBorder="1" applyAlignment="1" applyProtection="1">
      <alignment horizontal="center"/>
    </xf>
    <xf numFmtId="0" fontId="11" fillId="0" borderId="18" xfId="2" applyBorder="1" applyAlignment="1" applyProtection="1">
      <alignment horizontal="center"/>
    </xf>
    <xf numFmtId="0" fontId="11" fillId="0" borderId="20" xfId="2" applyBorder="1" applyAlignment="1" applyProtection="1">
      <alignment horizontal="center"/>
    </xf>
    <xf numFmtId="0" fontId="25" fillId="4" borderId="5" xfId="2" applyFont="1" applyFill="1" applyBorder="1" applyAlignment="1" applyProtection="1">
      <alignment horizontal="center"/>
    </xf>
    <xf numFmtId="0" fontId="25" fillId="4" borderId="6" xfId="2" applyFont="1" applyFill="1" applyBorder="1" applyAlignment="1" applyProtection="1">
      <alignment horizontal="center"/>
    </xf>
    <xf numFmtId="0" fontId="24" fillId="0" borderId="6" xfId="2" applyFont="1" applyBorder="1" applyAlignment="1" applyProtection="1">
      <alignment horizontal="center" vertical="center"/>
    </xf>
    <xf numFmtId="0" fontId="24" fillId="0" borderId="7" xfId="2" applyFont="1" applyBorder="1" applyAlignment="1" applyProtection="1">
      <alignment horizontal="center" vertical="center"/>
    </xf>
    <xf numFmtId="0" fontId="26" fillId="7" borderId="0" xfId="2" applyFont="1" applyFill="1" applyBorder="1" applyAlignment="1" applyProtection="1">
      <alignment horizontal="center" vertical="center"/>
    </xf>
    <xf numFmtId="0" fontId="27" fillId="0" borderId="5" xfId="2" applyFont="1" applyBorder="1" applyAlignment="1" applyProtection="1">
      <alignment horizontal="center" vertical="center" wrapText="1"/>
    </xf>
    <xf numFmtId="0" fontId="27" fillId="0" borderId="6" xfId="2" applyFont="1" applyBorder="1" applyAlignment="1" applyProtection="1">
      <alignment horizontal="center" vertical="center" wrapText="1"/>
    </xf>
    <xf numFmtId="0" fontId="27" fillId="0" borderId="7" xfId="2" applyFont="1" applyBorder="1" applyAlignment="1" applyProtection="1">
      <alignment horizontal="center" vertical="center" wrapText="1"/>
    </xf>
    <xf numFmtId="0" fontId="27" fillId="0" borderId="26" xfId="2" applyFont="1" applyBorder="1" applyAlignment="1" applyProtection="1">
      <alignment horizontal="center" vertical="center" wrapText="1"/>
    </xf>
    <xf numFmtId="0" fontId="27" fillId="0" borderId="0" xfId="2" applyFont="1" applyBorder="1" applyAlignment="1" applyProtection="1">
      <alignment horizontal="center" vertical="center" wrapText="1"/>
    </xf>
    <xf numFmtId="0" fontId="27" fillId="0" borderId="12" xfId="2" applyFont="1" applyBorder="1" applyAlignment="1" applyProtection="1">
      <alignment horizontal="center" vertical="center" wrapText="1"/>
    </xf>
    <xf numFmtId="0" fontId="27" fillId="0" borderId="8" xfId="2" applyFont="1" applyBorder="1" applyAlignment="1" applyProtection="1">
      <alignment horizontal="center" vertical="center" wrapText="1"/>
    </xf>
    <xf numFmtId="0" fontId="27" fillId="0" borderId="9" xfId="2" applyFont="1" applyBorder="1" applyAlignment="1" applyProtection="1">
      <alignment horizontal="center" vertical="center" wrapText="1"/>
    </xf>
    <xf numFmtId="0" fontId="27" fillId="0" borderId="10" xfId="2" applyFont="1" applyBorder="1" applyAlignment="1" applyProtection="1">
      <alignment horizontal="center" vertical="center" wrapText="1"/>
    </xf>
    <xf numFmtId="49" fontId="28" fillId="9" borderId="11" xfId="2" applyNumberFormat="1" applyFont="1" applyFill="1" applyBorder="1" applyAlignment="1" applyProtection="1">
      <alignment horizontal="center"/>
      <protection locked="0"/>
    </xf>
    <xf numFmtId="49" fontId="28" fillId="9" borderId="14" xfId="2" applyNumberFormat="1" applyFont="1" applyFill="1" applyBorder="1" applyAlignment="1" applyProtection="1">
      <alignment horizontal="center"/>
      <protection locked="0"/>
    </xf>
    <xf numFmtId="0" fontId="11" fillId="0" borderId="31" xfId="2" applyBorder="1" applyAlignment="1" applyProtection="1">
      <alignment horizontal="center" vertical="center" wrapText="1"/>
    </xf>
    <xf numFmtId="0" fontId="24" fillId="0" borderId="15" xfId="2" applyFont="1" applyBorder="1" applyAlignment="1" applyProtection="1">
      <alignment horizontal="center"/>
    </xf>
    <xf numFmtId="0" fontId="24" fillId="0" borderId="17" xfId="2" applyFont="1" applyBorder="1" applyAlignment="1" applyProtection="1">
      <alignment horizontal="center"/>
    </xf>
    <xf numFmtId="0" fontId="0" fillId="14" borderId="11" xfId="0" applyFill="1" applyBorder="1" applyAlignment="1">
      <alignment horizontal="center" vertical="center" wrapText="1"/>
    </xf>
    <xf numFmtId="0" fontId="0" fillId="14" borderId="14" xfId="0" applyFill="1" applyBorder="1" applyAlignment="1">
      <alignment horizontal="center" vertical="center" wrapText="1"/>
    </xf>
    <xf numFmtId="0" fontId="35" fillId="25" borderId="41" xfId="0" applyFont="1" applyFill="1" applyBorder="1" applyAlignment="1">
      <alignment horizontal="center" vertical="center"/>
    </xf>
    <xf numFmtId="0" fontId="35" fillId="25" borderId="42" xfId="0" applyFont="1" applyFill="1" applyBorder="1" applyAlignment="1">
      <alignment horizontal="center" vertical="center"/>
    </xf>
    <xf numFmtId="0" fontId="35" fillId="25" borderId="43" xfId="0" applyFont="1" applyFill="1" applyBorder="1" applyAlignment="1">
      <alignment horizontal="center" vertical="center"/>
    </xf>
    <xf numFmtId="0" fontId="22" fillId="8" borderId="29" xfId="0" applyFont="1" applyFill="1" applyBorder="1" applyAlignment="1">
      <alignment horizontal="center" vertical="center"/>
    </xf>
    <xf numFmtId="0" fontId="0" fillId="5" borderId="46" xfId="0" applyFill="1" applyBorder="1" applyAlignment="1">
      <alignment horizontal="center" vertical="center"/>
    </xf>
    <xf numFmtId="0" fontId="0" fillId="5" borderId="33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0" fillId="4" borderId="44" xfId="0" applyFont="1" applyFill="1" applyBorder="1" applyAlignment="1">
      <alignment horizontal="center"/>
    </xf>
    <xf numFmtId="49" fontId="12" fillId="9" borderId="49" xfId="0" applyNumberFormat="1" applyFont="1" applyFill="1" applyBorder="1" applyAlignment="1" applyProtection="1">
      <alignment horizontal="center"/>
      <protection locked="0"/>
    </xf>
    <xf numFmtId="49" fontId="0" fillId="9" borderId="50" xfId="0" applyNumberFormat="1" applyFill="1" applyBorder="1" applyAlignment="1" applyProtection="1">
      <alignment horizontal="center"/>
      <protection locked="0"/>
    </xf>
    <xf numFmtId="0" fontId="21" fillId="5" borderId="47" xfId="0" applyFont="1" applyFill="1" applyBorder="1" applyAlignment="1">
      <alignment horizontal="center"/>
    </xf>
    <xf numFmtId="0" fontId="0" fillId="5" borderId="48" xfId="0" applyFill="1" applyBorder="1" applyAlignment="1">
      <alignment horizontal="center"/>
    </xf>
    <xf numFmtId="0" fontId="21" fillId="12" borderId="49" xfId="0" applyNumberFormat="1" applyFont="1" applyFill="1" applyBorder="1" applyAlignment="1">
      <alignment horizontal="center"/>
    </xf>
    <xf numFmtId="0" fontId="0" fillId="12" borderId="50" xfId="0" applyNumberFormat="1" applyFill="1" applyBorder="1" applyAlignment="1">
      <alignment horizontal="center"/>
    </xf>
    <xf numFmtId="0" fontId="20" fillId="7" borderId="33" xfId="0" applyFont="1" applyFill="1" applyBorder="1" applyAlignment="1">
      <alignment horizontal="center" vertical="center"/>
    </xf>
    <xf numFmtId="0" fontId="20" fillId="7" borderId="29" xfId="0" applyFont="1" applyFill="1" applyBorder="1" applyAlignment="1">
      <alignment horizontal="center" vertical="center"/>
    </xf>
    <xf numFmtId="0" fontId="22" fillId="8" borderId="33" xfId="0" applyFont="1" applyFill="1" applyBorder="1" applyAlignment="1">
      <alignment horizontal="center" vertical="center"/>
    </xf>
    <xf numFmtId="0" fontId="35" fillId="25" borderId="0" xfId="0" applyFont="1" applyFill="1" applyAlignment="1">
      <alignment horizontal="center" vertical="center"/>
    </xf>
    <xf numFmtId="0" fontId="20" fillId="26" borderId="5" xfId="0" applyFont="1" applyFill="1" applyBorder="1" applyAlignment="1">
      <alignment horizontal="center" vertical="center"/>
    </xf>
    <xf numFmtId="0" fontId="20" fillId="26" borderId="8" xfId="0" applyFont="1" applyFill="1" applyBorder="1" applyAlignment="1">
      <alignment horizontal="center" vertical="center"/>
    </xf>
    <xf numFmtId="0" fontId="20" fillId="26" borderId="26" xfId="0" applyFont="1" applyFill="1" applyBorder="1" applyAlignment="1">
      <alignment horizontal="center" vertical="center"/>
    </xf>
    <xf numFmtId="0" fontId="13" fillId="0" borderId="12" xfId="0" applyFont="1" applyBorder="1" applyAlignment="1">
      <alignment horizontal="center" wrapText="1"/>
    </xf>
  </cellXfs>
  <cellStyles count="4">
    <cellStyle name="Comma 2" xfId="3" xr:uid="{00000000-0005-0000-0000-000000000000}"/>
    <cellStyle name="Normal" xfId="0" builtinId="0"/>
    <cellStyle name="Normal 2" xfId="2" xr:uid="{00000000-0005-0000-0000-000002000000}"/>
    <cellStyle name="Percent" xfId="1" builtinId="5"/>
  </cellStyles>
  <dxfs count="33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3" tint="-0.499984740745262"/>
      </font>
      <fill>
        <patternFill>
          <bgColor theme="3" tint="-0.49998474074526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3" tint="-0.499984740745262"/>
        </patternFill>
      </fill>
    </dxf>
    <dxf>
      <font>
        <color theme="3" tint="-0.499984740745262"/>
      </font>
      <fill>
        <patternFill>
          <bgColor theme="3" tint="-0.499984740745262"/>
        </patternFill>
      </fill>
    </dxf>
    <dxf>
      <font>
        <color theme="3" tint="-0.499984740745262"/>
      </font>
      <fill>
        <patternFill>
          <bgColor theme="3" tint="-0.499984740745262"/>
        </patternFill>
      </fill>
    </dxf>
    <dxf>
      <font>
        <color theme="3" tint="-0.499984740745262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Main Sheet'!D2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Main Sheet'!D2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Main Sheet'!D2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Main Sheet'!D2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'Main Sheet'!D2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'Main Sheet'!D2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495301</xdr:colOff>
      <xdr:row>19</xdr:row>
      <xdr:rowOff>66675</xdr:rowOff>
    </xdr:from>
    <xdr:to>
      <xdr:col>9</xdr:col>
      <xdr:colOff>571501</xdr:colOff>
      <xdr:row>21</xdr:row>
      <xdr:rowOff>114300</xdr:rowOff>
    </xdr:to>
    <xdr:sp macro="[0]!CalcuKM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152901" y="3143250"/>
          <a:ext cx="1905000" cy="371475"/>
        </a:xfrm>
        <a:prstGeom prst="roundRect">
          <a:avLst>
            <a:gd name="adj" fmla="val 50000"/>
          </a:avLst>
        </a:prstGeom>
        <a:solidFill>
          <a:schemeClr val="bg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 cap="none" spc="0">
              <a:ln w="12700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Calculation</a:t>
          </a:r>
          <a:r>
            <a:rPr lang="en-US" sz="11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FFFFFF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K-M-Squre Foot</a:t>
          </a:r>
          <a:endParaRPr lang="en-US" sz="1100" b="1" cap="none" spc="0">
            <a:ln w="1270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rgbClr val="00B05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6</xdr:col>
      <xdr:colOff>495301</xdr:colOff>
      <xdr:row>22</xdr:row>
      <xdr:rowOff>142875</xdr:rowOff>
    </xdr:from>
    <xdr:to>
      <xdr:col>9</xdr:col>
      <xdr:colOff>571501</xdr:colOff>
      <xdr:row>25</xdr:row>
      <xdr:rowOff>28575</xdr:rowOff>
    </xdr:to>
    <xdr:sp macro="[0]!CalcuKM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152901" y="3705225"/>
          <a:ext cx="1905000" cy="371475"/>
        </a:xfrm>
        <a:prstGeom prst="roundRect">
          <a:avLst>
            <a:gd name="adj" fmla="val 50000"/>
          </a:avLst>
        </a:prstGeom>
        <a:solidFill>
          <a:schemeClr val="bg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 cap="none" spc="0">
              <a:ln w="12700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Calculation</a:t>
          </a:r>
          <a:r>
            <a:rPr lang="en-US" sz="1100" b="1" cap="none" spc="0" baseline="0">
              <a:ln w="12700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</a:t>
          </a:r>
          <a:r>
            <a:rPr lang="en-US" sz="1100" b="1" cap="none" spc="0" baseline="0">
              <a:ln w="12700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rgbClr val="00B05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K-M Only</a:t>
          </a:r>
          <a:endParaRPr lang="en-US" sz="1100" b="1" cap="none" spc="0">
            <a:ln w="1270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rgbClr val="00B05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6</xdr:col>
      <xdr:colOff>476251</xdr:colOff>
      <xdr:row>26</xdr:row>
      <xdr:rowOff>76200</xdr:rowOff>
    </xdr:from>
    <xdr:to>
      <xdr:col>9</xdr:col>
      <xdr:colOff>552451</xdr:colOff>
      <xdr:row>28</xdr:row>
      <xdr:rowOff>123825</xdr:rowOff>
    </xdr:to>
    <xdr:sp macro="[0]!CalcuKMSarhai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133851" y="4286250"/>
          <a:ext cx="1905000" cy="371475"/>
        </a:xfrm>
        <a:prstGeom prst="roundRect">
          <a:avLst>
            <a:gd name="adj" fmla="val 50000"/>
          </a:avLst>
        </a:prstGeom>
        <a:solidFill>
          <a:schemeClr val="bg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 cap="none" spc="0">
              <a:ln w="12700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Calculation</a:t>
          </a:r>
          <a:r>
            <a:rPr lang="en-US" sz="1100" b="1" cap="none" spc="0" baseline="0">
              <a:ln w="12700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rgbClr val="00B05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K-M-Sarsahi</a:t>
          </a:r>
          <a:endParaRPr lang="en-US" sz="1100" b="1" cap="none" spc="0">
            <a:ln w="1270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rgbClr val="00B05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6</xdr:col>
      <xdr:colOff>514351</xdr:colOff>
      <xdr:row>16</xdr:row>
      <xdr:rowOff>66675</xdr:rowOff>
    </xdr:from>
    <xdr:to>
      <xdr:col>9</xdr:col>
      <xdr:colOff>590551</xdr:colOff>
      <xdr:row>18</xdr:row>
      <xdr:rowOff>114300</xdr:rowOff>
    </xdr:to>
    <xdr:sp macro="[0]!Shares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171951" y="2657475"/>
          <a:ext cx="1905000" cy="371475"/>
        </a:xfrm>
        <a:prstGeom prst="roundRect">
          <a:avLst>
            <a:gd name="adj" fmla="val 50000"/>
          </a:avLst>
        </a:prstGeom>
        <a:solidFill>
          <a:schemeClr val="bg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 cap="none" spc="0">
              <a:ln w="12700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1over1</a:t>
          </a:r>
          <a:r>
            <a:rPr lang="en-US" sz="1100" b="1" cap="none" spc="0" baseline="0">
              <a:ln w="12700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Checking</a:t>
          </a:r>
          <a:endParaRPr lang="en-US" sz="1100" b="1" cap="none" spc="0">
            <a:ln w="1270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ysClr val="windowText" lastClr="00000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6</xdr:col>
      <xdr:colOff>466726</xdr:colOff>
      <xdr:row>9</xdr:row>
      <xdr:rowOff>114300</xdr:rowOff>
    </xdr:from>
    <xdr:to>
      <xdr:col>9</xdr:col>
      <xdr:colOff>542926</xdr:colOff>
      <xdr:row>12</xdr:row>
      <xdr:rowOff>0</xdr:rowOff>
    </xdr:to>
    <xdr:sp macro="[0]!Warashat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124326" y="1571625"/>
          <a:ext cx="1905000" cy="371475"/>
        </a:xfrm>
        <a:prstGeom prst="roundRect">
          <a:avLst>
            <a:gd name="adj" fmla="val 50000"/>
          </a:avLst>
        </a:prstGeom>
        <a:solidFill>
          <a:schemeClr val="bg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ur-PK" sz="2000" b="1" cap="none" spc="0">
              <a:ln w="12700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Jameel Noori Nastaleeq" pitchFamily="2" charset="-78"/>
              <a:cs typeface="Jameel Noori Nastaleeq" pitchFamily="2" charset="-78"/>
            </a:rPr>
            <a:t>وراثت</a:t>
          </a:r>
          <a:r>
            <a:rPr lang="ur-PK" sz="2000" b="1" cap="none" spc="0" baseline="0">
              <a:ln w="12700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Jameel Noori Nastaleeq" pitchFamily="2" charset="-78"/>
              <a:cs typeface="Jameel Noori Nastaleeq" pitchFamily="2" charset="-78"/>
            </a:rPr>
            <a:t> کی تقسیم </a:t>
          </a:r>
          <a:endParaRPr lang="en-US" sz="2000" b="1" cap="none" spc="0">
            <a:ln w="1270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ysClr val="windowText" lastClr="00000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Jameel Noori Nastaleeq" pitchFamily="2" charset="-78"/>
            <a:cs typeface="Jameel Noori Nastaleeq" pitchFamily="2" charset="-78"/>
          </a:endParaRPr>
        </a:p>
      </xdr:txBody>
    </xdr:sp>
    <xdr:clientData/>
  </xdr:twoCellAnchor>
  <xdr:twoCellAnchor>
    <xdr:from>
      <xdr:col>6</xdr:col>
      <xdr:colOff>495301</xdr:colOff>
      <xdr:row>13</xdr:row>
      <xdr:rowOff>28575</xdr:rowOff>
    </xdr:from>
    <xdr:to>
      <xdr:col>9</xdr:col>
      <xdr:colOff>571501</xdr:colOff>
      <xdr:row>15</xdr:row>
      <xdr:rowOff>76200</xdr:rowOff>
    </xdr:to>
    <xdr:sp macro="[0]!Khastkar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4152901" y="2133600"/>
          <a:ext cx="1905000" cy="371475"/>
        </a:xfrm>
        <a:prstGeom prst="roundRect">
          <a:avLst>
            <a:gd name="adj" fmla="val 50000"/>
          </a:avLst>
        </a:prstGeom>
        <a:solidFill>
          <a:schemeClr val="bg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ur-PK" sz="2000" b="1" cap="none" spc="0">
              <a:ln w="12700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Jameel Noori Nastaleeq" pitchFamily="2" charset="-78"/>
              <a:cs typeface="Jameel Noori Nastaleeq" pitchFamily="2" charset="-78"/>
            </a:rPr>
            <a:t>کاشتکار</a:t>
          </a:r>
          <a:r>
            <a:rPr lang="ur-PK" sz="2000" b="1" cap="none" spc="0" baseline="0">
              <a:ln w="12700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ysClr val="windowText" lastClr="00000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Jameel Noori Nastaleeq" pitchFamily="2" charset="-78"/>
              <a:cs typeface="Jameel Noori Nastaleeq" pitchFamily="2" charset="-78"/>
            </a:rPr>
            <a:t> کی تقسیم</a:t>
          </a:r>
          <a:endParaRPr lang="en-US" sz="2000" b="1" cap="none" spc="0">
            <a:ln w="1270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ysClr val="windowText" lastClr="00000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Jameel Noori Nastaleeq" pitchFamily="2" charset="-78"/>
            <a:cs typeface="Jameel Noori Nastaleeq" pitchFamily="2" charset="-78"/>
          </a:endParaRPr>
        </a:p>
      </xdr:txBody>
    </xdr:sp>
    <xdr:clientData/>
  </xdr:twoCellAnchor>
  <xdr:twoCellAnchor>
    <xdr:from>
      <xdr:col>11</xdr:col>
      <xdr:colOff>466726</xdr:colOff>
      <xdr:row>16</xdr:row>
      <xdr:rowOff>114300</xdr:rowOff>
    </xdr:from>
    <xdr:to>
      <xdr:col>14</xdr:col>
      <xdr:colOff>542926</xdr:colOff>
      <xdr:row>19</xdr:row>
      <xdr:rowOff>0</xdr:rowOff>
    </xdr:to>
    <xdr:sp macro="[0]!ChangeUser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172326" y="2705100"/>
          <a:ext cx="1905000" cy="371475"/>
        </a:xfrm>
        <a:prstGeom prst="roundRect">
          <a:avLst>
            <a:gd name="adj" fmla="val 50000"/>
          </a:avLst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B05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Jameel Noori Nastaleeq" pitchFamily="2" charset="-78"/>
              <a:cs typeface="Jameel Noori Nastaleeq" pitchFamily="2" charset="-78"/>
            </a:rPr>
            <a:t>Change</a:t>
          </a:r>
          <a:r>
            <a:rPr lang="en-US" sz="2000" b="0" cap="none" spc="0" baseline="0">
              <a:ln w="18415" cmpd="sng">
                <a:solidFill>
                  <a:srgbClr val="FFFFFF"/>
                </a:solidFill>
                <a:prstDash val="solid"/>
              </a:ln>
              <a:solidFill>
                <a:srgbClr val="00B05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  <a:latin typeface="Jameel Noori Nastaleeq" pitchFamily="2" charset="-78"/>
              <a:cs typeface="Jameel Noori Nastaleeq" pitchFamily="2" charset="-78"/>
            </a:rPr>
            <a:t> </a:t>
          </a:r>
          <a:r>
            <a:rPr lang="en-US" sz="2000" b="1" cap="none" spc="0" baseline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B05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Jameel Noori Nastaleeq" pitchFamily="2" charset="-78"/>
              <a:cs typeface="Jameel Noori Nastaleeq" pitchFamily="2" charset="-78"/>
            </a:rPr>
            <a:t>Password</a:t>
          </a:r>
          <a:endParaRPr lang="en-US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00B050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  <a:latin typeface="Jameel Noori Nastaleeq" pitchFamily="2" charset="-78"/>
            <a:cs typeface="Jameel Noori Nastaleeq" pitchFamily="2" charset="-7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23812</xdr:rowOff>
    </xdr:from>
    <xdr:to>
      <xdr:col>6</xdr:col>
      <xdr:colOff>4761</xdr:colOff>
      <xdr:row>0</xdr:row>
      <xdr:rowOff>395287</xdr:rowOff>
    </xdr:to>
    <xdr:sp macro="[0]!ChangeUser" textlink="">
      <xdr:nvSpPr>
        <xdr:cNvPr id="3" name="Rounded Rectangle 2">
          <a:hlinkClick xmlns:r="http://schemas.openxmlformats.org/officeDocument/2006/relationships" r:id="rId1" tooltip="Go Back Main Menu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0" y="23812"/>
          <a:ext cx="1219199" cy="371475"/>
        </a:xfrm>
        <a:prstGeom prst="roundRect">
          <a:avLst>
            <a:gd name="adj" fmla="val 50000"/>
          </a:avLst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bliqueTopRigh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B05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Jameel Noori Nastaleeq" pitchFamily="2" charset="-78"/>
              <a:cs typeface="Jameel Noori Nastaleeq" pitchFamily="2" charset="-78"/>
            </a:rPr>
            <a:t>Go Back</a:t>
          </a:r>
          <a:endParaRPr lang="en-US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00B050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  <a:latin typeface="Jameel Noori Nastaleeq" pitchFamily="2" charset="-78"/>
            <a:cs typeface="Jameel Noori Nastaleeq" pitchFamily="2" charset="-7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166687</xdr:colOff>
      <xdr:row>0</xdr:row>
      <xdr:rowOff>15875</xdr:rowOff>
    </xdr:from>
    <xdr:to>
      <xdr:col>6</xdr:col>
      <xdr:colOff>1412875</xdr:colOff>
      <xdr:row>0</xdr:row>
      <xdr:rowOff>387350</xdr:rowOff>
    </xdr:to>
    <xdr:sp macro="[0]!ChangeUser" textlink="">
      <xdr:nvSpPr>
        <xdr:cNvPr id="4" name="Rounded Rectangle 3">
          <a:hlinkClick xmlns:r="http://schemas.openxmlformats.org/officeDocument/2006/relationships" r:id="rId1" tooltip="Go Back Main Menu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777875" y="15875"/>
          <a:ext cx="1246188" cy="371475"/>
        </a:xfrm>
        <a:prstGeom prst="roundRect">
          <a:avLst>
            <a:gd name="adj" fmla="val 50000"/>
          </a:avLst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bliqueTopRigh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B05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Jameel Noori Nastaleeq" pitchFamily="2" charset="-78"/>
              <a:cs typeface="Jameel Noori Nastaleeq" pitchFamily="2" charset="-78"/>
            </a:rPr>
            <a:t>Go Back</a:t>
          </a:r>
          <a:endParaRPr lang="en-US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00B050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  <a:latin typeface="Jameel Noori Nastaleeq" pitchFamily="2" charset="-78"/>
            <a:cs typeface="Jameel Noori Nastaleeq" pitchFamily="2" charset="-7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111125</xdr:colOff>
      <xdr:row>0</xdr:row>
      <xdr:rowOff>23812</xdr:rowOff>
    </xdr:from>
    <xdr:to>
      <xdr:col>6</xdr:col>
      <xdr:colOff>1635124</xdr:colOff>
      <xdr:row>0</xdr:row>
      <xdr:rowOff>365125</xdr:rowOff>
    </xdr:to>
    <xdr:sp macro="[0]!ChangeUser" textlink="">
      <xdr:nvSpPr>
        <xdr:cNvPr id="4" name="Rounded Rectangle 3">
          <a:hlinkClick xmlns:r="http://schemas.openxmlformats.org/officeDocument/2006/relationships" r:id="rId1" tooltip="Go Back Main Menu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722313" y="23812"/>
          <a:ext cx="1523999" cy="341313"/>
        </a:xfrm>
        <a:prstGeom prst="roundRect">
          <a:avLst>
            <a:gd name="adj" fmla="val 50000"/>
          </a:avLst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bliqueTopRigh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B05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Jameel Noori Nastaleeq" pitchFamily="2" charset="-78"/>
              <a:cs typeface="Jameel Noori Nastaleeq" pitchFamily="2" charset="-78"/>
            </a:rPr>
            <a:t>Go Back</a:t>
          </a:r>
          <a:endParaRPr lang="en-US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00B050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  <a:latin typeface="Jameel Noori Nastaleeq" pitchFamily="2" charset="-78"/>
            <a:cs typeface="Jameel Noori Nastaleeq" pitchFamily="2" charset="-7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16671</xdr:colOff>
      <xdr:row>9</xdr:row>
      <xdr:rowOff>171450</xdr:rowOff>
    </xdr:from>
    <xdr:to>
      <xdr:col>3</xdr:col>
      <xdr:colOff>0</xdr:colOff>
      <xdr:row>12</xdr:row>
      <xdr:rowOff>59532</xdr:rowOff>
    </xdr:to>
    <xdr:sp macro="[0]!ChangeUser" textlink="">
      <xdr:nvSpPr>
        <xdr:cNvPr id="3" name="Rounded Rectangle 2">
          <a:hlinkClick xmlns:r="http://schemas.openxmlformats.org/officeDocument/2006/relationships" r:id="rId1" tooltip="Go Back Main Menu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07371" y="2019300"/>
          <a:ext cx="840579" cy="478632"/>
        </a:xfrm>
        <a:prstGeom prst="roundRect">
          <a:avLst>
            <a:gd name="adj" fmla="val 50000"/>
          </a:avLst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bliqueTopRigh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2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B05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Jameel Noori Nastaleeq" pitchFamily="2" charset="-78"/>
              <a:cs typeface="Jameel Noori Nastaleeq" pitchFamily="2" charset="-78"/>
            </a:rPr>
            <a:t>Go Back</a:t>
          </a:r>
          <a:endParaRPr lang="en-US" sz="12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00B050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  <a:latin typeface="Jameel Noori Nastaleeq" pitchFamily="2" charset="-78"/>
            <a:cs typeface="Jameel Noori Nastaleeq" pitchFamily="2" charset="-78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127550</xdr:colOff>
      <xdr:row>3</xdr:row>
      <xdr:rowOff>2070</xdr:rowOff>
    </xdr:from>
    <xdr:to>
      <xdr:col>3</xdr:col>
      <xdr:colOff>511863</xdr:colOff>
      <xdr:row>4</xdr:row>
      <xdr:rowOff>52180</xdr:rowOff>
    </xdr:to>
    <xdr:sp macro="[0]!Macro3" textlink="">
      <xdr:nvSpPr>
        <xdr:cNvPr id="2056" name="Rectangle 8" descr="Green marble">
          <a:extLst>
            <a:ext uri="{FF2B5EF4-FFF2-40B4-BE49-F238E27FC236}">
              <a16:creationId xmlns:a16="http://schemas.microsoft.com/office/drawing/2014/main" id="{00000000-0008-0000-0500-000008080000}"/>
            </a:ext>
          </a:extLst>
        </xdr:cNvPr>
        <xdr:cNvSpPr>
          <a:spLocks noChangeArrowheads="1"/>
        </xdr:cNvSpPr>
      </xdr:nvSpPr>
      <xdr:spPr bwMode="auto">
        <a:xfrm>
          <a:off x="2372137" y="573570"/>
          <a:ext cx="384313" cy="215762"/>
        </a:xfrm>
        <a:prstGeom prst="rect">
          <a:avLst/>
        </a:prstGeom>
        <a:ln>
          <a:headEnd/>
          <a:tailEnd/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wrap="square" lIns="27432" tIns="27432" rIns="0" bIns="0" anchor="t" upright="1"/>
        <a:lstStyle/>
        <a:p>
          <a:pPr algn="l" rtl="1">
            <a:defRPr sz="1000"/>
          </a:pPr>
          <a:r>
            <a:rPr lang="en-US" sz="1100" b="1" i="0" strike="noStrike">
              <a:solidFill>
                <a:srgbClr val="FFFFFF"/>
              </a:solidFill>
              <a:latin typeface="Arial"/>
              <a:cs typeface="Arial"/>
            </a:rPr>
            <a:t>Start</a:t>
          </a:r>
        </a:p>
      </xdr:txBody>
    </xdr:sp>
    <xdr:clientData/>
  </xdr:twoCellAnchor>
  <xdr:twoCellAnchor>
    <xdr:from>
      <xdr:col>0</xdr:col>
      <xdr:colOff>89452</xdr:colOff>
      <xdr:row>2</xdr:row>
      <xdr:rowOff>154471</xdr:rowOff>
    </xdr:from>
    <xdr:to>
      <xdr:col>0</xdr:col>
      <xdr:colOff>530086</xdr:colOff>
      <xdr:row>4</xdr:row>
      <xdr:rowOff>24848</xdr:rowOff>
    </xdr:to>
    <xdr:sp macro="[0]!Macro1" textlink="">
      <xdr:nvSpPr>
        <xdr:cNvPr id="3" name="Rectangle 8" descr="Green marble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rrowheads="1"/>
        </xdr:cNvSpPr>
      </xdr:nvSpPr>
      <xdr:spPr bwMode="auto">
        <a:xfrm>
          <a:off x="89452" y="552036"/>
          <a:ext cx="440634" cy="209964"/>
        </a:xfrm>
        <a:prstGeom prst="rect">
          <a:avLst/>
        </a:prstGeom>
        <a:ln>
          <a:headEnd/>
          <a:tailEnd/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wrap="square" lIns="27432" tIns="27432" rIns="0" bIns="0" anchor="ctr" upright="1"/>
        <a:lstStyle/>
        <a:p>
          <a:pPr algn="ctr" rtl="1">
            <a:defRPr sz="1000"/>
          </a:pPr>
          <a:r>
            <a:rPr lang="en-US" sz="800" b="1" i="0" strike="noStrike">
              <a:solidFill>
                <a:srgbClr val="FFFFFF"/>
              </a:solidFill>
              <a:latin typeface="Arial"/>
              <a:cs typeface="Arial"/>
            </a:rPr>
            <a:t>Refresh</a:t>
          </a:r>
        </a:p>
      </xdr:txBody>
    </xdr:sp>
    <xdr:clientData/>
  </xdr:twoCellAnchor>
  <xdr:twoCellAnchor>
    <xdr:from>
      <xdr:col>1</xdr:col>
      <xdr:colOff>240196</xdr:colOff>
      <xdr:row>0</xdr:row>
      <xdr:rowOff>8283</xdr:rowOff>
    </xdr:from>
    <xdr:to>
      <xdr:col>3</xdr:col>
      <xdr:colOff>132521</xdr:colOff>
      <xdr:row>0</xdr:row>
      <xdr:rowOff>379758</xdr:rowOff>
    </xdr:to>
    <xdr:sp macro="[0]!ChangeUser" textlink="">
      <xdr:nvSpPr>
        <xdr:cNvPr id="5" name="Rounded Rectangle 4">
          <a:hlinkClick xmlns:r="http://schemas.openxmlformats.org/officeDocument/2006/relationships" r:id="rId1" tooltip="Go Back Main Menu"/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853109" y="8283"/>
          <a:ext cx="1523999" cy="371475"/>
        </a:xfrm>
        <a:prstGeom prst="roundRect">
          <a:avLst>
            <a:gd name="adj" fmla="val 50000"/>
          </a:avLst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bliqueTopRigh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B05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Jameel Noori Nastaleeq" pitchFamily="2" charset="-78"/>
              <a:cs typeface="Jameel Noori Nastaleeq" pitchFamily="2" charset="-78"/>
            </a:rPr>
            <a:t>Go Back</a:t>
          </a:r>
          <a:endParaRPr lang="en-US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00B050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  <a:latin typeface="Jameel Noori Nastaleeq" pitchFamily="2" charset="-78"/>
            <a:cs typeface="Jameel Noori Nastaleeq" pitchFamily="2" charset="-7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133350</xdr:colOff>
      <xdr:row>2</xdr:row>
      <xdr:rowOff>95250</xdr:rowOff>
    </xdr:from>
    <xdr:to>
      <xdr:col>14</xdr:col>
      <xdr:colOff>552450</xdr:colOff>
      <xdr:row>2</xdr:row>
      <xdr:rowOff>96838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CxnSpPr/>
      </xdr:nvCxnSpPr>
      <xdr:spPr>
        <a:xfrm rot="10800000">
          <a:off x="4219575" y="723900"/>
          <a:ext cx="419100" cy="1588"/>
        </a:xfrm>
        <a:prstGeom prst="straightConnector1">
          <a:avLst/>
        </a:prstGeom>
        <a:ln w="19050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9524</xdr:colOff>
      <xdr:row>1</xdr:row>
      <xdr:rowOff>142875</xdr:rowOff>
    </xdr:from>
    <xdr:to>
      <xdr:col>16</xdr:col>
      <xdr:colOff>266699</xdr:colOff>
      <xdr:row>3</xdr:row>
      <xdr:rowOff>38100</xdr:rowOff>
    </xdr:to>
    <xdr:sp macro="[0]!Macro4" textlink="">
      <xdr:nvSpPr>
        <xdr:cNvPr id="6" name="Rectangle 8" descr="Green marble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/>
        </xdr:cNvSpPr>
      </xdr:nvSpPr>
      <xdr:spPr bwMode="auto">
        <a:xfrm>
          <a:off x="5057774" y="600075"/>
          <a:ext cx="866775" cy="238125"/>
        </a:xfrm>
        <a:prstGeom prst="rect">
          <a:avLst/>
        </a:prstGeom>
        <a:ln>
          <a:headEnd/>
          <a:tailEnd/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wrap="square" lIns="27432" tIns="27432" rIns="0" bIns="0" anchor="ctr" upright="1"/>
        <a:lstStyle/>
        <a:p>
          <a:pPr algn="ctr" rtl="1">
            <a:defRPr sz="1000"/>
          </a:pPr>
          <a:r>
            <a:rPr lang="en-US" sz="1100" b="1" i="0" strike="noStrike">
              <a:solidFill>
                <a:srgbClr val="FFFFFF"/>
              </a:solidFill>
              <a:latin typeface="Arial"/>
              <a:cs typeface="Arial"/>
            </a:rPr>
            <a:t>Start</a:t>
          </a:r>
        </a:p>
      </xdr:txBody>
    </xdr:sp>
    <xdr:clientData/>
  </xdr:twoCellAnchor>
  <xdr:twoCellAnchor>
    <xdr:from>
      <xdr:col>10</xdr:col>
      <xdr:colOff>66675</xdr:colOff>
      <xdr:row>1</xdr:row>
      <xdr:rowOff>66675</xdr:rowOff>
    </xdr:from>
    <xdr:to>
      <xdr:col>11</xdr:col>
      <xdr:colOff>428624</xdr:colOff>
      <xdr:row>3</xdr:row>
      <xdr:rowOff>95250</xdr:rowOff>
    </xdr:to>
    <xdr:sp macro="[0]!ChangeUser" textlink="">
      <xdr:nvSpPr>
        <xdr:cNvPr id="7" name="Rounded Rectangle 6">
          <a:hlinkClick xmlns:r="http://schemas.openxmlformats.org/officeDocument/2006/relationships" r:id="rId1" tooltip="Go Back Main Menu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514475" y="523875"/>
          <a:ext cx="1523999" cy="371475"/>
        </a:xfrm>
        <a:prstGeom prst="roundRect">
          <a:avLst>
            <a:gd name="adj" fmla="val 50000"/>
          </a:avLst>
        </a:pr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bliqueTopRight"/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rgbClr val="00B050"/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  <a:latin typeface="Jameel Noori Nastaleeq" pitchFamily="2" charset="-78"/>
              <a:cs typeface="Jameel Noori Nastaleeq" pitchFamily="2" charset="-78"/>
            </a:rPr>
            <a:t>Go Back</a:t>
          </a:r>
          <a:endParaRPr lang="en-US" sz="2000" b="0" cap="none" spc="0">
            <a:ln w="18415" cmpd="sng">
              <a:solidFill>
                <a:srgbClr val="FFFFFF"/>
              </a:solidFill>
              <a:prstDash val="solid"/>
            </a:ln>
            <a:solidFill>
              <a:srgbClr val="00B050"/>
            </a:solidFill>
            <a:effectLst>
              <a:outerShdw blurRad="63500" dir="3600000" algn="tl" rotWithShape="0">
                <a:srgbClr val="000000">
                  <a:alpha val="70000"/>
                </a:srgbClr>
              </a:outerShdw>
            </a:effectLst>
            <a:latin typeface="Jameel Noori Nastaleeq" pitchFamily="2" charset="-78"/>
            <a:cs typeface="Jameel Noori Nastaleeq" pitchFamily="2" charset="-7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3">
            <a:lumMod val="50000"/>
          </a:schemeClr>
        </a:solidFill>
        <a:ln>
          <a:solidFill>
            <a:schemeClr val="accent6">
              <a:lumMod val="50000"/>
            </a:schemeClr>
          </a:solidFill>
        </a:ln>
      </a:spPr>
      <a:bodyPr rtlCol="0" anchor="ctr"/>
      <a:lstStyle>
        <a:defPPr algn="ctr">
          <a:defRPr sz="1100" b="1">
            <a:solidFill>
              <a:schemeClr val="bg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T153"/>
  <sheetViews>
    <sheetView showGridLines="0" showRowColHeaders="0" showZeros="0" workbookViewId="0">
      <selection activeCell="D2" sqref="D2:E2"/>
    </sheetView>
  </sheetViews>
  <sheetFormatPr defaultColWidth="0" defaultRowHeight="12.75" zeroHeight="1" x14ac:dyDescent="0.2"/>
  <cols>
    <col min="1" max="6" width="9.140625" customWidth="1"/>
    <col min="7" max="7" width="10.42578125" customWidth="1"/>
    <col min="8" max="20" width="9.140625" customWidth="1"/>
    <col min="21" max="16384" width="9.140625" hidden="1"/>
  </cols>
  <sheetData>
    <row r="1" spans="1:5" x14ac:dyDescent="0.2">
      <c r="D1" s="122" t="s">
        <v>107</v>
      </c>
    </row>
    <row r="2" spans="1:5" x14ac:dyDescent="0.2">
      <c r="A2" s="3"/>
      <c r="D2" s="177" t="s">
        <v>56</v>
      </c>
      <c r="E2" s="177"/>
    </row>
    <row r="3" spans="1:5" x14ac:dyDescent="0.2"/>
    <row r="4" spans="1:5" x14ac:dyDescent="0.2"/>
    <row r="5" spans="1:5" x14ac:dyDescent="0.2"/>
    <row r="6" spans="1:5" x14ac:dyDescent="0.2"/>
    <row r="7" spans="1:5" x14ac:dyDescent="0.2"/>
    <row r="8" spans="1:5" x14ac:dyDescent="0.2"/>
    <row r="9" spans="1:5" x14ac:dyDescent="0.2"/>
    <row r="10" spans="1:5" x14ac:dyDescent="0.2"/>
    <row r="11" spans="1:5" x14ac:dyDescent="0.2"/>
    <row r="12" spans="1:5" x14ac:dyDescent="0.2">
      <c r="C12" t="s">
        <v>193</v>
      </c>
    </row>
    <row r="13" spans="1:5" x14ac:dyDescent="0.2">
      <c r="C13" s="147" t="str">
        <f>A50</f>
        <v>Nadeem</v>
      </c>
    </row>
    <row r="14" spans="1:5" x14ac:dyDescent="0.2"/>
    <row r="15" spans="1:5" x14ac:dyDescent="0.2"/>
    <row r="16" spans="1:5" x14ac:dyDescent="0.2"/>
    <row r="17" spans="13:14" x14ac:dyDescent="0.2"/>
    <row r="18" spans="13:14" x14ac:dyDescent="0.2"/>
    <row r="19" spans="13:14" x14ac:dyDescent="0.2"/>
    <row r="20" spans="13:14" x14ac:dyDescent="0.2"/>
    <row r="21" spans="13:14" x14ac:dyDescent="0.2"/>
    <row r="22" spans="13:14" x14ac:dyDescent="0.2"/>
    <row r="23" spans="13:14" x14ac:dyDescent="0.2"/>
    <row r="24" spans="13:14" x14ac:dyDescent="0.2"/>
    <row r="25" spans="13:14" x14ac:dyDescent="0.2">
      <c r="M25" t="s">
        <v>441</v>
      </c>
    </row>
    <row r="26" spans="13:14" x14ac:dyDescent="0.2">
      <c r="M26" t="s">
        <v>184</v>
      </c>
      <c r="N26" t="s">
        <v>185</v>
      </c>
    </row>
    <row r="27" spans="13:14" x14ac:dyDescent="0.2">
      <c r="N27" t="s">
        <v>186</v>
      </c>
    </row>
    <row r="28" spans="13:14" x14ac:dyDescent="0.2"/>
    <row r="29" spans="13:14" x14ac:dyDescent="0.2"/>
    <row r="30" spans="13:14" x14ac:dyDescent="0.2"/>
    <row r="31" spans="13:14" x14ac:dyDescent="0.2"/>
    <row r="32" spans="13:14" x14ac:dyDescent="0.2"/>
    <row r="33" spans="1:11" x14ac:dyDescent="0.2"/>
    <row r="34" spans="1:11" x14ac:dyDescent="0.2"/>
    <row r="35" spans="1:11" x14ac:dyDescent="0.2"/>
    <row r="36" spans="1:11" x14ac:dyDescent="0.2"/>
    <row r="37" spans="1:11" ht="19.5" customHeight="1" x14ac:dyDescent="0.2"/>
    <row r="45" spans="1:11" hidden="1" x14ac:dyDescent="0.2">
      <c r="A45" s="123"/>
      <c r="B45" s="123"/>
      <c r="C45" s="123"/>
      <c r="D45" s="123"/>
      <c r="E45" s="123"/>
      <c r="F45" s="123"/>
      <c r="G45" s="123"/>
      <c r="H45" s="123"/>
      <c r="I45" s="123">
        <f ca="1">G48-G47</f>
        <v>4100</v>
      </c>
    </row>
    <row r="46" spans="1:11" hidden="1" x14ac:dyDescent="0.2">
      <c r="A46" s="123"/>
      <c r="B46" s="123"/>
      <c r="C46" s="123"/>
      <c r="D46" s="123"/>
      <c r="E46" s="123"/>
      <c r="F46" s="123"/>
      <c r="G46" s="123"/>
      <c r="H46" s="123"/>
      <c r="I46" s="123">
        <f ca="1">IF(I45&lt;=0,I45+31,31-I45)</f>
        <v>-4069</v>
      </c>
    </row>
    <row r="47" spans="1:11" hidden="1" x14ac:dyDescent="0.2">
      <c r="A47" s="123"/>
      <c r="B47" s="123" t="b">
        <v>1</v>
      </c>
      <c r="C47" s="123"/>
      <c r="D47" s="123"/>
      <c r="E47" s="123"/>
      <c r="F47" s="123"/>
      <c r="G47" s="124">
        <v>41037</v>
      </c>
      <c r="H47" s="123">
        <f>H48-1</f>
        <v>29</v>
      </c>
      <c r="I47" s="123">
        <v>30</v>
      </c>
    </row>
    <row r="48" spans="1:11" ht="15.75" hidden="1" x14ac:dyDescent="0.25">
      <c r="A48" s="123"/>
      <c r="B48" s="123"/>
      <c r="C48" s="123"/>
      <c r="D48" s="123"/>
      <c r="E48" s="123"/>
      <c r="F48" s="124">
        <v>41037</v>
      </c>
      <c r="G48" s="124">
        <f ca="1">TODAY()</f>
        <v>45137</v>
      </c>
      <c r="H48" s="123">
        <v>30</v>
      </c>
      <c r="I48" s="123">
        <f ca="1">MIN(I46:I47)</f>
        <v>-4069</v>
      </c>
      <c r="K48" s="129" t="s">
        <v>187</v>
      </c>
    </row>
    <row r="49" spans="1:11" hidden="1" x14ac:dyDescent="0.2">
      <c r="A49" s="123"/>
      <c r="B49" s="123"/>
      <c r="C49" s="123"/>
      <c r="D49" s="123"/>
      <c r="E49" s="123"/>
      <c r="F49" s="123"/>
      <c r="G49" s="123"/>
      <c r="H49" s="123"/>
      <c r="I49" s="123"/>
      <c r="K49" t="str">
        <f>IF(H48&lt;=0,K52,K51)</f>
        <v>You are using a trail version which will be expired after-30-days</v>
      </c>
    </row>
    <row r="50" spans="1:11" hidden="1" x14ac:dyDescent="0.2">
      <c r="A50" s="119" t="s">
        <v>194</v>
      </c>
      <c r="B50" s="119" t="s">
        <v>195</v>
      </c>
      <c r="C50" s="119" t="s">
        <v>194</v>
      </c>
      <c r="D50" s="123"/>
      <c r="E50" s="123"/>
      <c r="F50" s="119">
        <v>1</v>
      </c>
      <c r="G50" s="119">
        <f>F50+1</f>
        <v>2</v>
      </c>
      <c r="H50" s="123"/>
      <c r="I50" s="123"/>
      <c r="K50" s="130" t="s">
        <v>188</v>
      </c>
    </row>
    <row r="51" spans="1:11" hidden="1" x14ac:dyDescent="0.2">
      <c r="A51" s="123"/>
      <c r="B51" s="123"/>
      <c r="C51" s="123"/>
      <c r="D51" s="123"/>
      <c r="E51" s="123">
        <f>F51+1</f>
        <v>5</v>
      </c>
      <c r="F51" s="123">
        <v>4</v>
      </c>
      <c r="G51" s="123" t="str">
        <f>VLOOKUP(F51,$A$54:$C$553,3,FALSE)</f>
        <v>WKDK-WGKK-GLKW-GQWR</v>
      </c>
      <c r="H51" s="123"/>
      <c r="I51" s="123"/>
      <c r="K51" t="str">
        <f>CONCATENATE(K48,"-",H48,K50)</f>
        <v>You are using a trail version which will be expired after-30-days</v>
      </c>
    </row>
    <row r="52" spans="1:11" hidden="1" x14ac:dyDescent="0.2">
      <c r="A52" s="123"/>
      <c r="B52" s="123"/>
      <c r="C52" s="123"/>
      <c r="D52" s="123"/>
      <c r="E52" s="123"/>
      <c r="F52" s="123"/>
      <c r="G52" s="123" t="str">
        <f>VLOOKUP(F51,$A$54:$C$553,2,FALSE)</f>
        <v>SEQFG</v>
      </c>
      <c r="H52" s="123"/>
      <c r="I52" s="123"/>
      <c r="K52" t="s">
        <v>191</v>
      </c>
    </row>
    <row r="54" spans="1:11" hidden="1" x14ac:dyDescent="0.2">
      <c r="A54">
        <v>1</v>
      </c>
      <c r="B54" t="s">
        <v>53</v>
      </c>
      <c r="C54" t="s">
        <v>106</v>
      </c>
    </row>
    <row r="55" spans="1:11" hidden="1" x14ac:dyDescent="0.2">
      <c r="A55">
        <v>2</v>
      </c>
      <c r="B55" t="s">
        <v>54</v>
      </c>
      <c r="C55" t="s">
        <v>105</v>
      </c>
    </row>
    <row r="56" spans="1:11" hidden="1" x14ac:dyDescent="0.2">
      <c r="A56">
        <v>3</v>
      </c>
      <c r="B56" t="s">
        <v>55</v>
      </c>
      <c r="C56" t="s">
        <v>156</v>
      </c>
    </row>
    <row r="57" spans="1:11" hidden="1" x14ac:dyDescent="0.2">
      <c r="A57">
        <v>4</v>
      </c>
      <c r="B57" t="s">
        <v>56</v>
      </c>
      <c r="C57" t="s">
        <v>157</v>
      </c>
    </row>
    <row r="58" spans="1:11" hidden="1" x14ac:dyDescent="0.2">
      <c r="A58">
        <v>5</v>
      </c>
      <c r="B58" t="s">
        <v>57</v>
      </c>
      <c r="C58" t="s">
        <v>158</v>
      </c>
    </row>
    <row r="59" spans="1:11" hidden="1" x14ac:dyDescent="0.2">
      <c r="A59">
        <v>6</v>
      </c>
      <c r="B59" t="s">
        <v>58</v>
      </c>
      <c r="C59" t="s">
        <v>159</v>
      </c>
    </row>
    <row r="60" spans="1:11" hidden="1" x14ac:dyDescent="0.2">
      <c r="A60">
        <v>7</v>
      </c>
      <c r="B60" t="s">
        <v>59</v>
      </c>
      <c r="C60" t="s">
        <v>160</v>
      </c>
    </row>
    <row r="61" spans="1:11" hidden="1" x14ac:dyDescent="0.2">
      <c r="A61">
        <v>8</v>
      </c>
      <c r="B61" t="s">
        <v>60</v>
      </c>
      <c r="C61" t="s">
        <v>161</v>
      </c>
    </row>
    <row r="62" spans="1:11" hidden="1" x14ac:dyDescent="0.2">
      <c r="A62">
        <v>9</v>
      </c>
      <c r="B62" t="s">
        <v>61</v>
      </c>
      <c r="C62" t="s">
        <v>162</v>
      </c>
    </row>
    <row r="63" spans="1:11" hidden="1" x14ac:dyDescent="0.2">
      <c r="A63">
        <v>10</v>
      </c>
      <c r="B63" t="s">
        <v>62</v>
      </c>
      <c r="C63" t="s">
        <v>157</v>
      </c>
    </row>
    <row r="64" spans="1:11" hidden="1" x14ac:dyDescent="0.2">
      <c r="A64">
        <v>11</v>
      </c>
      <c r="B64" t="s">
        <v>63</v>
      </c>
      <c r="C64" t="s">
        <v>161</v>
      </c>
    </row>
    <row r="65" spans="1:3" hidden="1" x14ac:dyDescent="0.2">
      <c r="A65">
        <v>12</v>
      </c>
      <c r="B65" t="s">
        <v>64</v>
      </c>
      <c r="C65" t="s">
        <v>106</v>
      </c>
    </row>
    <row r="66" spans="1:3" hidden="1" x14ac:dyDescent="0.2">
      <c r="A66">
        <v>13</v>
      </c>
      <c r="B66" t="s">
        <v>65</v>
      </c>
      <c r="C66" t="s">
        <v>163</v>
      </c>
    </row>
    <row r="67" spans="1:3" hidden="1" x14ac:dyDescent="0.2">
      <c r="A67">
        <v>14</v>
      </c>
      <c r="B67" t="s">
        <v>66</v>
      </c>
      <c r="C67" t="s">
        <v>164</v>
      </c>
    </row>
    <row r="68" spans="1:3" hidden="1" x14ac:dyDescent="0.2">
      <c r="A68">
        <v>15</v>
      </c>
      <c r="B68" t="s">
        <v>67</v>
      </c>
      <c r="C68" s="3" t="s">
        <v>165</v>
      </c>
    </row>
    <row r="69" spans="1:3" hidden="1" x14ac:dyDescent="0.2">
      <c r="A69">
        <v>16</v>
      </c>
      <c r="B69" t="s">
        <v>68</v>
      </c>
      <c r="C69" s="3" t="s">
        <v>166</v>
      </c>
    </row>
    <row r="70" spans="1:3" hidden="1" x14ac:dyDescent="0.2">
      <c r="A70">
        <v>17</v>
      </c>
      <c r="B70" t="s">
        <v>69</v>
      </c>
      <c r="C70" s="3" t="s">
        <v>167</v>
      </c>
    </row>
    <row r="71" spans="1:3" hidden="1" x14ac:dyDescent="0.2">
      <c r="A71">
        <v>18</v>
      </c>
      <c r="B71" t="s">
        <v>70</v>
      </c>
      <c r="C71" s="3" t="s">
        <v>168</v>
      </c>
    </row>
    <row r="72" spans="1:3" hidden="1" x14ac:dyDescent="0.2">
      <c r="A72">
        <v>19</v>
      </c>
      <c r="B72" t="s">
        <v>71</v>
      </c>
      <c r="C72" s="3" t="s">
        <v>169</v>
      </c>
    </row>
    <row r="73" spans="1:3" hidden="1" x14ac:dyDescent="0.2">
      <c r="A73">
        <v>20</v>
      </c>
      <c r="B73" t="s">
        <v>72</v>
      </c>
      <c r="C73" s="3" t="s">
        <v>170</v>
      </c>
    </row>
    <row r="74" spans="1:3" hidden="1" x14ac:dyDescent="0.2">
      <c r="A74">
        <v>21</v>
      </c>
      <c r="B74" t="s">
        <v>73</v>
      </c>
      <c r="C74" t="s">
        <v>156</v>
      </c>
    </row>
    <row r="75" spans="1:3" hidden="1" x14ac:dyDescent="0.2">
      <c r="A75">
        <v>22</v>
      </c>
      <c r="B75" t="s">
        <v>74</v>
      </c>
      <c r="C75" s="3" t="s">
        <v>165</v>
      </c>
    </row>
    <row r="76" spans="1:3" hidden="1" x14ac:dyDescent="0.2">
      <c r="A76">
        <v>23</v>
      </c>
      <c r="B76" t="s">
        <v>75</v>
      </c>
      <c r="C76" t="s">
        <v>161</v>
      </c>
    </row>
    <row r="77" spans="1:3" hidden="1" x14ac:dyDescent="0.2">
      <c r="A77">
        <v>24</v>
      </c>
      <c r="B77" t="s">
        <v>76</v>
      </c>
      <c r="C77" t="s">
        <v>163</v>
      </c>
    </row>
    <row r="78" spans="1:3" hidden="1" x14ac:dyDescent="0.2">
      <c r="A78">
        <v>25</v>
      </c>
      <c r="B78" t="s">
        <v>77</v>
      </c>
      <c r="C78" t="s">
        <v>157</v>
      </c>
    </row>
    <row r="79" spans="1:3" hidden="1" x14ac:dyDescent="0.2">
      <c r="A79">
        <v>26</v>
      </c>
      <c r="B79" t="s">
        <v>78</v>
      </c>
      <c r="C79" t="s">
        <v>105</v>
      </c>
    </row>
    <row r="80" spans="1:3" hidden="1" x14ac:dyDescent="0.2">
      <c r="A80">
        <v>27</v>
      </c>
      <c r="B80" t="s">
        <v>79</v>
      </c>
      <c r="C80" s="3" t="s">
        <v>171</v>
      </c>
    </row>
    <row r="81" spans="1:3" hidden="1" x14ac:dyDescent="0.2">
      <c r="A81">
        <v>28</v>
      </c>
      <c r="B81" t="s">
        <v>80</v>
      </c>
      <c r="C81" s="3" t="s">
        <v>172</v>
      </c>
    </row>
    <row r="82" spans="1:3" hidden="1" x14ac:dyDescent="0.2">
      <c r="A82">
        <v>29</v>
      </c>
      <c r="B82" t="s">
        <v>81</v>
      </c>
      <c r="C82" s="3" t="s">
        <v>173</v>
      </c>
    </row>
    <row r="83" spans="1:3" hidden="1" x14ac:dyDescent="0.2">
      <c r="A83">
        <v>30</v>
      </c>
      <c r="B83" t="s">
        <v>82</v>
      </c>
      <c r="C83" s="3" t="s">
        <v>174</v>
      </c>
    </row>
    <row r="84" spans="1:3" hidden="1" x14ac:dyDescent="0.2">
      <c r="A84">
        <v>31</v>
      </c>
      <c r="B84" t="s">
        <v>83</v>
      </c>
      <c r="C84" s="3" t="s">
        <v>175</v>
      </c>
    </row>
    <row r="85" spans="1:3" hidden="1" x14ac:dyDescent="0.2">
      <c r="A85">
        <v>32</v>
      </c>
      <c r="B85" t="s">
        <v>84</v>
      </c>
      <c r="C85" s="3" t="s">
        <v>176</v>
      </c>
    </row>
    <row r="86" spans="1:3" hidden="1" x14ac:dyDescent="0.2">
      <c r="A86">
        <v>33</v>
      </c>
      <c r="B86" t="s">
        <v>85</v>
      </c>
      <c r="C86" s="3" t="s">
        <v>177</v>
      </c>
    </row>
    <row r="87" spans="1:3" hidden="1" x14ac:dyDescent="0.2">
      <c r="A87">
        <v>34</v>
      </c>
      <c r="B87" t="s">
        <v>86</v>
      </c>
      <c r="C87" s="3" t="s">
        <v>178</v>
      </c>
    </row>
    <row r="88" spans="1:3" hidden="1" x14ac:dyDescent="0.2">
      <c r="A88">
        <v>35</v>
      </c>
      <c r="B88" t="s">
        <v>87</v>
      </c>
      <c r="C88" s="3" t="s">
        <v>179</v>
      </c>
    </row>
    <row r="89" spans="1:3" hidden="1" x14ac:dyDescent="0.2">
      <c r="A89">
        <v>36</v>
      </c>
      <c r="B89" t="s">
        <v>88</v>
      </c>
      <c r="C89" s="3" t="s">
        <v>180</v>
      </c>
    </row>
    <row r="90" spans="1:3" hidden="1" x14ac:dyDescent="0.2">
      <c r="A90">
        <v>37</v>
      </c>
      <c r="B90" t="s">
        <v>89</v>
      </c>
      <c r="C90" s="3" t="s">
        <v>165</v>
      </c>
    </row>
    <row r="91" spans="1:3" hidden="1" x14ac:dyDescent="0.2">
      <c r="A91">
        <v>38</v>
      </c>
      <c r="B91" t="s">
        <v>90</v>
      </c>
      <c r="C91" t="s">
        <v>106</v>
      </c>
    </row>
    <row r="92" spans="1:3" hidden="1" x14ac:dyDescent="0.2">
      <c r="A92">
        <v>39</v>
      </c>
      <c r="B92" t="s">
        <v>91</v>
      </c>
      <c r="C92" t="s">
        <v>105</v>
      </c>
    </row>
    <row r="93" spans="1:3" hidden="1" x14ac:dyDescent="0.2">
      <c r="A93">
        <v>40</v>
      </c>
      <c r="B93" t="s">
        <v>92</v>
      </c>
      <c r="C93" t="s">
        <v>156</v>
      </c>
    </row>
    <row r="94" spans="1:3" hidden="1" x14ac:dyDescent="0.2">
      <c r="A94">
        <v>41</v>
      </c>
      <c r="B94" t="s">
        <v>93</v>
      </c>
      <c r="C94" t="s">
        <v>157</v>
      </c>
    </row>
    <row r="95" spans="1:3" hidden="1" x14ac:dyDescent="0.2">
      <c r="A95">
        <v>42</v>
      </c>
      <c r="B95" t="s">
        <v>94</v>
      </c>
      <c r="C95" t="s">
        <v>158</v>
      </c>
    </row>
    <row r="96" spans="1:3" hidden="1" x14ac:dyDescent="0.2">
      <c r="A96">
        <v>43</v>
      </c>
      <c r="B96" t="s">
        <v>95</v>
      </c>
      <c r="C96" t="s">
        <v>159</v>
      </c>
    </row>
    <row r="97" spans="1:3" hidden="1" x14ac:dyDescent="0.2">
      <c r="A97">
        <v>44</v>
      </c>
      <c r="B97" t="s">
        <v>96</v>
      </c>
      <c r="C97" t="s">
        <v>160</v>
      </c>
    </row>
    <row r="98" spans="1:3" hidden="1" x14ac:dyDescent="0.2">
      <c r="A98">
        <v>45</v>
      </c>
      <c r="B98" t="s">
        <v>97</v>
      </c>
      <c r="C98" t="s">
        <v>161</v>
      </c>
    </row>
    <row r="99" spans="1:3" hidden="1" x14ac:dyDescent="0.2">
      <c r="A99">
        <v>46</v>
      </c>
      <c r="B99" t="s">
        <v>98</v>
      </c>
      <c r="C99" t="s">
        <v>162</v>
      </c>
    </row>
    <row r="100" spans="1:3" hidden="1" x14ac:dyDescent="0.2">
      <c r="A100">
        <v>47</v>
      </c>
      <c r="B100" t="s">
        <v>99</v>
      </c>
      <c r="C100" t="s">
        <v>157</v>
      </c>
    </row>
    <row r="101" spans="1:3" hidden="1" x14ac:dyDescent="0.2">
      <c r="A101">
        <v>48</v>
      </c>
      <c r="B101" t="s">
        <v>100</v>
      </c>
      <c r="C101" t="s">
        <v>161</v>
      </c>
    </row>
    <row r="102" spans="1:3" hidden="1" x14ac:dyDescent="0.2">
      <c r="A102">
        <v>49</v>
      </c>
      <c r="B102" t="s">
        <v>101</v>
      </c>
      <c r="C102" t="s">
        <v>106</v>
      </c>
    </row>
    <row r="103" spans="1:3" hidden="1" x14ac:dyDescent="0.2">
      <c r="A103">
        <v>50</v>
      </c>
      <c r="B103" t="s">
        <v>102</v>
      </c>
      <c r="C103" t="s">
        <v>163</v>
      </c>
    </row>
    <row r="104" spans="1:3" hidden="1" x14ac:dyDescent="0.2">
      <c r="A104">
        <v>51</v>
      </c>
      <c r="B104" t="s">
        <v>103</v>
      </c>
      <c r="C104" t="s">
        <v>164</v>
      </c>
    </row>
    <row r="105" spans="1:3" hidden="1" x14ac:dyDescent="0.2">
      <c r="A105">
        <v>52</v>
      </c>
      <c r="B105" t="s">
        <v>104</v>
      </c>
      <c r="C105" s="3" t="s">
        <v>165</v>
      </c>
    </row>
    <row r="106" spans="1:3" hidden="1" x14ac:dyDescent="0.2">
      <c r="A106">
        <v>53</v>
      </c>
      <c r="B106" s="3" t="s">
        <v>108</v>
      </c>
      <c r="C106" s="3" t="s">
        <v>166</v>
      </c>
    </row>
    <row r="107" spans="1:3" hidden="1" x14ac:dyDescent="0.2">
      <c r="A107">
        <v>54</v>
      </c>
      <c r="B107" s="3" t="s">
        <v>109</v>
      </c>
      <c r="C107" s="3" t="s">
        <v>167</v>
      </c>
    </row>
    <row r="108" spans="1:3" hidden="1" x14ac:dyDescent="0.2">
      <c r="A108">
        <v>55</v>
      </c>
      <c r="B108" s="3" t="s">
        <v>110</v>
      </c>
      <c r="C108" s="3" t="s">
        <v>168</v>
      </c>
    </row>
    <row r="109" spans="1:3" hidden="1" x14ac:dyDescent="0.2">
      <c r="A109">
        <v>56</v>
      </c>
      <c r="B109" s="3" t="s">
        <v>111</v>
      </c>
      <c r="C109" s="3" t="s">
        <v>169</v>
      </c>
    </row>
    <row r="110" spans="1:3" hidden="1" x14ac:dyDescent="0.2">
      <c r="A110">
        <v>57</v>
      </c>
      <c r="B110" s="3" t="s">
        <v>112</v>
      </c>
      <c r="C110" s="3" t="s">
        <v>170</v>
      </c>
    </row>
    <row r="111" spans="1:3" hidden="1" x14ac:dyDescent="0.2">
      <c r="A111">
        <v>58</v>
      </c>
      <c r="B111" s="3" t="s">
        <v>113</v>
      </c>
      <c r="C111" t="s">
        <v>156</v>
      </c>
    </row>
    <row r="112" spans="1:3" hidden="1" x14ac:dyDescent="0.2">
      <c r="A112">
        <v>59</v>
      </c>
      <c r="B112" s="3" t="s">
        <v>114</v>
      </c>
      <c r="C112" s="3" t="s">
        <v>165</v>
      </c>
    </row>
    <row r="113" spans="1:3" hidden="1" x14ac:dyDescent="0.2">
      <c r="A113">
        <v>60</v>
      </c>
      <c r="B113" s="3" t="s">
        <v>116</v>
      </c>
      <c r="C113" t="s">
        <v>161</v>
      </c>
    </row>
    <row r="114" spans="1:3" hidden="1" x14ac:dyDescent="0.2">
      <c r="A114">
        <v>61</v>
      </c>
      <c r="B114" s="3" t="s">
        <v>117</v>
      </c>
      <c r="C114" t="s">
        <v>163</v>
      </c>
    </row>
    <row r="115" spans="1:3" hidden="1" x14ac:dyDescent="0.2">
      <c r="A115">
        <v>62</v>
      </c>
      <c r="B115" s="3" t="s">
        <v>118</v>
      </c>
      <c r="C115" t="s">
        <v>157</v>
      </c>
    </row>
    <row r="116" spans="1:3" hidden="1" x14ac:dyDescent="0.2">
      <c r="A116">
        <v>63</v>
      </c>
      <c r="B116" s="3" t="s">
        <v>119</v>
      </c>
      <c r="C116" t="s">
        <v>105</v>
      </c>
    </row>
    <row r="117" spans="1:3" hidden="1" x14ac:dyDescent="0.2">
      <c r="A117">
        <v>64</v>
      </c>
      <c r="B117" s="3" t="s">
        <v>120</v>
      </c>
      <c r="C117" s="3" t="s">
        <v>171</v>
      </c>
    </row>
    <row r="118" spans="1:3" hidden="1" x14ac:dyDescent="0.2">
      <c r="A118">
        <v>65</v>
      </c>
      <c r="B118" s="3" t="s">
        <v>121</v>
      </c>
      <c r="C118" s="3" t="s">
        <v>172</v>
      </c>
    </row>
    <row r="119" spans="1:3" hidden="1" x14ac:dyDescent="0.2">
      <c r="A119">
        <v>66</v>
      </c>
      <c r="B119" s="3" t="s">
        <v>122</v>
      </c>
      <c r="C119" s="3" t="s">
        <v>173</v>
      </c>
    </row>
    <row r="120" spans="1:3" hidden="1" x14ac:dyDescent="0.2">
      <c r="A120">
        <v>67</v>
      </c>
      <c r="B120" s="3" t="s">
        <v>123</v>
      </c>
      <c r="C120" s="3" t="s">
        <v>174</v>
      </c>
    </row>
    <row r="121" spans="1:3" hidden="1" x14ac:dyDescent="0.2">
      <c r="A121">
        <v>68</v>
      </c>
      <c r="B121" s="3" t="s">
        <v>124</v>
      </c>
      <c r="C121" s="3" t="s">
        <v>175</v>
      </c>
    </row>
    <row r="122" spans="1:3" hidden="1" x14ac:dyDescent="0.2">
      <c r="A122">
        <v>69</v>
      </c>
      <c r="B122" s="3" t="s">
        <v>125</v>
      </c>
      <c r="C122" s="3" t="s">
        <v>176</v>
      </c>
    </row>
    <row r="123" spans="1:3" hidden="1" x14ac:dyDescent="0.2">
      <c r="A123">
        <v>70</v>
      </c>
      <c r="B123" s="3" t="s">
        <v>126</v>
      </c>
      <c r="C123" s="3" t="s">
        <v>177</v>
      </c>
    </row>
    <row r="124" spans="1:3" hidden="1" x14ac:dyDescent="0.2">
      <c r="A124">
        <v>71</v>
      </c>
      <c r="B124" s="3" t="s">
        <v>127</v>
      </c>
      <c r="C124" s="3" t="s">
        <v>178</v>
      </c>
    </row>
    <row r="125" spans="1:3" hidden="1" x14ac:dyDescent="0.2">
      <c r="A125">
        <v>72</v>
      </c>
      <c r="B125" s="3" t="s">
        <v>128</v>
      </c>
      <c r="C125" s="3" t="s">
        <v>179</v>
      </c>
    </row>
    <row r="126" spans="1:3" hidden="1" x14ac:dyDescent="0.2">
      <c r="A126">
        <v>73</v>
      </c>
      <c r="B126" s="3" t="s">
        <v>115</v>
      </c>
      <c r="C126" s="3" t="s">
        <v>180</v>
      </c>
    </row>
    <row r="127" spans="1:3" hidden="1" x14ac:dyDescent="0.2">
      <c r="A127">
        <v>74</v>
      </c>
      <c r="B127" s="3" t="s">
        <v>129</v>
      </c>
      <c r="C127" s="3" t="s">
        <v>165</v>
      </c>
    </row>
    <row r="128" spans="1:3" hidden="1" x14ac:dyDescent="0.2">
      <c r="A128">
        <v>75</v>
      </c>
      <c r="B128" s="3" t="s">
        <v>130</v>
      </c>
      <c r="C128" s="3" t="s">
        <v>177</v>
      </c>
    </row>
    <row r="129" spans="1:3" hidden="1" x14ac:dyDescent="0.2">
      <c r="A129">
        <v>76</v>
      </c>
      <c r="B129" s="3" t="s">
        <v>131</v>
      </c>
      <c r="C129" s="3" t="s">
        <v>178</v>
      </c>
    </row>
    <row r="130" spans="1:3" hidden="1" x14ac:dyDescent="0.2">
      <c r="A130">
        <v>77</v>
      </c>
      <c r="B130" s="3" t="s">
        <v>132</v>
      </c>
      <c r="C130" s="3" t="s">
        <v>179</v>
      </c>
    </row>
    <row r="131" spans="1:3" hidden="1" x14ac:dyDescent="0.2">
      <c r="A131">
        <v>78</v>
      </c>
      <c r="B131" s="3" t="s">
        <v>133</v>
      </c>
      <c r="C131" s="3" t="s">
        <v>180</v>
      </c>
    </row>
    <row r="132" spans="1:3" hidden="1" x14ac:dyDescent="0.2">
      <c r="A132">
        <v>79</v>
      </c>
      <c r="B132" s="3" t="s">
        <v>134</v>
      </c>
      <c r="C132" s="3" t="s">
        <v>165</v>
      </c>
    </row>
    <row r="133" spans="1:3" hidden="1" x14ac:dyDescent="0.2">
      <c r="A133">
        <v>80</v>
      </c>
      <c r="B133" s="3" t="s">
        <v>135</v>
      </c>
      <c r="C133" t="s">
        <v>106</v>
      </c>
    </row>
    <row r="134" spans="1:3" hidden="1" x14ac:dyDescent="0.2">
      <c r="A134">
        <v>81</v>
      </c>
      <c r="B134" s="3" t="s">
        <v>136</v>
      </c>
      <c r="C134" t="s">
        <v>105</v>
      </c>
    </row>
    <row r="135" spans="1:3" hidden="1" x14ac:dyDescent="0.2">
      <c r="A135">
        <v>82</v>
      </c>
      <c r="B135" s="3" t="s">
        <v>137</v>
      </c>
      <c r="C135" t="s">
        <v>156</v>
      </c>
    </row>
    <row r="136" spans="1:3" hidden="1" x14ac:dyDescent="0.2">
      <c r="A136">
        <v>83</v>
      </c>
      <c r="B136" s="3" t="s">
        <v>138</v>
      </c>
      <c r="C136" t="s">
        <v>157</v>
      </c>
    </row>
    <row r="137" spans="1:3" hidden="1" x14ac:dyDescent="0.2">
      <c r="A137">
        <v>84</v>
      </c>
      <c r="B137" s="3" t="s">
        <v>139</v>
      </c>
      <c r="C137" t="s">
        <v>158</v>
      </c>
    </row>
    <row r="138" spans="1:3" hidden="1" x14ac:dyDescent="0.2">
      <c r="A138">
        <v>85</v>
      </c>
      <c r="B138" s="3" t="s">
        <v>140</v>
      </c>
      <c r="C138" t="s">
        <v>159</v>
      </c>
    </row>
    <row r="139" spans="1:3" hidden="1" x14ac:dyDescent="0.2">
      <c r="A139">
        <v>86</v>
      </c>
      <c r="B139" s="3" t="s">
        <v>141</v>
      </c>
      <c r="C139" t="s">
        <v>160</v>
      </c>
    </row>
    <row r="140" spans="1:3" hidden="1" x14ac:dyDescent="0.2">
      <c r="A140">
        <v>87</v>
      </c>
      <c r="B140" s="3" t="s">
        <v>142</v>
      </c>
      <c r="C140" t="s">
        <v>161</v>
      </c>
    </row>
    <row r="141" spans="1:3" hidden="1" x14ac:dyDescent="0.2">
      <c r="A141">
        <v>88</v>
      </c>
      <c r="B141" s="3" t="s">
        <v>143</v>
      </c>
      <c r="C141" t="s">
        <v>162</v>
      </c>
    </row>
    <row r="142" spans="1:3" hidden="1" x14ac:dyDescent="0.2">
      <c r="A142">
        <v>89</v>
      </c>
      <c r="B142" s="3" t="s">
        <v>144</v>
      </c>
      <c r="C142" t="s">
        <v>157</v>
      </c>
    </row>
    <row r="143" spans="1:3" hidden="1" x14ac:dyDescent="0.2">
      <c r="A143">
        <v>90</v>
      </c>
      <c r="B143" s="3" t="s">
        <v>145</v>
      </c>
      <c r="C143" t="s">
        <v>161</v>
      </c>
    </row>
    <row r="144" spans="1:3" hidden="1" x14ac:dyDescent="0.2">
      <c r="A144">
        <v>91</v>
      </c>
      <c r="B144" s="3" t="s">
        <v>146</v>
      </c>
      <c r="C144" t="s">
        <v>106</v>
      </c>
    </row>
    <row r="145" spans="1:3" hidden="1" x14ac:dyDescent="0.2">
      <c r="A145">
        <v>92</v>
      </c>
      <c r="B145" s="3" t="s">
        <v>147</v>
      </c>
      <c r="C145" t="s">
        <v>163</v>
      </c>
    </row>
    <row r="146" spans="1:3" hidden="1" x14ac:dyDescent="0.2">
      <c r="A146">
        <v>93</v>
      </c>
      <c r="B146" s="3" t="s">
        <v>148</v>
      </c>
      <c r="C146" t="s">
        <v>164</v>
      </c>
    </row>
    <row r="147" spans="1:3" hidden="1" x14ac:dyDescent="0.2">
      <c r="A147">
        <v>94</v>
      </c>
      <c r="B147" s="3" t="s">
        <v>149</v>
      </c>
      <c r="C147" s="3" t="s">
        <v>165</v>
      </c>
    </row>
    <row r="148" spans="1:3" hidden="1" x14ac:dyDescent="0.2">
      <c r="A148">
        <v>95</v>
      </c>
      <c r="B148" s="3" t="s">
        <v>150</v>
      </c>
      <c r="C148" s="3" t="s">
        <v>166</v>
      </c>
    </row>
    <row r="149" spans="1:3" hidden="1" x14ac:dyDescent="0.2">
      <c r="A149">
        <v>96</v>
      </c>
      <c r="B149" s="3" t="s">
        <v>151</v>
      </c>
      <c r="C149" s="3" t="s">
        <v>167</v>
      </c>
    </row>
    <row r="150" spans="1:3" hidden="1" x14ac:dyDescent="0.2">
      <c r="A150">
        <v>97</v>
      </c>
      <c r="B150" s="3" t="s">
        <v>152</v>
      </c>
      <c r="C150" s="3" t="s">
        <v>168</v>
      </c>
    </row>
    <row r="151" spans="1:3" hidden="1" x14ac:dyDescent="0.2">
      <c r="A151">
        <v>98</v>
      </c>
      <c r="B151" s="3" t="s">
        <v>153</v>
      </c>
      <c r="C151" s="3" t="s">
        <v>181</v>
      </c>
    </row>
    <row r="152" spans="1:3" hidden="1" x14ac:dyDescent="0.2">
      <c r="A152">
        <v>99</v>
      </c>
      <c r="B152" s="3" t="s">
        <v>154</v>
      </c>
      <c r="C152" s="3" t="s">
        <v>182</v>
      </c>
    </row>
    <row r="153" spans="1:3" hidden="1" x14ac:dyDescent="0.2">
      <c r="A153">
        <v>100</v>
      </c>
      <c r="B153" s="3" t="s">
        <v>155</v>
      </c>
      <c r="C153" s="3" t="s">
        <v>183</v>
      </c>
    </row>
  </sheetData>
  <sheetProtection password="E8B5" sheet="1" objects="1" scenarios="1" selectLockedCells="1"/>
  <mergeCells count="1">
    <mergeCell ref="D2:E2"/>
  </mergeCells>
  <pageMargins left="0.7" right="0.7" top="0.75" bottom="0.75" header="0.3" footer="0.3"/>
  <pageSetup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-0.249977111117893"/>
  </sheetPr>
  <dimension ref="B1:AE1004"/>
  <sheetViews>
    <sheetView showGridLines="0" showRowColHeaders="0" tabSelected="1" topLeftCell="E1" zoomScale="130" zoomScaleNormal="130" workbookViewId="0">
      <pane ySplit="3" topLeftCell="A4" activePane="bottomLeft" state="frozen"/>
      <selection activeCell="B67" sqref="B67"/>
      <selection pane="bottomLeft" activeCell="F4" sqref="F4"/>
    </sheetView>
  </sheetViews>
  <sheetFormatPr defaultColWidth="0" defaultRowHeight="15" zeroHeight="1" x14ac:dyDescent="0.25"/>
  <cols>
    <col min="1" max="4" width="9.140625" style="41" hidden="1" customWidth="1"/>
    <col min="5" max="5" width="9.140625" style="41" customWidth="1"/>
    <col min="6" max="6" width="9" style="41" customWidth="1"/>
    <col min="7" max="7" width="27.85546875" style="41" customWidth="1"/>
    <col min="8" max="8" width="9.140625" style="41" customWidth="1"/>
    <col min="9" max="11" width="9.140625" style="41" hidden="1" customWidth="1"/>
    <col min="12" max="12" width="10.42578125" style="41" hidden="1" customWidth="1"/>
    <col min="13" max="19" width="9.140625" style="41" hidden="1" customWidth="1"/>
    <col min="20" max="20" width="12" style="41" hidden="1" customWidth="1"/>
    <col min="21" max="16384" width="9.140625" style="41" hidden="1"/>
  </cols>
  <sheetData>
    <row r="1" spans="2:31" ht="33.75" customHeight="1" thickBot="1" x14ac:dyDescent="0.3">
      <c r="F1" s="180" t="s">
        <v>27</v>
      </c>
      <c r="G1" s="181"/>
      <c r="H1" s="182" t="s">
        <v>190</v>
      </c>
      <c r="Z1" s="125">
        <v>2</v>
      </c>
      <c r="AA1" s="125"/>
      <c r="AB1" s="125"/>
      <c r="AC1" s="125">
        <v>1</v>
      </c>
      <c r="AD1" s="125"/>
      <c r="AE1" s="125">
        <v>1</v>
      </c>
    </row>
    <row r="2" spans="2:31" ht="60.75" customHeight="1" thickBot="1" x14ac:dyDescent="0.3">
      <c r="E2" s="42" t="s">
        <v>23</v>
      </c>
      <c r="F2" s="178" t="s">
        <v>189</v>
      </c>
      <c r="G2" s="179"/>
      <c r="H2" s="183"/>
      <c r="T2" s="94">
        <f>T3*20*E3</f>
        <v>0</v>
      </c>
      <c r="U2" s="41">
        <f>U3*E3</f>
        <v>0</v>
      </c>
      <c r="V2" s="43">
        <f>V3</f>
        <v>0</v>
      </c>
      <c r="W2" s="43">
        <f>SUM(T2:V2)</f>
        <v>0</v>
      </c>
      <c r="X2" s="43">
        <f>IF(W2&lt;0,W2*-1,W2)</f>
        <v>0</v>
      </c>
    </row>
    <row r="3" spans="2:31" ht="15.75" thickBot="1" x14ac:dyDescent="0.3">
      <c r="C3" s="41" t="s">
        <v>25</v>
      </c>
      <c r="E3" s="95">
        <v>272</v>
      </c>
      <c r="F3" s="140" t="s">
        <v>192</v>
      </c>
      <c r="G3" s="141" t="str">
        <f>CONCATENATE(Z3,"-",AC3,"-",AE3)</f>
        <v>0-0-0</v>
      </c>
      <c r="H3" s="134" t="str">
        <f>IF(W2&lt;0,"Negative","Positive")</f>
        <v>Positive</v>
      </c>
      <c r="Q3" s="44"/>
      <c r="T3" s="43">
        <f>SUM(SUMIF(T4:T1004,"&gt;0",T4:T1004),SUMIF(T4:T1004,"&lt;0",T4:T1004))</f>
        <v>0</v>
      </c>
      <c r="U3" s="43">
        <f t="shared" ref="U3:V3" si="0">SUM(SUMIF(U4:U1004,"&gt;0",U4:U1004),SUMIF(U4:U1004,"&lt;0",U4:U1004))</f>
        <v>0</v>
      </c>
      <c r="V3" s="43">
        <f t="shared" si="0"/>
        <v>0</v>
      </c>
      <c r="Y3" s="41">
        <f>X2/20/E3</f>
        <v>0</v>
      </c>
      <c r="Z3" s="125">
        <f>INT(Y3)</f>
        <v>0</v>
      </c>
      <c r="AA3" s="125">
        <f>(Y3-Z3)</f>
        <v>0</v>
      </c>
      <c r="AB3" s="125">
        <f>AA3*20</f>
        <v>0</v>
      </c>
      <c r="AC3" s="125">
        <f>INT(AB3)</f>
        <v>0</v>
      </c>
      <c r="AD3" s="125">
        <f>AB3-AC3</f>
        <v>0</v>
      </c>
      <c r="AE3" s="125">
        <f>ROUND(AD3*E3,0)</f>
        <v>0</v>
      </c>
    </row>
    <row r="4" spans="2:31" x14ac:dyDescent="0.25">
      <c r="B4" s="41" t="b">
        <f t="shared" ref="B4:B12" si="1">ISNUMBER(C4)</f>
        <v>0</v>
      </c>
      <c r="C4" s="41" t="e">
        <f t="shared" ref="C4:C12" si="2">SUM(T4:V4)</f>
        <v>#VALUE!</v>
      </c>
      <c r="E4" s="93">
        <v>1</v>
      </c>
      <c r="G4" s="175"/>
      <c r="H4" s="135">
        <v>1</v>
      </c>
      <c r="I4" s="46" t="e">
        <f>RIGHT(G4,J4)</f>
        <v>#VALUE!</v>
      </c>
      <c r="J4" s="41" t="e">
        <f>O4-M4</f>
        <v>#VALUE!</v>
      </c>
      <c r="K4" s="41" t="e">
        <f>N4-M4</f>
        <v>#VALUE!</v>
      </c>
      <c r="L4" s="41" t="e">
        <f>O4-N4</f>
        <v>#VALUE!</v>
      </c>
      <c r="M4" s="41" t="e">
        <f>SEARCH("-",G4,2)</f>
        <v>#VALUE!</v>
      </c>
      <c r="N4" s="41" t="e">
        <f>SEARCH("-",G4,M4+1)</f>
        <v>#VALUE!</v>
      </c>
      <c r="O4" s="41">
        <f>LEN(G4)</f>
        <v>0</v>
      </c>
      <c r="Q4" s="44" t="e">
        <f t="shared" ref="Q4:Q67" si="3">LEFT(G4,M4-1)</f>
        <v>#VALUE!</v>
      </c>
      <c r="R4" s="44" t="e">
        <f>LEFT(I4,K4-1)</f>
        <v>#VALUE!</v>
      </c>
      <c r="S4" s="44" t="e">
        <f t="shared" ref="S4:S67" si="4">RIGHT(G4,L4)</f>
        <v>#VALUE!</v>
      </c>
      <c r="T4" s="41" t="e">
        <f>Q4*1*H4</f>
        <v>#VALUE!</v>
      </c>
      <c r="U4" s="41" t="e">
        <f>R4*1*H4</f>
        <v>#VALUE!</v>
      </c>
      <c r="V4" s="41" t="e">
        <f>S4*1*H4</f>
        <v>#VALUE!</v>
      </c>
      <c r="AC4" s="47"/>
    </row>
    <row r="5" spans="2:31" x14ac:dyDescent="0.25">
      <c r="B5" s="41" t="b">
        <f t="shared" si="1"/>
        <v>0</v>
      </c>
      <c r="C5" s="41" t="e">
        <f t="shared" si="2"/>
        <v>#VALUE!</v>
      </c>
      <c r="E5" s="45">
        <v>2</v>
      </c>
      <c r="G5" s="175"/>
      <c r="H5" s="135">
        <v>1</v>
      </c>
      <c r="I5" s="46" t="e">
        <f t="shared" ref="I5:I67" si="5">RIGHT(G5,J5)</f>
        <v>#VALUE!</v>
      </c>
      <c r="J5" s="41" t="e">
        <f t="shared" ref="J5:J68" si="6">O5-M5</f>
        <v>#VALUE!</v>
      </c>
      <c r="K5" s="41" t="e">
        <f t="shared" ref="K5:L20" si="7">N5-M5</f>
        <v>#VALUE!</v>
      </c>
      <c r="L5" s="41" t="e">
        <f t="shared" si="7"/>
        <v>#VALUE!</v>
      </c>
      <c r="M5" s="41" t="e">
        <f t="shared" ref="M5:M67" si="8">SEARCH("-",G5,2)</f>
        <v>#VALUE!</v>
      </c>
      <c r="N5" s="41" t="e">
        <f t="shared" ref="N5:N67" si="9">SEARCH("-",G5,M5+1)</f>
        <v>#VALUE!</v>
      </c>
      <c r="O5" s="41">
        <f t="shared" ref="O5:O67" si="10">LEN(G5)</f>
        <v>0</v>
      </c>
      <c r="Q5" s="44" t="e">
        <f t="shared" si="3"/>
        <v>#VALUE!</v>
      </c>
      <c r="R5" s="44" t="e">
        <f t="shared" ref="R5:R68" si="11">LEFT(I5,K5-1)</f>
        <v>#VALUE!</v>
      </c>
      <c r="S5" s="44" t="e">
        <f t="shared" si="4"/>
        <v>#VALUE!</v>
      </c>
      <c r="T5" s="41" t="e">
        <f t="shared" ref="T5:T68" si="12">Q5*1*H5</f>
        <v>#VALUE!</v>
      </c>
      <c r="U5" s="41" t="e">
        <f t="shared" ref="U5:U68" si="13">R5*1*H5</f>
        <v>#VALUE!</v>
      </c>
      <c r="V5" s="41" t="e">
        <f t="shared" ref="V5:V68" si="14">S5*1*H5</f>
        <v>#VALUE!</v>
      </c>
      <c r="AC5" s="47"/>
    </row>
    <row r="6" spans="2:31" x14ac:dyDescent="0.25">
      <c r="B6" s="41" t="b">
        <f t="shared" si="1"/>
        <v>0</v>
      </c>
      <c r="C6" s="41" t="e">
        <f t="shared" si="2"/>
        <v>#VALUE!</v>
      </c>
      <c r="E6" s="45">
        <v>3</v>
      </c>
      <c r="G6" s="175"/>
      <c r="H6" s="135">
        <v>1</v>
      </c>
      <c r="I6" s="46" t="e">
        <f t="shared" si="5"/>
        <v>#VALUE!</v>
      </c>
      <c r="J6" s="41" t="e">
        <f t="shared" si="6"/>
        <v>#VALUE!</v>
      </c>
      <c r="K6" s="41" t="e">
        <f t="shared" si="7"/>
        <v>#VALUE!</v>
      </c>
      <c r="L6" s="41" t="e">
        <f t="shared" si="7"/>
        <v>#VALUE!</v>
      </c>
      <c r="M6" s="41" t="e">
        <f t="shared" si="8"/>
        <v>#VALUE!</v>
      </c>
      <c r="N6" s="41" t="e">
        <f t="shared" si="9"/>
        <v>#VALUE!</v>
      </c>
      <c r="O6" s="41">
        <f t="shared" si="10"/>
        <v>0</v>
      </c>
      <c r="Q6" s="44" t="e">
        <f t="shared" si="3"/>
        <v>#VALUE!</v>
      </c>
      <c r="R6" s="44" t="e">
        <f t="shared" si="11"/>
        <v>#VALUE!</v>
      </c>
      <c r="S6" s="44" t="e">
        <f t="shared" si="4"/>
        <v>#VALUE!</v>
      </c>
      <c r="T6" s="41" t="e">
        <f t="shared" si="12"/>
        <v>#VALUE!</v>
      </c>
      <c r="U6" s="41" t="e">
        <f t="shared" si="13"/>
        <v>#VALUE!</v>
      </c>
      <c r="V6" s="41" t="e">
        <f t="shared" si="14"/>
        <v>#VALUE!</v>
      </c>
      <c r="AC6" s="47"/>
    </row>
    <row r="7" spans="2:31" x14ac:dyDescent="0.25">
      <c r="B7" s="41" t="b">
        <f t="shared" si="1"/>
        <v>0</v>
      </c>
      <c r="C7" s="41" t="e">
        <f t="shared" si="2"/>
        <v>#VALUE!</v>
      </c>
      <c r="E7" s="45">
        <v>4</v>
      </c>
      <c r="G7" s="175"/>
      <c r="H7" s="135">
        <v>1</v>
      </c>
      <c r="I7" s="46" t="e">
        <f t="shared" si="5"/>
        <v>#VALUE!</v>
      </c>
      <c r="J7" s="41" t="e">
        <f t="shared" si="6"/>
        <v>#VALUE!</v>
      </c>
      <c r="K7" s="41" t="e">
        <f t="shared" si="7"/>
        <v>#VALUE!</v>
      </c>
      <c r="L7" s="41" t="e">
        <f t="shared" si="7"/>
        <v>#VALUE!</v>
      </c>
      <c r="M7" s="41" t="e">
        <f t="shared" si="8"/>
        <v>#VALUE!</v>
      </c>
      <c r="N7" s="41" t="e">
        <f t="shared" si="9"/>
        <v>#VALUE!</v>
      </c>
      <c r="O7" s="41">
        <f t="shared" si="10"/>
        <v>0</v>
      </c>
      <c r="Q7" s="44" t="e">
        <f t="shared" si="3"/>
        <v>#VALUE!</v>
      </c>
      <c r="R7" s="44" t="e">
        <f t="shared" si="11"/>
        <v>#VALUE!</v>
      </c>
      <c r="S7" s="44" t="e">
        <f t="shared" si="4"/>
        <v>#VALUE!</v>
      </c>
      <c r="T7" s="41" t="e">
        <f t="shared" si="12"/>
        <v>#VALUE!</v>
      </c>
      <c r="U7" s="41" t="e">
        <f t="shared" si="13"/>
        <v>#VALUE!</v>
      </c>
      <c r="V7" s="41" t="e">
        <f t="shared" si="14"/>
        <v>#VALUE!</v>
      </c>
      <c r="AC7" s="47"/>
    </row>
    <row r="8" spans="2:31" x14ac:dyDescent="0.25">
      <c r="B8" s="41" t="b">
        <f t="shared" si="1"/>
        <v>0</v>
      </c>
      <c r="C8" s="41" t="e">
        <f t="shared" si="2"/>
        <v>#VALUE!</v>
      </c>
      <c r="E8" s="45">
        <v>5</v>
      </c>
      <c r="G8" s="175"/>
      <c r="H8" s="135">
        <v>1</v>
      </c>
      <c r="I8" s="46" t="e">
        <f t="shared" si="5"/>
        <v>#VALUE!</v>
      </c>
      <c r="J8" s="41" t="e">
        <f t="shared" si="6"/>
        <v>#VALUE!</v>
      </c>
      <c r="K8" s="41" t="e">
        <f t="shared" si="7"/>
        <v>#VALUE!</v>
      </c>
      <c r="L8" s="41" t="e">
        <f t="shared" si="7"/>
        <v>#VALUE!</v>
      </c>
      <c r="M8" s="41" t="e">
        <f t="shared" si="8"/>
        <v>#VALUE!</v>
      </c>
      <c r="N8" s="41" t="e">
        <f t="shared" si="9"/>
        <v>#VALUE!</v>
      </c>
      <c r="O8" s="41">
        <f t="shared" si="10"/>
        <v>0</v>
      </c>
      <c r="Q8" s="44" t="e">
        <f t="shared" si="3"/>
        <v>#VALUE!</v>
      </c>
      <c r="R8" s="44" t="e">
        <f t="shared" si="11"/>
        <v>#VALUE!</v>
      </c>
      <c r="S8" s="44" t="e">
        <f t="shared" si="4"/>
        <v>#VALUE!</v>
      </c>
      <c r="T8" s="41" t="e">
        <f t="shared" si="12"/>
        <v>#VALUE!</v>
      </c>
      <c r="U8" s="41" t="e">
        <f t="shared" si="13"/>
        <v>#VALUE!</v>
      </c>
      <c r="V8" s="41" t="e">
        <f t="shared" si="14"/>
        <v>#VALUE!</v>
      </c>
      <c r="X8" s="41">
        <v>225</v>
      </c>
      <c r="AC8" s="47"/>
    </row>
    <row r="9" spans="2:31" x14ac:dyDescent="0.25">
      <c r="B9" s="41" t="b">
        <f t="shared" si="1"/>
        <v>0</v>
      </c>
      <c r="C9" s="41" t="e">
        <f t="shared" si="2"/>
        <v>#VALUE!</v>
      </c>
      <c r="E9" s="45">
        <v>6</v>
      </c>
      <c r="G9" s="175"/>
      <c r="H9" s="135">
        <v>1</v>
      </c>
      <c r="I9" s="46" t="e">
        <f t="shared" si="5"/>
        <v>#VALUE!</v>
      </c>
      <c r="J9" s="41" t="e">
        <f t="shared" si="6"/>
        <v>#VALUE!</v>
      </c>
      <c r="K9" s="41" t="e">
        <f t="shared" si="7"/>
        <v>#VALUE!</v>
      </c>
      <c r="L9" s="41" t="e">
        <f t="shared" si="7"/>
        <v>#VALUE!</v>
      </c>
      <c r="M9" s="41" t="e">
        <f t="shared" si="8"/>
        <v>#VALUE!</v>
      </c>
      <c r="N9" s="41" t="e">
        <f t="shared" si="9"/>
        <v>#VALUE!</v>
      </c>
      <c r="O9" s="41">
        <f t="shared" si="10"/>
        <v>0</v>
      </c>
      <c r="Q9" s="44" t="e">
        <f t="shared" si="3"/>
        <v>#VALUE!</v>
      </c>
      <c r="R9" s="44" t="e">
        <f t="shared" si="11"/>
        <v>#VALUE!</v>
      </c>
      <c r="S9" s="44" t="e">
        <f t="shared" si="4"/>
        <v>#VALUE!</v>
      </c>
      <c r="T9" s="41" t="e">
        <f t="shared" si="12"/>
        <v>#VALUE!</v>
      </c>
      <c r="U9" s="41" t="e">
        <f t="shared" si="13"/>
        <v>#VALUE!</v>
      </c>
      <c r="V9" s="41" t="e">
        <f t="shared" si="14"/>
        <v>#VALUE!</v>
      </c>
      <c r="X9" s="41">
        <v>272</v>
      </c>
      <c r="AC9" s="47"/>
    </row>
    <row r="10" spans="2:31" x14ac:dyDescent="0.25">
      <c r="B10" s="41" t="b">
        <f t="shared" si="1"/>
        <v>0</v>
      </c>
      <c r="C10" s="41" t="e">
        <f t="shared" si="2"/>
        <v>#VALUE!</v>
      </c>
      <c r="E10" s="45">
        <v>7</v>
      </c>
      <c r="G10" s="175"/>
      <c r="H10" s="135">
        <v>1</v>
      </c>
      <c r="I10" s="46" t="e">
        <f t="shared" si="5"/>
        <v>#VALUE!</v>
      </c>
      <c r="J10" s="41" t="e">
        <f t="shared" si="6"/>
        <v>#VALUE!</v>
      </c>
      <c r="K10" s="41" t="e">
        <f t="shared" si="7"/>
        <v>#VALUE!</v>
      </c>
      <c r="L10" s="41" t="e">
        <f t="shared" si="7"/>
        <v>#VALUE!</v>
      </c>
      <c r="M10" s="41" t="e">
        <f t="shared" si="8"/>
        <v>#VALUE!</v>
      </c>
      <c r="N10" s="41" t="e">
        <f t="shared" si="9"/>
        <v>#VALUE!</v>
      </c>
      <c r="O10" s="41">
        <f t="shared" si="10"/>
        <v>0</v>
      </c>
      <c r="Q10" s="44" t="e">
        <f t="shared" si="3"/>
        <v>#VALUE!</v>
      </c>
      <c r="R10" s="44" t="e">
        <f t="shared" si="11"/>
        <v>#VALUE!</v>
      </c>
      <c r="S10" s="44" t="e">
        <f t="shared" si="4"/>
        <v>#VALUE!</v>
      </c>
      <c r="T10" s="41" t="e">
        <f t="shared" si="12"/>
        <v>#VALUE!</v>
      </c>
      <c r="U10" s="41" t="e">
        <f t="shared" si="13"/>
        <v>#VALUE!</v>
      </c>
      <c r="V10" s="41" t="e">
        <f t="shared" si="14"/>
        <v>#VALUE!</v>
      </c>
      <c r="AC10" s="47"/>
    </row>
    <row r="11" spans="2:31" x14ac:dyDescent="0.25">
      <c r="B11" s="41" t="b">
        <f t="shared" si="1"/>
        <v>0</v>
      </c>
      <c r="C11" s="41" t="e">
        <f t="shared" si="2"/>
        <v>#VALUE!</v>
      </c>
      <c r="E11" s="45">
        <v>8</v>
      </c>
      <c r="G11" s="175"/>
      <c r="H11" s="135">
        <v>1</v>
      </c>
      <c r="I11" s="46" t="e">
        <f t="shared" si="5"/>
        <v>#VALUE!</v>
      </c>
      <c r="J11" s="41" t="e">
        <f t="shared" si="6"/>
        <v>#VALUE!</v>
      </c>
      <c r="K11" s="41" t="e">
        <f t="shared" si="7"/>
        <v>#VALUE!</v>
      </c>
      <c r="L11" s="41" t="e">
        <f t="shared" si="7"/>
        <v>#VALUE!</v>
      </c>
      <c r="M11" s="41" t="e">
        <f t="shared" si="8"/>
        <v>#VALUE!</v>
      </c>
      <c r="N11" s="41" t="e">
        <f t="shared" si="9"/>
        <v>#VALUE!</v>
      </c>
      <c r="O11" s="41">
        <f t="shared" si="10"/>
        <v>0</v>
      </c>
      <c r="Q11" s="44" t="e">
        <f t="shared" si="3"/>
        <v>#VALUE!</v>
      </c>
      <c r="R11" s="44" t="e">
        <f t="shared" si="11"/>
        <v>#VALUE!</v>
      </c>
      <c r="S11" s="44" t="e">
        <f t="shared" si="4"/>
        <v>#VALUE!</v>
      </c>
      <c r="T11" s="41" t="e">
        <f t="shared" si="12"/>
        <v>#VALUE!</v>
      </c>
      <c r="U11" s="41" t="e">
        <f t="shared" si="13"/>
        <v>#VALUE!</v>
      </c>
      <c r="V11" s="41" t="e">
        <f t="shared" si="14"/>
        <v>#VALUE!</v>
      </c>
      <c r="AC11" s="47"/>
    </row>
    <row r="12" spans="2:31" x14ac:dyDescent="0.25">
      <c r="B12" s="41" t="b">
        <f t="shared" si="1"/>
        <v>0</v>
      </c>
      <c r="C12" s="41" t="e">
        <f t="shared" si="2"/>
        <v>#VALUE!</v>
      </c>
      <c r="E12" s="45">
        <v>9</v>
      </c>
      <c r="G12" s="175"/>
      <c r="H12" s="135">
        <v>1</v>
      </c>
      <c r="I12" s="46" t="e">
        <f t="shared" si="5"/>
        <v>#VALUE!</v>
      </c>
      <c r="J12" s="41" t="e">
        <f t="shared" si="6"/>
        <v>#VALUE!</v>
      </c>
      <c r="K12" s="41" t="e">
        <f t="shared" si="7"/>
        <v>#VALUE!</v>
      </c>
      <c r="L12" s="41" t="e">
        <f t="shared" si="7"/>
        <v>#VALUE!</v>
      </c>
      <c r="M12" s="41" t="e">
        <f t="shared" si="8"/>
        <v>#VALUE!</v>
      </c>
      <c r="N12" s="41" t="e">
        <f t="shared" si="9"/>
        <v>#VALUE!</v>
      </c>
      <c r="O12" s="41">
        <f t="shared" si="10"/>
        <v>0</v>
      </c>
      <c r="Q12" s="44" t="e">
        <f t="shared" si="3"/>
        <v>#VALUE!</v>
      </c>
      <c r="R12" s="44" t="e">
        <f t="shared" si="11"/>
        <v>#VALUE!</v>
      </c>
      <c r="S12" s="44" t="e">
        <f t="shared" si="4"/>
        <v>#VALUE!</v>
      </c>
      <c r="T12" s="41" t="e">
        <f t="shared" si="12"/>
        <v>#VALUE!</v>
      </c>
      <c r="U12" s="41" t="e">
        <f t="shared" si="13"/>
        <v>#VALUE!</v>
      </c>
      <c r="V12" s="41" t="e">
        <f t="shared" si="14"/>
        <v>#VALUE!</v>
      </c>
      <c r="AC12" s="47"/>
    </row>
    <row r="13" spans="2:31" x14ac:dyDescent="0.25">
      <c r="B13" s="41" t="b">
        <f>ISNUMBER(C13)</f>
        <v>0</v>
      </c>
      <c r="C13" s="41" t="e">
        <f>SUM(T13:V13)</f>
        <v>#VALUE!</v>
      </c>
      <c r="E13" s="45">
        <v>10</v>
      </c>
      <c r="G13" s="175"/>
      <c r="H13" s="135">
        <v>1</v>
      </c>
      <c r="I13" s="46" t="e">
        <f t="shared" si="5"/>
        <v>#VALUE!</v>
      </c>
      <c r="J13" s="41" t="e">
        <f t="shared" si="6"/>
        <v>#VALUE!</v>
      </c>
      <c r="K13" s="41" t="e">
        <f t="shared" si="7"/>
        <v>#VALUE!</v>
      </c>
      <c r="L13" s="41" t="e">
        <f t="shared" si="7"/>
        <v>#VALUE!</v>
      </c>
      <c r="M13" s="41" t="e">
        <f t="shared" si="8"/>
        <v>#VALUE!</v>
      </c>
      <c r="N13" s="41" t="e">
        <f t="shared" si="9"/>
        <v>#VALUE!</v>
      </c>
      <c r="O13" s="41">
        <f t="shared" si="10"/>
        <v>0</v>
      </c>
      <c r="Q13" s="44" t="e">
        <f t="shared" si="3"/>
        <v>#VALUE!</v>
      </c>
      <c r="R13" s="44" t="e">
        <f t="shared" si="11"/>
        <v>#VALUE!</v>
      </c>
      <c r="S13" s="44" t="e">
        <f t="shared" si="4"/>
        <v>#VALUE!</v>
      </c>
      <c r="T13" s="41" t="e">
        <f t="shared" si="12"/>
        <v>#VALUE!</v>
      </c>
      <c r="U13" s="41" t="e">
        <f t="shared" si="13"/>
        <v>#VALUE!</v>
      </c>
      <c r="V13" s="41" t="e">
        <f t="shared" si="14"/>
        <v>#VALUE!</v>
      </c>
      <c r="AC13" s="47"/>
    </row>
    <row r="14" spans="2:31" x14ac:dyDescent="0.25">
      <c r="B14" s="41" t="b">
        <f t="shared" ref="B14:B77" si="15">ISNUMBER(C14)</f>
        <v>0</v>
      </c>
      <c r="C14" s="41" t="e">
        <f t="shared" ref="C14:C77" si="16">SUM(T14:V14)</f>
        <v>#VALUE!</v>
      </c>
      <c r="E14" s="45">
        <v>11</v>
      </c>
      <c r="G14" s="175"/>
      <c r="H14" s="135">
        <v>1</v>
      </c>
      <c r="I14" s="46" t="e">
        <f t="shared" si="5"/>
        <v>#VALUE!</v>
      </c>
      <c r="J14" s="41" t="e">
        <f t="shared" si="6"/>
        <v>#VALUE!</v>
      </c>
      <c r="K14" s="41" t="e">
        <f t="shared" si="7"/>
        <v>#VALUE!</v>
      </c>
      <c r="L14" s="41" t="e">
        <f t="shared" si="7"/>
        <v>#VALUE!</v>
      </c>
      <c r="M14" s="41" t="e">
        <f t="shared" si="8"/>
        <v>#VALUE!</v>
      </c>
      <c r="N14" s="41" t="e">
        <f t="shared" si="9"/>
        <v>#VALUE!</v>
      </c>
      <c r="O14" s="41">
        <f t="shared" si="10"/>
        <v>0</v>
      </c>
      <c r="Q14" s="44" t="e">
        <f t="shared" si="3"/>
        <v>#VALUE!</v>
      </c>
      <c r="R14" s="44" t="e">
        <f t="shared" si="11"/>
        <v>#VALUE!</v>
      </c>
      <c r="S14" s="44" t="e">
        <f t="shared" si="4"/>
        <v>#VALUE!</v>
      </c>
      <c r="T14" s="41" t="e">
        <f t="shared" si="12"/>
        <v>#VALUE!</v>
      </c>
      <c r="U14" s="41" t="e">
        <f t="shared" si="13"/>
        <v>#VALUE!</v>
      </c>
      <c r="V14" s="41" t="e">
        <f t="shared" si="14"/>
        <v>#VALUE!</v>
      </c>
      <c r="AC14" s="47"/>
    </row>
    <row r="15" spans="2:31" x14ac:dyDescent="0.25">
      <c r="B15" s="41" t="b">
        <f t="shared" si="15"/>
        <v>0</v>
      </c>
      <c r="C15" s="41" t="e">
        <f t="shared" si="16"/>
        <v>#VALUE!</v>
      </c>
      <c r="E15" s="45">
        <v>12</v>
      </c>
      <c r="G15" s="175"/>
      <c r="H15" s="135">
        <v>1</v>
      </c>
      <c r="I15" s="46" t="e">
        <f t="shared" si="5"/>
        <v>#VALUE!</v>
      </c>
      <c r="J15" s="41" t="e">
        <f t="shared" si="6"/>
        <v>#VALUE!</v>
      </c>
      <c r="K15" s="41" t="e">
        <f t="shared" si="7"/>
        <v>#VALUE!</v>
      </c>
      <c r="L15" s="41" t="e">
        <f t="shared" si="7"/>
        <v>#VALUE!</v>
      </c>
      <c r="M15" s="41" t="e">
        <f t="shared" si="8"/>
        <v>#VALUE!</v>
      </c>
      <c r="N15" s="41" t="e">
        <f t="shared" si="9"/>
        <v>#VALUE!</v>
      </c>
      <c r="O15" s="41">
        <f t="shared" si="10"/>
        <v>0</v>
      </c>
      <c r="Q15" s="44" t="e">
        <f t="shared" si="3"/>
        <v>#VALUE!</v>
      </c>
      <c r="R15" s="44" t="e">
        <f t="shared" si="11"/>
        <v>#VALUE!</v>
      </c>
      <c r="S15" s="44" t="e">
        <f t="shared" si="4"/>
        <v>#VALUE!</v>
      </c>
      <c r="T15" s="41" t="e">
        <f t="shared" si="12"/>
        <v>#VALUE!</v>
      </c>
      <c r="U15" s="41" t="e">
        <f t="shared" si="13"/>
        <v>#VALUE!</v>
      </c>
      <c r="V15" s="41" t="e">
        <f t="shared" si="14"/>
        <v>#VALUE!</v>
      </c>
      <c r="AC15" s="47"/>
    </row>
    <row r="16" spans="2:31" x14ac:dyDescent="0.25">
      <c r="B16" s="41" t="b">
        <f t="shared" si="15"/>
        <v>0</v>
      </c>
      <c r="C16" s="41" t="e">
        <f t="shared" si="16"/>
        <v>#VALUE!</v>
      </c>
      <c r="E16" s="45">
        <v>13</v>
      </c>
      <c r="G16" s="175"/>
      <c r="H16" s="135">
        <v>1</v>
      </c>
      <c r="I16" s="46" t="e">
        <f t="shared" si="5"/>
        <v>#VALUE!</v>
      </c>
      <c r="J16" s="41" t="e">
        <f t="shared" si="6"/>
        <v>#VALUE!</v>
      </c>
      <c r="K16" s="41" t="e">
        <f t="shared" si="7"/>
        <v>#VALUE!</v>
      </c>
      <c r="L16" s="41" t="e">
        <f t="shared" si="7"/>
        <v>#VALUE!</v>
      </c>
      <c r="M16" s="41" t="e">
        <f t="shared" si="8"/>
        <v>#VALUE!</v>
      </c>
      <c r="N16" s="41" t="e">
        <f t="shared" si="9"/>
        <v>#VALUE!</v>
      </c>
      <c r="O16" s="41">
        <f t="shared" si="10"/>
        <v>0</v>
      </c>
      <c r="Q16" s="44" t="e">
        <f t="shared" si="3"/>
        <v>#VALUE!</v>
      </c>
      <c r="R16" s="44" t="e">
        <f t="shared" si="11"/>
        <v>#VALUE!</v>
      </c>
      <c r="S16" s="44" t="e">
        <f t="shared" si="4"/>
        <v>#VALUE!</v>
      </c>
      <c r="T16" s="41" t="e">
        <f t="shared" si="12"/>
        <v>#VALUE!</v>
      </c>
      <c r="U16" s="41" t="e">
        <f t="shared" si="13"/>
        <v>#VALUE!</v>
      </c>
      <c r="V16" s="41" t="e">
        <f t="shared" si="14"/>
        <v>#VALUE!</v>
      </c>
      <c r="AC16" s="47"/>
    </row>
    <row r="17" spans="2:29" x14ac:dyDescent="0.25">
      <c r="B17" s="41" t="b">
        <f t="shared" si="15"/>
        <v>0</v>
      </c>
      <c r="C17" s="41" t="e">
        <f t="shared" si="16"/>
        <v>#VALUE!</v>
      </c>
      <c r="E17" s="45">
        <v>14</v>
      </c>
      <c r="G17" s="175"/>
      <c r="H17" s="135">
        <v>1</v>
      </c>
      <c r="I17" s="46" t="e">
        <f t="shared" si="5"/>
        <v>#VALUE!</v>
      </c>
      <c r="J17" s="41" t="e">
        <f t="shared" si="6"/>
        <v>#VALUE!</v>
      </c>
      <c r="K17" s="41" t="e">
        <f t="shared" si="7"/>
        <v>#VALUE!</v>
      </c>
      <c r="L17" s="41" t="e">
        <f t="shared" si="7"/>
        <v>#VALUE!</v>
      </c>
      <c r="M17" s="41" t="e">
        <f t="shared" si="8"/>
        <v>#VALUE!</v>
      </c>
      <c r="N17" s="41" t="e">
        <f t="shared" si="9"/>
        <v>#VALUE!</v>
      </c>
      <c r="O17" s="41">
        <f t="shared" si="10"/>
        <v>0</v>
      </c>
      <c r="Q17" s="44" t="e">
        <f t="shared" si="3"/>
        <v>#VALUE!</v>
      </c>
      <c r="R17" s="44" t="e">
        <f t="shared" si="11"/>
        <v>#VALUE!</v>
      </c>
      <c r="S17" s="44" t="e">
        <f t="shared" si="4"/>
        <v>#VALUE!</v>
      </c>
      <c r="T17" s="41" t="e">
        <f t="shared" si="12"/>
        <v>#VALUE!</v>
      </c>
      <c r="U17" s="41" t="e">
        <f t="shared" si="13"/>
        <v>#VALUE!</v>
      </c>
      <c r="V17" s="41" t="e">
        <f t="shared" si="14"/>
        <v>#VALUE!</v>
      </c>
      <c r="AC17" s="47"/>
    </row>
    <row r="18" spans="2:29" x14ac:dyDescent="0.25">
      <c r="B18" s="41" t="b">
        <f t="shared" si="15"/>
        <v>0</v>
      </c>
      <c r="C18" s="41" t="e">
        <f t="shared" si="16"/>
        <v>#VALUE!</v>
      </c>
      <c r="E18" s="45">
        <v>15</v>
      </c>
      <c r="G18" s="175"/>
      <c r="H18" s="135">
        <v>1</v>
      </c>
      <c r="I18" s="46" t="e">
        <f t="shared" si="5"/>
        <v>#VALUE!</v>
      </c>
      <c r="J18" s="41" t="e">
        <f t="shared" si="6"/>
        <v>#VALUE!</v>
      </c>
      <c r="K18" s="41" t="e">
        <f t="shared" si="7"/>
        <v>#VALUE!</v>
      </c>
      <c r="L18" s="41" t="e">
        <f t="shared" si="7"/>
        <v>#VALUE!</v>
      </c>
      <c r="M18" s="41" t="e">
        <f t="shared" si="8"/>
        <v>#VALUE!</v>
      </c>
      <c r="N18" s="41" t="e">
        <f t="shared" si="9"/>
        <v>#VALUE!</v>
      </c>
      <c r="O18" s="41">
        <f t="shared" si="10"/>
        <v>0</v>
      </c>
      <c r="Q18" s="44" t="e">
        <f t="shared" si="3"/>
        <v>#VALUE!</v>
      </c>
      <c r="R18" s="44" t="e">
        <f t="shared" si="11"/>
        <v>#VALUE!</v>
      </c>
      <c r="S18" s="44" t="e">
        <f t="shared" si="4"/>
        <v>#VALUE!</v>
      </c>
      <c r="T18" s="41" t="e">
        <f t="shared" si="12"/>
        <v>#VALUE!</v>
      </c>
      <c r="U18" s="41" t="e">
        <f t="shared" si="13"/>
        <v>#VALUE!</v>
      </c>
      <c r="V18" s="41" t="e">
        <f t="shared" si="14"/>
        <v>#VALUE!</v>
      </c>
      <c r="AC18" s="47"/>
    </row>
    <row r="19" spans="2:29" x14ac:dyDescent="0.25">
      <c r="B19" s="41" t="b">
        <f t="shared" si="15"/>
        <v>0</v>
      </c>
      <c r="C19" s="41" t="e">
        <f t="shared" si="16"/>
        <v>#VALUE!</v>
      </c>
      <c r="E19" s="45">
        <v>16</v>
      </c>
      <c r="G19" s="175"/>
      <c r="H19" s="135">
        <v>1</v>
      </c>
      <c r="I19" s="46" t="e">
        <f t="shared" si="5"/>
        <v>#VALUE!</v>
      </c>
      <c r="J19" s="41" t="e">
        <f t="shared" si="6"/>
        <v>#VALUE!</v>
      </c>
      <c r="K19" s="41" t="e">
        <f t="shared" si="7"/>
        <v>#VALUE!</v>
      </c>
      <c r="L19" s="41" t="e">
        <f t="shared" si="7"/>
        <v>#VALUE!</v>
      </c>
      <c r="M19" s="41" t="e">
        <f t="shared" si="8"/>
        <v>#VALUE!</v>
      </c>
      <c r="N19" s="41" t="e">
        <f t="shared" si="9"/>
        <v>#VALUE!</v>
      </c>
      <c r="O19" s="41">
        <f t="shared" si="10"/>
        <v>0</v>
      </c>
      <c r="Q19" s="44" t="e">
        <f t="shared" si="3"/>
        <v>#VALUE!</v>
      </c>
      <c r="R19" s="44" t="e">
        <f t="shared" si="11"/>
        <v>#VALUE!</v>
      </c>
      <c r="S19" s="44" t="e">
        <f t="shared" si="4"/>
        <v>#VALUE!</v>
      </c>
      <c r="T19" s="41" t="e">
        <f t="shared" si="12"/>
        <v>#VALUE!</v>
      </c>
      <c r="U19" s="41" t="e">
        <f t="shared" si="13"/>
        <v>#VALUE!</v>
      </c>
      <c r="V19" s="41" t="e">
        <f t="shared" si="14"/>
        <v>#VALUE!</v>
      </c>
      <c r="AC19" s="47"/>
    </row>
    <row r="20" spans="2:29" x14ac:dyDescent="0.25">
      <c r="B20" s="41" t="b">
        <f t="shared" si="15"/>
        <v>0</v>
      </c>
      <c r="C20" s="41" t="e">
        <f t="shared" si="16"/>
        <v>#VALUE!</v>
      </c>
      <c r="E20" s="45">
        <v>17</v>
      </c>
      <c r="G20" s="138"/>
      <c r="H20" s="135">
        <v>1</v>
      </c>
      <c r="I20" s="46" t="e">
        <f t="shared" si="5"/>
        <v>#VALUE!</v>
      </c>
      <c r="J20" s="41" t="e">
        <f t="shared" si="6"/>
        <v>#VALUE!</v>
      </c>
      <c r="K20" s="41" t="e">
        <f t="shared" si="7"/>
        <v>#VALUE!</v>
      </c>
      <c r="L20" s="41" t="e">
        <f t="shared" si="7"/>
        <v>#VALUE!</v>
      </c>
      <c r="M20" s="41" t="e">
        <f t="shared" si="8"/>
        <v>#VALUE!</v>
      </c>
      <c r="N20" s="41" t="e">
        <f t="shared" si="9"/>
        <v>#VALUE!</v>
      </c>
      <c r="O20" s="41">
        <f t="shared" si="10"/>
        <v>0</v>
      </c>
      <c r="Q20" s="44" t="e">
        <f t="shared" si="3"/>
        <v>#VALUE!</v>
      </c>
      <c r="R20" s="44" t="e">
        <f t="shared" si="11"/>
        <v>#VALUE!</v>
      </c>
      <c r="S20" s="44" t="e">
        <f t="shared" si="4"/>
        <v>#VALUE!</v>
      </c>
      <c r="T20" s="41" t="e">
        <f t="shared" si="12"/>
        <v>#VALUE!</v>
      </c>
      <c r="U20" s="41" t="e">
        <f t="shared" si="13"/>
        <v>#VALUE!</v>
      </c>
      <c r="V20" s="41" t="e">
        <f t="shared" si="14"/>
        <v>#VALUE!</v>
      </c>
      <c r="AC20" s="47"/>
    </row>
    <row r="21" spans="2:29" x14ac:dyDescent="0.25">
      <c r="B21" s="41" t="b">
        <f t="shared" si="15"/>
        <v>0</v>
      </c>
      <c r="C21" s="41" t="e">
        <f t="shared" si="16"/>
        <v>#VALUE!</v>
      </c>
      <c r="E21" s="45">
        <v>18</v>
      </c>
      <c r="G21" s="138"/>
      <c r="H21" s="135">
        <v>1</v>
      </c>
      <c r="I21" s="46" t="e">
        <f t="shared" si="5"/>
        <v>#VALUE!</v>
      </c>
      <c r="J21" s="41" t="e">
        <f t="shared" si="6"/>
        <v>#VALUE!</v>
      </c>
      <c r="K21" s="41" t="e">
        <f t="shared" ref="K21:L84" si="17">N21-M21</f>
        <v>#VALUE!</v>
      </c>
      <c r="L21" s="41" t="e">
        <f t="shared" si="17"/>
        <v>#VALUE!</v>
      </c>
      <c r="M21" s="41" t="e">
        <f t="shared" si="8"/>
        <v>#VALUE!</v>
      </c>
      <c r="N21" s="41" t="e">
        <f t="shared" si="9"/>
        <v>#VALUE!</v>
      </c>
      <c r="O21" s="41">
        <f t="shared" si="10"/>
        <v>0</v>
      </c>
      <c r="Q21" s="44" t="e">
        <f t="shared" si="3"/>
        <v>#VALUE!</v>
      </c>
      <c r="R21" s="44" t="e">
        <f t="shared" si="11"/>
        <v>#VALUE!</v>
      </c>
      <c r="S21" s="44" t="e">
        <f t="shared" si="4"/>
        <v>#VALUE!</v>
      </c>
      <c r="T21" s="41" t="e">
        <f t="shared" si="12"/>
        <v>#VALUE!</v>
      </c>
      <c r="U21" s="41" t="e">
        <f t="shared" si="13"/>
        <v>#VALUE!</v>
      </c>
      <c r="V21" s="41" t="e">
        <f t="shared" si="14"/>
        <v>#VALUE!</v>
      </c>
      <c r="AC21" s="47"/>
    </row>
    <row r="22" spans="2:29" x14ac:dyDescent="0.25">
      <c r="B22" s="41" t="b">
        <f t="shared" si="15"/>
        <v>0</v>
      </c>
      <c r="C22" s="41" t="e">
        <f t="shared" si="16"/>
        <v>#VALUE!</v>
      </c>
      <c r="E22" s="45">
        <v>19</v>
      </c>
      <c r="G22" s="138"/>
      <c r="H22" s="135">
        <v>1</v>
      </c>
      <c r="I22" s="46" t="e">
        <f t="shared" si="5"/>
        <v>#VALUE!</v>
      </c>
      <c r="J22" s="41" t="e">
        <f t="shared" si="6"/>
        <v>#VALUE!</v>
      </c>
      <c r="K22" s="41" t="e">
        <f t="shared" si="17"/>
        <v>#VALUE!</v>
      </c>
      <c r="L22" s="41" t="e">
        <f t="shared" si="17"/>
        <v>#VALUE!</v>
      </c>
      <c r="M22" s="41" t="e">
        <f t="shared" si="8"/>
        <v>#VALUE!</v>
      </c>
      <c r="N22" s="41" t="e">
        <f t="shared" si="9"/>
        <v>#VALUE!</v>
      </c>
      <c r="O22" s="41">
        <f t="shared" si="10"/>
        <v>0</v>
      </c>
      <c r="Q22" s="44" t="e">
        <f t="shared" si="3"/>
        <v>#VALUE!</v>
      </c>
      <c r="R22" s="44" t="e">
        <f t="shared" si="11"/>
        <v>#VALUE!</v>
      </c>
      <c r="S22" s="44" t="e">
        <f t="shared" si="4"/>
        <v>#VALUE!</v>
      </c>
      <c r="T22" s="41" t="e">
        <f t="shared" si="12"/>
        <v>#VALUE!</v>
      </c>
      <c r="U22" s="41" t="e">
        <f t="shared" si="13"/>
        <v>#VALUE!</v>
      </c>
      <c r="V22" s="41" t="e">
        <f t="shared" si="14"/>
        <v>#VALUE!</v>
      </c>
      <c r="AC22" s="47"/>
    </row>
    <row r="23" spans="2:29" x14ac:dyDescent="0.25">
      <c r="B23" s="41" t="b">
        <f t="shared" si="15"/>
        <v>0</v>
      </c>
      <c r="C23" s="41" t="e">
        <f t="shared" si="16"/>
        <v>#VALUE!</v>
      </c>
      <c r="E23" s="45">
        <v>20</v>
      </c>
      <c r="G23" s="138"/>
      <c r="H23" s="135">
        <v>1</v>
      </c>
      <c r="I23" s="46" t="e">
        <f t="shared" si="5"/>
        <v>#VALUE!</v>
      </c>
      <c r="J23" s="41" t="e">
        <f t="shared" si="6"/>
        <v>#VALUE!</v>
      </c>
      <c r="K23" s="41" t="e">
        <f t="shared" si="17"/>
        <v>#VALUE!</v>
      </c>
      <c r="L23" s="41" t="e">
        <f t="shared" si="17"/>
        <v>#VALUE!</v>
      </c>
      <c r="M23" s="41" t="e">
        <f t="shared" si="8"/>
        <v>#VALUE!</v>
      </c>
      <c r="N23" s="41" t="e">
        <f t="shared" si="9"/>
        <v>#VALUE!</v>
      </c>
      <c r="O23" s="41">
        <f t="shared" si="10"/>
        <v>0</v>
      </c>
      <c r="Q23" s="44" t="e">
        <f t="shared" si="3"/>
        <v>#VALUE!</v>
      </c>
      <c r="R23" s="44" t="e">
        <f t="shared" si="11"/>
        <v>#VALUE!</v>
      </c>
      <c r="S23" s="44" t="e">
        <f t="shared" si="4"/>
        <v>#VALUE!</v>
      </c>
      <c r="T23" s="41" t="e">
        <f t="shared" si="12"/>
        <v>#VALUE!</v>
      </c>
      <c r="U23" s="41" t="e">
        <f t="shared" si="13"/>
        <v>#VALUE!</v>
      </c>
      <c r="V23" s="41" t="e">
        <f t="shared" si="14"/>
        <v>#VALUE!</v>
      </c>
      <c r="AC23" s="47"/>
    </row>
    <row r="24" spans="2:29" x14ac:dyDescent="0.25">
      <c r="B24" s="41" t="b">
        <f t="shared" si="15"/>
        <v>0</v>
      </c>
      <c r="C24" s="41" t="e">
        <f t="shared" si="16"/>
        <v>#VALUE!</v>
      </c>
      <c r="E24" s="45">
        <v>21</v>
      </c>
      <c r="G24" s="138"/>
      <c r="H24" s="135">
        <v>1</v>
      </c>
      <c r="I24" s="46" t="e">
        <f t="shared" si="5"/>
        <v>#VALUE!</v>
      </c>
      <c r="J24" s="41" t="e">
        <f t="shared" si="6"/>
        <v>#VALUE!</v>
      </c>
      <c r="K24" s="41" t="e">
        <f t="shared" si="17"/>
        <v>#VALUE!</v>
      </c>
      <c r="L24" s="41" t="e">
        <f t="shared" si="17"/>
        <v>#VALUE!</v>
      </c>
      <c r="M24" s="41" t="e">
        <f t="shared" si="8"/>
        <v>#VALUE!</v>
      </c>
      <c r="N24" s="41" t="e">
        <f t="shared" si="9"/>
        <v>#VALUE!</v>
      </c>
      <c r="O24" s="41">
        <f t="shared" si="10"/>
        <v>0</v>
      </c>
      <c r="Q24" s="44" t="e">
        <f t="shared" si="3"/>
        <v>#VALUE!</v>
      </c>
      <c r="R24" s="44" t="e">
        <f t="shared" si="11"/>
        <v>#VALUE!</v>
      </c>
      <c r="S24" s="44" t="e">
        <f t="shared" si="4"/>
        <v>#VALUE!</v>
      </c>
      <c r="T24" s="41" t="e">
        <f t="shared" si="12"/>
        <v>#VALUE!</v>
      </c>
      <c r="U24" s="41" t="e">
        <f t="shared" si="13"/>
        <v>#VALUE!</v>
      </c>
      <c r="V24" s="41" t="e">
        <f t="shared" si="14"/>
        <v>#VALUE!</v>
      </c>
      <c r="AC24" s="47"/>
    </row>
    <row r="25" spans="2:29" x14ac:dyDescent="0.25">
      <c r="B25" s="41" t="b">
        <f t="shared" si="15"/>
        <v>0</v>
      </c>
      <c r="C25" s="41" t="e">
        <f t="shared" si="16"/>
        <v>#VALUE!</v>
      </c>
      <c r="E25" s="45">
        <v>22</v>
      </c>
      <c r="G25" s="138"/>
      <c r="H25" s="135">
        <v>1</v>
      </c>
      <c r="I25" s="46" t="e">
        <f t="shared" si="5"/>
        <v>#VALUE!</v>
      </c>
      <c r="J25" s="41" t="e">
        <f t="shared" si="6"/>
        <v>#VALUE!</v>
      </c>
      <c r="K25" s="41" t="e">
        <f t="shared" si="17"/>
        <v>#VALUE!</v>
      </c>
      <c r="L25" s="41" t="e">
        <f t="shared" si="17"/>
        <v>#VALUE!</v>
      </c>
      <c r="M25" s="41" t="e">
        <f t="shared" si="8"/>
        <v>#VALUE!</v>
      </c>
      <c r="N25" s="41" t="e">
        <f t="shared" si="9"/>
        <v>#VALUE!</v>
      </c>
      <c r="O25" s="41">
        <f t="shared" si="10"/>
        <v>0</v>
      </c>
      <c r="Q25" s="44" t="e">
        <f t="shared" si="3"/>
        <v>#VALUE!</v>
      </c>
      <c r="R25" s="44" t="e">
        <f t="shared" si="11"/>
        <v>#VALUE!</v>
      </c>
      <c r="S25" s="44" t="e">
        <f t="shared" si="4"/>
        <v>#VALUE!</v>
      </c>
      <c r="T25" s="41" t="e">
        <f t="shared" si="12"/>
        <v>#VALUE!</v>
      </c>
      <c r="U25" s="41" t="e">
        <f t="shared" si="13"/>
        <v>#VALUE!</v>
      </c>
      <c r="V25" s="41" t="e">
        <f t="shared" si="14"/>
        <v>#VALUE!</v>
      </c>
      <c r="AC25" s="47"/>
    </row>
    <row r="26" spans="2:29" x14ac:dyDescent="0.25">
      <c r="B26" s="41" t="b">
        <f t="shared" si="15"/>
        <v>0</v>
      </c>
      <c r="C26" s="41" t="e">
        <f t="shared" si="16"/>
        <v>#VALUE!</v>
      </c>
      <c r="E26" s="45">
        <v>23</v>
      </c>
      <c r="G26" s="138"/>
      <c r="H26" s="135">
        <v>1</v>
      </c>
      <c r="I26" s="46" t="e">
        <f t="shared" si="5"/>
        <v>#VALUE!</v>
      </c>
      <c r="J26" s="41" t="e">
        <f t="shared" si="6"/>
        <v>#VALUE!</v>
      </c>
      <c r="K26" s="41" t="e">
        <f t="shared" si="17"/>
        <v>#VALUE!</v>
      </c>
      <c r="L26" s="41" t="e">
        <f t="shared" si="17"/>
        <v>#VALUE!</v>
      </c>
      <c r="M26" s="41" t="e">
        <f t="shared" si="8"/>
        <v>#VALUE!</v>
      </c>
      <c r="N26" s="41" t="e">
        <f t="shared" si="9"/>
        <v>#VALUE!</v>
      </c>
      <c r="O26" s="41">
        <f t="shared" si="10"/>
        <v>0</v>
      </c>
      <c r="Q26" s="44" t="e">
        <f t="shared" si="3"/>
        <v>#VALUE!</v>
      </c>
      <c r="R26" s="44" t="e">
        <f t="shared" si="11"/>
        <v>#VALUE!</v>
      </c>
      <c r="S26" s="44" t="e">
        <f t="shared" si="4"/>
        <v>#VALUE!</v>
      </c>
      <c r="T26" s="41" t="e">
        <f t="shared" si="12"/>
        <v>#VALUE!</v>
      </c>
      <c r="U26" s="41" t="e">
        <f t="shared" si="13"/>
        <v>#VALUE!</v>
      </c>
      <c r="V26" s="41" t="e">
        <f t="shared" si="14"/>
        <v>#VALUE!</v>
      </c>
      <c r="AC26" s="47"/>
    </row>
    <row r="27" spans="2:29" x14ac:dyDescent="0.25">
      <c r="B27" s="41" t="b">
        <f t="shared" si="15"/>
        <v>0</v>
      </c>
      <c r="C27" s="41" t="e">
        <f t="shared" si="16"/>
        <v>#VALUE!</v>
      </c>
      <c r="E27" s="45">
        <v>24</v>
      </c>
      <c r="G27" s="138"/>
      <c r="H27" s="135">
        <v>1</v>
      </c>
      <c r="I27" s="46" t="e">
        <f t="shared" si="5"/>
        <v>#VALUE!</v>
      </c>
      <c r="J27" s="41" t="e">
        <f t="shared" si="6"/>
        <v>#VALUE!</v>
      </c>
      <c r="K27" s="41" t="e">
        <f t="shared" si="17"/>
        <v>#VALUE!</v>
      </c>
      <c r="L27" s="41" t="e">
        <f t="shared" si="17"/>
        <v>#VALUE!</v>
      </c>
      <c r="M27" s="41" t="e">
        <f t="shared" si="8"/>
        <v>#VALUE!</v>
      </c>
      <c r="N27" s="41" t="e">
        <f t="shared" si="9"/>
        <v>#VALUE!</v>
      </c>
      <c r="O27" s="41">
        <f t="shared" si="10"/>
        <v>0</v>
      </c>
      <c r="Q27" s="44" t="e">
        <f t="shared" si="3"/>
        <v>#VALUE!</v>
      </c>
      <c r="R27" s="44" t="e">
        <f t="shared" si="11"/>
        <v>#VALUE!</v>
      </c>
      <c r="S27" s="44" t="e">
        <f t="shared" si="4"/>
        <v>#VALUE!</v>
      </c>
      <c r="T27" s="41" t="e">
        <f t="shared" si="12"/>
        <v>#VALUE!</v>
      </c>
      <c r="U27" s="41" t="e">
        <f t="shared" si="13"/>
        <v>#VALUE!</v>
      </c>
      <c r="V27" s="41" t="e">
        <f t="shared" si="14"/>
        <v>#VALUE!</v>
      </c>
      <c r="AC27" s="47"/>
    </row>
    <row r="28" spans="2:29" x14ac:dyDescent="0.25">
      <c r="B28" s="41" t="b">
        <f t="shared" si="15"/>
        <v>0</v>
      </c>
      <c r="C28" s="41" t="e">
        <f t="shared" si="16"/>
        <v>#VALUE!</v>
      </c>
      <c r="E28" s="45">
        <v>25</v>
      </c>
      <c r="G28" s="138"/>
      <c r="H28" s="135">
        <v>1</v>
      </c>
      <c r="I28" s="46" t="e">
        <f t="shared" si="5"/>
        <v>#VALUE!</v>
      </c>
      <c r="J28" s="41" t="e">
        <f t="shared" si="6"/>
        <v>#VALUE!</v>
      </c>
      <c r="K28" s="41" t="e">
        <f t="shared" si="17"/>
        <v>#VALUE!</v>
      </c>
      <c r="L28" s="41" t="e">
        <f t="shared" si="17"/>
        <v>#VALUE!</v>
      </c>
      <c r="M28" s="41" t="e">
        <f t="shared" si="8"/>
        <v>#VALUE!</v>
      </c>
      <c r="N28" s="41" t="e">
        <f t="shared" si="9"/>
        <v>#VALUE!</v>
      </c>
      <c r="O28" s="41">
        <f t="shared" si="10"/>
        <v>0</v>
      </c>
      <c r="Q28" s="44" t="e">
        <f t="shared" si="3"/>
        <v>#VALUE!</v>
      </c>
      <c r="R28" s="44" t="e">
        <f t="shared" si="11"/>
        <v>#VALUE!</v>
      </c>
      <c r="S28" s="44" t="e">
        <f t="shared" si="4"/>
        <v>#VALUE!</v>
      </c>
      <c r="T28" s="41" t="e">
        <f t="shared" si="12"/>
        <v>#VALUE!</v>
      </c>
      <c r="U28" s="41" t="e">
        <f t="shared" si="13"/>
        <v>#VALUE!</v>
      </c>
      <c r="V28" s="41" t="e">
        <f t="shared" si="14"/>
        <v>#VALUE!</v>
      </c>
      <c r="AC28" s="47"/>
    </row>
    <row r="29" spans="2:29" x14ac:dyDescent="0.25">
      <c r="B29" s="41" t="b">
        <f t="shared" si="15"/>
        <v>0</v>
      </c>
      <c r="C29" s="41" t="e">
        <f t="shared" si="16"/>
        <v>#VALUE!</v>
      </c>
      <c r="E29" s="45">
        <v>26</v>
      </c>
      <c r="G29" s="138"/>
      <c r="H29" s="135">
        <v>1</v>
      </c>
      <c r="I29" s="46" t="e">
        <f t="shared" si="5"/>
        <v>#VALUE!</v>
      </c>
      <c r="J29" s="41" t="e">
        <f t="shared" si="6"/>
        <v>#VALUE!</v>
      </c>
      <c r="K29" s="41" t="e">
        <f t="shared" si="17"/>
        <v>#VALUE!</v>
      </c>
      <c r="L29" s="41" t="e">
        <f t="shared" si="17"/>
        <v>#VALUE!</v>
      </c>
      <c r="M29" s="41" t="e">
        <f t="shared" si="8"/>
        <v>#VALUE!</v>
      </c>
      <c r="N29" s="41" t="e">
        <f t="shared" si="9"/>
        <v>#VALUE!</v>
      </c>
      <c r="O29" s="41">
        <f t="shared" si="10"/>
        <v>0</v>
      </c>
      <c r="Q29" s="44" t="e">
        <f t="shared" si="3"/>
        <v>#VALUE!</v>
      </c>
      <c r="R29" s="44" t="e">
        <f t="shared" si="11"/>
        <v>#VALUE!</v>
      </c>
      <c r="S29" s="44" t="e">
        <f t="shared" si="4"/>
        <v>#VALUE!</v>
      </c>
      <c r="T29" s="41" t="e">
        <f t="shared" si="12"/>
        <v>#VALUE!</v>
      </c>
      <c r="U29" s="41" t="e">
        <f t="shared" si="13"/>
        <v>#VALUE!</v>
      </c>
      <c r="V29" s="41" t="e">
        <f t="shared" si="14"/>
        <v>#VALUE!</v>
      </c>
      <c r="AC29" s="47"/>
    </row>
    <row r="30" spans="2:29" x14ac:dyDescent="0.25">
      <c r="B30" s="41" t="b">
        <f t="shared" si="15"/>
        <v>0</v>
      </c>
      <c r="C30" s="41" t="e">
        <f t="shared" si="16"/>
        <v>#VALUE!</v>
      </c>
      <c r="E30" s="45">
        <v>27</v>
      </c>
      <c r="G30" s="138"/>
      <c r="H30" s="135">
        <v>1</v>
      </c>
      <c r="I30" s="46" t="e">
        <f t="shared" si="5"/>
        <v>#VALUE!</v>
      </c>
      <c r="J30" s="41" t="e">
        <f t="shared" si="6"/>
        <v>#VALUE!</v>
      </c>
      <c r="K30" s="41" t="e">
        <f t="shared" si="17"/>
        <v>#VALUE!</v>
      </c>
      <c r="L30" s="41" t="e">
        <f t="shared" si="17"/>
        <v>#VALUE!</v>
      </c>
      <c r="M30" s="41" t="e">
        <f t="shared" si="8"/>
        <v>#VALUE!</v>
      </c>
      <c r="N30" s="41" t="e">
        <f t="shared" si="9"/>
        <v>#VALUE!</v>
      </c>
      <c r="O30" s="41">
        <f t="shared" si="10"/>
        <v>0</v>
      </c>
      <c r="Q30" s="44" t="e">
        <f t="shared" si="3"/>
        <v>#VALUE!</v>
      </c>
      <c r="R30" s="44" t="e">
        <f t="shared" si="11"/>
        <v>#VALUE!</v>
      </c>
      <c r="S30" s="44" t="e">
        <f t="shared" si="4"/>
        <v>#VALUE!</v>
      </c>
      <c r="T30" s="41" t="e">
        <f t="shared" si="12"/>
        <v>#VALUE!</v>
      </c>
      <c r="U30" s="41" t="e">
        <f t="shared" si="13"/>
        <v>#VALUE!</v>
      </c>
      <c r="V30" s="41" t="e">
        <f t="shared" si="14"/>
        <v>#VALUE!</v>
      </c>
      <c r="AC30" s="47"/>
    </row>
    <row r="31" spans="2:29" x14ac:dyDescent="0.25">
      <c r="B31" s="41" t="b">
        <f t="shared" si="15"/>
        <v>0</v>
      </c>
      <c r="C31" s="41" t="e">
        <f t="shared" si="16"/>
        <v>#VALUE!</v>
      </c>
      <c r="E31" s="45">
        <v>28</v>
      </c>
      <c r="G31" s="138"/>
      <c r="H31" s="135">
        <v>1</v>
      </c>
      <c r="I31" s="46" t="e">
        <f t="shared" si="5"/>
        <v>#VALUE!</v>
      </c>
      <c r="J31" s="41" t="e">
        <f t="shared" si="6"/>
        <v>#VALUE!</v>
      </c>
      <c r="K31" s="41" t="e">
        <f t="shared" si="17"/>
        <v>#VALUE!</v>
      </c>
      <c r="L31" s="41" t="e">
        <f t="shared" si="17"/>
        <v>#VALUE!</v>
      </c>
      <c r="M31" s="41" t="e">
        <f t="shared" si="8"/>
        <v>#VALUE!</v>
      </c>
      <c r="N31" s="41" t="e">
        <f t="shared" si="9"/>
        <v>#VALUE!</v>
      </c>
      <c r="O31" s="41">
        <f t="shared" si="10"/>
        <v>0</v>
      </c>
      <c r="Q31" s="44" t="e">
        <f t="shared" si="3"/>
        <v>#VALUE!</v>
      </c>
      <c r="R31" s="44" t="e">
        <f t="shared" si="11"/>
        <v>#VALUE!</v>
      </c>
      <c r="S31" s="44" t="e">
        <f t="shared" si="4"/>
        <v>#VALUE!</v>
      </c>
      <c r="T31" s="41" t="e">
        <f t="shared" si="12"/>
        <v>#VALUE!</v>
      </c>
      <c r="U31" s="41" t="e">
        <f t="shared" si="13"/>
        <v>#VALUE!</v>
      </c>
      <c r="V31" s="41" t="e">
        <f t="shared" si="14"/>
        <v>#VALUE!</v>
      </c>
      <c r="AC31" s="47"/>
    </row>
    <row r="32" spans="2:29" x14ac:dyDescent="0.25">
      <c r="B32" s="41" t="b">
        <f t="shared" si="15"/>
        <v>0</v>
      </c>
      <c r="C32" s="41" t="e">
        <f t="shared" si="16"/>
        <v>#VALUE!</v>
      </c>
      <c r="E32" s="45">
        <v>29</v>
      </c>
      <c r="G32" s="138"/>
      <c r="H32" s="135">
        <v>1</v>
      </c>
      <c r="I32" s="46" t="e">
        <f t="shared" si="5"/>
        <v>#VALUE!</v>
      </c>
      <c r="J32" s="41" t="e">
        <f t="shared" si="6"/>
        <v>#VALUE!</v>
      </c>
      <c r="K32" s="41" t="e">
        <f t="shared" si="17"/>
        <v>#VALUE!</v>
      </c>
      <c r="L32" s="41" t="e">
        <f t="shared" si="17"/>
        <v>#VALUE!</v>
      </c>
      <c r="M32" s="41" t="e">
        <f t="shared" si="8"/>
        <v>#VALUE!</v>
      </c>
      <c r="N32" s="41" t="e">
        <f t="shared" si="9"/>
        <v>#VALUE!</v>
      </c>
      <c r="O32" s="41">
        <f t="shared" si="10"/>
        <v>0</v>
      </c>
      <c r="Q32" s="44" t="e">
        <f t="shared" si="3"/>
        <v>#VALUE!</v>
      </c>
      <c r="R32" s="44" t="e">
        <f t="shared" si="11"/>
        <v>#VALUE!</v>
      </c>
      <c r="S32" s="44" t="e">
        <f t="shared" si="4"/>
        <v>#VALUE!</v>
      </c>
      <c r="T32" s="41" t="e">
        <f t="shared" si="12"/>
        <v>#VALUE!</v>
      </c>
      <c r="U32" s="41" t="e">
        <f t="shared" si="13"/>
        <v>#VALUE!</v>
      </c>
      <c r="V32" s="41" t="e">
        <f t="shared" si="14"/>
        <v>#VALUE!</v>
      </c>
      <c r="AC32" s="47"/>
    </row>
    <row r="33" spans="2:29" x14ac:dyDescent="0.25">
      <c r="B33" s="41" t="b">
        <f t="shared" si="15"/>
        <v>0</v>
      </c>
      <c r="C33" s="41" t="e">
        <f t="shared" si="16"/>
        <v>#VALUE!</v>
      </c>
      <c r="E33" s="45">
        <v>30</v>
      </c>
      <c r="G33" s="138"/>
      <c r="H33" s="135">
        <v>1</v>
      </c>
      <c r="I33" s="46" t="e">
        <f t="shared" si="5"/>
        <v>#VALUE!</v>
      </c>
      <c r="J33" s="41" t="e">
        <f t="shared" si="6"/>
        <v>#VALUE!</v>
      </c>
      <c r="K33" s="41" t="e">
        <f t="shared" si="17"/>
        <v>#VALUE!</v>
      </c>
      <c r="L33" s="41" t="e">
        <f t="shared" si="17"/>
        <v>#VALUE!</v>
      </c>
      <c r="M33" s="41" t="e">
        <f t="shared" si="8"/>
        <v>#VALUE!</v>
      </c>
      <c r="N33" s="41" t="e">
        <f t="shared" si="9"/>
        <v>#VALUE!</v>
      </c>
      <c r="O33" s="41">
        <f t="shared" si="10"/>
        <v>0</v>
      </c>
      <c r="Q33" s="44" t="e">
        <f t="shared" si="3"/>
        <v>#VALUE!</v>
      </c>
      <c r="R33" s="44" t="e">
        <f t="shared" si="11"/>
        <v>#VALUE!</v>
      </c>
      <c r="S33" s="44" t="e">
        <f t="shared" si="4"/>
        <v>#VALUE!</v>
      </c>
      <c r="T33" s="41" t="e">
        <f t="shared" si="12"/>
        <v>#VALUE!</v>
      </c>
      <c r="U33" s="41" t="e">
        <f t="shared" si="13"/>
        <v>#VALUE!</v>
      </c>
      <c r="V33" s="41" t="e">
        <f t="shared" si="14"/>
        <v>#VALUE!</v>
      </c>
      <c r="AC33" s="47"/>
    </row>
    <row r="34" spans="2:29" x14ac:dyDescent="0.25">
      <c r="B34" s="41" t="b">
        <f t="shared" si="15"/>
        <v>0</v>
      </c>
      <c r="C34" s="41" t="e">
        <f t="shared" si="16"/>
        <v>#VALUE!</v>
      </c>
      <c r="E34" s="45">
        <v>31</v>
      </c>
      <c r="G34" s="138"/>
      <c r="H34" s="135">
        <v>1</v>
      </c>
      <c r="I34" s="46" t="e">
        <f t="shared" si="5"/>
        <v>#VALUE!</v>
      </c>
      <c r="J34" s="41" t="e">
        <f t="shared" si="6"/>
        <v>#VALUE!</v>
      </c>
      <c r="K34" s="41" t="e">
        <f t="shared" si="17"/>
        <v>#VALUE!</v>
      </c>
      <c r="L34" s="41" t="e">
        <f t="shared" si="17"/>
        <v>#VALUE!</v>
      </c>
      <c r="M34" s="41" t="e">
        <f t="shared" si="8"/>
        <v>#VALUE!</v>
      </c>
      <c r="N34" s="41" t="e">
        <f t="shared" si="9"/>
        <v>#VALUE!</v>
      </c>
      <c r="O34" s="41">
        <f t="shared" si="10"/>
        <v>0</v>
      </c>
      <c r="Q34" s="44" t="e">
        <f t="shared" si="3"/>
        <v>#VALUE!</v>
      </c>
      <c r="R34" s="44" t="e">
        <f t="shared" si="11"/>
        <v>#VALUE!</v>
      </c>
      <c r="S34" s="44" t="e">
        <f t="shared" si="4"/>
        <v>#VALUE!</v>
      </c>
      <c r="T34" s="41" t="e">
        <f t="shared" si="12"/>
        <v>#VALUE!</v>
      </c>
      <c r="U34" s="41" t="e">
        <f t="shared" si="13"/>
        <v>#VALUE!</v>
      </c>
      <c r="V34" s="41" t="e">
        <f t="shared" si="14"/>
        <v>#VALUE!</v>
      </c>
      <c r="AC34" s="47"/>
    </row>
    <row r="35" spans="2:29" x14ac:dyDescent="0.25">
      <c r="B35" s="41" t="b">
        <f t="shared" si="15"/>
        <v>0</v>
      </c>
      <c r="C35" s="41" t="e">
        <f t="shared" si="16"/>
        <v>#VALUE!</v>
      </c>
      <c r="E35" s="45">
        <v>32</v>
      </c>
      <c r="G35" s="138"/>
      <c r="H35" s="135">
        <v>1</v>
      </c>
      <c r="I35" s="46" t="e">
        <f t="shared" si="5"/>
        <v>#VALUE!</v>
      </c>
      <c r="J35" s="41" t="e">
        <f t="shared" si="6"/>
        <v>#VALUE!</v>
      </c>
      <c r="K35" s="41" t="e">
        <f t="shared" si="17"/>
        <v>#VALUE!</v>
      </c>
      <c r="L35" s="41" t="e">
        <f t="shared" si="17"/>
        <v>#VALUE!</v>
      </c>
      <c r="M35" s="41" t="e">
        <f t="shared" si="8"/>
        <v>#VALUE!</v>
      </c>
      <c r="N35" s="41" t="e">
        <f t="shared" si="9"/>
        <v>#VALUE!</v>
      </c>
      <c r="O35" s="41">
        <f t="shared" si="10"/>
        <v>0</v>
      </c>
      <c r="Q35" s="44" t="e">
        <f t="shared" si="3"/>
        <v>#VALUE!</v>
      </c>
      <c r="R35" s="44" t="e">
        <f t="shared" si="11"/>
        <v>#VALUE!</v>
      </c>
      <c r="S35" s="44" t="e">
        <f t="shared" si="4"/>
        <v>#VALUE!</v>
      </c>
      <c r="T35" s="41" t="e">
        <f t="shared" si="12"/>
        <v>#VALUE!</v>
      </c>
      <c r="U35" s="41" t="e">
        <f t="shared" si="13"/>
        <v>#VALUE!</v>
      </c>
      <c r="V35" s="41" t="e">
        <f t="shared" si="14"/>
        <v>#VALUE!</v>
      </c>
      <c r="AC35" s="47"/>
    </row>
    <row r="36" spans="2:29" x14ac:dyDescent="0.25">
      <c r="B36" s="41" t="b">
        <f t="shared" si="15"/>
        <v>0</v>
      </c>
      <c r="C36" s="41" t="e">
        <f t="shared" si="16"/>
        <v>#VALUE!</v>
      </c>
      <c r="E36" s="45">
        <v>33</v>
      </c>
      <c r="G36" s="138"/>
      <c r="H36" s="135">
        <v>1</v>
      </c>
      <c r="I36" s="46" t="e">
        <f t="shared" si="5"/>
        <v>#VALUE!</v>
      </c>
      <c r="J36" s="41" t="e">
        <f t="shared" si="6"/>
        <v>#VALUE!</v>
      </c>
      <c r="K36" s="41" t="e">
        <f t="shared" si="17"/>
        <v>#VALUE!</v>
      </c>
      <c r="L36" s="41" t="e">
        <f t="shared" si="17"/>
        <v>#VALUE!</v>
      </c>
      <c r="M36" s="41" t="e">
        <f t="shared" si="8"/>
        <v>#VALUE!</v>
      </c>
      <c r="N36" s="41" t="e">
        <f t="shared" si="9"/>
        <v>#VALUE!</v>
      </c>
      <c r="O36" s="41">
        <f t="shared" si="10"/>
        <v>0</v>
      </c>
      <c r="Q36" s="44" t="e">
        <f t="shared" si="3"/>
        <v>#VALUE!</v>
      </c>
      <c r="R36" s="44" t="e">
        <f t="shared" si="11"/>
        <v>#VALUE!</v>
      </c>
      <c r="S36" s="44" t="e">
        <f t="shared" si="4"/>
        <v>#VALUE!</v>
      </c>
      <c r="T36" s="41" t="e">
        <f t="shared" si="12"/>
        <v>#VALUE!</v>
      </c>
      <c r="U36" s="41" t="e">
        <f t="shared" si="13"/>
        <v>#VALUE!</v>
      </c>
      <c r="V36" s="41" t="e">
        <f t="shared" si="14"/>
        <v>#VALUE!</v>
      </c>
      <c r="AC36" s="47"/>
    </row>
    <row r="37" spans="2:29" x14ac:dyDescent="0.25">
      <c r="B37" s="41" t="b">
        <f t="shared" si="15"/>
        <v>0</v>
      </c>
      <c r="C37" s="41" t="e">
        <f t="shared" si="16"/>
        <v>#VALUE!</v>
      </c>
      <c r="E37" s="45">
        <v>34</v>
      </c>
      <c r="G37" s="138"/>
      <c r="H37" s="135">
        <v>1</v>
      </c>
      <c r="I37" s="46" t="e">
        <f t="shared" si="5"/>
        <v>#VALUE!</v>
      </c>
      <c r="J37" s="41" t="e">
        <f t="shared" si="6"/>
        <v>#VALUE!</v>
      </c>
      <c r="K37" s="41" t="e">
        <f t="shared" si="17"/>
        <v>#VALUE!</v>
      </c>
      <c r="L37" s="41" t="e">
        <f t="shared" si="17"/>
        <v>#VALUE!</v>
      </c>
      <c r="M37" s="41" t="e">
        <f t="shared" si="8"/>
        <v>#VALUE!</v>
      </c>
      <c r="N37" s="41" t="e">
        <f t="shared" si="9"/>
        <v>#VALUE!</v>
      </c>
      <c r="O37" s="41">
        <f t="shared" si="10"/>
        <v>0</v>
      </c>
      <c r="Q37" s="44" t="e">
        <f t="shared" si="3"/>
        <v>#VALUE!</v>
      </c>
      <c r="R37" s="44" t="e">
        <f t="shared" si="11"/>
        <v>#VALUE!</v>
      </c>
      <c r="S37" s="44" t="e">
        <f t="shared" si="4"/>
        <v>#VALUE!</v>
      </c>
      <c r="T37" s="41" t="e">
        <f t="shared" si="12"/>
        <v>#VALUE!</v>
      </c>
      <c r="U37" s="41" t="e">
        <f t="shared" si="13"/>
        <v>#VALUE!</v>
      </c>
      <c r="V37" s="41" t="e">
        <f t="shared" si="14"/>
        <v>#VALUE!</v>
      </c>
      <c r="AC37" s="47"/>
    </row>
    <row r="38" spans="2:29" x14ac:dyDescent="0.25">
      <c r="B38" s="41" t="b">
        <f t="shared" si="15"/>
        <v>0</v>
      </c>
      <c r="C38" s="41" t="e">
        <f t="shared" si="16"/>
        <v>#VALUE!</v>
      </c>
      <c r="E38" s="45">
        <v>35</v>
      </c>
      <c r="G38" s="138"/>
      <c r="H38" s="135">
        <v>1</v>
      </c>
      <c r="I38" s="46" t="e">
        <f t="shared" si="5"/>
        <v>#VALUE!</v>
      </c>
      <c r="J38" s="41" t="e">
        <f t="shared" si="6"/>
        <v>#VALUE!</v>
      </c>
      <c r="K38" s="41" t="e">
        <f t="shared" si="17"/>
        <v>#VALUE!</v>
      </c>
      <c r="L38" s="41" t="e">
        <f t="shared" si="17"/>
        <v>#VALUE!</v>
      </c>
      <c r="M38" s="41" t="e">
        <f t="shared" si="8"/>
        <v>#VALUE!</v>
      </c>
      <c r="N38" s="41" t="e">
        <f t="shared" si="9"/>
        <v>#VALUE!</v>
      </c>
      <c r="O38" s="41">
        <f t="shared" si="10"/>
        <v>0</v>
      </c>
      <c r="Q38" s="44" t="e">
        <f t="shared" si="3"/>
        <v>#VALUE!</v>
      </c>
      <c r="R38" s="44" t="e">
        <f t="shared" si="11"/>
        <v>#VALUE!</v>
      </c>
      <c r="S38" s="44" t="e">
        <f t="shared" si="4"/>
        <v>#VALUE!</v>
      </c>
      <c r="T38" s="41" t="e">
        <f t="shared" si="12"/>
        <v>#VALUE!</v>
      </c>
      <c r="U38" s="41" t="e">
        <f t="shared" si="13"/>
        <v>#VALUE!</v>
      </c>
      <c r="V38" s="41" t="e">
        <f t="shared" si="14"/>
        <v>#VALUE!</v>
      </c>
      <c r="AC38" s="47"/>
    </row>
    <row r="39" spans="2:29" x14ac:dyDescent="0.25">
      <c r="B39" s="41" t="b">
        <f t="shared" si="15"/>
        <v>0</v>
      </c>
      <c r="C39" s="41" t="e">
        <f t="shared" si="16"/>
        <v>#VALUE!</v>
      </c>
      <c r="E39" s="45">
        <v>36</v>
      </c>
      <c r="G39" s="138"/>
      <c r="H39" s="135">
        <v>1</v>
      </c>
      <c r="I39" s="46" t="e">
        <f t="shared" si="5"/>
        <v>#VALUE!</v>
      </c>
      <c r="J39" s="41" t="e">
        <f t="shared" si="6"/>
        <v>#VALUE!</v>
      </c>
      <c r="K39" s="41" t="e">
        <f t="shared" si="17"/>
        <v>#VALUE!</v>
      </c>
      <c r="L39" s="41" t="e">
        <f t="shared" si="17"/>
        <v>#VALUE!</v>
      </c>
      <c r="M39" s="41" t="e">
        <f t="shared" si="8"/>
        <v>#VALUE!</v>
      </c>
      <c r="N39" s="41" t="e">
        <f t="shared" si="9"/>
        <v>#VALUE!</v>
      </c>
      <c r="O39" s="41">
        <f t="shared" si="10"/>
        <v>0</v>
      </c>
      <c r="Q39" s="44" t="e">
        <f t="shared" si="3"/>
        <v>#VALUE!</v>
      </c>
      <c r="R39" s="44" t="e">
        <f t="shared" si="11"/>
        <v>#VALUE!</v>
      </c>
      <c r="S39" s="44" t="e">
        <f t="shared" si="4"/>
        <v>#VALUE!</v>
      </c>
      <c r="T39" s="41" t="e">
        <f t="shared" si="12"/>
        <v>#VALUE!</v>
      </c>
      <c r="U39" s="41" t="e">
        <f t="shared" si="13"/>
        <v>#VALUE!</v>
      </c>
      <c r="V39" s="41" t="e">
        <f t="shared" si="14"/>
        <v>#VALUE!</v>
      </c>
      <c r="AC39" s="47"/>
    </row>
    <row r="40" spans="2:29" x14ac:dyDescent="0.25">
      <c r="B40" s="41" t="b">
        <f t="shared" si="15"/>
        <v>0</v>
      </c>
      <c r="C40" s="41" t="e">
        <f t="shared" si="16"/>
        <v>#VALUE!</v>
      </c>
      <c r="E40" s="45">
        <v>37</v>
      </c>
      <c r="G40" s="138"/>
      <c r="H40" s="135">
        <v>1</v>
      </c>
      <c r="I40" s="46" t="e">
        <f t="shared" si="5"/>
        <v>#VALUE!</v>
      </c>
      <c r="J40" s="41" t="e">
        <f t="shared" si="6"/>
        <v>#VALUE!</v>
      </c>
      <c r="K40" s="41" t="e">
        <f t="shared" si="17"/>
        <v>#VALUE!</v>
      </c>
      <c r="L40" s="41" t="e">
        <f t="shared" si="17"/>
        <v>#VALUE!</v>
      </c>
      <c r="M40" s="41" t="e">
        <f t="shared" si="8"/>
        <v>#VALUE!</v>
      </c>
      <c r="N40" s="41" t="e">
        <f t="shared" si="9"/>
        <v>#VALUE!</v>
      </c>
      <c r="O40" s="41">
        <f t="shared" si="10"/>
        <v>0</v>
      </c>
      <c r="Q40" s="44" t="e">
        <f t="shared" si="3"/>
        <v>#VALUE!</v>
      </c>
      <c r="R40" s="44" t="e">
        <f t="shared" si="11"/>
        <v>#VALUE!</v>
      </c>
      <c r="S40" s="44" t="e">
        <f t="shared" si="4"/>
        <v>#VALUE!</v>
      </c>
      <c r="T40" s="41" t="e">
        <f t="shared" si="12"/>
        <v>#VALUE!</v>
      </c>
      <c r="U40" s="41" t="e">
        <f t="shared" si="13"/>
        <v>#VALUE!</v>
      </c>
      <c r="V40" s="41" t="e">
        <f t="shared" si="14"/>
        <v>#VALUE!</v>
      </c>
      <c r="AC40" s="47"/>
    </row>
    <row r="41" spans="2:29" x14ac:dyDescent="0.25">
      <c r="B41" s="41" t="b">
        <f t="shared" si="15"/>
        <v>0</v>
      </c>
      <c r="C41" s="41" t="e">
        <f t="shared" si="16"/>
        <v>#VALUE!</v>
      </c>
      <c r="E41" s="45">
        <v>38</v>
      </c>
      <c r="G41" s="138"/>
      <c r="H41" s="135">
        <v>1</v>
      </c>
      <c r="I41" s="46" t="e">
        <f t="shared" si="5"/>
        <v>#VALUE!</v>
      </c>
      <c r="J41" s="41" t="e">
        <f t="shared" si="6"/>
        <v>#VALUE!</v>
      </c>
      <c r="K41" s="41" t="e">
        <f t="shared" si="17"/>
        <v>#VALUE!</v>
      </c>
      <c r="L41" s="41" t="e">
        <f t="shared" si="17"/>
        <v>#VALUE!</v>
      </c>
      <c r="M41" s="41" t="e">
        <f t="shared" si="8"/>
        <v>#VALUE!</v>
      </c>
      <c r="N41" s="41" t="e">
        <f t="shared" si="9"/>
        <v>#VALUE!</v>
      </c>
      <c r="O41" s="41">
        <f t="shared" si="10"/>
        <v>0</v>
      </c>
      <c r="Q41" s="44" t="e">
        <f t="shared" si="3"/>
        <v>#VALUE!</v>
      </c>
      <c r="R41" s="44" t="e">
        <f t="shared" si="11"/>
        <v>#VALUE!</v>
      </c>
      <c r="S41" s="44" t="e">
        <f t="shared" si="4"/>
        <v>#VALUE!</v>
      </c>
      <c r="T41" s="41" t="e">
        <f t="shared" si="12"/>
        <v>#VALUE!</v>
      </c>
      <c r="U41" s="41" t="e">
        <f t="shared" si="13"/>
        <v>#VALUE!</v>
      </c>
      <c r="V41" s="41" t="e">
        <f t="shared" si="14"/>
        <v>#VALUE!</v>
      </c>
      <c r="AC41" s="47"/>
    </row>
    <row r="42" spans="2:29" x14ac:dyDescent="0.25">
      <c r="B42" s="41" t="b">
        <f t="shared" si="15"/>
        <v>0</v>
      </c>
      <c r="C42" s="41" t="e">
        <f t="shared" si="16"/>
        <v>#VALUE!</v>
      </c>
      <c r="E42" s="45">
        <v>39</v>
      </c>
      <c r="G42" s="138"/>
      <c r="H42" s="135">
        <v>1</v>
      </c>
      <c r="I42" s="46" t="e">
        <f t="shared" si="5"/>
        <v>#VALUE!</v>
      </c>
      <c r="J42" s="41" t="e">
        <f t="shared" si="6"/>
        <v>#VALUE!</v>
      </c>
      <c r="K42" s="41" t="e">
        <f t="shared" si="17"/>
        <v>#VALUE!</v>
      </c>
      <c r="L42" s="41" t="e">
        <f t="shared" si="17"/>
        <v>#VALUE!</v>
      </c>
      <c r="M42" s="41" t="e">
        <f t="shared" si="8"/>
        <v>#VALUE!</v>
      </c>
      <c r="N42" s="41" t="e">
        <f t="shared" si="9"/>
        <v>#VALUE!</v>
      </c>
      <c r="O42" s="41">
        <f t="shared" si="10"/>
        <v>0</v>
      </c>
      <c r="Q42" s="44" t="e">
        <f t="shared" si="3"/>
        <v>#VALUE!</v>
      </c>
      <c r="R42" s="44" t="e">
        <f t="shared" si="11"/>
        <v>#VALUE!</v>
      </c>
      <c r="S42" s="44" t="e">
        <f t="shared" si="4"/>
        <v>#VALUE!</v>
      </c>
      <c r="T42" s="41" t="e">
        <f t="shared" si="12"/>
        <v>#VALUE!</v>
      </c>
      <c r="U42" s="41" t="e">
        <f t="shared" si="13"/>
        <v>#VALUE!</v>
      </c>
      <c r="V42" s="41" t="e">
        <f t="shared" si="14"/>
        <v>#VALUE!</v>
      </c>
      <c r="AC42" s="47"/>
    </row>
    <row r="43" spans="2:29" x14ac:dyDescent="0.25">
      <c r="B43" s="41" t="b">
        <f t="shared" si="15"/>
        <v>0</v>
      </c>
      <c r="C43" s="41" t="e">
        <f t="shared" si="16"/>
        <v>#VALUE!</v>
      </c>
      <c r="E43" s="45">
        <v>40</v>
      </c>
      <c r="G43" s="138"/>
      <c r="H43" s="135">
        <v>1</v>
      </c>
      <c r="I43" s="46" t="e">
        <f t="shared" si="5"/>
        <v>#VALUE!</v>
      </c>
      <c r="J43" s="41" t="e">
        <f t="shared" si="6"/>
        <v>#VALUE!</v>
      </c>
      <c r="K43" s="41" t="e">
        <f t="shared" si="17"/>
        <v>#VALUE!</v>
      </c>
      <c r="L43" s="41" t="e">
        <f t="shared" si="17"/>
        <v>#VALUE!</v>
      </c>
      <c r="M43" s="41" t="e">
        <f t="shared" si="8"/>
        <v>#VALUE!</v>
      </c>
      <c r="N43" s="41" t="e">
        <f t="shared" si="9"/>
        <v>#VALUE!</v>
      </c>
      <c r="O43" s="41">
        <f t="shared" si="10"/>
        <v>0</v>
      </c>
      <c r="Q43" s="44" t="e">
        <f t="shared" si="3"/>
        <v>#VALUE!</v>
      </c>
      <c r="R43" s="44" t="e">
        <f t="shared" si="11"/>
        <v>#VALUE!</v>
      </c>
      <c r="S43" s="44" t="e">
        <f t="shared" si="4"/>
        <v>#VALUE!</v>
      </c>
      <c r="T43" s="41" t="e">
        <f t="shared" si="12"/>
        <v>#VALUE!</v>
      </c>
      <c r="U43" s="41" t="e">
        <f t="shared" si="13"/>
        <v>#VALUE!</v>
      </c>
      <c r="V43" s="41" t="e">
        <f t="shared" si="14"/>
        <v>#VALUE!</v>
      </c>
      <c r="AC43" s="47"/>
    </row>
    <row r="44" spans="2:29" x14ac:dyDescent="0.25">
      <c r="B44" s="41" t="b">
        <f t="shared" si="15"/>
        <v>0</v>
      </c>
      <c r="C44" s="41" t="e">
        <f t="shared" si="16"/>
        <v>#VALUE!</v>
      </c>
      <c r="E44" s="45">
        <v>41</v>
      </c>
      <c r="G44" s="138"/>
      <c r="H44" s="135">
        <v>1</v>
      </c>
      <c r="I44" s="46" t="e">
        <f t="shared" si="5"/>
        <v>#VALUE!</v>
      </c>
      <c r="J44" s="41" t="e">
        <f t="shared" si="6"/>
        <v>#VALUE!</v>
      </c>
      <c r="K44" s="41" t="e">
        <f t="shared" si="17"/>
        <v>#VALUE!</v>
      </c>
      <c r="L44" s="41" t="e">
        <f t="shared" si="17"/>
        <v>#VALUE!</v>
      </c>
      <c r="M44" s="41" t="e">
        <f t="shared" si="8"/>
        <v>#VALUE!</v>
      </c>
      <c r="N44" s="41" t="e">
        <f t="shared" si="9"/>
        <v>#VALUE!</v>
      </c>
      <c r="O44" s="41">
        <f t="shared" si="10"/>
        <v>0</v>
      </c>
      <c r="Q44" s="44" t="e">
        <f t="shared" si="3"/>
        <v>#VALUE!</v>
      </c>
      <c r="R44" s="44" t="e">
        <f t="shared" si="11"/>
        <v>#VALUE!</v>
      </c>
      <c r="S44" s="44" t="e">
        <f t="shared" si="4"/>
        <v>#VALUE!</v>
      </c>
      <c r="T44" s="41" t="e">
        <f t="shared" si="12"/>
        <v>#VALUE!</v>
      </c>
      <c r="U44" s="41" t="e">
        <f t="shared" si="13"/>
        <v>#VALUE!</v>
      </c>
      <c r="V44" s="41" t="e">
        <f t="shared" si="14"/>
        <v>#VALUE!</v>
      </c>
      <c r="AC44" s="47"/>
    </row>
    <row r="45" spans="2:29" x14ac:dyDescent="0.25">
      <c r="B45" s="41" t="b">
        <f t="shared" si="15"/>
        <v>0</v>
      </c>
      <c r="C45" s="41" t="e">
        <f t="shared" si="16"/>
        <v>#VALUE!</v>
      </c>
      <c r="E45" s="45">
        <v>42</v>
      </c>
      <c r="G45" s="138"/>
      <c r="H45" s="135">
        <v>1</v>
      </c>
      <c r="I45" s="46" t="e">
        <f t="shared" si="5"/>
        <v>#VALUE!</v>
      </c>
      <c r="J45" s="41" t="e">
        <f t="shared" si="6"/>
        <v>#VALUE!</v>
      </c>
      <c r="K45" s="41" t="e">
        <f t="shared" si="17"/>
        <v>#VALUE!</v>
      </c>
      <c r="L45" s="41" t="e">
        <f t="shared" si="17"/>
        <v>#VALUE!</v>
      </c>
      <c r="M45" s="41" t="e">
        <f t="shared" si="8"/>
        <v>#VALUE!</v>
      </c>
      <c r="N45" s="41" t="e">
        <f t="shared" si="9"/>
        <v>#VALUE!</v>
      </c>
      <c r="O45" s="41">
        <f t="shared" si="10"/>
        <v>0</v>
      </c>
      <c r="Q45" s="44" t="e">
        <f t="shared" si="3"/>
        <v>#VALUE!</v>
      </c>
      <c r="R45" s="44" t="e">
        <f t="shared" si="11"/>
        <v>#VALUE!</v>
      </c>
      <c r="S45" s="44" t="e">
        <f t="shared" si="4"/>
        <v>#VALUE!</v>
      </c>
      <c r="T45" s="41" t="e">
        <f t="shared" si="12"/>
        <v>#VALUE!</v>
      </c>
      <c r="U45" s="41" t="e">
        <f t="shared" si="13"/>
        <v>#VALUE!</v>
      </c>
      <c r="V45" s="41" t="e">
        <f t="shared" si="14"/>
        <v>#VALUE!</v>
      </c>
      <c r="AC45" s="47"/>
    </row>
    <row r="46" spans="2:29" x14ac:dyDescent="0.25">
      <c r="B46" s="41" t="b">
        <f t="shared" si="15"/>
        <v>0</v>
      </c>
      <c r="C46" s="41" t="e">
        <f t="shared" si="16"/>
        <v>#VALUE!</v>
      </c>
      <c r="E46" s="45">
        <v>43</v>
      </c>
      <c r="G46" s="138"/>
      <c r="H46" s="135">
        <v>1</v>
      </c>
      <c r="I46" s="46" t="e">
        <f t="shared" si="5"/>
        <v>#VALUE!</v>
      </c>
      <c r="J46" s="41" t="e">
        <f t="shared" si="6"/>
        <v>#VALUE!</v>
      </c>
      <c r="K46" s="41" t="e">
        <f t="shared" si="17"/>
        <v>#VALUE!</v>
      </c>
      <c r="L46" s="41" t="e">
        <f t="shared" si="17"/>
        <v>#VALUE!</v>
      </c>
      <c r="M46" s="41" t="e">
        <f t="shared" si="8"/>
        <v>#VALUE!</v>
      </c>
      <c r="N46" s="41" t="e">
        <f t="shared" si="9"/>
        <v>#VALUE!</v>
      </c>
      <c r="O46" s="41">
        <f t="shared" si="10"/>
        <v>0</v>
      </c>
      <c r="Q46" s="44" t="e">
        <f t="shared" si="3"/>
        <v>#VALUE!</v>
      </c>
      <c r="R46" s="44" t="e">
        <f t="shared" si="11"/>
        <v>#VALUE!</v>
      </c>
      <c r="S46" s="44" t="e">
        <f t="shared" si="4"/>
        <v>#VALUE!</v>
      </c>
      <c r="T46" s="41" t="e">
        <f t="shared" si="12"/>
        <v>#VALUE!</v>
      </c>
      <c r="U46" s="41" t="e">
        <f t="shared" si="13"/>
        <v>#VALUE!</v>
      </c>
      <c r="V46" s="41" t="e">
        <f t="shared" si="14"/>
        <v>#VALUE!</v>
      </c>
      <c r="AC46" s="47"/>
    </row>
    <row r="47" spans="2:29" x14ac:dyDescent="0.25">
      <c r="B47" s="41" t="b">
        <f t="shared" si="15"/>
        <v>0</v>
      </c>
      <c r="C47" s="41" t="e">
        <f t="shared" si="16"/>
        <v>#VALUE!</v>
      </c>
      <c r="E47" s="45">
        <v>44</v>
      </c>
      <c r="G47" s="138"/>
      <c r="H47" s="135">
        <v>1</v>
      </c>
      <c r="I47" s="46" t="e">
        <f t="shared" si="5"/>
        <v>#VALUE!</v>
      </c>
      <c r="J47" s="41" t="e">
        <f t="shared" si="6"/>
        <v>#VALUE!</v>
      </c>
      <c r="K47" s="41" t="e">
        <f t="shared" si="17"/>
        <v>#VALUE!</v>
      </c>
      <c r="L47" s="41" t="e">
        <f t="shared" si="17"/>
        <v>#VALUE!</v>
      </c>
      <c r="M47" s="41" t="e">
        <f t="shared" si="8"/>
        <v>#VALUE!</v>
      </c>
      <c r="N47" s="41" t="e">
        <f t="shared" si="9"/>
        <v>#VALUE!</v>
      </c>
      <c r="O47" s="41">
        <f t="shared" si="10"/>
        <v>0</v>
      </c>
      <c r="Q47" s="44" t="e">
        <f t="shared" si="3"/>
        <v>#VALUE!</v>
      </c>
      <c r="R47" s="44" t="e">
        <f t="shared" si="11"/>
        <v>#VALUE!</v>
      </c>
      <c r="S47" s="44" t="e">
        <f t="shared" si="4"/>
        <v>#VALUE!</v>
      </c>
      <c r="T47" s="41" t="e">
        <f t="shared" si="12"/>
        <v>#VALUE!</v>
      </c>
      <c r="U47" s="41" t="e">
        <f t="shared" si="13"/>
        <v>#VALUE!</v>
      </c>
      <c r="V47" s="41" t="e">
        <f t="shared" si="14"/>
        <v>#VALUE!</v>
      </c>
      <c r="AC47" s="47"/>
    </row>
    <row r="48" spans="2:29" x14ac:dyDescent="0.25">
      <c r="B48" s="41" t="b">
        <f t="shared" si="15"/>
        <v>0</v>
      </c>
      <c r="C48" s="41" t="e">
        <f t="shared" si="16"/>
        <v>#VALUE!</v>
      </c>
      <c r="E48" s="45">
        <v>45</v>
      </c>
      <c r="G48" s="138"/>
      <c r="H48" s="135">
        <v>1</v>
      </c>
      <c r="I48" s="46" t="e">
        <f t="shared" si="5"/>
        <v>#VALUE!</v>
      </c>
      <c r="J48" s="41" t="e">
        <f t="shared" si="6"/>
        <v>#VALUE!</v>
      </c>
      <c r="K48" s="41" t="e">
        <f t="shared" si="17"/>
        <v>#VALUE!</v>
      </c>
      <c r="L48" s="41" t="e">
        <f t="shared" si="17"/>
        <v>#VALUE!</v>
      </c>
      <c r="M48" s="41" t="e">
        <f t="shared" si="8"/>
        <v>#VALUE!</v>
      </c>
      <c r="N48" s="41" t="e">
        <f t="shared" si="9"/>
        <v>#VALUE!</v>
      </c>
      <c r="O48" s="41">
        <f t="shared" si="10"/>
        <v>0</v>
      </c>
      <c r="Q48" s="44" t="e">
        <f t="shared" si="3"/>
        <v>#VALUE!</v>
      </c>
      <c r="R48" s="44" t="e">
        <f t="shared" si="11"/>
        <v>#VALUE!</v>
      </c>
      <c r="S48" s="44" t="e">
        <f t="shared" si="4"/>
        <v>#VALUE!</v>
      </c>
      <c r="T48" s="41" t="e">
        <f t="shared" si="12"/>
        <v>#VALUE!</v>
      </c>
      <c r="U48" s="41" t="e">
        <f t="shared" si="13"/>
        <v>#VALUE!</v>
      </c>
      <c r="V48" s="41" t="e">
        <f t="shared" si="14"/>
        <v>#VALUE!</v>
      </c>
      <c r="AC48" s="47"/>
    </row>
    <row r="49" spans="2:29" x14ac:dyDescent="0.25">
      <c r="B49" s="41" t="b">
        <f t="shared" si="15"/>
        <v>0</v>
      </c>
      <c r="C49" s="41" t="e">
        <f t="shared" si="16"/>
        <v>#VALUE!</v>
      </c>
      <c r="E49" s="45">
        <v>46</v>
      </c>
      <c r="G49" s="138"/>
      <c r="H49" s="135">
        <v>1</v>
      </c>
      <c r="I49" s="46" t="e">
        <f t="shared" si="5"/>
        <v>#VALUE!</v>
      </c>
      <c r="J49" s="41" t="e">
        <f t="shared" si="6"/>
        <v>#VALUE!</v>
      </c>
      <c r="K49" s="41" t="e">
        <f t="shared" si="17"/>
        <v>#VALUE!</v>
      </c>
      <c r="L49" s="41" t="e">
        <f t="shared" si="17"/>
        <v>#VALUE!</v>
      </c>
      <c r="M49" s="41" t="e">
        <f t="shared" si="8"/>
        <v>#VALUE!</v>
      </c>
      <c r="N49" s="41" t="e">
        <f t="shared" si="9"/>
        <v>#VALUE!</v>
      </c>
      <c r="O49" s="41">
        <f t="shared" si="10"/>
        <v>0</v>
      </c>
      <c r="Q49" s="44" t="e">
        <f t="shared" si="3"/>
        <v>#VALUE!</v>
      </c>
      <c r="R49" s="44" t="e">
        <f t="shared" si="11"/>
        <v>#VALUE!</v>
      </c>
      <c r="S49" s="44" t="e">
        <f t="shared" si="4"/>
        <v>#VALUE!</v>
      </c>
      <c r="T49" s="41" t="e">
        <f t="shared" si="12"/>
        <v>#VALUE!</v>
      </c>
      <c r="U49" s="41" t="e">
        <f t="shared" si="13"/>
        <v>#VALUE!</v>
      </c>
      <c r="V49" s="41" t="e">
        <f t="shared" si="14"/>
        <v>#VALUE!</v>
      </c>
      <c r="AC49" s="47"/>
    </row>
    <row r="50" spans="2:29" x14ac:dyDescent="0.25">
      <c r="B50" s="41" t="b">
        <f t="shared" si="15"/>
        <v>0</v>
      </c>
      <c r="C50" s="41" t="e">
        <f t="shared" si="16"/>
        <v>#VALUE!</v>
      </c>
      <c r="E50" s="45">
        <v>47</v>
      </c>
      <c r="G50" s="138"/>
      <c r="H50" s="135">
        <v>1</v>
      </c>
      <c r="I50" s="46" t="e">
        <f t="shared" si="5"/>
        <v>#VALUE!</v>
      </c>
      <c r="J50" s="41" t="e">
        <f t="shared" si="6"/>
        <v>#VALUE!</v>
      </c>
      <c r="K50" s="41" t="e">
        <f t="shared" si="17"/>
        <v>#VALUE!</v>
      </c>
      <c r="L50" s="41" t="e">
        <f t="shared" si="17"/>
        <v>#VALUE!</v>
      </c>
      <c r="M50" s="41" t="e">
        <f t="shared" si="8"/>
        <v>#VALUE!</v>
      </c>
      <c r="N50" s="41" t="e">
        <f t="shared" si="9"/>
        <v>#VALUE!</v>
      </c>
      <c r="O50" s="41">
        <f t="shared" si="10"/>
        <v>0</v>
      </c>
      <c r="Q50" s="44" t="e">
        <f t="shared" si="3"/>
        <v>#VALUE!</v>
      </c>
      <c r="R50" s="44" t="e">
        <f t="shared" si="11"/>
        <v>#VALUE!</v>
      </c>
      <c r="S50" s="44" t="e">
        <f t="shared" si="4"/>
        <v>#VALUE!</v>
      </c>
      <c r="T50" s="41" t="e">
        <f t="shared" si="12"/>
        <v>#VALUE!</v>
      </c>
      <c r="U50" s="41" t="e">
        <f t="shared" si="13"/>
        <v>#VALUE!</v>
      </c>
      <c r="V50" s="41" t="e">
        <f t="shared" si="14"/>
        <v>#VALUE!</v>
      </c>
      <c r="AC50" s="47"/>
    </row>
    <row r="51" spans="2:29" x14ac:dyDescent="0.25">
      <c r="B51" s="41" t="b">
        <f t="shared" si="15"/>
        <v>0</v>
      </c>
      <c r="C51" s="41" t="e">
        <f t="shared" si="16"/>
        <v>#VALUE!</v>
      </c>
      <c r="E51" s="45">
        <v>48</v>
      </c>
      <c r="G51" s="138"/>
      <c r="H51" s="135">
        <v>1</v>
      </c>
      <c r="I51" s="46" t="e">
        <f t="shared" si="5"/>
        <v>#VALUE!</v>
      </c>
      <c r="J51" s="41" t="e">
        <f t="shared" si="6"/>
        <v>#VALUE!</v>
      </c>
      <c r="K51" s="41" t="e">
        <f t="shared" si="17"/>
        <v>#VALUE!</v>
      </c>
      <c r="L51" s="41" t="e">
        <f t="shared" si="17"/>
        <v>#VALUE!</v>
      </c>
      <c r="M51" s="41" t="e">
        <f t="shared" si="8"/>
        <v>#VALUE!</v>
      </c>
      <c r="N51" s="41" t="e">
        <f t="shared" si="9"/>
        <v>#VALUE!</v>
      </c>
      <c r="O51" s="41">
        <f t="shared" si="10"/>
        <v>0</v>
      </c>
      <c r="Q51" s="44" t="e">
        <f t="shared" si="3"/>
        <v>#VALUE!</v>
      </c>
      <c r="R51" s="44" t="e">
        <f t="shared" si="11"/>
        <v>#VALUE!</v>
      </c>
      <c r="S51" s="44" t="e">
        <f t="shared" si="4"/>
        <v>#VALUE!</v>
      </c>
      <c r="T51" s="41" t="e">
        <f t="shared" si="12"/>
        <v>#VALUE!</v>
      </c>
      <c r="U51" s="41" t="e">
        <f t="shared" si="13"/>
        <v>#VALUE!</v>
      </c>
      <c r="V51" s="41" t="e">
        <f t="shared" si="14"/>
        <v>#VALUE!</v>
      </c>
      <c r="AC51" s="47"/>
    </row>
    <row r="52" spans="2:29" x14ac:dyDescent="0.25">
      <c r="B52" s="41" t="b">
        <f t="shared" si="15"/>
        <v>0</v>
      </c>
      <c r="C52" s="41" t="e">
        <f t="shared" si="16"/>
        <v>#VALUE!</v>
      </c>
      <c r="E52" s="45">
        <v>49</v>
      </c>
      <c r="G52" s="138"/>
      <c r="H52" s="135">
        <v>1</v>
      </c>
      <c r="I52" s="46" t="e">
        <f t="shared" si="5"/>
        <v>#VALUE!</v>
      </c>
      <c r="J52" s="41" t="e">
        <f t="shared" si="6"/>
        <v>#VALUE!</v>
      </c>
      <c r="K52" s="41" t="e">
        <f t="shared" si="17"/>
        <v>#VALUE!</v>
      </c>
      <c r="L52" s="41" t="e">
        <f t="shared" si="17"/>
        <v>#VALUE!</v>
      </c>
      <c r="M52" s="41" t="e">
        <f t="shared" si="8"/>
        <v>#VALUE!</v>
      </c>
      <c r="N52" s="41" t="e">
        <f t="shared" si="9"/>
        <v>#VALUE!</v>
      </c>
      <c r="O52" s="41">
        <f t="shared" si="10"/>
        <v>0</v>
      </c>
      <c r="Q52" s="44" t="e">
        <f t="shared" si="3"/>
        <v>#VALUE!</v>
      </c>
      <c r="R52" s="44" t="e">
        <f t="shared" si="11"/>
        <v>#VALUE!</v>
      </c>
      <c r="S52" s="44" t="e">
        <f t="shared" si="4"/>
        <v>#VALUE!</v>
      </c>
      <c r="T52" s="41" t="e">
        <f t="shared" si="12"/>
        <v>#VALUE!</v>
      </c>
      <c r="U52" s="41" t="e">
        <f t="shared" si="13"/>
        <v>#VALUE!</v>
      </c>
      <c r="V52" s="41" t="e">
        <f t="shared" si="14"/>
        <v>#VALUE!</v>
      </c>
      <c r="AC52" s="47"/>
    </row>
    <row r="53" spans="2:29" x14ac:dyDescent="0.25">
      <c r="B53" s="41" t="b">
        <f t="shared" si="15"/>
        <v>0</v>
      </c>
      <c r="C53" s="41" t="e">
        <f t="shared" si="16"/>
        <v>#VALUE!</v>
      </c>
      <c r="E53" s="45">
        <v>50</v>
      </c>
      <c r="G53" s="138"/>
      <c r="H53" s="135">
        <v>1</v>
      </c>
      <c r="I53" s="46" t="e">
        <f t="shared" si="5"/>
        <v>#VALUE!</v>
      </c>
      <c r="J53" s="41" t="e">
        <f t="shared" si="6"/>
        <v>#VALUE!</v>
      </c>
      <c r="K53" s="41" t="e">
        <f t="shared" si="17"/>
        <v>#VALUE!</v>
      </c>
      <c r="L53" s="41" t="e">
        <f t="shared" si="17"/>
        <v>#VALUE!</v>
      </c>
      <c r="M53" s="41" t="e">
        <f t="shared" si="8"/>
        <v>#VALUE!</v>
      </c>
      <c r="N53" s="41" t="e">
        <f t="shared" si="9"/>
        <v>#VALUE!</v>
      </c>
      <c r="O53" s="41">
        <f t="shared" si="10"/>
        <v>0</v>
      </c>
      <c r="Q53" s="44" t="e">
        <f t="shared" si="3"/>
        <v>#VALUE!</v>
      </c>
      <c r="R53" s="44" t="e">
        <f t="shared" si="11"/>
        <v>#VALUE!</v>
      </c>
      <c r="S53" s="44" t="e">
        <f t="shared" si="4"/>
        <v>#VALUE!</v>
      </c>
      <c r="T53" s="41" t="e">
        <f t="shared" si="12"/>
        <v>#VALUE!</v>
      </c>
      <c r="U53" s="41" t="e">
        <f t="shared" si="13"/>
        <v>#VALUE!</v>
      </c>
      <c r="V53" s="41" t="e">
        <f t="shared" si="14"/>
        <v>#VALUE!</v>
      </c>
      <c r="AC53" s="47"/>
    </row>
    <row r="54" spans="2:29" x14ac:dyDescent="0.25">
      <c r="B54" s="41" t="b">
        <f t="shared" si="15"/>
        <v>0</v>
      </c>
      <c r="C54" s="41" t="e">
        <f t="shared" si="16"/>
        <v>#VALUE!</v>
      </c>
      <c r="E54" s="45">
        <v>51</v>
      </c>
      <c r="G54" s="138"/>
      <c r="H54" s="135">
        <v>1</v>
      </c>
      <c r="I54" s="46" t="e">
        <f t="shared" si="5"/>
        <v>#VALUE!</v>
      </c>
      <c r="J54" s="41" t="e">
        <f t="shared" si="6"/>
        <v>#VALUE!</v>
      </c>
      <c r="K54" s="41" t="e">
        <f t="shared" si="17"/>
        <v>#VALUE!</v>
      </c>
      <c r="L54" s="41" t="e">
        <f t="shared" si="17"/>
        <v>#VALUE!</v>
      </c>
      <c r="M54" s="41" t="e">
        <f t="shared" si="8"/>
        <v>#VALUE!</v>
      </c>
      <c r="N54" s="41" t="e">
        <f t="shared" si="9"/>
        <v>#VALUE!</v>
      </c>
      <c r="O54" s="41">
        <f t="shared" si="10"/>
        <v>0</v>
      </c>
      <c r="Q54" s="44" t="e">
        <f t="shared" si="3"/>
        <v>#VALUE!</v>
      </c>
      <c r="R54" s="44" t="e">
        <f t="shared" si="11"/>
        <v>#VALUE!</v>
      </c>
      <c r="S54" s="44" t="e">
        <f t="shared" si="4"/>
        <v>#VALUE!</v>
      </c>
      <c r="T54" s="41" t="e">
        <f t="shared" si="12"/>
        <v>#VALUE!</v>
      </c>
      <c r="U54" s="41" t="e">
        <f t="shared" si="13"/>
        <v>#VALUE!</v>
      </c>
      <c r="V54" s="41" t="e">
        <f t="shared" si="14"/>
        <v>#VALUE!</v>
      </c>
      <c r="AC54" s="47"/>
    </row>
    <row r="55" spans="2:29" x14ac:dyDescent="0.25">
      <c r="B55" s="41" t="b">
        <f t="shared" si="15"/>
        <v>0</v>
      </c>
      <c r="C55" s="41" t="e">
        <f t="shared" si="16"/>
        <v>#VALUE!</v>
      </c>
      <c r="E55" s="45">
        <v>52</v>
      </c>
      <c r="G55" s="138"/>
      <c r="H55" s="135">
        <v>1</v>
      </c>
      <c r="I55" s="46" t="e">
        <f t="shared" si="5"/>
        <v>#VALUE!</v>
      </c>
      <c r="J55" s="41" t="e">
        <f t="shared" si="6"/>
        <v>#VALUE!</v>
      </c>
      <c r="K55" s="41" t="e">
        <f t="shared" si="17"/>
        <v>#VALUE!</v>
      </c>
      <c r="L55" s="41" t="e">
        <f t="shared" si="17"/>
        <v>#VALUE!</v>
      </c>
      <c r="M55" s="41" t="e">
        <f t="shared" si="8"/>
        <v>#VALUE!</v>
      </c>
      <c r="N55" s="41" t="e">
        <f t="shared" si="9"/>
        <v>#VALUE!</v>
      </c>
      <c r="O55" s="41">
        <f t="shared" si="10"/>
        <v>0</v>
      </c>
      <c r="Q55" s="44" t="e">
        <f t="shared" si="3"/>
        <v>#VALUE!</v>
      </c>
      <c r="R55" s="44" t="e">
        <f t="shared" si="11"/>
        <v>#VALUE!</v>
      </c>
      <c r="S55" s="44" t="e">
        <f t="shared" si="4"/>
        <v>#VALUE!</v>
      </c>
      <c r="T55" s="41" t="e">
        <f t="shared" si="12"/>
        <v>#VALUE!</v>
      </c>
      <c r="U55" s="41" t="e">
        <f t="shared" si="13"/>
        <v>#VALUE!</v>
      </c>
      <c r="V55" s="41" t="e">
        <f t="shared" si="14"/>
        <v>#VALUE!</v>
      </c>
      <c r="AC55" s="47"/>
    </row>
    <row r="56" spans="2:29" x14ac:dyDescent="0.25">
      <c r="B56" s="41" t="b">
        <f t="shared" si="15"/>
        <v>0</v>
      </c>
      <c r="C56" s="41" t="e">
        <f t="shared" si="16"/>
        <v>#VALUE!</v>
      </c>
      <c r="E56" s="45">
        <v>53</v>
      </c>
      <c r="G56" s="138"/>
      <c r="H56" s="135">
        <v>1</v>
      </c>
      <c r="I56" s="46" t="e">
        <f t="shared" si="5"/>
        <v>#VALUE!</v>
      </c>
      <c r="J56" s="41" t="e">
        <f t="shared" si="6"/>
        <v>#VALUE!</v>
      </c>
      <c r="K56" s="41" t="e">
        <f t="shared" si="17"/>
        <v>#VALUE!</v>
      </c>
      <c r="L56" s="41" t="e">
        <f t="shared" si="17"/>
        <v>#VALUE!</v>
      </c>
      <c r="M56" s="41" t="e">
        <f t="shared" si="8"/>
        <v>#VALUE!</v>
      </c>
      <c r="N56" s="41" t="e">
        <f t="shared" si="9"/>
        <v>#VALUE!</v>
      </c>
      <c r="O56" s="41">
        <f t="shared" si="10"/>
        <v>0</v>
      </c>
      <c r="Q56" s="44" t="e">
        <f t="shared" si="3"/>
        <v>#VALUE!</v>
      </c>
      <c r="R56" s="44" t="e">
        <f t="shared" si="11"/>
        <v>#VALUE!</v>
      </c>
      <c r="S56" s="44" t="e">
        <f t="shared" si="4"/>
        <v>#VALUE!</v>
      </c>
      <c r="T56" s="41" t="e">
        <f t="shared" si="12"/>
        <v>#VALUE!</v>
      </c>
      <c r="U56" s="41" t="e">
        <f t="shared" si="13"/>
        <v>#VALUE!</v>
      </c>
      <c r="V56" s="41" t="e">
        <f t="shared" si="14"/>
        <v>#VALUE!</v>
      </c>
      <c r="AC56" s="47"/>
    </row>
    <row r="57" spans="2:29" x14ac:dyDescent="0.25">
      <c r="B57" s="41" t="b">
        <f t="shared" si="15"/>
        <v>0</v>
      </c>
      <c r="C57" s="41" t="e">
        <f t="shared" si="16"/>
        <v>#VALUE!</v>
      </c>
      <c r="E57" s="45">
        <v>54</v>
      </c>
      <c r="G57" s="138"/>
      <c r="H57" s="135">
        <v>1</v>
      </c>
      <c r="I57" s="46" t="e">
        <f t="shared" si="5"/>
        <v>#VALUE!</v>
      </c>
      <c r="J57" s="41" t="e">
        <f t="shared" si="6"/>
        <v>#VALUE!</v>
      </c>
      <c r="K57" s="41" t="e">
        <f t="shared" si="17"/>
        <v>#VALUE!</v>
      </c>
      <c r="L57" s="41" t="e">
        <f t="shared" si="17"/>
        <v>#VALUE!</v>
      </c>
      <c r="M57" s="41" t="e">
        <f t="shared" si="8"/>
        <v>#VALUE!</v>
      </c>
      <c r="N57" s="41" t="e">
        <f t="shared" si="9"/>
        <v>#VALUE!</v>
      </c>
      <c r="O57" s="41">
        <f t="shared" si="10"/>
        <v>0</v>
      </c>
      <c r="Q57" s="44" t="e">
        <f t="shared" si="3"/>
        <v>#VALUE!</v>
      </c>
      <c r="R57" s="44" t="e">
        <f t="shared" si="11"/>
        <v>#VALUE!</v>
      </c>
      <c r="S57" s="44" t="e">
        <f t="shared" si="4"/>
        <v>#VALUE!</v>
      </c>
      <c r="T57" s="41" t="e">
        <f t="shared" si="12"/>
        <v>#VALUE!</v>
      </c>
      <c r="U57" s="41" t="e">
        <f t="shared" si="13"/>
        <v>#VALUE!</v>
      </c>
      <c r="V57" s="41" t="e">
        <f t="shared" si="14"/>
        <v>#VALUE!</v>
      </c>
      <c r="AC57" s="47"/>
    </row>
    <row r="58" spans="2:29" x14ac:dyDescent="0.25">
      <c r="B58" s="41" t="b">
        <f t="shared" si="15"/>
        <v>0</v>
      </c>
      <c r="C58" s="41" t="e">
        <f t="shared" si="16"/>
        <v>#VALUE!</v>
      </c>
      <c r="E58" s="45">
        <v>55</v>
      </c>
      <c r="G58" s="138"/>
      <c r="H58" s="135">
        <v>1</v>
      </c>
      <c r="I58" s="46" t="e">
        <f t="shared" si="5"/>
        <v>#VALUE!</v>
      </c>
      <c r="J58" s="41" t="e">
        <f t="shared" si="6"/>
        <v>#VALUE!</v>
      </c>
      <c r="K58" s="41" t="e">
        <f t="shared" si="17"/>
        <v>#VALUE!</v>
      </c>
      <c r="L58" s="41" t="e">
        <f t="shared" si="17"/>
        <v>#VALUE!</v>
      </c>
      <c r="M58" s="41" t="e">
        <f t="shared" si="8"/>
        <v>#VALUE!</v>
      </c>
      <c r="N58" s="41" t="e">
        <f t="shared" si="9"/>
        <v>#VALUE!</v>
      </c>
      <c r="O58" s="41">
        <f t="shared" si="10"/>
        <v>0</v>
      </c>
      <c r="Q58" s="44" t="e">
        <f t="shared" si="3"/>
        <v>#VALUE!</v>
      </c>
      <c r="R58" s="44" t="e">
        <f t="shared" si="11"/>
        <v>#VALUE!</v>
      </c>
      <c r="S58" s="44" t="e">
        <f t="shared" si="4"/>
        <v>#VALUE!</v>
      </c>
      <c r="T58" s="41" t="e">
        <f t="shared" si="12"/>
        <v>#VALUE!</v>
      </c>
      <c r="U58" s="41" t="e">
        <f t="shared" si="13"/>
        <v>#VALUE!</v>
      </c>
      <c r="V58" s="41" t="e">
        <f t="shared" si="14"/>
        <v>#VALUE!</v>
      </c>
      <c r="AC58" s="47"/>
    </row>
    <row r="59" spans="2:29" x14ac:dyDescent="0.25">
      <c r="B59" s="41" t="b">
        <f t="shared" si="15"/>
        <v>0</v>
      </c>
      <c r="C59" s="41" t="e">
        <f t="shared" si="16"/>
        <v>#VALUE!</v>
      </c>
      <c r="E59" s="45">
        <v>56</v>
      </c>
      <c r="G59" s="138"/>
      <c r="H59" s="135">
        <v>1</v>
      </c>
      <c r="I59" s="46" t="e">
        <f t="shared" si="5"/>
        <v>#VALUE!</v>
      </c>
      <c r="J59" s="41" t="e">
        <f t="shared" si="6"/>
        <v>#VALUE!</v>
      </c>
      <c r="K59" s="41" t="e">
        <f t="shared" si="17"/>
        <v>#VALUE!</v>
      </c>
      <c r="L59" s="41" t="e">
        <f t="shared" si="17"/>
        <v>#VALUE!</v>
      </c>
      <c r="M59" s="41" t="e">
        <f t="shared" si="8"/>
        <v>#VALUE!</v>
      </c>
      <c r="N59" s="41" t="e">
        <f t="shared" si="9"/>
        <v>#VALUE!</v>
      </c>
      <c r="O59" s="41">
        <f t="shared" si="10"/>
        <v>0</v>
      </c>
      <c r="Q59" s="44" t="e">
        <f t="shared" si="3"/>
        <v>#VALUE!</v>
      </c>
      <c r="R59" s="44" t="e">
        <f t="shared" si="11"/>
        <v>#VALUE!</v>
      </c>
      <c r="S59" s="44" t="e">
        <f t="shared" si="4"/>
        <v>#VALUE!</v>
      </c>
      <c r="T59" s="41" t="e">
        <f t="shared" si="12"/>
        <v>#VALUE!</v>
      </c>
      <c r="U59" s="41" t="e">
        <f t="shared" si="13"/>
        <v>#VALUE!</v>
      </c>
      <c r="V59" s="41" t="e">
        <f t="shared" si="14"/>
        <v>#VALUE!</v>
      </c>
      <c r="AC59" s="47"/>
    </row>
    <row r="60" spans="2:29" x14ac:dyDescent="0.25">
      <c r="B60" s="41" t="b">
        <f t="shared" si="15"/>
        <v>0</v>
      </c>
      <c r="C60" s="41" t="e">
        <f t="shared" si="16"/>
        <v>#VALUE!</v>
      </c>
      <c r="E60" s="45">
        <v>57</v>
      </c>
      <c r="G60" s="138"/>
      <c r="H60" s="135">
        <v>1</v>
      </c>
      <c r="I60" s="46" t="e">
        <f t="shared" si="5"/>
        <v>#VALUE!</v>
      </c>
      <c r="J60" s="41" t="e">
        <f t="shared" si="6"/>
        <v>#VALUE!</v>
      </c>
      <c r="K60" s="41" t="e">
        <f t="shared" si="17"/>
        <v>#VALUE!</v>
      </c>
      <c r="L60" s="41" t="e">
        <f t="shared" si="17"/>
        <v>#VALUE!</v>
      </c>
      <c r="M60" s="41" t="e">
        <f t="shared" si="8"/>
        <v>#VALUE!</v>
      </c>
      <c r="N60" s="41" t="e">
        <f t="shared" si="9"/>
        <v>#VALUE!</v>
      </c>
      <c r="O60" s="41">
        <f t="shared" si="10"/>
        <v>0</v>
      </c>
      <c r="Q60" s="44" t="e">
        <f t="shared" si="3"/>
        <v>#VALUE!</v>
      </c>
      <c r="R60" s="44" t="e">
        <f t="shared" si="11"/>
        <v>#VALUE!</v>
      </c>
      <c r="S60" s="44" t="e">
        <f t="shared" si="4"/>
        <v>#VALUE!</v>
      </c>
      <c r="T60" s="41" t="e">
        <f t="shared" si="12"/>
        <v>#VALUE!</v>
      </c>
      <c r="U60" s="41" t="e">
        <f t="shared" si="13"/>
        <v>#VALUE!</v>
      </c>
      <c r="V60" s="41" t="e">
        <f t="shared" si="14"/>
        <v>#VALUE!</v>
      </c>
      <c r="AC60" s="47"/>
    </row>
    <row r="61" spans="2:29" x14ac:dyDescent="0.25">
      <c r="B61" s="41" t="b">
        <f t="shared" si="15"/>
        <v>0</v>
      </c>
      <c r="C61" s="41" t="e">
        <f t="shared" si="16"/>
        <v>#VALUE!</v>
      </c>
      <c r="E61" s="45">
        <v>58</v>
      </c>
      <c r="G61" s="138"/>
      <c r="H61" s="135">
        <v>1</v>
      </c>
      <c r="I61" s="46" t="e">
        <f t="shared" si="5"/>
        <v>#VALUE!</v>
      </c>
      <c r="J61" s="41" t="e">
        <f t="shared" si="6"/>
        <v>#VALUE!</v>
      </c>
      <c r="K61" s="41" t="e">
        <f t="shared" si="17"/>
        <v>#VALUE!</v>
      </c>
      <c r="L61" s="41" t="e">
        <f t="shared" si="17"/>
        <v>#VALUE!</v>
      </c>
      <c r="M61" s="41" t="e">
        <f t="shared" si="8"/>
        <v>#VALUE!</v>
      </c>
      <c r="N61" s="41" t="e">
        <f t="shared" si="9"/>
        <v>#VALUE!</v>
      </c>
      <c r="O61" s="41">
        <f t="shared" si="10"/>
        <v>0</v>
      </c>
      <c r="Q61" s="44" t="e">
        <f t="shared" si="3"/>
        <v>#VALUE!</v>
      </c>
      <c r="R61" s="44" t="e">
        <f t="shared" si="11"/>
        <v>#VALUE!</v>
      </c>
      <c r="S61" s="44" t="e">
        <f t="shared" si="4"/>
        <v>#VALUE!</v>
      </c>
      <c r="T61" s="41" t="e">
        <f t="shared" si="12"/>
        <v>#VALUE!</v>
      </c>
      <c r="U61" s="41" t="e">
        <f t="shared" si="13"/>
        <v>#VALUE!</v>
      </c>
      <c r="V61" s="41" t="e">
        <f t="shared" si="14"/>
        <v>#VALUE!</v>
      </c>
      <c r="AC61" s="47"/>
    </row>
    <row r="62" spans="2:29" x14ac:dyDescent="0.25">
      <c r="B62" s="41" t="b">
        <f t="shared" si="15"/>
        <v>0</v>
      </c>
      <c r="C62" s="41" t="e">
        <f t="shared" si="16"/>
        <v>#VALUE!</v>
      </c>
      <c r="E62" s="45">
        <v>59</v>
      </c>
      <c r="G62" s="138"/>
      <c r="H62" s="135">
        <v>1</v>
      </c>
      <c r="I62" s="46" t="e">
        <f t="shared" si="5"/>
        <v>#VALUE!</v>
      </c>
      <c r="J62" s="41" t="e">
        <f t="shared" si="6"/>
        <v>#VALUE!</v>
      </c>
      <c r="K62" s="41" t="e">
        <f t="shared" si="17"/>
        <v>#VALUE!</v>
      </c>
      <c r="L62" s="41" t="e">
        <f t="shared" si="17"/>
        <v>#VALUE!</v>
      </c>
      <c r="M62" s="41" t="e">
        <f t="shared" si="8"/>
        <v>#VALUE!</v>
      </c>
      <c r="N62" s="41" t="e">
        <f t="shared" si="9"/>
        <v>#VALUE!</v>
      </c>
      <c r="O62" s="41">
        <f t="shared" si="10"/>
        <v>0</v>
      </c>
      <c r="Q62" s="44" t="e">
        <f t="shared" si="3"/>
        <v>#VALUE!</v>
      </c>
      <c r="R62" s="44" t="e">
        <f t="shared" si="11"/>
        <v>#VALUE!</v>
      </c>
      <c r="S62" s="44" t="e">
        <f t="shared" si="4"/>
        <v>#VALUE!</v>
      </c>
      <c r="T62" s="41" t="e">
        <f t="shared" si="12"/>
        <v>#VALUE!</v>
      </c>
      <c r="U62" s="41" t="e">
        <f t="shared" si="13"/>
        <v>#VALUE!</v>
      </c>
      <c r="V62" s="41" t="e">
        <f t="shared" si="14"/>
        <v>#VALUE!</v>
      </c>
      <c r="AC62" s="47"/>
    </row>
    <row r="63" spans="2:29" x14ac:dyDescent="0.25">
      <c r="B63" s="41" t="b">
        <f t="shared" si="15"/>
        <v>0</v>
      </c>
      <c r="C63" s="41" t="e">
        <f t="shared" si="16"/>
        <v>#VALUE!</v>
      </c>
      <c r="E63" s="45">
        <v>60</v>
      </c>
      <c r="G63" s="138"/>
      <c r="H63" s="135">
        <v>1</v>
      </c>
      <c r="I63" s="46" t="e">
        <f t="shared" si="5"/>
        <v>#VALUE!</v>
      </c>
      <c r="J63" s="41" t="e">
        <f t="shared" si="6"/>
        <v>#VALUE!</v>
      </c>
      <c r="K63" s="41" t="e">
        <f t="shared" si="17"/>
        <v>#VALUE!</v>
      </c>
      <c r="L63" s="41" t="e">
        <f t="shared" si="17"/>
        <v>#VALUE!</v>
      </c>
      <c r="M63" s="41" t="e">
        <f t="shared" si="8"/>
        <v>#VALUE!</v>
      </c>
      <c r="N63" s="41" t="e">
        <f t="shared" si="9"/>
        <v>#VALUE!</v>
      </c>
      <c r="O63" s="41">
        <f t="shared" si="10"/>
        <v>0</v>
      </c>
      <c r="Q63" s="44" t="e">
        <f t="shared" si="3"/>
        <v>#VALUE!</v>
      </c>
      <c r="R63" s="44" t="e">
        <f t="shared" si="11"/>
        <v>#VALUE!</v>
      </c>
      <c r="S63" s="44" t="e">
        <f t="shared" si="4"/>
        <v>#VALUE!</v>
      </c>
      <c r="T63" s="41" t="e">
        <f t="shared" si="12"/>
        <v>#VALUE!</v>
      </c>
      <c r="U63" s="41" t="e">
        <f t="shared" si="13"/>
        <v>#VALUE!</v>
      </c>
      <c r="V63" s="41" t="e">
        <f t="shared" si="14"/>
        <v>#VALUE!</v>
      </c>
      <c r="AC63" s="47"/>
    </row>
    <row r="64" spans="2:29" x14ac:dyDescent="0.25">
      <c r="B64" s="41" t="b">
        <f t="shared" si="15"/>
        <v>0</v>
      </c>
      <c r="C64" s="41" t="e">
        <f t="shared" si="16"/>
        <v>#VALUE!</v>
      </c>
      <c r="E64" s="45">
        <v>61</v>
      </c>
      <c r="G64" s="138"/>
      <c r="H64" s="135">
        <v>1</v>
      </c>
      <c r="I64" s="46" t="e">
        <f t="shared" si="5"/>
        <v>#VALUE!</v>
      </c>
      <c r="J64" s="41" t="e">
        <f t="shared" si="6"/>
        <v>#VALUE!</v>
      </c>
      <c r="K64" s="41" t="e">
        <f t="shared" si="17"/>
        <v>#VALUE!</v>
      </c>
      <c r="L64" s="41" t="e">
        <f t="shared" si="17"/>
        <v>#VALUE!</v>
      </c>
      <c r="M64" s="41" t="e">
        <f t="shared" si="8"/>
        <v>#VALUE!</v>
      </c>
      <c r="N64" s="41" t="e">
        <f t="shared" si="9"/>
        <v>#VALUE!</v>
      </c>
      <c r="O64" s="41">
        <f t="shared" si="10"/>
        <v>0</v>
      </c>
      <c r="Q64" s="44" t="e">
        <f t="shared" si="3"/>
        <v>#VALUE!</v>
      </c>
      <c r="R64" s="44" t="e">
        <f t="shared" si="11"/>
        <v>#VALUE!</v>
      </c>
      <c r="S64" s="44" t="e">
        <f t="shared" si="4"/>
        <v>#VALUE!</v>
      </c>
      <c r="T64" s="41" t="e">
        <f t="shared" si="12"/>
        <v>#VALUE!</v>
      </c>
      <c r="U64" s="41" t="e">
        <f t="shared" si="13"/>
        <v>#VALUE!</v>
      </c>
      <c r="V64" s="41" t="e">
        <f t="shared" si="14"/>
        <v>#VALUE!</v>
      </c>
      <c r="AC64" s="47"/>
    </row>
    <row r="65" spans="2:29" x14ac:dyDescent="0.25">
      <c r="B65" s="41" t="b">
        <f t="shared" si="15"/>
        <v>0</v>
      </c>
      <c r="C65" s="41" t="e">
        <f t="shared" si="16"/>
        <v>#VALUE!</v>
      </c>
      <c r="E65" s="45">
        <v>62</v>
      </c>
      <c r="G65" s="138"/>
      <c r="H65" s="135">
        <v>1</v>
      </c>
      <c r="I65" s="46" t="e">
        <f t="shared" si="5"/>
        <v>#VALUE!</v>
      </c>
      <c r="J65" s="41" t="e">
        <f t="shared" si="6"/>
        <v>#VALUE!</v>
      </c>
      <c r="K65" s="41" t="e">
        <f t="shared" si="17"/>
        <v>#VALUE!</v>
      </c>
      <c r="L65" s="41" t="e">
        <f t="shared" si="17"/>
        <v>#VALUE!</v>
      </c>
      <c r="M65" s="41" t="e">
        <f t="shared" si="8"/>
        <v>#VALUE!</v>
      </c>
      <c r="N65" s="41" t="e">
        <f t="shared" si="9"/>
        <v>#VALUE!</v>
      </c>
      <c r="O65" s="41">
        <f t="shared" si="10"/>
        <v>0</v>
      </c>
      <c r="Q65" s="44" t="e">
        <f t="shared" si="3"/>
        <v>#VALUE!</v>
      </c>
      <c r="R65" s="44" t="e">
        <f t="shared" si="11"/>
        <v>#VALUE!</v>
      </c>
      <c r="S65" s="44" t="e">
        <f t="shared" si="4"/>
        <v>#VALUE!</v>
      </c>
      <c r="T65" s="41" t="e">
        <f t="shared" si="12"/>
        <v>#VALUE!</v>
      </c>
      <c r="U65" s="41" t="e">
        <f t="shared" si="13"/>
        <v>#VALUE!</v>
      </c>
      <c r="V65" s="41" t="e">
        <f t="shared" si="14"/>
        <v>#VALUE!</v>
      </c>
      <c r="AC65" s="47"/>
    </row>
    <row r="66" spans="2:29" x14ac:dyDescent="0.25">
      <c r="B66" s="41" t="b">
        <f t="shared" si="15"/>
        <v>0</v>
      </c>
      <c r="C66" s="41" t="e">
        <f t="shared" si="16"/>
        <v>#VALUE!</v>
      </c>
      <c r="E66" s="45">
        <v>63</v>
      </c>
      <c r="G66" s="138"/>
      <c r="H66" s="135">
        <v>1</v>
      </c>
      <c r="I66" s="46" t="e">
        <f t="shared" si="5"/>
        <v>#VALUE!</v>
      </c>
      <c r="J66" s="41" t="e">
        <f t="shared" si="6"/>
        <v>#VALUE!</v>
      </c>
      <c r="K66" s="41" t="e">
        <f t="shared" si="17"/>
        <v>#VALUE!</v>
      </c>
      <c r="L66" s="41" t="e">
        <f t="shared" si="17"/>
        <v>#VALUE!</v>
      </c>
      <c r="M66" s="41" t="e">
        <f t="shared" si="8"/>
        <v>#VALUE!</v>
      </c>
      <c r="N66" s="41" t="e">
        <f t="shared" si="9"/>
        <v>#VALUE!</v>
      </c>
      <c r="O66" s="41">
        <f t="shared" si="10"/>
        <v>0</v>
      </c>
      <c r="Q66" s="44" t="e">
        <f t="shared" si="3"/>
        <v>#VALUE!</v>
      </c>
      <c r="R66" s="44" t="e">
        <f t="shared" si="11"/>
        <v>#VALUE!</v>
      </c>
      <c r="S66" s="44" t="e">
        <f t="shared" si="4"/>
        <v>#VALUE!</v>
      </c>
      <c r="T66" s="41" t="e">
        <f t="shared" si="12"/>
        <v>#VALUE!</v>
      </c>
      <c r="U66" s="41" t="e">
        <f t="shared" si="13"/>
        <v>#VALUE!</v>
      </c>
      <c r="V66" s="41" t="e">
        <f t="shared" si="14"/>
        <v>#VALUE!</v>
      </c>
      <c r="AC66" s="47"/>
    </row>
    <row r="67" spans="2:29" x14ac:dyDescent="0.25">
      <c r="B67" s="41" t="b">
        <f t="shared" si="15"/>
        <v>0</v>
      </c>
      <c r="C67" s="41" t="e">
        <f t="shared" si="16"/>
        <v>#VALUE!</v>
      </c>
      <c r="E67" s="45">
        <v>64</v>
      </c>
      <c r="G67" s="138"/>
      <c r="H67" s="135">
        <v>1</v>
      </c>
      <c r="I67" s="46" t="e">
        <f t="shared" si="5"/>
        <v>#VALUE!</v>
      </c>
      <c r="J67" s="41" t="e">
        <f t="shared" si="6"/>
        <v>#VALUE!</v>
      </c>
      <c r="K67" s="41" t="e">
        <f t="shared" si="17"/>
        <v>#VALUE!</v>
      </c>
      <c r="L67" s="41" t="e">
        <f t="shared" si="17"/>
        <v>#VALUE!</v>
      </c>
      <c r="M67" s="41" t="e">
        <f t="shared" si="8"/>
        <v>#VALUE!</v>
      </c>
      <c r="N67" s="41" t="e">
        <f t="shared" si="9"/>
        <v>#VALUE!</v>
      </c>
      <c r="O67" s="41">
        <f t="shared" si="10"/>
        <v>0</v>
      </c>
      <c r="Q67" s="44" t="e">
        <f t="shared" si="3"/>
        <v>#VALUE!</v>
      </c>
      <c r="R67" s="44" t="e">
        <f t="shared" si="11"/>
        <v>#VALUE!</v>
      </c>
      <c r="S67" s="44" t="e">
        <f t="shared" si="4"/>
        <v>#VALUE!</v>
      </c>
      <c r="T67" s="41" t="e">
        <f t="shared" si="12"/>
        <v>#VALUE!</v>
      </c>
      <c r="U67" s="41" t="e">
        <f t="shared" si="13"/>
        <v>#VALUE!</v>
      </c>
      <c r="V67" s="41" t="e">
        <f t="shared" si="14"/>
        <v>#VALUE!</v>
      </c>
      <c r="AC67" s="47"/>
    </row>
    <row r="68" spans="2:29" x14ac:dyDescent="0.25">
      <c r="B68" s="41" t="b">
        <f t="shared" si="15"/>
        <v>0</v>
      </c>
      <c r="C68" s="41" t="e">
        <f t="shared" si="16"/>
        <v>#VALUE!</v>
      </c>
      <c r="E68" s="45">
        <v>65</v>
      </c>
      <c r="G68" s="138"/>
      <c r="H68" s="135">
        <v>1</v>
      </c>
      <c r="I68" s="46" t="e">
        <f t="shared" ref="I68:I131" si="18">RIGHT(G68,J68)</f>
        <v>#VALUE!</v>
      </c>
      <c r="J68" s="41" t="e">
        <f t="shared" si="6"/>
        <v>#VALUE!</v>
      </c>
      <c r="K68" s="41" t="e">
        <f t="shared" si="17"/>
        <v>#VALUE!</v>
      </c>
      <c r="L68" s="41" t="e">
        <f t="shared" si="17"/>
        <v>#VALUE!</v>
      </c>
      <c r="M68" s="41" t="e">
        <f t="shared" ref="M68:M131" si="19">SEARCH("-",G68,2)</f>
        <v>#VALUE!</v>
      </c>
      <c r="N68" s="41" t="e">
        <f t="shared" ref="N68:N131" si="20">SEARCH("-",G68,M68+1)</f>
        <v>#VALUE!</v>
      </c>
      <c r="O68" s="41">
        <f t="shared" ref="O68:O131" si="21">LEN(G68)</f>
        <v>0</v>
      </c>
      <c r="Q68" s="44" t="e">
        <f t="shared" ref="Q68:Q131" si="22">LEFT(G68,M68-1)</f>
        <v>#VALUE!</v>
      </c>
      <c r="R68" s="44" t="e">
        <f t="shared" si="11"/>
        <v>#VALUE!</v>
      </c>
      <c r="S68" s="44" t="e">
        <f t="shared" ref="S68:S131" si="23">RIGHT(G68,L68)</f>
        <v>#VALUE!</v>
      </c>
      <c r="T68" s="41" t="e">
        <f t="shared" si="12"/>
        <v>#VALUE!</v>
      </c>
      <c r="U68" s="41" t="e">
        <f t="shared" si="13"/>
        <v>#VALUE!</v>
      </c>
      <c r="V68" s="41" t="e">
        <f t="shared" si="14"/>
        <v>#VALUE!</v>
      </c>
      <c r="AC68" s="47"/>
    </row>
    <row r="69" spans="2:29" x14ac:dyDescent="0.25">
      <c r="B69" s="41" t="b">
        <f t="shared" si="15"/>
        <v>0</v>
      </c>
      <c r="C69" s="41" t="e">
        <f t="shared" si="16"/>
        <v>#VALUE!</v>
      </c>
      <c r="E69" s="45">
        <v>66</v>
      </c>
      <c r="G69" s="138"/>
      <c r="H69" s="135">
        <v>1</v>
      </c>
      <c r="I69" s="46" t="e">
        <f t="shared" si="18"/>
        <v>#VALUE!</v>
      </c>
      <c r="J69" s="41" t="e">
        <f t="shared" ref="J69:J132" si="24">O69-M69</f>
        <v>#VALUE!</v>
      </c>
      <c r="K69" s="41" t="e">
        <f t="shared" si="17"/>
        <v>#VALUE!</v>
      </c>
      <c r="L69" s="41" t="e">
        <f t="shared" si="17"/>
        <v>#VALUE!</v>
      </c>
      <c r="M69" s="41" t="e">
        <f t="shared" si="19"/>
        <v>#VALUE!</v>
      </c>
      <c r="N69" s="41" t="e">
        <f t="shared" si="20"/>
        <v>#VALUE!</v>
      </c>
      <c r="O69" s="41">
        <f t="shared" si="21"/>
        <v>0</v>
      </c>
      <c r="Q69" s="44" t="e">
        <f t="shared" si="22"/>
        <v>#VALUE!</v>
      </c>
      <c r="R69" s="44" t="e">
        <f t="shared" ref="R69:R132" si="25">LEFT(I69,K69-1)</f>
        <v>#VALUE!</v>
      </c>
      <c r="S69" s="44" t="e">
        <f t="shared" si="23"/>
        <v>#VALUE!</v>
      </c>
      <c r="T69" s="41" t="e">
        <f t="shared" ref="T69:T132" si="26">Q69*1*H69</f>
        <v>#VALUE!</v>
      </c>
      <c r="U69" s="41" t="e">
        <f t="shared" ref="U69:U132" si="27">R69*1*H69</f>
        <v>#VALUE!</v>
      </c>
      <c r="V69" s="41" t="e">
        <f t="shared" ref="V69:V132" si="28">S69*1*H69</f>
        <v>#VALUE!</v>
      </c>
      <c r="AC69" s="47"/>
    </row>
    <row r="70" spans="2:29" x14ac:dyDescent="0.25">
      <c r="B70" s="41" t="b">
        <f t="shared" si="15"/>
        <v>0</v>
      </c>
      <c r="C70" s="41" t="e">
        <f t="shared" si="16"/>
        <v>#VALUE!</v>
      </c>
      <c r="E70" s="45">
        <v>67</v>
      </c>
      <c r="G70" s="138"/>
      <c r="H70" s="135">
        <v>1</v>
      </c>
      <c r="I70" s="46" t="e">
        <f t="shared" si="18"/>
        <v>#VALUE!</v>
      </c>
      <c r="J70" s="41" t="e">
        <f t="shared" si="24"/>
        <v>#VALUE!</v>
      </c>
      <c r="K70" s="41" t="e">
        <f t="shared" si="17"/>
        <v>#VALUE!</v>
      </c>
      <c r="L70" s="41" t="e">
        <f t="shared" si="17"/>
        <v>#VALUE!</v>
      </c>
      <c r="M70" s="41" t="e">
        <f t="shared" si="19"/>
        <v>#VALUE!</v>
      </c>
      <c r="N70" s="41" t="e">
        <f t="shared" si="20"/>
        <v>#VALUE!</v>
      </c>
      <c r="O70" s="41">
        <f t="shared" si="21"/>
        <v>0</v>
      </c>
      <c r="Q70" s="44" t="e">
        <f t="shared" si="22"/>
        <v>#VALUE!</v>
      </c>
      <c r="R70" s="44" t="e">
        <f t="shared" si="25"/>
        <v>#VALUE!</v>
      </c>
      <c r="S70" s="44" t="e">
        <f t="shared" si="23"/>
        <v>#VALUE!</v>
      </c>
      <c r="T70" s="41" t="e">
        <f t="shared" si="26"/>
        <v>#VALUE!</v>
      </c>
      <c r="U70" s="41" t="e">
        <f t="shared" si="27"/>
        <v>#VALUE!</v>
      </c>
      <c r="V70" s="41" t="e">
        <f t="shared" si="28"/>
        <v>#VALUE!</v>
      </c>
      <c r="AC70" s="47"/>
    </row>
    <row r="71" spans="2:29" x14ac:dyDescent="0.25">
      <c r="B71" s="41" t="b">
        <f t="shared" si="15"/>
        <v>0</v>
      </c>
      <c r="C71" s="41" t="e">
        <f t="shared" si="16"/>
        <v>#VALUE!</v>
      </c>
      <c r="E71" s="45">
        <v>68</v>
      </c>
      <c r="G71" s="138"/>
      <c r="H71" s="135">
        <v>1</v>
      </c>
      <c r="I71" s="46" t="e">
        <f t="shared" si="18"/>
        <v>#VALUE!</v>
      </c>
      <c r="J71" s="41" t="e">
        <f t="shared" si="24"/>
        <v>#VALUE!</v>
      </c>
      <c r="K71" s="41" t="e">
        <f t="shared" si="17"/>
        <v>#VALUE!</v>
      </c>
      <c r="L71" s="41" t="e">
        <f t="shared" si="17"/>
        <v>#VALUE!</v>
      </c>
      <c r="M71" s="41" t="e">
        <f t="shared" si="19"/>
        <v>#VALUE!</v>
      </c>
      <c r="N71" s="41" t="e">
        <f t="shared" si="20"/>
        <v>#VALUE!</v>
      </c>
      <c r="O71" s="41">
        <f t="shared" si="21"/>
        <v>0</v>
      </c>
      <c r="Q71" s="44" t="e">
        <f t="shared" si="22"/>
        <v>#VALUE!</v>
      </c>
      <c r="R71" s="44" t="e">
        <f t="shared" si="25"/>
        <v>#VALUE!</v>
      </c>
      <c r="S71" s="44" t="e">
        <f t="shared" si="23"/>
        <v>#VALUE!</v>
      </c>
      <c r="T71" s="41" t="e">
        <f t="shared" si="26"/>
        <v>#VALUE!</v>
      </c>
      <c r="U71" s="41" t="e">
        <f t="shared" si="27"/>
        <v>#VALUE!</v>
      </c>
      <c r="V71" s="41" t="e">
        <f t="shared" si="28"/>
        <v>#VALUE!</v>
      </c>
      <c r="AC71" s="47"/>
    </row>
    <row r="72" spans="2:29" x14ac:dyDescent="0.25">
      <c r="B72" s="41" t="b">
        <f t="shared" si="15"/>
        <v>0</v>
      </c>
      <c r="C72" s="41" t="e">
        <f t="shared" si="16"/>
        <v>#VALUE!</v>
      </c>
      <c r="E72" s="45">
        <v>69</v>
      </c>
      <c r="G72" s="138"/>
      <c r="H72" s="135">
        <v>1</v>
      </c>
      <c r="I72" s="46" t="e">
        <f t="shared" si="18"/>
        <v>#VALUE!</v>
      </c>
      <c r="J72" s="41" t="e">
        <f t="shared" si="24"/>
        <v>#VALUE!</v>
      </c>
      <c r="K72" s="41" t="e">
        <f t="shared" si="17"/>
        <v>#VALUE!</v>
      </c>
      <c r="L72" s="41" t="e">
        <f t="shared" si="17"/>
        <v>#VALUE!</v>
      </c>
      <c r="M72" s="41" t="e">
        <f t="shared" si="19"/>
        <v>#VALUE!</v>
      </c>
      <c r="N72" s="41" t="e">
        <f t="shared" si="20"/>
        <v>#VALUE!</v>
      </c>
      <c r="O72" s="41">
        <f t="shared" si="21"/>
        <v>0</v>
      </c>
      <c r="Q72" s="44" t="e">
        <f t="shared" si="22"/>
        <v>#VALUE!</v>
      </c>
      <c r="R72" s="44" t="e">
        <f t="shared" si="25"/>
        <v>#VALUE!</v>
      </c>
      <c r="S72" s="44" t="e">
        <f t="shared" si="23"/>
        <v>#VALUE!</v>
      </c>
      <c r="T72" s="41" t="e">
        <f t="shared" si="26"/>
        <v>#VALUE!</v>
      </c>
      <c r="U72" s="41" t="e">
        <f t="shared" si="27"/>
        <v>#VALUE!</v>
      </c>
      <c r="V72" s="41" t="e">
        <f t="shared" si="28"/>
        <v>#VALUE!</v>
      </c>
      <c r="AC72" s="47"/>
    </row>
    <row r="73" spans="2:29" x14ac:dyDescent="0.25">
      <c r="B73" s="41" t="b">
        <f t="shared" si="15"/>
        <v>0</v>
      </c>
      <c r="C73" s="41" t="e">
        <f t="shared" si="16"/>
        <v>#VALUE!</v>
      </c>
      <c r="E73" s="45">
        <v>70</v>
      </c>
      <c r="G73" s="138"/>
      <c r="H73" s="135">
        <v>1</v>
      </c>
      <c r="I73" s="46" t="e">
        <f t="shared" si="18"/>
        <v>#VALUE!</v>
      </c>
      <c r="J73" s="41" t="e">
        <f t="shared" si="24"/>
        <v>#VALUE!</v>
      </c>
      <c r="K73" s="41" t="e">
        <f t="shared" si="17"/>
        <v>#VALUE!</v>
      </c>
      <c r="L73" s="41" t="e">
        <f t="shared" si="17"/>
        <v>#VALUE!</v>
      </c>
      <c r="M73" s="41" t="e">
        <f t="shared" si="19"/>
        <v>#VALUE!</v>
      </c>
      <c r="N73" s="41" t="e">
        <f t="shared" si="20"/>
        <v>#VALUE!</v>
      </c>
      <c r="O73" s="41">
        <f t="shared" si="21"/>
        <v>0</v>
      </c>
      <c r="Q73" s="44" t="e">
        <f t="shared" si="22"/>
        <v>#VALUE!</v>
      </c>
      <c r="R73" s="44" t="e">
        <f t="shared" si="25"/>
        <v>#VALUE!</v>
      </c>
      <c r="S73" s="44" t="e">
        <f t="shared" si="23"/>
        <v>#VALUE!</v>
      </c>
      <c r="T73" s="41" t="e">
        <f t="shared" si="26"/>
        <v>#VALUE!</v>
      </c>
      <c r="U73" s="41" t="e">
        <f t="shared" si="27"/>
        <v>#VALUE!</v>
      </c>
      <c r="V73" s="41" t="e">
        <f t="shared" si="28"/>
        <v>#VALUE!</v>
      </c>
      <c r="AC73" s="47"/>
    </row>
    <row r="74" spans="2:29" x14ac:dyDescent="0.25">
      <c r="B74" s="41" t="b">
        <f t="shared" si="15"/>
        <v>0</v>
      </c>
      <c r="C74" s="41" t="e">
        <f t="shared" si="16"/>
        <v>#VALUE!</v>
      </c>
      <c r="E74" s="45">
        <v>71</v>
      </c>
      <c r="G74" s="138"/>
      <c r="H74" s="135">
        <v>1</v>
      </c>
      <c r="I74" s="46" t="e">
        <f t="shared" si="18"/>
        <v>#VALUE!</v>
      </c>
      <c r="J74" s="41" t="e">
        <f t="shared" si="24"/>
        <v>#VALUE!</v>
      </c>
      <c r="K74" s="41" t="e">
        <f t="shared" si="17"/>
        <v>#VALUE!</v>
      </c>
      <c r="L74" s="41" t="e">
        <f t="shared" si="17"/>
        <v>#VALUE!</v>
      </c>
      <c r="M74" s="41" t="e">
        <f t="shared" si="19"/>
        <v>#VALUE!</v>
      </c>
      <c r="N74" s="41" t="e">
        <f t="shared" si="20"/>
        <v>#VALUE!</v>
      </c>
      <c r="O74" s="41">
        <f t="shared" si="21"/>
        <v>0</v>
      </c>
      <c r="Q74" s="44" t="e">
        <f t="shared" si="22"/>
        <v>#VALUE!</v>
      </c>
      <c r="R74" s="44" t="e">
        <f t="shared" si="25"/>
        <v>#VALUE!</v>
      </c>
      <c r="S74" s="44" t="e">
        <f t="shared" si="23"/>
        <v>#VALUE!</v>
      </c>
      <c r="T74" s="41" t="e">
        <f t="shared" si="26"/>
        <v>#VALUE!</v>
      </c>
      <c r="U74" s="41" t="e">
        <f t="shared" si="27"/>
        <v>#VALUE!</v>
      </c>
      <c r="V74" s="41" t="e">
        <f t="shared" si="28"/>
        <v>#VALUE!</v>
      </c>
      <c r="AC74" s="47"/>
    </row>
    <row r="75" spans="2:29" x14ac:dyDescent="0.25">
      <c r="B75" s="41" t="b">
        <f t="shared" si="15"/>
        <v>0</v>
      </c>
      <c r="C75" s="41" t="e">
        <f t="shared" si="16"/>
        <v>#VALUE!</v>
      </c>
      <c r="E75" s="45">
        <v>72</v>
      </c>
      <c r="G75" s="138"/>
      <c r="H75" s="135">
        <v>1</v>
      </c>
      <c r="I75" s="46" t="e">
        <f t="shared" si="18"/>
        <v>#VALUE!</v>
      </c>
      <c r="J75" s="41" t="e">
        <f t="shared" si="24"/>
        <v>#VALUE!</v>
      </c>
      <c r="K75" s="41" t="e">
        <f t="shared" si="17"/>
        <v>#VALUE!</v>
      </c>
      <c r="L75" s="41" t="e">
        <f t="shared" si="17"/>
        <v>#VALUE!</v>
      </c>
      <c r="M75" s="41" t="e">
        <f t="shared" si="19"/>
        <v>#VALUE!</v>
      </c>
      <c r="N75" s="41" t="e">
        <f t="shared" si="20"/>
        <v>#VALUE!</v>
      </c>
      <c r="O75" s="41">
        <f t="shared" si="21"/>
        <v>0</v>
      </c>
      <c r="Q75" s="44" t="e">
        <f t="shared" si="22"/>
        <v>#VALUE!</v>
      </c>
      <c r="R75" s="44" t="e">
        <f t="shared" si="25"/>
        <v>#VALUE!</v>
      </c>
      <c r="S75" s="44" t="e">
        <f t="shared" si="23"/>
        <v>#VALUE!</v>
      </c>
      <c r="T75" s="41" t="e">
        <f t="shared" si="26"/>
        <v>#VALUE!</v>
      </c>
      <c r="U75" s="41" t="e">
        <f t="shared" si="27"/>
        <v>#VALUE!</v>
      </c>
      <c r="V75" s="41" t="e">
        <f t="shared" si="28"/>
        <v>#VALUE!</v>
      </c>
      <c r="AC75" s="47"/>
    </row>
    <row r="76" spans="2:29" x14ac:dyDescent="0.25">
      <c r="B76" s="41" t="b">
        <f t="shared" si="15"/>
        <v>0</v>
      </c>
      <c r="C76" s="41" t="e">
        <f t="shared" si="16"/>
        <v>#VALUE!</v>
      </c>
      <c r="E76" s="45">
        <v>73</v>
      </c>
      <c r="G76" s="138"/>
      <c r="H76" s="135">
        <v>1</v>
      </c>
      <c r="I76" s="46" t="e">
        <f t="shared" si="18"/>
        <v>#VALUE!</v>
      </c>
      <c r="J76" s="41" t="e">
        <f t="shared" si="24"/>
        <v>#VALUE!</v>
      </c>
      <c r="K76" s="41" t="e">
        <f t="shared" si="17"/>
        <v>#VALUE!</v>
      </c>
      <c r="L76" s="41" t="e">
        <f t="shared" si="17"/>
        <v>#VALUE!</v>
      </c>
      <c r="M76" s="41" t="e">
        <f t="shared" si="19"/>
        <v>#VALUE!</v>
      </c>
      <c r="N76" s="41" t="e">
        <f t="shared" si="20"/>
        <v>#VALUE!</v>
      </c>
      <c r="O76" s="41">
        <f t="shared" si="21"/>
        <v>0</v>
      </c>
      <c r="Q76" s="44" t="e">
        <f t="shared" si="22"/>
        <v>#VALUE!</v>
      </c>
      <c r="R76" s="44" t="e">
        <f t="shared" si="25"/>
        <v>#VALUE!</v>
      </c>
      <c r="S76" s="44" t="e">
        <f t="shared" si="23"/>
        <v>#VALUE!</v>
      </c>
      <c r="T76" s="41" t="e">
        <f t="shared" si="26"/>
        <v>#VALUE!</v>
      </c>
      <c r="U76" s="41" t="e">
        <f t="shared" si="27"/>
        <v>#VALUE!</v>
      </c>
      <c r="V76" s="41" t="e">
        <f t="shared" si="28"/>
        <v>#VALUE!</v>
      </c>
      <c r="AC76" s="47"/>
    </row>
    <row r="77" spans="2:29" x14ac:dyDescent="0.25">
      <c r="B77" s="41" t="b">
        <f t="shared" si="15"/>
        <v>0</v>
      </c>
      <c r="C77" s="41" t="e">
        <f t="shared" si="16"/>
        <v>#VALUE!</v>
      </c>
      <c r="E77" s="45">
        <v>74</v>
      </c>
      <c r="G77" s="138"/>
      <c r="H77" s="135">
        <v>1</v>
      </c>
      <c r="I77" s="46" t="e">
        <f t="shared" si="18"/>
        <v>#VALUE!</v>
      </c>
      <c r="J77" s="41" t="e">
        <f t="shared" si="24"/>
        <v>#VALUE!</v>
      </c>
      <c r="K77" s="41" t="e">
        <f t="shared" si="17"/>
        <v>#VALUE!</v>
      </c>
      <c r="L77" s="41" t="e">
        <f t="shared" si="17"/>
        <v>#VALUE!</v>
      </c>
      <c r="M77" s="41" t="e">
        <f t="shared" si="19"/>
        <v>#VALUE!</v>
      </c>
      <c r="N77" s="41" t="e">
        <f t="shared" si="20"/>
        <v>#VALUE!</v>
      </c>
      <c r="O77" s="41">
        <f t="shared" si="21"/>
        <v>0</v>
      </c>
      <c r="Q77" s="44" t="e">
        <f t="shared" si="22"/>
        <v>#VALUE!</v>
      </c>
      <c r="R77" s="44" t="e">
        <f t="shared" si="25"/>
        <v>#VALUE!</v>
      </c>
      <c r="S77" s="44" t="e">
        <f t="shared" si="23"/>
        <v>#VALUE!</v>
      </c>
      <c r="T77" s="41" t="e">
        <f t="shared" si="26"/>
        <v>#VALUE!</v>
      </c>
      <c r="U77" s="41" t="e">
        <f t="shared" si="27"/>
        <v>#VALUE!</v>
      </c>
      <c r="V77" s="41" t="e">
        <f t="shared" si="28"/>
        <v>#VALUE!</v>
      </c>
      <c r="AC77" s="47"/>
    </row>
    <row r="78" spans="2:29" x14ac:dyDescent="0.25">
      <c r="B78" s="41" t="b">
        <f t="shared" ref="B78:B141" si="29">ISNUMBER(C78)</f>
        <v>0</v>
      </c>
      <c r="C78" s="41" t="e">
        <f t="shared" ref="C78:C141" si="30">SUM(T78:V78)</f>
        <v>#VALUE!</v>
      </c>
      <c r="E78" s="45">
        <v>75</v>
      </c>
      <c r="G78" s="138"/>
      <c r="H78" s="135">
        <v>1</v>
      </c>
      <c r="I78" s="46" t="e">
        <f t="shared" si="18"/>
        <v>#VALUE!</v>
      </c>
      <c r="J78" s="41" t="e">
        <f t="shared" si="24"/>
        <v>#VALUE!</v>
      </c>
      <c r="K78" s="41" t="e">
        <f t="shared" si="17"/>
        <v>#VALUE!</v>
      </c>
      <c r="L78" s="41" t="e">
        <f t="shared" si="17"/>
        <v>#VALUE!</v>
      </c>
      <c r="M78" s="41" t="e">
        <f t="shared" si="19"/>
        <v>#VALUE!</v>
      </c>
      <c r="N78" s="41" t="e">
        <f t="shared" si="20"/>
        <v>#VALUE!</v>
      </c>
      <c r="O78" s="41">
        <f t="shared" si="21"/>
        <v>0</v>
      </c>
      <c r="Q78" s="44" t="e">
        <f t="shared" si="22"/>
        <v>#VALUE!</v>
      </c>
      <c r="R78" s="44" t="e">
        <f t="shared" si="25"/>
        <v>#VALUE!</v>
      </c>
      <c r="S78" s="44" t="e">
        <f t="shared" si="23"/>
        <v>#VALUE!</v>
      </c>
      <c r="T78" s="41" t="e">
        <f t="shared" si="26"/>
        <v>#VALUE!</v>
      </c>
      <c r="U78" s="41" t="e">
        <f t="shared" si="27"/>
        <v>#VALUE!</v>
      </c>
      <c r="V78" s="41" t="e">
        <f t="shared" si="28"/>
        <v>#VALUE!</v>
      </c>
      <c r="AC78" s="47"/>
    </row>
    <row r="79" spans="2:29" x14ac:dyDescent="0.25">
      <c r="B79" s="41" t="b">
        <f t="shared" si="29"/>
        <v>0</v>
      </c>
      <c r="C79" s="41" t="e">
        <f t="shared" si="30"/>
        <v>#VALUE!</v>
      </c>
      <c r="E79" s="45">
        <v>76</v>
      </c>
      <c r="G79" s="138"/>
      <c r="H79" s="135">
        <v>1</v>
      </c>
      <c r="I79" s="46" t="e">
        <f t="shared" si="18"/>
        <v>#VALUE!</v>
      </c>
      <c r="J79" s="41" t="e">
        <f t="shared" si="24"/>
        <v>#VALUE!</v>
      </c>
      <c r="K79" s="41" t="e">
        <f t="shared" si="17"/>
        <v>#VALUE!</v>
      </c>
      <c r="L79" s="41" t="e">
        <f t="shared" si="17"/>
        <v>#VALUE!</v>
      </c>
      <c r="M79" s="41" t="e">
        <f t="shared" si="19"/>
        <v>#VALUE!</v>
      </c>
      <c r="N79" s="41" t="e">
        <f t="shared" si="20"/>
        <v>#VALUE!</v>
      </c>
      <c r="O79" s="41">
        <f t="shared" si="21"/>
        <v>0</v>
      </c>
      <c r="Q79" s="44" t="e">
        <f t="shared" si="22"/>
        <v>#VALUE!</v>
      </c>
      <c r="R79" s="44" t="e">
        <f t="shared" si="25"/>
        <v>#VALUE!</v>
      </c>
      <c r="S79" s="44" t="e">
        <f t="shared" si="23"/>
        <v>#VALUE!</v>
      </c>
      <c r="T79" s="41" t="e">
        <f t="shared" si="26"/>
        <v>#VALUE!</v>
      </c>
      <c r="U79" s="41" t="e">
        <f t="shared" si="27"/>
        <v>#VALUE!</v>
      </c>
      <c r="V79" s="41" t="e">
        <f t="shared" si="28"/>
        <v>#VALUE!</v>
      </c>
      <c r="AC79" s="47"/>
    </row>
    <row r="80" spans="2:29" x14ac:dyDescent="0.25">
      <c r="B80" s="41" t="b">
        <f t="shared" si="29"/>
        <v>0</v>
      </c>
      <c r="C80" s="41" t="e">
        <f t="shared" si="30"/>
        <v>#VALUE!</v>
      </c>
      <c r="E80" s="45">
        <v>77</v>
      </c>
      <c r="G80" s="138"/>
      <c r="H80" s="135">
        <v>1</v>
      </c>
      <c r="I80" s="46" t="e">
        <f t="shared" si="18"/>
        <v>#VALUE!</v>
      </c>
      <c r="J80" s="41" t="e">
        <f t="shared" si="24"/>
        <v>#VALUE!</v>
      </c>
      <c r="K80" s="41" t="e">
        <f t="shared" si="17"/>
        <v>#VALUE!</v>
      </c>
      <c r="L80" s="41" t="e">
        <f t="shared" si="17"/>
        <v>#VALUE!</v>
      </c>
      <c r="M80" s="41" t="e">
        <f t="shared" si="19"/>
        <v>#VALUE!</v>
      </c>
      <c r="N80" s="41" t="e">
        <f t="shared" si="20"/>
        <v>#VALUE!</v>
      </c>
      <c r="O80" s="41">
        <f t="shared" si="21"/>
        <v>0</v>
      </c>
      <c r="Q80" s="44" t="e">
        <f t="shared" si="22"/>
        <v>#VALUE!</v>
      </c>
      <c r="R80" s="44" t="e">
        <f t="shared" si="25"/>
        <v>#VALUE!</v>
      </c>
      <c r="S80" s="44" t="e">
        <f t="shared" si="23"/>
        <v>#VALUE!</v>
      </c>
      <c r="T80" s="41" t="e">
        <f t="shared" si="26"/>
        <v>#VALUE!</v>
      </c>
      <c r="U80" s="41" t="e">
        <f t="shared" si="27"/>
        <v>#VALUE!</v>
      </c>
      <c r="V80" s="41" t="e">
        <f t="shared" si="28"/>
        <v>#VALUE!</v>
      </c>
      <c r="AC80" s="47"/>
    </row>
    <row r="81" spans="2:29" x14ac:dyDescent="0.25">
      <c r="B81" s="41" t="b">
        <f t="shared" si="29"/>
        <v>0</v>
      </c>
      <c r="C81" s="41" t="e">
        <f t="shared" si="30"/>
        <v>#VALUE!</v>
      </c>
      <c r="E81" s="45">
        <v>78</v>
      </c>
      <c r="G81" s="138"/>
      <c r="H81" s="135">
        <v>1</v>
      </c>
      <c r="I81" s="46" t="e">
        <f t="shared" si="18"/>
        <v>#VALUE!</v>
      </c>
      <c r="J81" s="41" t="e">
        <f t="shared" si="24"/>
        <v>#VALUE!</v>
      </c>
      <c r="K81" s="41" t="e">
        <f t="shared" si="17"/>
        <v>#VALUE!</v>
      </c>
      <c r="L81" s="41" t="e">
        <f t="shared" si="17"/>
        <v>#VALUE!</v>
      </c>
      <c r="M81" s="41" t="e">
        <f t="shared" si="19"/>
        <v>#VALUE!</v>
      </c>
      <c r="N81" s="41" t="e">
        <f t="shared" si="20"/>
        <v>#VALUE!</v>
      </c>
      <c r="O81" s="41">
        <f t="shared" si="21"/>
        <v>0</v>
      </c>
      <c r="Q81" s="44" t="e">
        <f t="shared" si="22"/>
        <v>#VALUE!</v>
      </c>
      <c r="R81" s="44" t="e">
        <f t="shared" si="25"/>
        <v>#VALUE!</v>
      </c>
      <c r="S81" s="44" t="e">
        <f t="shared" si="23"/>
        <v>#VALUE!</v>
      </c>
      <c r="T81" s="41" t="e">
        <f t="shared" si="26"/>
        <v>#VALUE!</v>
      </c>
      <c r="U81" s="41" t="e">
        <f t="shared" si="27"/>
        <v>#VALUE!</v>
      </c>
      <c r="V81" s="41" t="e">
        <f t="shared" si="28"/>
        <v>#VALUE!</v>
      </c>
      <c r="AC81" s="47"/>
    </row>
    <row r="82" spans="2:29" x14ac:dyDescent="0.25">
      <c r="B82" s="41" t="b">
        <f t="shared" si="29"/>
        <v>0</v>
      </c>
      <c r="C82" s="41" t="e">
        <f t="shared" si="30"/>
        <v>#VALUE!</v>
      </c>
      <c r="E82" s="45">
        <v>79</v>
      </c>
      <c r="G82" s="138"/>
      <c r="H82" s="135">
        <v>1</v>
      </c>
      <c r="I82" s="46" t="e">
        <f t="shared" si="18"/>
        <v>#VALUE!</v>
      </c>
      <c r="J82" s="41" t="e">
        <f t="shared" si="24"/>
        <v>#VALUE!</v>
      </c>
      <c r="K82" s="41" t="e">
        <f t="shared" si="17"/>
        <v>#VALUE!</v>
      </c>
      <c r="L82" s="41" t="e">
        <f t="shared" si="17"/>
        <v>#VALUE!</v>
      </c>
      <c r="M82" s="41" t="e">
        <f t="shared" si="19"/>
        <v>#VALUE!</v>
      </c>
      <c r="N82" s="41" t="e">
        <f t="shared" si="20"/>
        <v>#VALUE!</v>
      </c>
      <c r="O82" s="41">
        <f t="shared" si="21"/>
        <v>0</v>
      </c>
      <c r="Q82" s="44" t="e">
        <f t="shared" si="22"/>
        <v>#VALUE!</v>
      </c>
      <c r="R82" s="44" t="e">
        <f t="shared" si="25"/>
        <v>#VALUE!</v>
      </c>
      <c r="S82" s="44" t="e">
        <f t="shared" si="23"/>
        <v>#VALUE!</v>
      </c>
      <c r="T82" s="41" t="e">
        <f t="shared" si="26"/>
        <v>#VALUE!</v>
      </c>
      <c r="U82" s="41" t="e">
        <f t="shared" si="27"/>
        <v>#VALUE!</v>
      </c>
      <c r="V82" s="41" t="e">
        <f t="shared" si="28"/>
        <v>#VALUE!</v>
      </c>
      <c r="AC82" s="47"/>
    </row>
    <row r="83" spans="2:29" x14ac:dyDescent="0.25">
      <c r="B83" s="41" t="b">
        <f t="shared" si="29"/>
        <v>0</v>
      </c>
      <c r="C83" s="41" t="e">
        <f t="shared" si="30"/>
        <v>#VALUE!</v>
      </c>
      <c r="E83" s="45">
        <v>80</v>
      </c>
      <c r="G83" s="138"/>
      <c r="H83" s="135">
        <v>1</v>
      </c>
      <c r="I83" s="46" t="e">
        <f t="shared" si="18"/>
        <v>#VALUE!</v>
      </c>
      <c r="J83" s="41" t="e">
        <f t="shared" si="24"/>
        <v>#VALUE!</v>
      </c>
      <c r="K83" s="41" t="e">
        <f t="shared" si="17"/>
        <v>#VALUE!</v>
      </c>
      <c r="L83" s="41" t="e">
        <f t="shared" si="17"/>
        <v>#VALUE!</v>
      </c>
      <c r="M83" s="41" t="e">
        <f t="shared" si="19"/>
        <v>#VALUE!</v>
      </c>
      <c r="N83" s="41" t="e">
        <f t="shared" si="20"/>
        <v>#VALUE!</v>
      </c>
      <c r="O83" s="41">
        <f t="shared" si="21"/>
        <v>0</v>
      </c>
      <c r="Q83" s="44" t="e">
        <f t="shared" si="22"/>
        <v>#VALUE!</v>
      </c>
      <c r="R83" s="44" t="e">
        <f t="shared" si="25"/>
        <v>#VALUE!</v>
      </c>
      <c r="S83" s="44" t="e">
        <f t="shared" si="23"/>
        <v>#VALUE!</v>
      </c>
      <c r="T83" s="41" t="e">
        <f t="shared" si="26"/>
        <v>#VALUE!</v>
      </c>
      <c r="U83" s="41" t="e">
        <f t="shared" si="27"/>
        <v>#VALUE!</v>
      </c>
      <c r="V83" s="41" t="e">
        <f t="shared" si="28"/>
        <v>#VALUE!</v>
      </c>
      <c r="AC83" s="47"/>
    </row>
    <row r="84" spans="2:29" x14ac:dyDescent="0.25">
      <c r="B84" s="41" t="b">
        <f t="shared" si="29"/>
        <v>0</v>
      </c>
      <c r="C84" s="41" t="e">
        <f t="shared" si="30"/>
        <v>#VALUE!</v>
      </c>
      <c r="E84" s="45">
        <v>81</v>
      </c>
      <c r="G84" s="138"/>
      <c r="H84" s="135">
        <v>1</v>
      </c>
      <c r="I84" s="46" t="e">
        <f t="shared" si="18"/>
        <v>#VALUE!</v>
      </c>
      <c r="J84" s="41" t="e">
        <f t="shared" si="24"/>
        <v>#VALUE!</v>
      </c>
      <c r="K84" s="41" t="e">
        <f t="shared" si="17"/>
        <v>#VALUE!</v>
      </c>
      <c r="L84" s="41" t="e">
        <f t="shared" si="17"/>
        <v>#VALUE!</v>
      </c>
      <c r="M84" s="41" t="e">
        <f t="shared" si="19"/>
        <v>#VALUE!</v>
      </c>
      <c r="N84" s="41" t="e">
        <f t="shared" si="20"/>
        <v>#VALUE!</v>
      </c>
      <c r="O84" s="41">
        <f t="shared" si="21"/>
        <v>0</v>
      </c>
      <c r="Q84" s="44" t="e">
        <f t="shared" si="22"/>
        <v>#VALUE!</v>
      </c>
      <c r="R84" s="44" t="e">
        <f t="shared" si="25"/>
        <v>#VALUE!</v>
      </c>
      <c r="S84" s="44" t="e">
        <f t="shared" si="23"/>
        <v>#VALUE!</v>
      </c>
      <c r="T84" s="41" t="e">
        <f t="shared" si="26"/>
        <v>#VALUE!</v>
      </c>
      <c r="U84" s="41" t="e">
        <f t="shared" si="27"/>
        <v>#VALUE!</v>
      </c>
      <c r="V84" s="41" t="e">
        <f t="shared" si="28"/>
        <v>#VALUE!</v>
      </c>
      <c r="AC84" s="47"/>
    </row>
    <row r="85" spans="2:29" x14ac:dyDescent="0.25">
      <c r="B85" s="41" t="b">
        <f t="shared" si="29"/>
        <v>0</v>
      </c>
      <c r="C85" s="41" t="e">
        <f t="shared" si="30"/>
        <v>#VALUE!</v>
      </c>
      <c r="E85" s="45">
        <v>82</v>
      </c>
      <c r="G85" s="138"/>
      <c r="H85" s="135">
        <v>1</v>
      </c>
      <c r="I85" s="46" t="e">
        <f t="shared" si="18"/>
        <v>#VALUE!</v>
      </c>
      <c r="J85" s="41" t="e">
        <f t="shared" si="24"/>
        <v>#VALUE!</v>
      </c>
      <c r="K85" s="41" t="e">
        <f t="shared" ref="K85:L132" si="31">N85-M85</f>
        <v>#VALUE!</v>
      </c>
      <c r="L85" s="41" t="e">
        <f t="shared" si="31"/>
        <v>#VALUE!</v>
      </c>
      <c r="M85" s="41" t="e">
        <f t="shared" si="19"/>
        <v>#VALUE!</v>
      </c>
      <c r="N85" s="41" t="e">
        <f t="shared" si="20"/>
        <v>#VALUE!</v>
      </c>
      <c r="O85" s="41">
        <f t="shared" si="21"/>
        <v>0</v>
      </c>
      <c r="Q85" s="44" t="e">
        <f t="shared" si="22"/>
        <v>#VALUE!</v>
      </c>
      <c r="R85" s="44" t="e">
        <f t="shared" si="25"/>
        <v>#VALUE!</v>
      </c>
      <c r="S85" s="44" t="e">
        <f t="shared" si="23"/>
        <v>#VALUE!</v>
      </c>
      <c r="T85" s="41" t="e">
        <f t="shared" si="26"/>
        <v>#VALUE!</v>
      </c>
      <c r="U85" s="41" t="e">
        <f t="shared" si="27"/>
        <v>#VALUE!</v>
      </c>
      <c r="V85" s="41" t="e">
        <f t="shared" si="28"/>
        <v>#VALUE!</v>
      </c>
      <c r="AC85" s="47"/>
    </row>
    <row r="86" spans="2:29" x14ac:dyDescent="0.25">
      <c r="B86" s="41" t="b">
        <f t="shared" si="29"/>
        <v>0</v>
      </c>
      <c r="C86" s="41" t="e">
        <f t="shared" si="30"/>
        <v>#VALUE!</v>
      </c>
      <c r="E86" s="45">
        <v>83</v>
      </c>
      <c r="G86" s="138"/>
      <c r="H86" s="135">
        <v>1</v>
      </c>
      <c r="I86" s="46" t="e">
        <f t="shared" si="18"/>
        <v>#VALUE!</v>
      </c>
      <c r="J86" s="41" t="e">
        <f t="shared" si="24"/>
        <v>#VALUE!</v>
      </c>
      <c r="K86" s="41" t="e">
        <f t="shared" si="31"/>
        <v>#VALUE!</v>
      </c>
      <c r="L86" s="41" t="e">
        <f t="shared" si="31"/>
        <v>#VALUE!</v>
      </c>
      <c r="M86" s="41" t="e">
        <f t="shared" si="19"/>
        <v>#VALUE!</v>
      </c>
      <c r="N86" s="41" t="e">
        <f t="shared" si="20"/>
        <v>#VALUE!</v>
      </c>
      <c r="O86" s="41">
        <f t="shared" si="21"/>
        <v>0</v>
      </c>
      <c r="Q86" s="44" t="e">
        <f t="shared" si="22"/>
        <v>#VALUE!</v>
      </c>
      <c r="R86" s="44" t="e">
        <f t="shared" si="25"/>
        <v>#VALUE!</v>
      </c>
      <c r="S86" s="44" t="e">
        <f t="shared" si="23"/>
        <v>#VALUE!</v>
      </c>
      <c r="T86" s="41" t="e">
        <f t="shared" si="26"/>
        <v>#VALUE!</v>
      </c>
      <c r="U86" s="41" t="e">
        <f t="shared" si="27"/>
        <v>#VALUE!</v>
      </c>
      <c r="V86" s="41" t="e">
        <f t="shared" si="28"/>
        <v>#VALUE!</v>
      </c>
      <c r="AC86" s="47"/>
    </row>
    <row r="87" spans="2:29" x14ac:dyDescent="0.25">
      <c r="B87" s="41" t="b">
        <f t="shared" si="29"/>
        <v>0</v>
      </c>
      <c r="C87" s="41" t="e">
        <f t="shared" si="30"/>
        <v>#VALUE!</v>
      </c>
      <c r="E87" s="45">
        <v>84</v>
      </c>
      <c r="G87" s="138"/>
      <c r="H87" s="135">
        <v>1</v>
      </c>
      <c r="I87" s="46" t="e">
        <f t="shared" si="18"/>
        <v>#VALUE!</v>
      </c>
      <c r="J87" s="41" t="e">
        <f t="shared" si="24"/>
        <v>#VALUE!</v>
      </c>
      <c r="K87" s="41" t="e">
        <f t="shared" si="31"/>
        <v>#VALUE!</v>
      </c>
      <c r="L87" s="41" t="e">
        <f t="shared" si="31"/>
        <v>#VALUE!</v>
      </c>
      <c r="M87" s="41" t="e">
        <f t="shared" si="19"/>
        <v>#VALUE!</v>
      </c>
      <c r="N87" s="41" t="e">
        <f t="shared" si="20"/>
        <v>#VALUE!</v>
      </c>
      <c r="O87" s="41">
        <f t="shared" si="21"/>
        <v>0</v>
      </c>
      <c r="Q87" s="44" t="e">
        <f t="shared" si="22"/>
        <v>#VALUE!</v>
      </c>
      <c r="R87" s="44" t="e">
        <f t="shared" si="25"/>
        <v>#VALUE!</v>
      </c>
      <c r="S87" s="44" t="e">
        <f t="shared" si="23"/>
        <v>#VALUE!</v>
      </c>
      <c r="T87" s="41" t="e">
        <f t="shared" si="26"/>
        <v>#VALUE!</v>
      </c>
      <c r="U87" s="41" t="e">
        <f t="shared" si="27"/>
        <v>#VALUE!</v>
      </c>
      <c r="V87" s="41" t="e">
        <f t="shared" si="28"/>
        <v>#VALUE!</v>
      </c>
      <c r="AC87" s="47"/>
    </row>
    <row r="88" spans="2:29" x14ac:dyDescent="0.25">
      <c r="B88" s="41" t="b">
        <f t="shared" si="29"/>
        <v>0</v>
      </c>
      <c r="C88" s="41" t="e">
        <f t="shared" si="30"/>
        <v>#VALUE!</v>
      </c>
      <c r="E88" s="45">
        <v>85</v>
      </c>
      <c r="G88" s="138"/>
      <c r="H88" s="135">
        <v>1</v>
      </c>
      <c r="I88" s="46" t="e">
        <f t="shared" si="18"/>
        <v>#VALUE!</v>
      </c>
      <c r="J88" s="41" t="e">
        <f t="shared" si="24"/>
        <v>#VALUE!</v>
      </c>
      <c r="K88" s="41" t="e">
        <f t="shared" si="31"/>
        <v>#VALUE!</v>
      </c>
      <c r="L88" s="41" t="e">
        <f t="shared" si="31"/>
        <v>#VALUE!</v>
      </c>
      <c r="M88" s="41" t="e">
        <f t="shared" si="19"/>
        <v>#VALUE!</v>
      </c>
      <c r="N88" s="41" t="e">
        <f t="shared" si="20"/>
        <v>#VALUE!</v>
      </c>
      <c r="O88" s="41">
        <f t="shared" si="21"/>
        <v>0</v>
      </c>
      <c r="Q88" s="44" t="e">
        <f t="shared" si="22"/>
        <v>#VALUE!</v>
      </c>
      <c r="R88" s="44" t="e">
        <f t="shared" si="25"/>
        <v>#VALUE!</v>
      </c>
      <c r="S88" s="44" t="e">
        <f t="shared" si="23"/>
        <v>#VALUE!</v>
      </c>
      <c r="T88" s="41" t="e">
        <f t="shared" si="26"/>
        <v>#VALUE!</v>
      </c>
      <c r="U88" s="41" t="e">
        <f t="shared" si="27"/>
        <v>#VALUE!</v>
      </c>
      <c r="V88" s="41" t="e">
        <f t="shared" si="28"/>
        <v>#VALUE!</v>
      </c>
      <c r="AC88" s="47"/>
    </row>
    <row r="89" spans="2:29" x14ac:dyDescent="0.25">
      <c r="B89" s="41" t="b">
        <f t="shared" si="29"/>
        <v>0</v>
      </c>
      <c r="C89" s="41" t="e">
        <f t="shared" si="30"/>
        <v>#VALUE!</v>
      </c>
      <c r="E89" s="45">
        <v>86</v>
      </c>
      <c r="G89" s="138"/>
      <c r="H89" s="135">
        <v>1</v>
      </c>
      <c r="I89" s="46" t="e">
        <f t="shared" si="18"/>
        <v>#VALUE!</v>
      </c>
      <c r="J89" s="41" t="e">
        <f t="shared" si="24"/>
        <v>#VALUE!</v>
      </c>
      <c r="K89" s="41" t="e">
        <f t="shared" si="31"/>
        <v>#VALUE!</v>
      </c>
      <c r="L89" s="41" t="e">
        <f t="shared" si="31"/>
        <v>#VALUE!</v>
      </c>
      <c r="M89" s="41" t="e">
        <f t="shared" si="19"/>
        <v>#VALUE!</v>
      </c>
      <c r="N89" s="41" t="e">
        <f t="shared" si="20"/>
        <v>#VALUE!</v>
      </c>
      <c r="O89" s="41">
        <f t="shared" si="21"/>
        <v>0</v>
      </c>
      <c r="Q89" s="44" t="e">
        <f t="shared" si="22"/>
        <v>#VALUE!</v>
      </c>
      <c r="R89" s="44" t="e">
        <f t="shared" si="25"/>
        <v>#VALUE!</v>
      </c>
      <c r="S89" s="44" t="e">
        <f t="shared" si="23"/>
        <v>#VALUE!</v>
      </c>
      <c r="T89" s="41" t="e">
        <f t="shared" si="26"/>
        <v>#VALUE!</v>
      </c>
      <c r="U89" s="41" t="e">
        <f t="shared" si="27"/>
        <v>#VALUE!</v>
      </c>
      <c r="V89" s="41" t="e">
        <f t="shared" si="28"/>
        <v>#VALUE!</v>
      </c>
      <c r="AC89" s="47"/>
    </row>
    <row r="90" spans="2:29" x14ac:dyDescent="0.25">
      <c r="B90" s="41" t="b">
        <f t="shared" si="29"/>
        <v>0</v>
      </c>
      <c r="C90" s="41" t="e">
        <f t="shared" si="30"/>
        <v>#VALUE!</v>
      </c>
      <c r="E90" s="45">
        <v>87</v>
      </c>
      <c r="G90" s="138"/>
      <c r="H90" s="135">
        <v>1</v>
      </c>
      <c r="I90" s="46" t="e">
        <f t="shared" si="18"/>
        <v>#VALUE!</v>
      </c>
      <c r="J90" s="41" t="e">
        <f t="shared" si="24"/>
        <v>#VALUE!</v>
      </c>
      <c r="K90" s="41" t="e">
        <f t="shared" si="31"/>
        <v>#VALUE!</v>
      </c>
      <c r="L90" s="41" t="e">
        <f t="shared" si="31"/>
        <v>#VALUE!</v>
      </c>
      <c r="M90" s="41" t="e">
        <f t="shared" si="19"/>
        <v>#VALUE!</v>
      </c>
      <c r="N90" s="41" t="e">
        <f t="shared" si="20"/>
        <v>#VALUE!</v>
      </c>
      <c r="O90" s="41">
        <f t="shared" si="21"/>
        <v>0</v>
      </c>
      <c r="Q90" s="44" t="e">
        <f t="shared" si="22"/>
        <v>#VALUE!</v>
      </c>
      <c r="R90" s="44" t="e">
        <f t="shared" si="25"/>
        <v>#VALUE!</v>
      </c>
      <c r="S90" s="44" t="e">
        <f t="shared" si="23"/>
        <v>#VALUE!</v>
      </c>
      <c r="T90" s="41" t="e">
        <f t="shared" si="26"/>
        <v>#VALUE!</v>
      </c>
      <c r="U90" s="41" t="e">
        <f t="shared" si="27"/>
        <v>#VALUE!</v>
      </c>
      <c r="V90" s="41" t="e">
        <f t="shared" si="28"/>
        <v>#VALUE!</v>
      </c>
      <c r="AC90" s="47"/>
    </row>
    <row r="91" spans="2:29" x14ac:dyDescent="0.25">
      <c r="B91" s="41" t="b">
        <f t="shared" si="29"/>
        <v>0</v>
      </c>
      <c r="C91" s="41" t="e">
        <f t="shared" si="30"/>
        <v>#VALUE!</v>
      </c>
      <c r="E91" s="45">
        <v>88</v>
      </c>
      <c r="G91" s="138"/>
      <c r="H91" s="135">
        <v>1</v>
      </c>
      <c r="I91" s="46" t="e">
        <f t="shared" si="18"/>
        <v>#VALUE!</v>
      </c>
      <c r="J91" s="41" t="e">
        <f t="shared" si="24"/>
        <v>#VALUE!</v>
      </c>
      <c r="K91" s="41" t="e">
        <f t="shared" si="31"/>
        <v>#VALUE!</v>
      </c>
      <c r="L91" s="41" t="e">
        <f t="shared" si="31"/>
        <v>#VALUE!</v>
      </c>
      <c r="M91" s="41" t="e">
        <f t="shared" si="19"/>
        <v>#VALUE!</v>
      </c>
      <c r="N91" s="41" t="e">
        <f t="shared" si="20"/>
        <v>#VALUE!</v>
      </c>
      <c r="O91" s="41">
        <f t="shared" si="21"/>
        <v>0</v>
      </c>
      <c r="Q91" s="44" t="e">
        <f t="shared" si="22"/>
        <v>#VALUE!</v>
      </c>
      <c r="R91" s="44" t="e">
        <f t="shared" si="25"/>
        <v>#VALUE!</v>
      </c>
      <c r="S91" s="44" t="e">
        <f t="shared" si="23"/>
        <v>#VALUE!</v>
      </c>
      <c r="T91" s="41" t="e">
        <f t="shared" si="26"/>
        <v>#VALUE!</v>
      </c>
      <c r="U91" s="41" t="e">
        <f t="shared" si="27"/>
        <v>#VALUE!</v>
      </c>
      <c r="V91" s="41" t="e">
        <f t="shared" si="28"/>
        <v>#VALUE!</v>
      </c>
      <c r="AC91" s="47"/>
    </row>
    <row r="92" spans="2:29" x14ac:dyDescent="0.25">
      <c r="B92" s="41" t="b">
        <f t="shared" si="29"/>
        <v>0</v>
      </c>
      <c r="C92" s="41" t="e">
        <f t="shared" si="30"/>
        <v>#VALUE!</v>
      </c>
      <c r="E92" s="45">
        <v>89</v>
      </c>
      <c r="G92" s="138"/>
      <c r="H92" s="135">
        <v>1</v>
      </c>
      <c r="I92" s="46" t="e">
        <f t="shared" si="18"/>
        <v>#VALUE!</v>
      </c>
      <c r="J92" s="41" t="e">
        <f t="shared" si="24"/>
        <v>#VALUE!</v>
      </c>
      <c r="K92" s="41" t="e">
        <f t="shared" si="31"/>
        <v>#VALUE!</v>
      </c>
      <c r="L92" s="41" t="e">
        <f t="shared" si="31"/>
        <v>#VALUE!</v>
      </c>
      <c r="M92" s="41" t="e">
        <f t="shared" si="19"/>
        <v>#VALUE!</v>
      </c>
      <c r="N92" s="41" t="e">
        <f t="shared" si="20"/>
        <v>#VALUE!</v>
      </c>
      <c r="O92" s="41">
        <f t="shared" si="21"/>
        <v>0</v>
      </c>
      <c r="Q92" s="44" t="e">
        <f t="shared" si="22"/>
        <v>#VALUE!</v>
      </c>
      <c r="R92" s="44" t="e">
        <f t="shared" si="25"/>
        <v>#VALUE!</v>
      </c>
      <c r="S92" s="44" t="e">
        <f t="shared" si="23"/>
        <v>#VALUE!</v>
      </c>
      <c r="T92" s="41" t="e">
        <f t="shared" si="26"/>
        <v>#VALUE!</v>
      </c>
      <c r="U92" s="41" t="e">
        <f t="shared" si="27"/>
        <v>#VALUE!</v>
      </c>
      <c r="V92" s="41" t="e">
        <f t="shared" si="28"/>
        <v>#VALUE!</v>
      </c>
      <c r="AC92" s="47"/>
    </row>
    <row r="93" spans="2:29" x14ac:dyDescent="0.25">
      <c r="B93" s="41" t="b">
        <f t="shared" si="29"/>
        <v>0</v>
      </c>
      <c r="C93" s="41" t="e">
        <f t="shared" si="30"/>
        <v>#VALUE!</v>
      </c>
      <c r="E93" s="45">
        <v>90</v>
      </c>
      <c r="G93" s="138"/>
      <c r="H93" s="135">
        <v>1</v>
      </c>
      <c r="I93" s="46" t="e">
        <f t="shared" si="18"/>
        <v>#VALUE!</v>
      </c>
      <c r="J93" s="41" t="e">
        <f t="shared" si="24"/>
        <v>#VALUE!</v>
      </c>
      <c r="K93" s="41" t="e">
        <f t="shared" si="31"/>
        <v>#VALUE!</v>
      </c>
      <c r="L93" s="41" t="e">
        <f t="shared" si="31"/>
        <v>#VALUE!</v>
      </c>
      <c r="M93" s="41" t="e">
        <f t="shared" si="19"/>
        <v>#VALUE!</v>
      </c>
      <c r="N93" s="41" t="e">
        <f t="shared" si="20"/>
        <v>#VALUE!</v>
      </c>
      <c r="O93" s="41">
        <f t="shared" si="21"/>
        <v>0</v>
      </c>
      <c r="Q93" s="44" t="e">
        <f t="shared" si="22"/>
        <v>#VALUE!</v>
      </c>
      <c r="R93" s="44" t="e">
        <f t="shared" si="25"/>
        <v>#VALUE!</v>
      </c>
      <c r="S93" s="44" t="e">
        <f t="shared" si="23"/>
        <v>#VALUE!</v>
      </c>
      <c r="T93" s="41" t="e">
        <f t="shared" si="26"/>
        <v>#VALUE!</v>
      </c>
      <c r="U93" s="41" t="e">
        <f t="shared" si="27"/>
        <v>#VALUE!</v>
      </c>
      <c r="V93" s="41" t="e">
        <f t="shared" si="28"/>
        <v>#VALUE!</v>
      </c>
      <c r="AC93" s="47"/>
    </row>
    <row r="94" spans="2:29" x14ac:dyDescent="0.25">
      <c r="B94" s="41" t="b">
        <f t="shared" si="29"/>
        <v>0</v>
      </c>
      <c r="C94" s="41" t="e">
        <f t="shared" si="30"/>
        <v>#VALUE!</v>
      </c>
      <c r="E94" s="45">
        <v>91</v>
      </c>
      <c r="G94" s="138"/>
      <c r="H94" s="135">
        <v>1</v>
      </c>
      <c r="I94" s="46" t="e">
        <f t="shared" si="18"/>
        <v>#VALUE!</v>
      </c>
      <c r="J94" s="41" t="e">
        <f t="shared" si="24"/>
        <v>#VALUE!</v>
      </c>
      <c r="K94" s="41" t="e">
        <f t="shared" si="31"/>
        <v>#VALUE!</v>
      </c>
      <c r="L94" s="41" t="e">
        <f t="shared" si="31"/>
        <v>#VALUE!</v>
      </c>
      <c r="M94" s="41" t="e">
        <f t="shared" si="19"/>
        <v>#VALUE!</v>
      </c>
      <c r="N94" s="41" t="e">
        <f t="shared" si="20"/>
        <v>#VALUE!</v>
      </c>
      <c r="O94" s="41">
        <f t="shared" si="21"/>
        <v>0</v>
      </c>
      <c r="Q94" s="44" t="e">
        <f t="shared" si="22"/>
        <v>#VALUE!</v>
      </c>
      <c r="R94" s="44" t="e">
        <f t="shared" si="25"/>
        <v>#VALUE!</v>
      </c>
      <c r="S94" s="44" t="e">
        <f t="shared" si="23"/>
        <v>#VALUE!</v>
      </c>
      <c r="T94" s="41" t="e">
        <f t="shared" si="26"/>
        <v>#VALUE!</v>
      </c>
      <c r="U94" s="41" t="e">
        <f t="shared" si="27"/>
        <v>#VALUE!</v>
      </c>
      <c r="V94" s="41" t="e">
        <f t="shared" si="28"/>
        <v>#VALUE!</v>
      </c>
      <c r="AC94" s="47"/>
    </row>
    <row r="95" spans="2:29" x14ac:dyDescent="0.25">
      <c r="B95" s="41" t="b">
        <f t="shared" si="29"/>
        <v>0</v>
      </c>
      <c r="C95" s="41" t="e">
        <f t="shared" si="30"/>
        <v>#VALUE!</v>
      </c>
      <c r="E95" s="45">
        <v>92</v>
      </c>
      <c r="G95" s="138"/>
      <c r="H95" s="135">
        <v>1</v>
      </c>
      <c r="I95" s="46" t="e">
        <f t="shared" si="18"/>
        <v>#VALUE!</v>
      </c>
      <c r="J95" s="41" t="e">
        <f t="shared" si="24"/>
        <v>#VALUE!</v>
      </c>
      <c r="K95" s="41" t="e">
        <f t="shared" si="31"/>
        <v>#VALUE!</v>
      </c>
      <c r="L95" s="41" t="e">
        <f t="shared" si="31"/>
        <v>#VALUE!</v>
      </c>
      <c r="M95" s="41" t="e">
        <f t="shared" si="19"/>
        <v>#VALUE!</v>
      </c>
      <c r="N95" s="41" t="e">
        <f t="shared" si="20"/>
        <v>#VALUE!</v>
      </c>
      <c r="O95" s="41">
        <f t="shared" si="21"/>
        <v>0</v>
      </c>
      <c r="Q95" s="44" t="e">
        <f t="shared" si="22"/>
        <v>#VALUE!</v>
      </c>
      <c r="R95" s="44" t="e">
        <f t="shared" si="25"/>
        <v>#VALUE!</v>
      </c>
      <c r="S95" s="44" t="e">
        <f t="shared" si="23"/>
        <v>#VALUE!</v>
      </c>
      <c r="T95" s="41" t="e">
        <f t="shared" si="26"/>
        <v>#VALUE!</v>
      </c>
      <c r="U95" s="41" t="e">
        <f t="shared" si="27"/>
        <v>#VALUE!</v>
      </c>
      <c r="V95" s="41" t="e">
        <f t="shared" si="28"/>
        <v>#VALUE!</v>
      </c>
      <c r="AC95" s="47"/>
    </row>
    <row r="96" spans="2:29" x14ac:dyDescent="0.25">
      <c r="B96" s="41" t="b">
        <f t="shared" si="29"/>
        <v>0</v>
      </c>
      <c r="C96" s="41" t="e">
        <f t="shared" si="30"/>
        <v>#VALUE!</v>
      </c>
      <c r="E96" s="45">
        <v>93</v>
      </c>
      <c r="G96" s="138"/>
      <c r="H96" s="135">
        <v>1</v>
      </c>
      <c r="I96" s="46" t="e">
        <f t="shared" si="18"/>
        <v>#VALUE!</v>
      </c>
      <c r="J96" s="41" t="e">
        <f t="shared" si="24"/>
        <v>#VALUE!</v>
      </c>
      <c r="K96" s="41" t="e">
        <f t="shared" si="31"/>
        <v>#VALUE!</v>
      </c>
      <c r="L96" s="41" t="e">
        <f t="shared" si="31"/>
        <v>#VALUE!</v>
      </c>
      <c r="M96" s="41" t="e">
        <f t="shared" si="19"/>
        <v>#VALUE!</v>
      </c>
      <c r="N96" s="41" t="e">
        <f t="shared" si="20"/>
        <v>#VALUE!</v>
      </c>
      <c r="O96" s="41">
        <f t="shared" si="21"/>
        <v>0</v>
      </c>
      <c r="Q96" s="44" t="e">
        <f t="shared" si="22"/>
        <v>#VALUE!</v>
      </c>
      <c r="R96" s="44" t="e">
        <f t="shared" si="25"/>
        <v>#VALUE!</v>
      </c>
      <c r="S96" s="44" t="e">
        <f t="shared" si="23"/>
        <v>#VALUE!</v>
      </c>
      <c r="T96" s="41" t="e">
        <f t="shared" si="26"/>
        <v>#VALUE!</v>
      </c>
      <c r="U96" s="41" t="e">
        <f t="shared" si="27"/>
        <v>#VALUE!</v>
      </c>
      <c r="V96" s="41" t="e">
        <f t="shared" si="28"/>
        <v>#VALUE!</v>
      </c>
      <c r="AC96" s="47"/>
    </row>
    <row r="97" spans="2:29" x14ac:dyDescent="0.25">
      <c r="B97" s="41" t="b">
        <f t="shared" si="29"/>
        <v>0</v>
      </c>
      <c r="C97" s="41" t="e">
        <f t="shared" si="30"/>
        <v>#VALUE!</v>
      </c>
      <c r="E97" s="45">
        <v>94</v>
      </c>
      <c r="G97" s="138"/>
      <c r="H97" s="135">
        <v>1</v>
      </c>
      <c r="I97" s="46" t="e">
        <f t="shared" si="18"/>
        <v>#VALUE!</v>
      </c>
      <c r="J97" s="41" t="e">
        <f t="shared" si="24"/>
        <v>#VALUE!</v>
      </c>
      <c r="K97" s="41" t="e">
        <f t="shared" si="31"/>
        <v>#VALUE!</v>
      </c>
      <c r="L97" s="41" t="e">
        <f t="shared" si="31"/>
        <v>#VALUE!</v>
      </c>
      <c r="M97" s="41" t="e">
        <f t="shared" si="19"/>
        <v>#VALUE!</v>
      </c>
      <c r="N97" s="41" t="e">
        <f t="shared" si="20"/>
        <v>#VALUE!</v>
      </c>
      <c r="O97" s="41">
        <f t="shared" si="21"/>
        <v>0</v>
      </c>
      <c r="Q97" s="44" t="e">
        <f t="shared" si="22"/>
        <v>#VALUE!</v>
      </c>
      <c r="R97" s="44" t="e">
        <f t="shared" si="25"/>
        <v>#VALUE!</v>
      </c>
      <c r="S97" s="44" t="e">
        <f t="shared" si="23"/>
        <v>#VALUE!</v>
      </c>
      <c r="T97" s="41" t="e">
        <f t="shared" si="26"/>
        <v>#VALUE!</v>
      </c>
      <c r="U97" s="41" t="e">
        <f t="shared" si="27"/>
        <v>#VALUE!</v>
      </c>
      <c r="V97" s="41" t="e">
        <f t="shared" si="28"/>
        <v>#VALUE!</v>
      </c>
      <c r="AC97" s="47"/>
    </row>
    <row r="98" spans="2:29" x14ac:dyDescent="0.25">
      <c r="B98" s="41" t="b">
        <f t="shared" si="29"/>
        <v>0</v>
      </c>
      <c r="C98" s="41" t="e">
        <f t="shared" si="30"/>
        <v>#VALUE!</v>
      </c>
      <c r="E98" s="45">
        <v>95</v>
      </c>
      <c r="G98" s="138"/>
      <c r="H98" s="135">
        <v>1</v>
      </c>
      <c r="I98" s="46" t="e">
        <f t="shared" si="18"/>
        <v>#VALUE!</v>
      </c>
      <c r="J98" s="41" t="e">
        <f t="shared" si="24"/>
        <v>#VALUE!</v>
      </c>
      <c r="K98" s="41" t="e">
        <f t="shared" si="31"/>
        <v>#VALUE!</v>
      </c>
      <c r="L98" s="41" t="e">
        <f t="shared" si="31"/>
        <v>#VALUE!</v>
      </c>
      <c r="M98" s="41" t="e">
        <f t="shared" si="19"/>
        <v>#VALUE!</v>
      </c>
      <c r="N98" s="41" t="e">
        <f t="shared" si="20"/>
        <v>#VALUE!</v>
      </c>
      <c r="O98" s="41">
        <f t="shared" si="21"/>
        <v>0</v>
      </c>
      <c r="Q98" s="44" t="e">
        <f t="shared" si="22"/>
        <v>#VALUE!</v>
      </c>
      <c r="R98" s="44" t="e">
        <f t="shared" si="25"/>
        <v>#VALUE!</v>
      </c>
      <c r="S98" s="44" t="e">
        <f t="shared" si="23"/>
        <v>#VALUE!</v>
      </c>
      <c r="T98" s="41" t="e">
        <f t="shared" si="26"/>
        <v>#VALUE!</v>
      </c>
      <c r="U98" s="41" t="e">
        <f t="shared" si="27"/>
        <v>#VALUE!</v>
      </c>
      <c r="V98" s="41" t="e">
        <f t="shared" si="28"/>
        <v>#VALUE!</v>
      </c>
      <c r="AC98" s="47"/>
    </row>
    <row r="99" spans="2:29" x14ac:dyDescent="0.25">
      <c r="B99" s="41" t="b">
        <f t="shared" si="29"/>
        <v>0</v>
      </c>
      <c r="C99" s="41" t="e">
        <f t="shared" si="30"/>
        <v>#VALUE!</v>
      </c>
      <c r="E99" s="45">
        <v>96</v>
      </c>
      <c r="G99" s="138"/>
      <c r="H99" s="135">
        <v>1</v>
      </c>
      <c r="I99" s="46" t="e">
        <f t="shared" si="18"/>
        <v>#VALUE!</v>
      </c>
      <c r="J99" s="41" t="e">
        <f t="shared" si="24"/>
        <v>#VALUE!</v>
      </c>
      <c r="K99" s="41" t="e">
        <f t="shared" si="31"/>
        <v>#VALUE!</v>
      </c>
      <c r="L99" s="41" t="e">
        <f t="shared" si="31"/>
        <v>#VALUE!</v>
      </c>
      <c r="M99" s="41" t="e">
        <f t="shared" si="19"/>
        <v>#VALUE!</v>
      </c>
      <c r="N99" s="41" t="e">
        <f t="shared" si="20"/>
        <v>#VALUE!</v>
      </c>
      <c r="O99" s="41">
        <f t="shared" si="21"/>
        <v>0</v>
      </c>
      <c r="Q99" s="44" t="e">
        <f t="shared" si="22"/>
        <v>#VALUE!</v>
      </c>
      <c r="R99" s="44" t="e">
        <f t="shared" si="25"/>
        <v>#VALUE!</v>
      </c>
      <c r="S99" s="44" t="e">
        <f t="shared" si="23"/>
        <v>#VALUE!</v>
      </c>
      <c r="T99" s="41" t="e">
        <f t="shared" si="26"/>
        <v>#VALUE!</v>
      </c>
      <c r="U99" s="41" t="e">
        <f t="shared" si="27"/>
        <v>#VALUE!</v>
      </c>
      <c r="V99" s="41" t="e">
        <f t="shared" si="28"/>
        <v>#VALUE!</v>
      </c>
      <c r="AC99" s="47"/>
    </row>
    <row r="100" spans="2:29" x14ac:dyDescent="0.25">
      <c r="B100" s="41" t="b">
        <f t="shared" si="29"/>
        <v>0</v>
      </c>
      <c r="C100" s="41" t="e">
        <f t="shared" si="30"/>
        <v>#VALUE!</v>
      </c>
      <c r="E100" s="45">
        <v>97</v>
      </c>
      <c r="G100" s="138"/>
      <c r="H100" s="135">
        <v>1</v>
      </c>
      <c r="I100" s="46" t="e">
        <f t="shared" si="18"/>
        <v>#VALUE!</v>
      </c>
      <c r="J100" s="41" t="e">
        <f t="shared" si="24"/>
        <v>#VALUE!</v>
      </c>
      <c r="K100" s="41" t="e">
        <f t="shared" si="31"/>
        <v>#VALUE!</v>
      </c>
      <c r="L100" s="41" t="e">
        <f t="shared" si="31"/>
        <v>#VALUE!</v>
      </c>
      <c r="M100" s="41" t="e">
        <f t="shared" si="19"/>
        <v>#VALUE!</v>
      </c>
      <c r="N100" s="41" t="e">
        <f t="shared" si="20"/>
        <v>#VALUE!</v>
      </c>
      <c r="O100" s="41">
        <f t="shared" si="21"/>
        <v>0</v>
      </c>
      <c r="Q100" s="44" t="e">
        <f t="shared" si="22"/>
        <v>#VALUE!</v>
      </c>
      <c r="R100" s="44" t="e">
        <f t="shared" si="25"/>
        <v>#VALUE!</v>
      </c>
      <c r="S100" s="44" t="e">
        <f t="shared" si="23"/>
        <v>#VALUE!</v>
      </c>
      <c r="T100" s="41" t="e">
        <f t="shared" si="26"/>
        <v>#VALUE!</v>
      </c>
      <c r="U100" s="41" t="e">
        <f t="shared" si="27"/>
        <v>#VALUE!</v>
      </c>
      <c r="V100" s="41" t="e">
        <f t="shared" si="28"/>
        <v>#VALUE!</v>
      </c>
      <c r="AC100" s="47"/>
    </row>
    <row r="101" spans="2:29" x14ac:dyDescent="0.25">
      <c r="B101" s="41" t="b">
        <f t="shared" si="29"/>
        <v>0</v>
      </c>
      <c r="C101" s="41" t="e">
        <f t="shared" si="30"/>
        <v>#VALUE!</v>
      </c>
      <c r="E101" s="45">
        <v>98</v>
      </c>
      <c r="G101" s="138"/>
      <c r="H101" s="135">
        <v>1</v>
      </c>
      <c r="I101" s="46" t="e">
        <f t="shared" si="18"/>
        <v>#VALUE!</v>
      </c>
      <c r="J101" s="41" t="e">
        <f t="shared" si="24"/>
        <v>#VALUE!</v>
      </c>
      <c r="K101" s="41" t="e">
        <f t="shared" si="31"/>
        <v>#VALUE!</v>
      </c>
      <c r="L101" s="41" t="e">
        <f t="shared" si="31"/>
        <v>#VALUE!</v>
      </c>
      <c r="M101" s="41" t="e">
        <f t="shared" si="19"/>
        <v>#VALUE!</v>
      </c>
      <c r="N101" s="41" t="e">
        <f t="shared" si="20"/>
        <v>#VALUE!</v>
      </c>
      <c r="O101" s="41">
        <f t="shared" si="21"/>
        <v>0</v>
      </c>
      <c r="Q101" s="44" t="e">
        <f t="shared" si="22"/>
        <v>#VALUE!</v>
      </c>
      <c r="R101" s="44" t="e">
        <f t="shared" si="25"/>
        <v>#VALUE!</v>
      </c>
      <c r="S101" s="44" t="e">
        <f t="shared" si="23"/>
        <v>#VALUE!</v>
      </c>
      <c r="T101" s="41" t="e">
        <f t="shared" si="26"/>
        <v>#VALUE!</v>
      </c>
      <c r="U101" s="41" t="e">
        <f t="shared" si="27"/>
        <v>#VALUE!</v>
      </c>
      <c r="V101" s="41" t="e">
        <f t="shared" si="28"/>
        <v>#VALUE!</v>
      </c>
      <c r="AC101" s="47"/>
    </row>
    <row r="102" spans="2:29" x14ac:dyDescent="0.25">
      <c r="B102" s="41" t="b">
        <f t="shared" si="29"/>
        <v>0</v>
      </c>
      <c r="C102" s="41" t="e">
        <f t="shared" si="30"/>
        <v>#VALUE!</v>
      </c>
      <c r="E102" s="45">
        <v>99</v>
      </c>
      <c r="G102" s="138"/>
      <c r="H102" s="135">
        <v>1</v>
      </c>
      <c r="I102" s="46" t="e">
        <f t="shared" si="18"/>
        <v>#VALUE!</v>
      </c>
      <c r="J102" s="41" t="e">
        <f t="shared" si="24"/>
        <v>#VALUE!</v>
      </c>
      <c r="K102" s="41" t="e">
        <f t="shared" si="31"/>
        <v>#VALUE!</v>
      </c>
      <c r="L102" s="41" t="e">
        <f t="shared" si="31"/>
        <v>#VALUE!</v>
      </c>
      <c r="M102" s="41" t="e">
        <f t="shared" si="19"/>
        <v>#VALUE!</v>
      </c>
      <c r="N102" s="41" t="e">
        <f t="shared" si="20"/>
        <v>#VALUE!</v>
      </c>
      <c r="O102" s="41">
        <f t="shared" si="21"/>
        <v>0</v>
      </c>
      <c r="Q102" s="44" t="e">
        <f t="shared" si="22"/>
        <v>#VALUE!</v>
      </c>
      <c r="R102" s="44" t="e">
        <f t="shared" si="25"/>
        <v>#VALUE!</v>
      </c>
      <c r="S102" s="44" t="e">
        <f t="shared" si="23"/>
        <v>#VALUE!</v>
      </c>
      <c r="T102" s="41" t="e">
        <f t="shared" si="26"/>
        <v>#VALUE!</v>
      </c>
      <c r="U102" s="41" t="e">
        <f t="shared" si="27"/>
        <v>#VALUE!</v>
      </c>
      <c r="V102" s="41" t="e">
        <f t="shared" si="28"/>
        <v>#VALUE!</v>
      </c>
      <c r="AC102" s="47"/>
    </row>
    <row r="103" spans="2:29" x14ac:dyDescent="0.25">
      <c r="B103" s="41" t="b">
        <f t="shared" si="29"/>
        <v>0</v>
      </c>
      <c r="C103" s="41" t="e">
        <f t="shared" si="30"/>
        <v>#VALUE!</v>
      </c>
      <c r="E103" s="45">
        <v>100</v>
      </c>
      <c r="G103" s="138"/>
      <c r="H103" s="135">
        <v>1</v>
      </c>
      <c r="I103" s="46" t="e">
        <f t="shared" si="18"/>
        <v>#VALUE!</v>
      </c>
      <c r="J103" s="41" t="e">
        <f t="shared" si="24"/>
        <v>#VALUE!</v>
      </c>
      <c r="K103" s="41" t="e">
        <f t="shared" si="31"/>
        <v>#VALUE!</v>
      </c>
      <c r="L103" s="41" t="e">
        <f t="shared" si="31"/>
        <v>#VALUE!</v>
      </c>
      <c r="M103" s="41" t="e">
        <f t="shared" si="19"/>
        <v>#VALUE!</v>
      </c>
      <c r="N103" s="41" t="e">
        <f t="shared" si="20"/>
        <v>#VALUE!</v>
      </c>
      <c r="O103" s="41">
        <f t="shared" si="21"/>
        <v>0</v>
      </c>
      <c r="Q103" s="44" t="e">
        <f t="shared" si="22"/>
        <v>#VALUE!</v>
      </c>
      <c r="R103" s="44" t="e">
        <f t="shared" si="25"/>
        <v>#VALUE!</v>
      </c>
      <c r="S103" s="44" t="e">
        <f t="shared" si="23"/>
        <v>#VALUE!</v>
      </c>
      <c r="T103" s="41" t="e">
        <f t="shared" si="26"/>
        <v>#VALUE!</v>
      </c>
      <c r="U103" s="41" t="e">
        <f t="shared" si="27"/>
        <v>#VALUE!</v>
      </c>
      <c r="V103" s="41" t="e">
        <f t="shared" si="28"/>
        <v>#VALUE!</v>
      </c>
      <c r="AC103" s="47"/>
    </row>
    <row r="104" spans="2:29" x14ac:dyDescent="0.25">
      <c r="B104" s="41" t="b">
        <f t="shared" si="29"/>
        <v>0</v>
      </c>
      <c r="C104" s="41" t="e">
        <f t="shared" si="30"/>
        <v>#VALUE!</v>
      </c>
      <c r="E104" s="45">
        <v>101</v>
      </c>
      <c r="G104" s="138"/>
      <c r="H104" s="135">
        <v>1</v>
      </c>
      <c r="I104" s="46" t="e">
        <f t="shared" si="18"/>
        <v>#VALUE!</v>
      </c>
      <c r="J104" s="41" t="e">
        <f t="shared" si="24"/>
        <v>#VALUE!</v>
      </c>
      <c r="K104" s="41" t="e">
        <f t="shared" si="31"/>
        <v>#VALUE!</v>
      </c>
      <c r="L104" s="41" t="e">
        <f t="shared" si="31"/>
        <v>#VALUE!</v>
      </c>
      <c r="M104" s="41" t="e">
        <f t="shared" si="19"/>
        <v>#VALUE!</v>
      </c>
      <c r="N104" s="41" t="e">
        <f t="shared" si="20"/>
        <v>#VALUE!</v>
      </c>
      <c r="O104" s="41">
        <f t="shared" si="21"/>
        <v>0</v>
      </c>
      <c r="Q104" s="44" t="e">
        <f t="shared" si="22"/>
        <v>#VALUE!</v>
      </c>
      <c r="R104" s="44" t="e">
        <f t="shared" si="25"/>
        <v>#VALUE!</v>
      </c>
      <c r="S104" s="44" t="e">
        <f t="shared" si="23"/>
        <v>#VALUE!</v>
      </c>
      <c r="T104" s="41" t="e">
        <f t="shared" si="26"/>
        <v>#VALUE!</v>
      </c>
      <c r="U104" s="41" t="e">
        <f t="shared" si="27"/>
        <v>#VALUE!</v>
      </c>
      <c r="V104" s="41" t="e">
        <f t="shared" si="28"/>
        <v>#VALUE!</v>
      </c>
      <c r="AC104" s="47"/>
    </row>
    <row r="105" spans="2:29" x14ac:dyDescent="0.25">
      <c r="B105" s="41" t="b">
        <f t="shared" si="29"/>
        <v>0</v>
      </c>
      <c r="C105" s="41" t="e">
        <f t="shared" si="30"/>
        <v>#VALUE!</v>
      </c>
      <c r="E105" s="45">
        <v>102</v>
      </c>
      <c r="G105" s="138"/>
      <c r="H105" s="135">
        <v>1</v>
      </c>
      <c r="I105" s="46" t="e">
        <f t="shared" si="18"/>
        <v>#VALUE!</v>
      </c>
      <c r="J105" s="41" t="e">
        <f t="shared" si="24"/>
        <v>#VALUE!</v>
      </c>
      <c r="K105" s="41" t="e">
        <f t="shared" si="31"/>
        <v>#VALUE!</v>
      </c>
      <c r="L105" s="41" t="e">
        <f t="shared" si="31"/>
        <v>#VALUE!</v>
      </c>
      <c r="M105" s="41" t="e">
        <f t="shared" si="19"/>
        <v>#VALUE!</v>
      </c>
      <c r="N105" s="41" t="e">
        <f t="shared" si="20"/>
        <v>#VALUE!</v>
      </c>
      <c r="O105" s="41">
        <f t="shared" si="21"/>
        <v>0</v>
      </c>
      <c r="Q105" s="44" t="e">
        <f t="shared" si="22"/>
        <v>#VALUE!</v>
      </c>
      <c r="R105" s="44" t="e">
        <f t="shared" si="25"/>
        <v>#VALUE!</v>
      </c>
      <c r="S105" s="44" t="e">
        <f t="shared" si="23"/>
        <v>#VALUE!</v>
      </c>
      <c r="T105" s="41" t="e">
        <f t="shared" si="26"/>
        <v>#VALUE!</v>
      </c>
      <c r="U105" s="41" t="e">
        <f t="shared" si="27"/>
        <v>#VALUE!</v>
      </c>
      <c r="V105" s="41" t="e">
        <f t="shared" si="28"/>
        <v>#VALUE!</v>
      </c>
      <c r="AC105" s="47"/>
    </row>
    <row r="106" spans="2:29" x14ac:dyDescent="0.25">
      <c r="B106" s="41" t="b">
        <f t="shared" si="29"/>
        <v>0</v>
      </c>
      <c r="C106" s="41" t="e">
        <f t="shared" si="30"/>
        <v>#VALUE!</v>
      </c>
      <c r="E106" s="45">
        <v>103</v>
      </c>
      <c r="G106" s="138"/>
      <c r="H106" s="135">
        <v>1</v>
      </c>
      <c r="I106" s="46" t="e">
        <f t="shared" si="18"/>
        <v>#VALUE!</v>
      </c>
      <c r="J106" s="41" t="e">
        <f t="shared" si="24"/>
        <v>#VALUE!</v>
      </c>
      <c r="K106" s="41" t="e">
        <f t="shared" si="31"/>
        <v>#VALUE!</v>
      </c>
      <c r="L106" s="41" t="e">
        <f t="shared" si="31"/>
        <v>#VALUE!</v>
      </c>
      <c r="M106" s="41" t="e">
        <f t="shared" si="19"/>
        <v>#VALUE!</v>
      </c>
      <c r="N106" s="41" t="e">
        <f t="shared" si="20"/>
        <v>#VALUE!</v>
      </c>
      <c r="O106" s="41">
        <f t="shared" si="21"/>
        <v>0</v>
      </c>
      <c r="Q106" s="44" t="e">
        <f t="shared" si="22"/>
        <v>#VALUE!</v>
      </c>
      <c r="R106" s="44" t="e">
        <f t="shared" si="25"/>
        <v>#VALUE!</v>
      </c>
      <c r="S106" s="44" t="e">
        <f t="shared" si="23"/>
        <v>#VALUE!</v>
      </c>
      <c r="T106" s="41" t="e">
        <f t="shared" si="26"/>
        <v>#VALUE!</v>
      </c>
      <c r="U106" s="41" t="e">
        <f t="shared" si="27"/>
        <v>#VALUE!</v>
      </c>
      <c r="V106" s="41" t="e">
        <f t="shared" si="28"/>
        <v>#VALUE!</v>
      </c>
      <c r="AC106" s="47"/>
    </row>
    <row r="107" spans="2:29" x14ac:dyDescent="0.25">
      <c r="B107" s="41" t="b">
        <f t="shared" si="29"/>
        <v>0</v>
      </c>
      <c r="C107" s="41" t="e">
        <f t="shared" si="30"/>
        <v>#VALUE!</v>
      </c>
      <c r="E107" s="45">
        <v>104</v>
      </c>
      <c r="G107" s="138"/>
      <c r="H107" s="135">
        <v>1</v>
      </c>
      <c r="I107" s="46" t="e">
        <f t="shared" si="18"/>
        <v>#VALUE!</v>
      </c>
      <c r="J107" s="41" t="e">
        <f t="shared" si="24"/>
        <v>#VALUE!</v>
      </c>
      <c r="K107" s="41" t="e">
        <f t="shared" si="31"/>
        <v>#VALUE!</v>
      </c>
      <c r="L107" s="41" t="e">
        <f t="shared" si="31"/>
        <v>#VALUE!</v>
      </c>
      <c r="M107" s="41" t="e">
        <f t="shared" si="19"/>
        <v>#VALUE!</v>
      </c>
      <c r="N107" s="41" t="e">
        <f t="shared" si="20"/>
        <v>#VALUE!</v>
      </c>
      <c r="O107" s="41">
        <f t="shared" si="21"/>
        <v>0</v>
      </c>
      <c r="Q107" s="44" t="e">
        <f t="shared" si="22"/>
        <v>#VALUE!</v>
      </c>
      <c r="R107" s="44" t="e">
        <f t="shared" si="25"/>
        <v>#VALUE!</v>
      </c>
      <c r="S107" s="44" t="e">
        <f t="shared" si="23"/>
        <v>#VALUE!</v>
      </c>
      <c r="T107" s="41" t="e">
        <f t="shared" si="26"/>
        <v>#VALUE!</v>
      </c>
      <c r="U107" s="41" t="e">
        <f t="shared" si="27"/>
        <v>#VALUE!</v>
      </c>
      <c r="V107" s="41" t="e">
        <f t="shared" si="28"/>
        <v>#VALUE!</v>
      </c>
      <c r="AC107" s="47"/>
    </row>
    <row r="108" spans="2:29" x14ac:dyDescent="0.25">
      <c r="B108" s="41" t="b">
        <f t="shared" si="29"/>
        <v>0</v>
      </c>
      <c r="C108" s="41" t="e">
        <f t="shared" si="30"/>
        <v>#VALUE!</v>
      </c>
      <c r="E108" s="45">
        <v>105</v>
      </c>
      <c r="G108" s="138"/>
      <c r="H108" s="135">
        <v>1</v>
      </c>
      <c r="I108" s="46" t="e">
        <f t="shared" si="18"/>
        <v>#VALUE!</v>
      </c>
      <c r="J108" s="41" t="e">
        <f t="shared" si="24"/>
        <v>#VALUE!</v>
      </c>
      <c r="K108" s="41" t="e">
        <f t="shared" si="31"/>
        <v>#VALUE!</v>
      </c>
      <c r="L108" s="41" t="e">
        <f t="shared" si="31"/>
        <v>#VALUE!</v>
      </c>
      <c r="M108" s="41" t="e">
        <f t="shared" si="19"/>
        <v>#VALUE!</v>
      </c>
      <c r="N108" s="41" t="e">
        <f t="shared" si="20"/>
        <v>#VALUE!</v>
      </c>
      <c r="O108" s="41">
        <f t="shared" si="21"/>
        <v>0</v>
      </c>
      <c r="Q108" s="44" t="e">
        <f t="shared" si="22"/>
        <v>#VALUE!</v>
      </c>
      <c r="R108" s="44" t="e">
        <f t="shared" si="25"/>
        <v>#VALUE!</v>
      </c>
      <c r="S108" s="44" t="e">
        <f t="shared" si="23"/>
        <v>#VALUE!</v>
      </c>
      <c r="T108" s="41" t="e">
        <f t="shared" si="26"/>
        <v>#VALUE!</v>
      </c>
      <c r="U108" s="41" t="e">
        <f t="shared" si="27"/>
        <v>#VALUE!</v>
      </c>
      <c r="V108" s="41" t="e">
        <f t="shared" si="28"/>
        <v>#VALUE!</v>
      </c>
      <c r="AC108" s="47"/>
    </row>
    <row r="109" spans="2:29" x14ac:dyDescent="0.25">
      <c r="B109" s="41" t="b">
        <f t="shared" si="29"/>
        <v>0</v>
      </c>
      <c r="C109" s="41" t="e">
        <f t="shared" si="30"/>
        <v>#VALUE!</v>
      </c>
      <c r="E109" s="45">
        <v>106</v>
      </c>
      <c r="G109" s="138"/>
      <c r="H109" s="135">
        <v>1</v>
      </c>
      <c r="I109" s="46" t="e">
        <f t="shared" si="18"/>
        <v>#VALUE!</v>
      </c>
      <c r="J109" s="41" t="e">
        <f t="shared" si="24"/>
        <v>#VALUE!</v>
      </c>
      <c r="K109" s="41" t="e">
        <f t="shared" si="31"/>
        <v>#VALUE!</v>
      </c>
      <c r="L109" s="41" t="e">
        <f t="shared" si="31"/>
        <v>#VALUE!</v>
      </c>
      <c r="M109" s="41" t="e">
        <f t="shared" si="19"/>
        <v>#VALUE!</v>
      </c>
      <c r="N109" s="41" t="e">
        <f t="shared" si="20"/>
        <v>#VALUE!</v>
      </c>
      <c r="O109" s="41">
        <f t="shared" si="21"/>
        <v>0</v>
      </c>
      <c r="Q109" s="44" t="e">
        <f t="shared" si="22"/>
        <v>#VALUE!</v>
      </c>
      <c r="R109" s="44" t="e">
        <f t="shared" si="25"/>
        <v>#VALUE!</v>
      </c>
      <c r="S109" s="44" t="e">
        <f t="shared" si="23"/>
        <v>#VALUE!</v>
      </c>
      <c r="T109" s="41" t="e">
        <f t="shared" si="26"/>
        <v>#VALUE!</v>
      </c>
      <c r="U109" s="41" t="e">
        <f t="shared" si="27"/>
        <v>#VALUE!</v>
      </c>
      <c r="V109" s="41" t="e">
        <f t="shared" si="28"/>
        <v>#VALUE!</v>
      </c>
      <c r="AC109" s="47"/>
    </row>
    <row r="110" spans="2:29" x14ac:dyDescent="0.25">
      <c r="B110" s="41" t="b">
        <f t="shared" si="29"/>
        <v>0</v>
      </c>
      <c r="C110" s="41" t="e">
        <f t="shared" si="30"/>
        <v>#VALUE!</v>
      </c>
      <c r="E110" s="45">
        <v>107</v>
      </c>
      <c r="G110" s="138"/>
      <c r="H110" s="135">
        <v>1</v>
      </c>
      <c r="I110" s="46" t="e">
        <f t="shared" si="18"/>
        <v>#VALUE!</v>
      </c>
      <c r="J110" s="41" t="e">
        <f t="shared" si="24"/>
        <v>#VALUE!</v>
      </c>
      <c r="K110" s="41" t="e">
        <f t="shared" si="31"/>
        <v>#VALUE!</v>
      </c>
      <c r="L110" s="41" t="e">
        <f t="shared" si="31"/>
        <v>#VALUE!</v>
      </c>
      <c r="M110" s="41" t="e">
        <f t="shared" si="19"/>
        <v>#VALUE!</v>
      </c>
      <c r="N110" s="41" t="e">
        <f t="shared" si="20"/>
        <v>#VALUE!</v>
      </c>
      <c r="O110" s="41">
        <f t="shared" si="21"/>
        <v>0</v>
      </c>
      <c r="Q110" s="44" t="e">
        <f t="shared" si="22"/>
        <v>#VALUE!</v>
      </c>
      <c r="R110" s="44" t="e">
        <f t="shared" si="25"/>
        <v>#VALUE!</v>
      </c>
      <c r="S110" s="44" t="e">
        <f t="shared" si="23"/>
        <v>#VALUE!</v>
      </c>
      <c r="T110" s="41" t="e">
        <f t="shared" si="26"/>
        <v>#VALUE!</v>
      </c>
      <c r="U110" s="41" t="e">
        <f t="shared" si="27"/>
        <v>#VALUE!</v>
      </c>
      <c r="V110" s="41" t="e">
        <f t="shared" si="28"/>
        <v>#VALUE!</v>
      </c>
      <c r="AC110" s="47"/>
    </row>
    <row r="111" spans="2:29" x14ac:dyDescent="0.25">
      <c r="B111" s="41" t="b">
        <f t="shared" si="29"/>
        <v>0</v>
      </c>
      <c r="C111" s="41" t="e">
        <f t="shared" si="30"/>
        <v>#VALUE!</v>
      </c>
      <c r="E111" s="45">
        <v>108</v>
      </c>
      <c r="G111" s="138"/>
      <c r="H111" s="135">
        <v>1</v>
      </c>
      <c r="I111" s="46" t="e">
        <f t="shared" si="18"/>
        <v>#VALUE!</v>
      </c>
      <c r="J111" s="41" t="e">
        <f t="shared" si="24"/>
        <v>#VALUE!</v>
      </c>
      <c r="K111" s="41" t="e">
        <f t="shared" si="31"/>
        <v>#VALUE!</v>
      </c>
      <c r="L111" s="41" t="e">
        <f t="shared" si="31"/>
        <v>#VALUE!</v>
      </c>
      <c r="M111" s="41" t="e">
        <f t="shared" si="19"/>
        <v>#VALUE!</v>
      </c>
      <c r="N111" s="41" t="e">
        <f t="shared" si="20"/>
        <v>#VALUE!</v>
      </c>
      <c r="O111" s="41">
        <f t="shared" si="21"/>
        <v>0</v>
      </c>
      <c r="Q111" s="44" t="e">
        <f t="shared" si="22"/>
        <v>#VALUE!</v>
      </c>
      <c r="R111" s="44" t="e">
        <f t="shared" si="25"/>
        <v>#VALUE!</v>
      </c>
      <c r="S111" s="44" t="e">
        <f t="shared" si="23"/>
        <v>#VALUE!</v>
      </c>
      <c r="T111" s="41" t="e">
        <f t="shared" si="26"/>
        <v>#VALUE!</v>
      </c>
      <c r="U111" s="41" t="e">
        <f t="shared" si="27"/>
        <v>#VALUE!</v>
      </c>
      <c r="V111" s="41" t="e">
        <f t="shared" si="28"/>
        <v>#VALUE!</v>
      </c>
      <c r="AC111" s="47"/>
    </row>
    <row r="112" spans="2:29" x14ac:dyDescent="0.25">
      <c r="B112" s="41" t="b">
        <f t="shared" si="29"/>
        <v>0</v>
      </c>
      <c r="C112" s="41" t="e">
        <f t="shared" si="30"/>
        <v>#VALUE!</v>
      </c>
      <c r="E112" s="45">
        <v>109</v>
      </c>
      <c r="G112" s="138"/>
      <c r="H112" s="135">
        <v>1</v>
      </c>
      <c r="I112" s="46" t="e">
        <f t="shared" si="18"/>
        <v>#VALUE!</v>
      </c>
      <c r="J112" s="41" t="e">
        <f t="shared" si="24"/>
        <v>#VALUE!</v>
      </c>
      <c r="K112" s="41" t="e">
        <f t="shared" si="31"/>
        <v>#VALUE!</v>
      </c>
      <c r="L112" s="41" t="e">
        <f t="shared" si="31"/>
        <v>#VALUE!</v>
      </c>
      <c r="M112" s="41" t="e">
        <f t="shared" si="19"/>
        <v>#VALUE!</v>
      </c>
      <c r="N112" s="41" t="e">
        <f t="shared" si="20"/>
        <v>#VALUE!</v>
      </c>
      <c r="O112" s="41">
        <f t="shared" si="21"/>
        <v>0</v>
      </c>
      <c r="Q112" s="44" t="e">
        <f t="shared" si="22"/>
        <v>#VALUE!</v>
      </c>
      <c r="R112" s="44" t="e">
        <f t="shared" si="25"/>
        <v>#VALUE!</v>
      </c>
      <c r="S112" s="44" t="e">
        <f t="shared" si="23"/>
        <v>#VALUE!</v>
      </c>
      <c r="T112" s="41" t="e">
        <f t="shared" si="26"/>
        <v>#VALUE!</v>
      </c>
      <c r="U112" s="41" t="e">
        <f t="shared" si="27"/>
        <v>#VALUE!</v>
      </c>
      <c r="V112" s="41" t="e">
        <f t="shared" si="28"/>
        <v>#VALUE!</v>
      </c>
      <c r="AC112" s="47"/>
    </row>
    <row r="113" spans="2:29" x14ac:dyDescent="0.25">
      <c r="B113" s="41" t="b">
        <f t="shared" si="29"/>
        <v>0</v>
      </c>
      <c r="C113" s="41" t="e">
        <f t="shared" si="30"/>
        <v>#VALUE!</v>
      </c>
      <c r="E113" s="45">
        <v>110</v>
      </c>
      <c r="G113" s="138"/>
      <c r="H113" s="135">
        <v>1</v>
      </c>
      <c r="I113" s="46" t="e">
        <f t="shared" si="18"/>
        <v>#VALUE!</v>
      </c>
      <c r="J113" s="41" t="e">
        <f t="shared" si="24"/>
        <v>#VALUE!</v>
      </c>
      <c r="K113" s="41" t="e">
        <f t="shared" si="31"/>
        <v>#VALUE!</v>
      </c>
      <c r="L113" s="41" t="e">
        <f t="shared" si="31"/>
        <v>#VALUE!</v>
      </c>
      <c r="M113" s="41" t="e">
        <f t="shared" si="19"/>
        <v>#VALUE!</v>
      </c>
      <c r="N113" s="41" t="e">
        <f t="shared" si="20"/>
        <v>#VALUE!</v>
      </c>
      <c r="O113" s="41">
        <f t="shared" si="21"/>
        <v>0</v>
      </c>
      <c r="Q113" s="44" t="e">
        <f t="shared" si="22"/>
        <v>#VALUE!</v>
      </c>
      <c r="R113" s="44" t="e">
        <f t="shared" si="25"/>
        <v>#VALUE!</v>
      </c>
      <c r="S113" s="44" t="e">
        <f t="shared" si="23"/>
        <v>#VALUE!</v>
      </c>
      <c r="T113" s="41" t="e">
        <f t="shared" si="26"/>
        <v>#VALUE!</v>
      </c>
      <c r="U113" s="41" t="e">
        <f t="shared" si="27"/>
        <v>#VALUE!</v>
      </c>
      <c r="V113" s="41" t="e">
        <f t="shared" si="28"/>
        <v>#VALUE!</v>
      </c>
      <c r="AC113" s="47"/>
    </row>
    <row r="114" spans="2:29" x14ac:dyDescent="0.25">
      <c r="B114" s="41" t="b">
        <f t="shared" si="29"/>
        <v>0</v>
      </c>
      <c r="C114" s="41" t="e">
        <f t="shared" si="30"/>
        <v>#VALUE!</v>
      </c>
      <c r="E114" s="45">
        <v>111</v>
      </c>
      <c r="G114" s="138"/>
      <c r="H114" s="135">
        <v>1</v>
      </c>
      <c r="I114" s="46" t="e">
        <f t="shared" si="18"/>
        <v>#VALUE!</v>
      </c>
      <c r="J114" s="41" t="e">
        <f t="shared" si="24"/>
        <v>#VALUE!</v>
      </c>
      <c r="K114" s="41" t="e">
        <f t="shared" si="31"/>
        <v>#VALUE!</v>
      </c>
      <c r="L114" s="41" t="e">
        <f t="shared" si="31"/>
        <v>#VALUE!</v>
      </c>
      <c r="M114" s="41" t="e">
        <f t="shared" si="19"/>
        <v>#VALUE!</v>
      </c>
      <c r="N114" s="41" t="e">
        <f t="shared" si="20"/>
        <v>#VALUE!</v>
      </c>
      <c r="O114" s="41">
        <f t="shared" si="21"/>
        <v>0</v>
      </c>
      <c r="Q114" s="44" t="e">
        <f t="shared" si="22"/>
        <v>#VALUE!</v>
      </c>
      <c r="R114" s="44" t="e">
        <f t="shared" si="25"/>
        <v>#VALUE!</v>
      </c>
      <c r="S114" s="44" t="e">
        <f t="shared" si="23"/>
        <v>#VALUE!</v>
      </c>
      <c r="T114" s="41" t="e">
        <f t="shared" si="26"/>
        <v>#VALUE!</v>
      </c>
      <c r="U114" s="41" t="e">
        <f t="shared" si="27"/>
        <v>#VALUE!</v>
      </c>
      <c r="V114" s="41" t="e">
        <f t="shared" si="28"/>
        <v>#VALUE!</v>
      </c>
      <c r="AC114" s="47"/>
    </row>
    <row r="115" spans="2:29" x14ac:dyDescent="0.25">
      <c r="B115" s="41" t="b">
        <f t="shared" si="29"/>
        <v>0</v>
      </c>
      <c r="C115" s="41" t="e">
        <f t="shared" si="30"/>
        <v>#VALUE!</v>
      </c>
      <c r="E115" s="45">
        <v>112</v>
      </c>
      <c r="G115" s="138"/>
      <c r="H115" s="135">
        <v>1</v>
      </c>
      <c r="I115" s="46" t="e">
        <f t="shared" si="18"/>
        <v>#VALUE!</v>
      </c>
      <c r="J115" s="41" t="e">
        <f t="shared" si="24"/>
        <v>#VALUE!</v>
      </c>
      <c r="K115" s="41" t="e">
        <f t="shared" si="31"/>
        <v>#VALUE!</v>
      </c>
      <c r="L115" s="41" t="e">
        <f t="shared" si="31"/>
        <v>#VALUE!</v>
      </c>
      <c r="M115" s="41" t="e">
        <f t="shared" si="19"/>
        <v>#VALUE!</v>
      </c>
      <c r="N115" s="41" t="e">
        <f t="shared" si="20"/>
        <v>#VALUE!</v>
      </c>
      <c r="O115" s="41">
        <f t="shared" si="21"/>
        <v>0</v>
      </c>
      <c r="Q115" s="44" t="e">
        <f t="shared" si="22"/>
        <v>#VALUE!</v>
      </c>
      <c r="R115" s="44" t="e">
        <f t="shared" si="25"/>
        <v>#VALUE!</v>
      </c>
      <c r="S115" s="44" t="e">
        <f t="shared" si="23"/>
        <v>#VALUE!</v>
      </c>
      <c r="T115" s="41" t="e">
        <f t="shared" si="26"/>
        <v>#VALUE!</v>
      </c>
      <c r="U115" s="41" t="e">
        <f t="shared" si="27"/>
        <v>#VALUE!</v>
      </c>
      <c r="V115" s="41" t="e">
        <f t="shared" si="28"/>
        <v>#VALUE!</v>
      </c>
      <c r="AC115" s="47"/>
    </row>
    <row r="116" spans="2:29" x14ac:dyDescent="0.25">
      <c r="B116" s="41" t="b">
        <f t="shared" si="29"/>
        <v>0</v>
      </c>
      <c r="C116" s="41" t="e">
        <f t="shared" si="30"/>
        <v>#VALUE!</v>
      </c>
      <c r="E116" s="45">
        <v>113</v>
      </c>
      <c r="G116" s="138"/>
      <c r="H116" s="135">
        <v>1</v>
      </c>
      <c r="I116" s="46" t="e">
        <f t="shared" si="18"/>
        <v>#VALUE!</v>
      </c>
      <c r="J116" s="41" t="e">
        <f t="shared" si="24"/>
        <v>#VALUE!</v>
      </c>
      <c r="K116" s="41" t="e">
        <f t="shared" si="31"/>
        <v>#VALUE!</v>
      </c>
      <c r="L116" s="41" t="e">
        <f t="shared" si="31"/>
        <v>#VALUE!</v>
      </c>
      <c r="M116" s="41" t="e">
        <f t="shared" si="19"/>
        <v>#VALUE!</v>
      </c>
      <c r="N116" s="41" t="e">
        <f t="shared" si="20"/>
        <v>#VALUE!</v>
      </c>
      <c r="O116" s="41">
        <f t="shared" si="21"/>
        <v>0</v>
      </c>
      <c r="Q116" s="44" t="e">
        <f t="shared" si="22"/>
        <v>#VALUE!</v>
      </c>
      <c r="R116" s="44" t="e">
        <f t="shared" si="25"/>
        <v>#VALUE!</v>
      </c>
      <c r="S116" s="44" t="e">
        <f t="shared" si="23"/>
        <v>#VALUE!</v>
      </c>
      <c r="T116" s="41" t="e">
        <f t="shared" si="26"/>
        <v>#VALUE!</v>
      </c>
      <c r="U116" s="41" t="e">
        <f t="shared" si="27"/>
        <v>#VALUE!</v>
      </c>
      <c r="V116" s="41" t="e">
        <f t="shared" si="28"/>
        <v>#VALUE!</v>
      </c>
      <c r="AC116" s="47"/>
    </row>
    <row r="117" spans="2:29" x14ac:dyDescent="0.25">
      <c r="B117" s="41" t="b">
        <f t="shared" si="29"/>
        <v>0</v>
      </c>
      <c r="C117" s="41" t="e">
        <f t="shared" si="30"/>
        <v>#VALUE!</v>
      </c>
      <c r="E117" s="45">
        <v>114</v>
      </c>
      <c r="G117" s="138"/>
      <c r="H117" s="135">
        <v>1</v>
      </c>
      <c r="I117" s="46" t="e">
        <f t="shared" si="18"/>
        <v>#VALUE!</v>
      </c>
      <c r="J117" s="41" t="e">
        <f t="shared" si="24"/>
        <v>#VALUE!</v>
      </c>
      <c r="K117" s="41" t="e">
        <f t="shared" si="31"/>
        <v>#VALUE!</v>
      </c>
      <c r="L117" s="41" t="e">
        <f t="shared" si="31"/>
        <v>#VALUE!</v>
      </c>
      <c r="M117" s="41" t="e">
        <f t="shared" si="19"/>
        <v>#VALUE!</v>
      </c>
      <c r="N117" s="41" t="e">
        <f t="shared" si="20"/>
        <v>#VALUE!</v>
      </c>
      <c r="O117" s="41">
        <f t="shared" si="21"/>
        <v>0</v>
      </c>
      <c r="Q117" s="44" t="e">
        <f t="shared" si="22"/>
        <v>#VALUE!</v>
      </c>
      <c r="R117" s="44" t="e">
        <f t="shared" si="25"/>
        <v>#VALUE!</v>
      </c>
      <c r="S117" s="44" t="e">
        <f t="shared" si="23"/>
        <v>#VALUE!</v>
      </c>
      <c r="T117" s="41" t="e">
        <f t="shared" si="26"/>
        <v>#VALUE!</v>
      </c>
      <c r="U117" s="41" t="e">
        <f t="shared" si="27"/>
        <v>#VALUE!</v>
      </c>
      <c r="V117" s="41" t="e">
        <f t="shared" si="28"/>
        <v>#VALUE!</v>
      </c>
      <c r="AC117" s="47"/>
    </row>
    <row r="118" spans="2:29" x14ac:dyDescent="0.25">
      <c r="B118" s="41" t="b">
        <f t="shared" si="29"/>
        <v>0</v>
      </c>
      <c r="C118" s="41" t="e">
        <f t="shared" si="30"/>
        <v>#VALUE!</v>
      </c>
      <c r="E118" s="45">
        <v>115</v>
      </c>
      <c r="G118" s="138"/>
      <c r="H118" s="135">
        <v>1</v>
      </c>
      <c r="I118" s="46" t="e">
        <f t="shared" si="18"/>
        <v>#VALUE!</v>
      </c>
      <c r="J118" s="41" t="e">
        <f t="shared" si="24"/>
        <v>#VALUE!</v>
      </c>
      <c r="K118" s="41" t="e">
        <f t="shared" si="31"/>
        <v>#VALUE!</v>
      </c>
      <c r="L118" s="41" t="e">
        <f t="shared" si="31"/>
        <v>#VALUE!</v>
      </c>
      <c r="M118" s="41" t="e">
        <f t="shared" si="19"/>
        <v>#VALUE!</v>
      </c>
      <c r="N118" s="41" t="e">
        <f t="shared" si="20"/>
        <v>#VALUE!</v>
      </c>
      <c r="O118" s="41">
        <f t="shared" si="21"/>
        <v>0</v>
      </c>
      <c r="Q118" s="44" t="e">
        <f t="shared" si="22"/>
        <v>#VALUE!</v>
      </c>
      <c r="R118" s="44" t="e">
        <f t="shared" si="25"/>
        <v>#VALUE!</v>
      </c>
      <c r="S118" s="44" t="e">
        <f t="shared" si="23"/>
        <v>#VALUE!</v>
      </c>
      <c r="T118" s="41" t="e">
        <f t="shared" si="26"/>
        <v>#VALUE!</v>
      </c>
      <c r="U118" s="41" t="e">
        <f t="shared" si="27"/>
        <v>#VALUE!</v>
      </c>
      <c r="V118" s="41" t="e">
        <f t="shared" si="28"/>
        <v>#VALUE!</v>
      </c>
      <c r="AC118" s="47"/>
    </row>
    <row r="119" spans="2:29" x14ac:dyDescent="0.25">
      <c r="B119" s="41" t="b">
        <f t="shared" si="29"/>
        <v>0</v>
      </c>
      <c r="C119" s="41" t="e">
        <f t="shared" si="30"/>
        <v>#VALUE!</v>
      </c>
      <c r="E119" s="45">
        <v>116</v>
      </c>
      <c r="G119" s="138"/>
      <c r="H119" s="135">
        <v>1</v>
      </c>
      <c r="I119" s="46" t="e">
        <f t="shared" si="18"/>
        <v>#VALUE!</v>
      </c>
      <c r="J119" s="41" t="e">
        <f t="shared" si="24"/>
        <v>#VALUE!</v>
      </c>
      <c r="K119" s="41" t="e">
        <f t="shared" si="31"/>
        <v>#VALUE!</v>
      </c>
      <c r="L119" s="41" t="e">
        <f t="shared" si="31"/>
        <v>#VALUE!</v>
      </c>
      <c r="M119" s="41" t="e">
        <f t="shared" si="19"/>
        <v>#VALUE!</v>
      </c>
      <c r="N119" s="41" t="e">
        <f t="shared" si="20"/>
        <v>#VALUE!</v>
      </c>
      <c r="O119" s="41">
        <f t="shared" si="21"/>
        <v>0</v>
      </c>
      <c r="Q119" s="44" t="e">
        <f t="shared" si="22"/>
        <v>#VALUE!</v>
      </c>
      <c r="R119" s="44" t="e">
        <f t="shared" si="25"/>
        <v>#VALUE!</v>
      </c>
      <c r="S119" s="44" t="e">
        <f t="shared" si="23"/>
        <v>#VALUE!</v>
      </c>
      <c r="T119" s="41" t="e">
        <f t="shared" si="26"/>
        <v>#VALUE!</v>
      </c>
      <c r="U119" s="41" t="e">
        <f t="shared" si="27"/>
        <v>#VALUE!</v>
      </c>
      <c r="V119" s="41" t="e">
        <f t="shared" si="28"/>
        <v>#VALUE!</v>
      </c>
      <c r="AC119" s="47"/>
    </row>
    <row r="120" spans="2:29" x14ac:dyDescent="0.25">
      <c r="B120" s="41" t="b">
        <f t="shared" si="29"/>
        <v>0</v>
      </c>
      <c r="C120" s="41" t="e">
        <f t="shared" si="30"/>
        <v>#VALUE!</v>
      </c>
      <c r="E120" s="45">
        <v>117</v>
      </c>
      <c r="G120" s="138"/>
      <c r="H120" s="135">
        <v>1</v>
      </c>
      <c r="I120" s="46" t="e">
        <f t="shared" si="18"/>
        <v>#VALUE!</v>
      </c>
      <c r="J120" s="41" t="e">
        <f t="shared" si="24"/>
        <v>#VALUE!</v>
      </c>
      <c r="K120" s="41" t="e">
        <f t="shared" si="31"/>
        <v>#VALUE!</v>
      </c>
      <c r="L120" s="41" t="e">
        <f t="shared" si="31"/>
        <v>#VALUE!</v>
      </c>
      <c r="M120" s="41" t="e">
        <f t="shared" si="19"/>
        <v>#VALUE!</v>
      </c>
      <c r="N120" s="41" t="e">
        <f t="shared" si="20"/>
        <v>#VALUE!</v>
      </c>
      <c r="O120" s="41">
        <f t="shared" si="21"/>
        <v>0</v>
      </c>
      <c r="Q120" s="44" t="e">
        <f t="shared" si="22"/>
        <v>#VALUE!</v>
      </c>
      <c r="R120" s="44" t="e">
        <f t="shared" si="25"/>
        <v>#VALUE!</v>
      </c>
      <c r="S120" s="44" t="e">
        <f t="shared" si="23"/>
        <v>#VALUE!</v>
      </c>
      <c r="T120" s="41" t="e">
        <f t="shared" si="26"/>
        <v>#VALUE!</v>
      </c>
      <c r="U120" s="41" t="e">
        <f t="shared" si="27"/>
        <v>#VALUE!</v>
      </c>
      <c r="V120" s="41" t="e">
        <f t="shared" si="28"/>
        <v>#VALUE!</v>
      </c>
      <c r="AC120" s="47"/>
    </row>
    <row r="121" spans="2:29" x14ac:dyDescent="0.25">
      <c r="B121" s="41" t="b">
        <f t="shared" si="29"/>
        <v>0</v>
      </c>
      <c r="C121" s="41" t="e">
        <f t="shared" si="30"/>
        <v>#VALUE!</v>
      </c>
      <c r="E121" s="45">
        <v>118</v>
      </c>
      <c r="G121" s="138"/>
      <c r="H121" s="135">
        <v>1</v>
      </c>
      <c r="I121" s="46" t="e">
        <f t="shared" si="18"/>
        <v>#VALUE!</v>
      </c>
      <c r="J121" s="41" t="e">
        <f t="shared" si="24"/>
        <v>#VALUE!</v>
      </c>
      <c r="K121" s="41" t="e">
        <f t="shared" si="31"/>
        <v>#VALUE!</v>
      </c>
      <c r="L121" s="41" t="e">
        <f t="shared" si="31"/>
        <v>#VALUE!</v>
      </c>
      <c r="M121" s="41" t="e">
        <f t="shared" si="19"/>
        <v>#VALUE!</v>
      </c>
      <c r="N121" s="41" t="e">
        <f t="shared" si="20"/>
        <v>#VALUE!</v>
      </c>
      <c r="O121" s="41">
        <f t="shared" si="21"/>
        <v>0</v>
      </c>
      <c r="Q121" s="44" t="e">
        <f t="shared" si="22"/>
        <v>#VALUE!</v>
      </c>
      <c r="R121" s="44" t="e">
        <f t="shared" si="25"/>
        <v>#VALUE!</v>
      </c>
      <c r="S121" s="44" t="e">
        <f t="shared" si="23"/>
        <v>#VALUE!</v>
      </c>
      <c r="T121" s="41" t="e">
        <f t="shared" si="26"/>
        <v>#VALUE!</v>
      </c>
      <c r="U121" s="41" t="e">
        <f t="shared" si="27"/>
        <v>#VALUE!</v>
      </c>
      <c r="V121" s="41" t="e">
        <f t="shared" si="28"/>
        <v>#VALUE!</v>
      </c>
      <c r="AC121" s="47"/>
    </row>
    <row r="122" spans="2:29" x14ac:dyDescent="0.25">
      <c r="B122" s="41" t="b">
        <f t="shared" si="29"/>
        <v>0</v>
      </c>
      <c r="C122" s="41" t="e">
        <f t="shared" si="30"/>
        <v>#VALUE!</v>
      </c>
      <c r="E122" s="45">
        <v>119</v>
      </c>
      <c r="G122" s="138"/>
      <c r="H122" s="135">
        <v>1</v>
      </c>
      <c r="I122" s="46" t="e">
        <f t="shared" si="18"/>
        <v>#VALUE!</v>
      </c>
      <c r="J122" s="41" t="e">
        <f t="shared" si="24"/>
        <v>#VALUE!</v>
      </c>
      <c r="K122" s="41" t="e">
        <f t="shared" si="31"/>
        <v>#VALUE!</v>
      </c>
      <c r="L122" s="41" t="e">
        <f t="shared" si="31"/>
        <v>#VALUE!</v>
      </c>
      <c r="M122" s="41" t="e">
        <f t="shared" si="19"/>
        <v>#VALUE!</v>
      </c>
      <c r="N122" s="41" t="e">
        <f t="shared" si="20"/>
        <v>#VALUE!</v>
      </c>
      <c r="O122" s="41">
        <f t="shared" si="21"/>
        <v>0</v>
      </c>
      <c r="Q122" s="44" t="e">
        <f t="shared" si="22"/>
        <v>#VALUE!</v>
      </c>
      <c r="R122" s="44" t="e">
        <f t="shared" si="25"/>
        <v>#VALUE!</v>
      </c>
      <c r="S122" s="44" t="e">
        <f t="shared" si="23"/>
        <v>#VALUE!</v>
      </c>
      <c r="T122" s="41" t="e">
        <f t="shared" si="26"/>
        <v>#VALUE!</v>
      </c>
      <c r="U122" s="41" t="e">
        <f t="shared" si="27"/>
        <v>#VALUE!</v>
      </c>
      <c r="V122" s="41" t="e">
        <f t="shared" si="28"/>
        <v>#VALUE!</v>
      </c>
      <c r="AC122" s="47"/>
    </row>
    <row r="123" spans="2:29" x14ac:dyDescent="0.25">
      <c r="B123" s="41" t="b">
        <f t="shared" si="29"/>
        <v>0</v>
      </c>
      <c r="C123" s="41" t="e">
        <f t="shared" si="30"/>
        <v>#VALUE!</v>
      </c>
      <c r="E123" s="45">
        <v>120</v>
      </c>
      <c r="G123" s="138"/>
      <c r="H123" s="135">
        <v>1</v>
      </c>
      <c r="I123" s="46" t="e">
        <f t="shared" si="18"/>
        <v>#VALUE!</v>
      </c>
      <c r="J123" s="41" t="e">
        <f t="shared" si="24"/>
        <v>#VALUE!</v>
      </c>
      <c r="K123" s="41" t="e">
        <f t="shared" si="31"/>
        <v>#VALUE!</v>
      </c>
      <c r="L123" s="41" t="e">
        <f t="shared" si="31"/>
        <v>#VALUE!</v>
      </c>
      <c r="M123" s="41" t="e">
        <f t="shared" si="19"/>
        <v>#VALUE!</v>
      </c>
      <c r="N123" s="41" t="e">
        <f t="shared" si="20"/>
        <v>#VALUE!</v>
      </c>
      <c r="O123" s="41">
        <f t="shared" si="21"/>
        <v>0</v>
      </c>
      <c r="Q123" s="44" t="e">
        <f t="shared" si="22"/>
        <v>#VALUE!</v>
      </c>
      <c r="R123" s="44" t="e">
        <f t="shared" si="25"/>
        <v>#VALUE!</v>
      </c>
      <c r="S123" s="44" t="e">
        <f t="shared" si="23"/>
        <v>#VALUE!</v>
      </c>
      <c r="T123" s="41" t="e">
        <f t="shared" si="26"/>
        <v>#VALUE!</v>
      </c>
      <c r="U123" s="41" t="e">
        <f t="shared" si="27"/>
        <v>#VALUE!</v>
      </c>
      <c r="V123" s="41" t="e">
        <f t="shared" si="28"/>
        <v>#VALUE!</v>
      </c>
      <c r="AC123" s="47"/>
    </row>
    <row r="124" spans="2:29" x14ac:dyDescent="0.25">
      <c r="B124" s="41" t="b">
        <f t="shared" si="29"/>
        <v>0</v>
      </c>
      <c r="C124" s="41" t="e">
        <f t="shared" si="30"/>
        <v>#VALUE!</v>
      </c>
      <c r="E124" s="45">
        <v>121</v>
      </c>
      <c r="G124" s="138"/>
      <c r="H124" s="135">
        <v>1</v>
      </c>
      <c r="I124" s="46" t="e">
        <f t="shared" si="18"/>
        <v>#VALUE!</v>
      </c>
      <c r="J124" s="41" t="e">
        <f t="shared" si="24"/>
        <v>#VALUE!</v>
      </c>
      <c r="K124" s="41" t="e">
        <f t="shared" si="31"/>
        <v>#VALUE!</v>
      </c>
      <c r="L124" s="41" t="e">
        <f t="shared" si="31"/>
        <v>#VALUE!</v>
      </c>
      <c r="M124" s="41" t="e">
        <f t="shared" si="19"/>
        <v>#VALUE!</v>
      </c>
      <c r="N124" s="41" t="e">
        <f t="shared" si="20"/>
        <v>#VALUE!</v>
      </c>
      <c r="O124" s="41">
        <f t="shared" si="21"/>
        <v>0</v>
      </c>
      <c r="Q124" s="44" t="e">
        <f t="shared" si="22"/>
        <v>#VALUE!</v>
      </c>
      <c r="R124" s="44" t="e">
        <f t="shared" si="25"/>
        <v>#VALUE!</v>
      </c>
      <c r="S124" s="44" t="e">
        <f t="shared" si="23"/>
        <v>#VALUE!</v>
      </c>
      <c r="T124" s="41" t="e">
        <f t="shared" si="26"/>
        <v>#VALUE!</v>
      </c>
      <c r="U124" s="41" t="e">
        <f t="shared" si="27"/>
        <v>#VALUE!</v>
      </c>
      <c r="V124" s="41" t="e">
        <f t="shared" si="28"/>
        <v>#VALUE!</v>
      </c>
      <c r="AC124" s="47"/>
    </row>
    <row r="125" spans="2:29" x14ac:dyDescent="0.25">
      <c r="B125" s="41" t="b">
        <f t="shared" si="29"/>
        <v>0</v>
      </c>
      <c r="C125" s="41" t="e">
        <f t="shared" si="30"/>
        <v>#VALUE!</v>
      </c>
      <c r="E125" s="45">
        <v>122</v>
      </c>
      <c r="G125" s="138"/>
      <c r="H125" s="135">
        <v>1</v>
      </c>
      <c r="I125" s="46" t="e">
        <f t="shared" si="18"/>
        <v>#VALUE!</v>
      </c>
      <c r="J125" s="41" t="e">
        <f t="shared" si="24"/>
        <v>#VALUE!</v>
      </c>
      <c r="K125" s="41" t="e">
        <f t="shared" si="31"/>
        <v>#VALUE!</v>
      </c>
      <c r="L125" s="41" t="e">
        <f t="shared" si="31"/>
        <v>#VALUE!</v>
      </c>
      <c r="M125" s="41" t="e">
        <f t="shared" si="19"/>
        <v>#VALUE!</v>
      </c>
      <c r="N125" s="41" t="e">
        <f t="shared" si="20"/>
        <v>#VALUE!</v>
      </c>
      <c r="O125" s="41">
        <f t="shared" si="21"/>
        <v>0</v>
      </c>
      <c r="Q125" s="44" t="e">
        <f t="shared" si="22"/>
        <v>#VALUE!</v>
      </c>
      <c r="R125" s="44" t="e">
        <f t="shared" si="25"/>
        <v>#VALUE!</v>
      </c>
      <c r="S125" s="44" t="e">
        <f t="shared" si="23"/>
        <v>#VALUE!</v>
      </c>
      <c r="T125" s="41" t="e">
        <f t="shared" si="26"/>
        <v>#VALUE!</v>
      </c>
      <c r="U125" s="41" t="e">
        <f t="shared" si="27"/>
        <v>#VALUE!</v>
      </c>
      <c r="V125" s="41" t="e">
        <f t="shared" si="28"/>
        <v>#VALUE!</v>
      </c>
      <c r="AC125" s="47"/>
    </row>
    <row r="126" spans="2:29" x14ac:dyDescent="0.25">
      <c r="B126" s="41" t="b">
        <f t="shared" si="29"/>
        <v>0</v>
      </c>
      <c r="C126" s="41" t="e">
        <f t="shared" si="30"/>
        <v>#VALUE!</v>
      </c>
      <c r="E126" s="45">
        <v>123</v>
      </c>
      <c r="G126" s="138"/>
      <c r="H126" s="135">
        <v>1</v>
      </c>
      <c r="I126" s="46" t="e">
        <f t="shared" si="18"/>
        <v>#VALUE!</v>
      </c>
      <c r="J126" s="41" t="e">
        <f t="shared" si="24"/>
        <v>#VALUE!</v>
      </c>
      <c r="K126" s="41" t="e">
        <f t="shared" si="31"/>
        <v>#VALUE!</v>
      </c>
      <c r="L126" s="41" t="e">
        <f t="shared" si="31"/>
        <v>#VALUE!</v>
      </c>
      <c r="M126" s="41" t="e">
        <f t="shared" si="19"/>
        <v>#VALUE!</v>
      </c>
      <c r="N126" s="41" t="e">
        <f t="shared" si="20"/>
        <v>#VALUE!</v>
      </c>
      <c r="O126" s="41">
        <f t="shared" si="21"/>
        <v>0</v>
      </c>
      <c r="Q126" s="44" t="e">
        <f t="shared" si="22"/>
        <v>#VALUE!</v>
      </c>
      <c r="R126" s="44" t="e">
        <f t="shared" si="25"/>
        <v>#VALUE!</v>
      </c>
      <c r="S126" s="44" t="e">
        <f t="shared" si="23"/>
        <v>#VALUE!</v>
      </c>
      <c r="T126" s="41" t="e">
        <f t="shared" si="26"/>
        <v>#VALUE!</v>
      </c>
      <c r="U126" s="41" t="e">
        <f t="shared" si="27"/>
        <v>#VALUE!</v>
      </c>
      <c r="V126" s="41" t="e">
        <f t="shared" si="28"/>
        <v>#VALUE!</v>
      </c>
      <c r="AC126" s="47"/>
    </row>
    <row r="127" spans="2:29" x14ac:dyDescent="0.25">
      <c r="B127" s="41" t="b">
        <f t="shared" si="29"/>
        <v>0</v>
      </c>
      <c r="C127" s="41" t="e">
        <f t="shared" si="30"/>
        <v>#VALUE!</v>
      </c>
      <c r="E127" s="45">
        <v>124</v>
      </c>
      <c r="G127" s="138"/>
      <c r="H127" s="135">
        <v>1</v>
      </c>
      <c r="I127" s="46" t="e">
        <f t="shared" si="18"/>
        <v>#VALUE!</v>
      </c>
      <c r="J127" s="41" t="e">
        <f t="shared" si="24"/>
        <v>#VALUE!</v>
      </c>
      <c r="K127" s="41" t="e">
        <f t="shared" si="31"/>
        <v>#VALUE!</v>
      </c>
      <c r="L127" s="41" t="e">
        <f t="shared" si="31"/>
        <v>#VALUE!</v>
      </c>
      <c r="M127" s="41" t="e">
        <f t="shared" si="19"/>
        <v>#VALUE!</v>
      </c>
      <c r="N127" s="41" t="e">
        <f t="shared" si="20"/>
        <v>#VALUE!</v>
      </c>
      <c r="O127" s="41">
        <f t="shared" si="21"/>
        <v>0</v>
      </c>
      <c r="Q127" s="44" t="e">
        <f t="shared" si="22"/>
        <v>#VALUE!</v>
      </c>
      <c r="R127" s="44" t="e">
        <f t="shared" si="25"/>
        <v>#VALUE!</v>
      </c>
      <c r="S127" s="44" t="e">
        <f t="shared" si="23"/>
        <v>#VALUE!</v>
      </c>
      <c r="T127" s="41" t="e">
        <f t="shared" si="26"/>
        <v>#VALUE!</v>
      </c>
      <c r="U127" s="41" t="e">
        <f t="shared" si="27"/>
        <v>#VALUE!</v>
      </c>
      <c r="V127" s="41" t="e">
        <f t="shared" si="28"/>
        <v>#VALUE!</v>
      </c>
      <c r="AC127" s="47"/>
    </row>
    <row r="128" spans="2:29" x14ac:dyDescent="0.25">
      <c r="B128" s="41" t="b">
        <f t="shared" si="29"/>
        <v>0</v>
      </c>
      <c r="C128" s="41" t="e">
        <f t="shared" si="30"/>
        <v>#VALUE!</v>
      </c>
      <c r="E128" s="45">
        <v>125</v>
      </c>
      <c r="G128" s="138"/>
      <c r="H128" s="135">
        <v>1</v>
      </c>
      <c r="I128" s="46" t="e">
        <f t="shared" si="18"/>
        <v>#VALUE!</v>
      </c>
      <c r="J128" s="41" t="e">
        <f t="shared" si="24"/>
        <v>#VALUE!</v>
      </c>
      <c r="K128" s="41" t="e">
        <f t="shared" si="31"/>
        <v>#VALUE!</v>
      </c>
      <c r="L128" s="41" t="e">
        <f t="shared" si="31"/>
        <v>#VALUE!</v>
      </c>
      <c r="M128" s="41" t="e">
        <f t="shared" si="19"/>
        <v>#VALUE!</v>
      </c>
      <c r="N128" s="41" t="e">
        <f t="shared" si="20"/>
        <v>#VALUE!</v>
      </c>
      <c r="O128" s="41">
        <f t="shared" si="21"/>
        <v>0</v>
      </c>
      <c r="Q128" s="44" t="e">
        <f t="shared" si="22"/>
        <v>#VALUE!</v>
      </c>
      <c r="R128" s="44" t="e">
        <f t="shared" si="25"/>
        <v>#VALUE!</v>
      </c>
      <c r="S128" s="44" t="e">
        <f t="shared" si="23"/>
        <v>#VALUE!</v>
      </c>
      <c r="T128" s="41" t="e">
        <f t="shared" si="26"/>
        <v>#VALUE!</v>
      </c>
      <c r="U128" s="41" t="e">
        <f t="shared" si="27"/>
        <v>#VALUE!</v>
      </c>
      <c r="V128" s="41" t="e">
        <f t="shared" si="28"/>
        <v>#VALUE!</v>
      </c>
      <c r="AC128" s="47"/>
    </row>
    <row r="129" spans="2:29" x14ac:dyDescent="0.25">
      <c r="B129" s="41" t="b">
        <f t="shared" si="29"/>
        <v>0</v>
      </c>
      <c r="C129" s="41" t="e">
        <f t="shared" si="30"/>
        <v>#VALUE!</v>
      </c>
      <c r="E129" s="45">
        <v>126</v>
      </c>
      <c r="G129" s="138"/>
      <c r="H129" s="135">
        <v>1</v>
      </c>
      <c r="I129" s="46" t="e">
        <f t="shared" si="18"/>
        <v>#VALUE!</v>
      </c>
      <c r="J129" s="41" t="e">
        <f t="shared" si="24"/>
        <v>#VALUE!</v>
      </c>
      <c r="K129" s="41" t="e">
        <f t="shared" si="31"/>
        <v>#VALUE!</v>
      </c>
      <c r="L129" s="41" t="e">
        <f t="shared" si="31"/>
        <v>#VALUE!</v>
      </c>
      <c r="M129" s="41" t="e">
        <f t="shared" si="19"/>
        <v>#VALUE!</v>
      </c>
      <c r="N129" s="41" t="e">
        <f t="shared" si="20"/>
        <v>#VALUE!</v>
      </c>
      <c r="O129" s="41">
        <f t="shared" si="21"/>
        <v>0</v>
      </c>
      <c r="Q129" s="44" t="e">
        <f t="shared" si="22"/>
        <v>#VALUE!</v>
      </c>
      <c r="R129" s="44" t="e">
        <f t="shared" si="25"/>
        <v>#VALUE!</v>
      </c>
      <c r="S129" s="44" t="e">
        <f t="shared" si="23"/>
        <v>#VALUE!</v>
      </c>
      <c r="T129" s="41" t="e">
        <f t="shared" si="26"/>
        <v>#VALUE!</v>
      </c>
      <c r="U129" s="41" t="e">
        <f t="shared" si="27"/>
        <v>#VALUE!</v>
      </c>
      <c r="V129" s="41" t="e">
        <f t="shared" si="28"/>
        <v>#VALUE!</v>
      </c>
      <c r="AC129" s="47"/>
    </row>
    <row r="130" spans="2:29" x14ac:dyDescent="0.25">
      <c r="B130" s="41" t="b">
        <f t="shared" si="29"/>
        <v>0</v>
      </c>
      <c r="C130" s="41" t="e">
        <f t="shared" si="30"/>
        <v>#VALUE!</v>
      </c>
      <c r="E130" s="45">
        <v>127</v>
      </c>
      <c r="G130" s="138"/>
      <c r="H130" s="135">
        <v>1</v>
      </c>
      <c r="I130" s="46" t="e">
        <f t="shared" si="18"/>
        <v>#VALUE!</v>
      </c>
      <c r="J130" s="41" t="e">
        <f t="shared" si="24"/>
        <v>#VALUE!</v>
      </c>
      <c r="K130" s="41" t="e">
        <f t="shared" si="31"/>
        <v>#VALUE!</v>
      </c>
      <c r="L130" s="41" t="e">
        <f t="shared" si="31"/>
        <v>#VALUE!</v>
      </c>
      <c r="M130" s="41" t="e">
        <f t="shared" si="19"/>
        <v>#VALUE!</v>
      </c>
      <c r="N130" s="41" t="e">
        <f t="shared" si="20"/>
        <v>#VALUE!</v>
      </c>
      <c r="O130" s="41">
        <f t="shared" si="21"/>
        <v>0</v>
      </c>
      <c r="Q130" s="44" t="e">
        <f t="shared" si="22"/>
        <v>#VALUE!</v>
      </c>
      <c r="R130" s="44" t="e">
        <f t="shared" si="25"/>
        <v>#VALUE!</v>
      </c>
      <c r="S130" s="44" t="e">
        <f t="shared" si="23"/>
        <v>#VALUE!</v>
      </c>
      <c r="T130" s="41" t="e">
        <f t="shared" si="26"/>
        <v>#VALUE!</v>
      </c>
      <c r="U130" s="41" t="e">
        <f t="shared" si="27"/>
        <v>#VALUE!</v>
      </c>
      <c r="V130" s="41" t="e">
        <f t="shared" si="28"/>
        <v>#VALUE!</v>
      </c>
      <c r="AC130" s="47"/>
    </row>
    <row r="131" spans="2:29" x14ac:dyDescent="0.25">
      <c r="B131" s="41" t="b">
        <f t="shared" si="29"/>
        <v>0</v>
      </c>
      <c r="C131" s="41" t="e">
        <f t="shared" si="30"/>
        <v>#VALUE!</v>
      </c>
      <c r="E131" s="45">
        <v>128</v>
      </c>
      <c r="G131" s="138"/>
      <c r="H131" s="135">
        <v>1</v>
      </c>
      <c r="I131" s="46" t="e">
        <f t="shared" si="18"/>
        <v>#VALUE!</v>
      </c>
      <c r="J131" s="41" t="e">
        <f t="shared" si="24"/>
        <v>#VALUE!</v>
      </c>
      <c r="K131" s="41" t="e">
        <f t="shared" si="31"/>
        <v>#VALUE!</v>
      </c>
      <c r="L131" s="41" t="e">
        <f t="shared" si="31"/>
        <v>#VALUE!</v>
      </c>
      <c r="M131" s="41" t="e">
        <f t="shared" si="19"/>
        <v>#VALUE!</v>
      </c>
      <c r="N131" s="41" t="e">
        <f t="shared" si="20"/>
        <v>#VALUE!</v>
      </c>
      <c r="O131" s="41">
        <f t="shared" si="21"/>
        <v>0</v>
      </c>
      <c r="Q131" s="44" t="e">
        <f t="shared" si="22"/>
        <v>#VALUE!</v>
      </c>
      <c r="R131" s="44" t="e">
        <f t="shared" si="25"/>
        <v>#VALUE!</v>
      </c>
      <c r="S131" s="44" t="e">
        <f t="shared" si="23"/>
        <v>#VALUE!</v>
      </c>
      <c r="T131" s="41" t="e">
        <f t="shared" si="26"/>
        <v>#VALUE!</v>
      </c>
      <c r="U131" s="41" t="e">
        <f t="shared" si="27"/>
        <v>#VALUE!</v>
      </c>
      <c r="V131" s="41" t="e">
        <f t="shared" si="28"/>
        <v>#VALUE!</v>
      </c>
      <c r="AC131" s="48"/>
    </row>
    <row r="132" spans="2:29" x14ac:dyDescent="0.25">
      <c r="B132" s="41" t="b">
        <f t="shared" si="29"/>
        <v>0</v>
      </c>
      <c r="C132" s="41" t="e">
        <f t="shared" si="30"/>
        <v>#VALUE!</v>
      </c>
      <c r="E132" s="45">
        <v>129</v>
      </c>
      <c r="G132" s="138"/>
      <c r="H132" s="135">
        <v>1</v>
      </c>
      <c r="I132" s="46" t="e">
        <f t="shared" ref="I132:I195" si="32">RIGHT(G132,J132)</f>
        <v>#VALUE!</v>
      </c>
      <c r="J132" s="41" t="e">
        <f t="shared" si="24"/>
        <v>#VALUE!</v>
      </c>
      <c r="K132" s="41" t="e">
        <f t="shared" si="31"/>
        <v>#VALUE!</v>
      </c>
      <c r="L132" s="41" t="e">
        <f t="shared" si="31"/>
        <v>#VALUE!</v>
      </c>
      <c r="M132" s="41" t="e">
        <f t="shared" ref="M132:M195" si="33">SEARCH("-",G132,2)</f>
        <v>#VALUE!</v>
      </c>
      <c r="N132" s="41" t="e">
        <f t="shared" ref="N132:N195" si="34">SEARCH("-",G132,M132+1)</f>
        <v>#VALUE!</v>
      </c>
      <c r="O132" s="41">
        <f t="shared" ref="O132:O195" si="35">LEN(G132)</f>
        <v>0</v>
      </c>
      <c r="Q132" s="44" t="e">
        <f t="shared" ref="Q132:Q195" si="36">LEFT(G132,M132-1)</f>
        <v>#VALUE!</v>
      </c>
      <c r="R132" s="44" t="e">
        <f t="shared" si="25"/>
        <v>#VALUE!</v>
      </c>
      <c r="S132" s="44" t="e">
        <f t="shared" ref="S132:S195" si="37">RIGHT(G132,L132)</f>
        <v>#VALUE!</v>
      </c>
      <c r="T132" s="41" t="e">
        <f t="shared" si="26"/>
        <v>#VALUE!</v>
      </c>
      <c r="U132" s="41" t="e">
        <f t="shared" si="27"/>
        <v>#VALUE!</v>
      </c>
      <c r="V132" s="41" t="e">
        <f t="shared" si="28"/>
        <v>#VALUE!</v>
      </c>
    </row>
    <row r="133" spans="2:29" x14ac:dyDescent="0.25">
      <c r="B133" s="41" t="b">
        <f t="shared" si="29"/>
        <v>0</v>
      </c>
      <c r="C133" s="41" t="e">
        <f t="shared" si="30"/>
        <v>#VALUE!</v>
      </c>
      <c r="E133" s="45">
        <v>130</v>
      </c>
      <c r="G133" s="138"/>
      <c r="H133" s="135">
        <v>1</v>
      </c>
      <c r="I133" s="46" t="e">
        <f t="shared" si="32"/>
        <v>#VALUE!</v>
      </c>
      <c r="J133" s="41" t="e">
        <f t="shared" ref="J133:J196" si="38">O133-M133</f>
        <v>#VALUE!</v>
      </c>
      <c r="K133" s="41" t="e">
        <f t="shared" ref="K133:L196" si="39">N133-M133</f>
        <v>#VALUE!</v>
      </c>
      <c r="L133" s="41" t="e">
        <f t="shared" si="39"/>
        <v>#VALUE!</v>
      </c>
      <c r="M133" s="41" t="e">
        <f t="shared" si="33"/>
        <v>#VALUE!</v>
      </c>
      <c r="N133" s="41" t="e">
        <f t="shared" si="34"/>
        <v>#VALUE!</v>
      </c>
      <c r="O133" s="41">
        <f t="shared" si="35"/>
        <v>0</v>
      </c>
      <c r="Q133" s="44" t="e">
        <f t="shared" si="36"/>
        <v>#VALUE!</v>
      </c>
      <c r="R133" s="44" t="e">
        <f t="shared" ref="R133:R196" si="40">LEFT(I133,K133-1)</f>
        <v>#VALUE!</v>
      </c>
      <c r="S133" s="44" t="e">
        <f t="shared" si="37"/>
        <v>#VALUE!</v>
      </c>
      <c r="T133" s="41" t="e">
        <f t="shared" ref="T133:T196" si="41">Q133*1*H133</f>
        <v>#VALUE!</v>
      </c>
      <c r="U133" s="41" t="e">
        <f t="shared" ref="U133:U196" si="42">R133*1*H133</f>
        <v>#VALUE!</v>
      </c>
      <c r="V133" s="41" t="e">
        <f t="shared" ref="V133:V196" si="43">S133*1*H133</f>
        <v>#VALUE!</v>
      </c>
    </row>
    <row r="134" spans="2:29" x14ac:dyDescent="0.25">
      <c r="B134" s="41" t="b">
        <f t="shared" si="29"/>
        <v>0</v>
      </c>
      <c r="C134" s="41" t="e">
        <f t="shared" si="30"/>
        <v>#VALUE!</v>
      </c>
      <c r="E134" s="45">
        <v>131</v>
      </c>
      <c r="G134" s="138"/>
      <c r="H134" s="135">
        <v>1</v>
      </c>
      <c r="I134" s="46" t="e">
        <f t="shared" si="32"/>
        <v>#VALUE!</v>
      </c>
      <c r="J134" s="41" t="e">
        <f t="shared" si="38"/>
        <v>#VALUE!</v>
      </c>
      <c r="K134" s="41" t="e">
        <f t="shared" si="39"/>
        <v>#VALUE!</v>
      </c>
      <c r="L134" s="41" t="e">
        <f t="shared" si="39"/>
        <v>#VALUE!</v>
      </c>
      <c r="M134" s="41" t="e">
        <f t="shared" si="33"/>
        <v>#VALUE!</v>
      </c>
      <c r="N134" s="41" t="e">
        <f t="shared" si="34"/>
        <v>#VALUE!</v>
      </c>
      <c r="O134" s="41">
        <f t="shared" si="35"/>
        <v>0</v>
      </c>
      <c r="Q134" s="44" t="e">
        <f t="shared" si="36"/>
        <v>#VALUE!</v>
      </c>
      <c r="R134" s="44" t="e">
        <f t="shared" si="40"/>
        <v>#VALUE!</v>
      </c>
      <c r="S134" s="44" t="e">
        <f t="shared" si="37"/>
        <v>#VALUE!</v>
      </c>
      <c r="T134" s="41" t="e">
        <f t="shared" si="41"/>
        <v>#VALUE!</v>
      </c>
      <c r="U134" s="41" t="e">
        <f t="shared" si="42"/>
        <v>#VALUE!</v>
      </c>
      <c r="V134" s="41" t="e">
        <f t="shared" si="43"/>
        <v>#VALUE!</v>
      </c>
    </row>
    <row r="135" spans="2:29" x14ac:dyDescent="0.25">
      <c r="B135" s="41" t="b">
        <f t="shared" si="29"/>
        <v>0</v>
      </c>
      <c r="C135" s="41" t="e">
        <f t="shared" si="30"/>
        <v>#VALUE!</v>
      </c>
      <c r="E135" s="45">
        <v>132</v>
      </c>
      <c r="G135" s="138"/>
      <c r="H135" s="135">
        <v>1</v>
      </c>
      <c r="I135" s="46" t="e">
        <f t="shared" si="32"/>
        <v>#VALUE!</v>
      </c>
      <c r="J135" s="41" t="e">
        <f t="shared" si="38"/>
        <v>#VALUE!</v>
      </c>
      <c r="K135" s="41" t="e">
        <f t="shared" si="39"/>
        <v>#VALUE!</v>
      </c>
      <c r="L135" s="41" t="e">
        <f t="shared" si="39"/>
        <v>#VALUE!</v>
      </c>
      <c r="M135" s="41" t="e">
        <f t="shared" si="33"/>
        <v>#VALUE!</v>
      </c>
      <c r="N135" s="41" t="e">
        <f t="shared" si="34"/>
        <v>#VALUE!</v>
      </c>
      <c r="O135" s="41">
        <f t="shared" si="35"/>
        <v>0</v>
      </c>
      <c r="Q135" s="44" t="e">
        <f t="shared" si="36"/>
        <v>#VALUE!</v>
      </c>
      <c r="R135" s="44" t="e">
        <f t="shared" si="40"/>
        <v>#VALUE!</v>
      </c>
      <c r="S135" s="44" t="e">
        <f t="shared" si="37"/>
        <v>#VALUE!</v>
      </c>
      <c r="T135" s="41" t="e">
        <f t="shared" si="41"/>
        <v>#VALUE!</v>
      </c>
      <c r="U135" s="41" t="e">
        <f t="shared" si="42"/>
        <v>#VALUE!</v>
      </c>
      <c r="V135" s="41" t="e">
        <f t="shared" si="43"/>
        <v>#VALUE!</v>
      </c>
    </row>
    <row r="136" spans="2:29" x14ac:dyDescent="0.25">
      <c r="B136" s="41" t="b">
        <f t="shared" si="29"/>
        <v>0</v>
      </c>
      <c r="C136" s="41" t="e">
        <f t="shared" si="30"/>
        <v>#VALUE!</v>
      </c>
      <c r="E136" s="45">
        <v>133</v>
      </c>
      <c r="G136" s="138"/>
      <c r="H136" s="135">
        <v>1</v>
      </c>
      <c r="I136" s="46" t="e">
        <f t="shared" si="32"/>
        <v>#VALUE!</v>
      </c>
      <c r="J136" s="41" t="e">
        <f t="shared" si="38"/>
        <v>#VALUE!</v>
      </c>
      <c r="K136" s="41" t="e">
        <f t="shared" si="39"/>
        <v>#VALUE!</v>
      </c>
      <c r="L136" s="41" t="e">
        <f t="shared" si="39"/>
        <v>#VALUE!</v>
      </c>
      <c r="M136" s="41" t="e">
        <f t="shared" si="33"/>
        <v>#VALUE!</v>
      </c>
      <c r="N136" s="41" t="e">
        <f t="shared" si="34"/>
        <v>#VALUE!</v>
      </c>
      <c r="O136" s="41">
        <f t="shared" si="35"/>
        <v>0</v>
      </c>
      <c r="Q136" s="44" t="e">
        <f t="shared" si="36"/>
        <v>#VALUE!</v>
      </c>
      <c r="R136" s="44" t="e">
        <f t="shared" si="40"/>
        <v>#VALUE!</v>
      </c>
      <c r="S136" s="44" t="e">
        <f t="shared" si="37"/>
        <v>#VALUE!</v>
      </c>
      <c r="T136" s="41" t="e">
        <f t="shared" si="41"/>
        <v>#VALUE!</v>
      </c>
      <c r="U136" s="41" t="e">
        <f t="shared" si="42"/>
        <v>#VALUE!</v>
      </c>
      <c r="V136" s="41" t="e">
        <f t="shared" si="43"/>
        <v>#VALUE!</v>
      </c>
    </row>
    <row r="137" spans="2:29" x14ac:dyDescent="0.25">
      <c r="B137" s="41" t="b">
        <f t="shared" si="29"/>
        <v>0</v>
      </c>
      <c r="C137" s="41" t="e">
        <f t="shared" si="30"/>
        <v>#VALUE!</v>
      </c>
      <c r="E137" s="45">
        <v>134</v>
      </c>
      <c r="G137" s="138"/>
      <c r="H137" s="135">
        <v>1</v>
      </c>
      <c r="I137" s="46" t="e">
        <f t="shared" si="32"/>
        <v>#VALUE!</v>
      </c>
      <c r="J137" s="41" t="e">
        <f t="shared" si="38"/>
        <v>#VALUE!</v>
      </c>
      <c r="K137" s="41" t="e">
        <f t="shared" si="39"/>
        <v>#VALUE!</v>
      </c>
      <c r="L137" s="41" t="e">
        <f t="shared" si="39"/>
        <v>#VALUE!</v>
      </c>
      <c r="M137" s="41" t="e">
        <f t="shared" si="33"/>
        <v>#VALUE!</v>
      </c>
      <c r="N137" s="41" t="e">
        <f t="shared" si="34"/>
        <v>#VALUE!</v>
      </c>
      <c r="O137" s="41">
        <f t="shared" si="35"/>
        <v>0</v>
      </c>
      <c r="Q137" s="44" t="e">
        <f t="shared" si="36"/>
        <v>#VALUE!</v>
      </c>
      <c r="R137" s="44" t="e">
        <f t="shared" si="40"/>
        <v>#VALUE!</v>
      </c>
      <c r="S137" s="44" t="e">
        <f t="shared" si="37"/>
        <v>#VALUE!</v>
      </c>
      <c r="T137" s="41" t="e">
        <f t="shared" si="41"/>
        <v>#VALUE!</v>
      </c>
      <c r="U137" s="41" t="e">
        <f t="shared" si="42"/>
        <v>#VALUE!</v>
      </c>
      <c r="V137" s="41" t="e">
        <f t="shared" si="43"/>
        <v>#VALUE!</v>
      </c>
    </row>
    <row r="138" spans="2:29" x14ac:dyDescent="0.25">
      <c r="B138" s="41" t="b">
        <f t="shared" si="29"/>
        <v>0</v>
      </c>
      <c r="C138" s="41" t="e">
        <f t="shared" si="30"/>
        <v>#VALUE!</v>
      </c>
      <c r="E138" s="45">
        <v>135</v>
      </c>
      <c r="G138" s="138"/>
      <c r="H138" s="135">
        <v>1</v>
      </c>
      <c r="I138" s="46" t="e">
        <f t="shared" si="32"/>
        <v>#VALUE!</v>
      </c>
      <c r="J138" s="41" t="e">
        <f t="shared" si="38"/>
        <v>#VALUE!</v>
      </c>
      <c r="K138" s="41" t="e">
        <f t="shared" si="39"/>
        <v>#VALUE!</v>
      </c>
      <c r="L138" s="41" t="e">
        <f t="shared" si="39"/>
        <v>#VALUE!</v>
      </c>
      <c r="M138" s="41" t="e">
        <f t="shared" si="33"/>
        <v>#VALUE!</v>
      </c>
      <c r="N138" s="41" t="e">
        <f t="shared" si="34"/>
        <v>#VALUE!</v>
      </c>
      <c r="O138" s="41">
        <f t="shared" si="35"/>
        <v>0</v>
      </c>
      <c r="Q138" s="44" t="e">
        <f t="shared" si="36"/>
        <v>#VALUE!</v>
      </c>
      <c r="R138" s="44" t="e">
        <f t="shared" si="40"/>
        <v>#VALUE!</v>
      </c>
      <c r="S138" s="44" t="e">
        <f t="shared" si="37"/>
        <v>#VALUE!</v>
      </c>
      <c r="T138" s="41" t="e">
        <f t="shared" si="41"/>
        <v>#VALUE!</v>
      </c>
      <c r="U138" s="41" t="e">
        <f t="shared" si="42"/>
        <v>#VALUE!</v>
      </c>
      <c r="V138" s="41" t="e">
        <f t="shared" si="43"/>
        <v>#VALUE!</v>
      </c>
    </row>
    <row r="139" spans="2:29" x14ac:dyDescent="0.25">
      <c r="B139" s="41" t="b">
        <f t="shared" si="29"/>
        <v>0</v>
      </c>
      <c r="C139" s="41" t="e">
        <f t="shared" si="30"/>
        <v>#VALUE!</v>
      </c>
      <c r="E139" s="45">
        <v>136</v>
      </c>
      <c r="G139" s="138"/>
      <c r="H139" s="135">
        <v>1</v>
      </c>
      <c r="I139" s="46" t="e">
        <f t="shared" si="32"/>
        <v>#VALUE!</v>
      </c>
      <c r="J139" s="41" t="e">
        <f t="shared" si="38"/>
        <v>#VALUE!</v>
      </c>
      <c r="K139" s="41" t="e">
        <f t="shared" si="39"/>
        <v>#VALUE!</v>
      </c>
      <c r="L139" s="41" t="e">
        <f t="shared" si="39"/>
        <v>#VALUE!</v>
      </c>
      <c r="M139" s="41" t="e">
        <f t="shared" si="33"/>
        <v>#VALUE!</v>
      </c>
      <c r="N139" s="41" t="e">
        <f t="shared" si="34"/>
        <v>#VALUE!</v>
      </c>
      <c r="O139" s="41">
        <f t="shared" si="35"/>
        <v>0</v>
      </c>
      <c r="Q139" s="44" t="e">
        <f t="shared" si="36"/>
        <v>#VALUE!</v>
      </c>
      <c r="R139" s="44" t="e">
        <f t="shared" si="40"/>
        <v>#VALUE!</v>
      </c>
      <c r="S139" s="44" t="e">
        <f t="shared" si="37"/>
        <v>#VALUE!</v>
      </c>
      <c r="T139" s="41" t="e">
        <f t="shared" si="41"/>
        <v>#VALUE!</v>
      </c>
      <c r="U139" s="41" t="e">
        <f t="shared" si="42"/>
        <v>#VALUE!</v>
      </c>
      <c r="V139" s="41" t="e">
        <f t="shared" si="43"/>
        <v>#VALUE!</v>
      </c>
    </row>
    <row r="140" spans="2:29" x14ac:dyDescent="0.25">
      <c r="B140" s="41" t="b">
        <f t="shared" si="29"/>
        <v>0</v>
      </c>
      <c r="C140" s="41" t="e">
        <f t="shared" si="30"/>
        <v>#VALUE!</v>
      </c>
      <c r="E140" s="45">
        <v>137</v>
      </c>
      <c r="G140" s="138"/>
      <c r="H140" s="135">
        <v>1</v>
      </c>
      <c r="I140" s="46" t="e">
        <f t="shared" si="32"/>
        <v>#VALUE!</v>
      </c>
      <c r="J140" s="41" t="e">
        <f t="shared" si="38"/>
        <v>#VALUE!</v>
      </c>
      <c r="K140" s="41" t="e">
        <f t="shared" si="39"/>
        <v>#VALUE!</v>
      </c>
      <c r="L140" s="41" t="e">
        <f t="shared" si="39"/>
        <v>#VALUE!</v>
      </c>
      <c r="M140" s="41" t="e">
        <f t="shared" si="33"/>
        <v>#VALUE!</v>
      </c>
      <c r="N140" s="41" t="e">
        <f t="shared" si="34"/>
        <v>#VALUE!</v>
      </c>
      <c r="O140" s="41">
        <f t="shared" si="35"/>
        <v>0</v>
      </c>
      <c r="Q140" s="44" t="e">
        <f t="shared" si="36"/>
        <v>#VALUE!</v>
      </c>
      <c r="R140" s="44" t="e">
        <f t="shared" si="40"/>
        <v>#VALUE!</v>
      </c>
      <c r="S140" s="44" t="e">
        <f t="shared" si="37"/>
        <v>#VALUE!</v>
      </c>
      <c r="T140" s="41" t="e">
        <f t="shared" si="41"/>
        <v>#VALUE!</v>
      </c>
      <c r="U140" s="41" t="e">
        <f t="shared" si="42"/>
        <v>#VALUE!</v>
      </c>
      <c r="V140" s="41" t="e">
        <f t="shared" si="43"/>
        <v>#VALUE!</v>
      </c>
    </row>
    <row r="141" spans="2:29" x14ac:dyDescent="0.25">
      <c r="B141" s="41" t="b">
        <f t="shared" si="29"/>
        <v>0</v>
      </c>
      <c r="C141" s="41" t="e">
        <f t="shared" si="30"/>
        <v>#VALUE!</v>
      </c>
      <c r="E141" s="45">
        <v>138</v>
      </c>
      <c r="G141" s="138"/>
      <c r="H141" s="135">
        <v>1</v>
      </c>
      <c r="I141" s="46" t="e">
        <f t="shared" si="32"/>
        <v>#VALUE!</v>
      </c>
      <c r="J141" s="41" t="e">
        <f t="shared" si="38"/>
        <v>#VALUE!</v>
      </c>
      <c r="K141" s="41" t="e">
        <f t="shared" si="39"/>
        <v>#VALUE!</v>
      </c>
      <c r="L141" s="41" t="e">
        <f t="shared" si="39"/>
        <v>#VALUE!</v>
      </c>
      <c r="M141" s="41" t="e">
        <f t="shared" si="33"/>
        <v>#VALUE!</v>
      </c>
      <c r="N141" s="41" t="e">
        <f t="shared" si="34"/>
        <v>#VALUE!</v>
      </c>
      <c r="O141" s="41">
        <f t="shared" si="35"/>
        <v>0</v>
      </c>
      <c r="Q141" s="44" t="e">
        <f t="shared" si="36"/>
        <v>#VALUE!</v>
      </c>
      <c r="R141" s="44" t="e">
        <f t="shared" si="40"/>
        <v>#VALUE!</v>
      </c>
      <c r="S141" s="44" t="e">
        <f t="shared" si="37"/>
        <v>#VALUE!</v>
      </c>
      <c r="T141" s="41" t="e">
        <f t="shared" si="41"/>
        <v>#VALUE!</v>
      </c>
      <c r="U141" s="41" t="e">
        <f t="shared" si="42"/>
        <v>#VALUE!</v>
      </c>
      <c r="V141" s="41" t="e">
        <f t="shared" si="43"/>
        <v>#VALUE!</v>
      </c>
    </row>
    <row r="142" spans="2:29" x14ac:dyDescent="0.25">
      <c r="B142" s="41" t="b">
        <f t="shared" ref="B142:B205" si="44">ISNUMBER(C142)</f>
        <v>0</v>
      </c>
      <c r="C142" s="41" t="e">
        <f t="shared" ref="C142:C205" si="45">SUM(T142:V142)</f>
        <v>#VALUE!</v>
      </c>
      <c r="E142" s="45">
        <v>139</v>
      </c>
      <c r="G142" s="138"/>
      <c r="H142" s="135">
        <v>1</v>
      </c>
      <c r="I142" s="46" t="e">
        <f t="shared" si="32"/>
        <v>#VALUE!</v>
      </c>
      <c r="J142" s="41" t="e">
        <f t="shared" si="38"/>
        <v>#VALUE!</v>
      </c>
      <c r="K142" s="41" t="e">
        <f t="shared" si="39"/>
        <v>#VALUE!</v>
      </c>
      <c r="L142" s="41" t="e">
        <f t="shared" si="39"/>
        <v>#VALUE!</v>
      </c>
      <c r="M142" s="41" t="e">
        <f t="shared" si="33"/>
        <v>#VALUE!</v>
      </c>
      <c r="N142" s="41" t="e">
        <f t="shared" si="34"/>
        <v>#VALUE!</v>
      </c>
      <c r="O142" s="41">
        <f t="shared" si="35"/>
        <v>0</v>
      </c>
      <c r="Q142" s="44" t="e">
        <f t="shared" si="36"/>
        <v>#VALUE!</v>
      </c>
      <c r="R142" s="44" t="e">
        <f t="shared" si="40"/>
        <v>#VALUE!</v>
      </c>
      <c r="S142" s="44" t="e">
        <f t="shared" si="37"/>
        <v>#VALUE!</v>
      </c>
      <c r="T142" s="41" t="e">
        <f t="shared" si="41"/>
        <v>#VALUE!</v>
      </c>
      <c r="U142" s="41" t="e">
        <f t="shared" si="42"/>
        <v>#VALUE!</v>
      </c>
      <c r="V142" s="41" t="e">
        <f t="shared" si="43"/>
        <v>#VALUE!</v>
      </c>
    </row>
    <row r="143" spans="2:29" x14ac:dyDescent="0.25">
      <c r="B143" s="41" t="b">
        <f t="shared" si="44"/>
        <v>0</v>
      </c>
      <c r="C143" s="41" t="e">
        <f t="shared" si="45"/>
        <v>#VALUE!</v>
      </c>
      <c r="E143" s="45">
        <v>140</v>
      </c>
      <c r="G143" s="138"/>
      <c r="H143" s="135">
        <v>1</v>
      </c>
      <c r="I143" s="46" t="e">
        <f t="shared" si="32"/>
        <v>#VALUE!</v>
      </c>
      <c r="J143" s="41" t="e">
        <f t="shared" si="38"/>
        <v>#VALUE!</v>
      </c>
      <c r="K143" s="41" t="e">
        <f t="shared" si="39"/>
        <v>#VALUE!</v>
      </c>
      <c r="L143" s="41" t="e">
        <f t="shared" si="39"/>
        <v>#VALUE!</v>
      </c>
      <c r="M143" s="41" t="e">
        <f t="shared" si="33"/>
        <v>#VALUE!</v>
      </c>
      <c r="N143" s="41" t="e">
        <f t="shared" si="34"/>
        <v>#VALUE!</v>
      </c>
      <c r="O143" s="41">
        <f t="shared" si="35"/>
        <v>0</v>
      </c>
      <c r="Q143" s="44" t="e">
        <f t="shared" si="36"/>
        <v>#VALUE!</v>
      </c>
      <c r="R143" s="44" t="e">
        <f t="shared" si="40"/>
        <v>#VALUE!</v>
      </c>
      <c r="S143" s="44" t="e">
        <f t="shared" si="37"/>
        <v>#VALUE!</v>
      </c>
      <c r="T143" s="41" t="e">
        <f t="shared" si="41"/>
        <v>#VALUE!</v>
      </c>
      <c r="U143" s="41" t="e">
        <f t="shared" si="42"/>
        <v>#VALUE!</v>
      </c>
      <c r="V143" s="41" t="e">
        <f t="shared" si="43"/>
        <v>#VALUE!</v>
      </c>
    </row>
    <row r="144" spans="2:29" x14ac:dyDescent="0.25">
      <c r="B144" s="41" t="b">
        <f t="shared" si="44"/>
        <v>0</v>
      </c>
      <c r="C144" s="41" t="e">
        <f t="shared" si="45"/>
        <v>#VALUE!</v>
      </c>
      <c r="E144" s="45">
        <v>141</v>
      </c>
      <c r="G144" s="138"/>
      <c r="H144" s="135">
        <v>1</v>
      </c>
      <c r="I144" s="46" t="e">
        <f t="shared" si="32"/>
        <v>#VALUE!</v>
      </c>
      <c r="J144" s="41" t="e">
        <f t="shared" si="38"/>
        <v>#VALUE!</v>
      </c>
      <c r="K144" s="41" t="e">
        <f t="shared" si="39"/>
        <v>#VALUE!</v>
      </c>
      <c r="L144" s="41" t="e">
        <f t="shared" si="39"/>
        <v>#VALUE!</v>
      </c>
      <c r="M144" s="41" t="e">
        <f t="shared" si="33"/>
        <v>#VALUE!</v>
      </c>
      <c r="N144" s="41" t="e">
        <f t="shared" si="34"/>
        <v>#VALUE!</v>
      </c>
      <c r="O144" s="41">
        <f t="shared" si="35"/>
        <v>0</v>
      </c>
      <c r="Q144" s="44" t="e">
        <f t="shared" si="36"/>
        <v>#VALUE!</v>
      </c>
      <c r="R144" s="44" t="e">
        <f t="shared" si="40"/>
        <v>#VALUE!</v>
      </c>
      <c r="S144" s="44" t="e">
        <f t="shared" si="37"/>
        <v>#VALUE!</v>
      </c>
      <c r="T144" s="41" t="e">
        <f t="shared" si="41"/>
        <v>#VALUE!</v>
      </c>
      <c r="U144" s="41" t="e">
        <f t="shared" si="42"/>
        <v>#VALUE!</v>
      </c>
      <c r="V144" s="41" t="e">
        <f t="shared" si="43"/>
        <v>#VALUE!</v>
      </c>
    </row>
    <row r="145" spans="2:22" x14ac:dyDescent="0.25">
      <c r="B145" s="41" t="b">
        <f t="shared" si="44"/>
        <v>0</v>
      </c>
      <c r="C145" s="41" t="e">
        <f t="shared" si="45"/>
        <v>#VALUE!</v>
      </c>
      <c r="E145" s="45">
        <v>142</v>
      </c>
      <c r="G145" s="138"/>
      <c r="H145" s="135">
        <v>1</v>
      </c>
      <c r="I145" s="46" t="e">
        <f t="shared" si="32"/>
        <v>#VALUE!</v>
      </c>
      <c r="J145" s="41" t="e">
        <f t="shared" si="38"/>
        <v>#VALUE!</v>
      </c>
      <c r="K145" s="41" t="e">
        <f t="shared" si="39"/>
        <v>#VALUE!</v>
      </c>
      <c r="L145" s="41" t="e">
        <f t="shared" si="39"/>
        <v>#VALUE!</v>
      </c>
      <c r="M145" s="41" t="e">
        <f t="shared" si="33"/>
        <v>#VALUE!</v>
      </c>
      <c r="N145" s="41" t="e">
        <f t="shared" si="34"/>
        <v>#VALUE!</v>
      </c>
      <c r="O145" s="41">
        <f t="shared" si="35"/>
        <v>0</v>
      </c>
      <c r="Q145" s="44" t="e">
        <f t="shared" si="36"/>
        <v>#VALUE!</v>
      </c>
      <c r="R145" s="44" t="e">
        <f t="shared" si="40"/>
        <v>#VALUE!</v>
      </c>
      <c r="S145" s="44" t="e">
        <f t="shared" si="37"/>
        <v>#VALUE!</v>
      </c>
      <c r="T145" s="41" t="e">
        <f t="shared" si="41"/>
        <v>#VALUE!</v>
      </c>
      <c r="U145" s="41" t="e">
        <f t="shared" si="42"/>
        <v>#VALUE!</v>
      </c>
      <c r="V145" s="41" t="e">
        <f t="shared" si="43"/>
        <v>#VALUE!</v>
      </c>
    </row>
    <row r="146" spans="2:22" x14ac:dyDescent="0.25">
      <c r="B146" s="41" t="b">
        <f t="shared" si="44"/>
        <v>0</v>
      </c>
      <c r="C146" s="41" t="e">
        <f t="shared" si="45"/>
        <v>#VALUE!</v>
      </c>
      <c r="E146" s="45">
        <v>143</v>
      </c>
      <c r="G146" s="138"/>
      <c r="H146" s="135">
        <v>1</v>
      </c>
      <c r="I146" s="46" t="e">
        <f t="shared" si="32"/>
        <v>#VALUE!</v>
      </c>
      <c r="J146" s="41" t="e">
        <f t="shared" si="38"/>
        <v>#VALUE!</v>
      </c>
      <c r="K146" s="41" t="e">
        <f t="shared" si="39"/>
        <v>#VALUE!</v>
      </c>
      <c r="L146" s="41" t="e">
        <f t="shared" si="39"/>
        <v>#VALUE!</v>
      </c>
      <c r="M146" s="41" t="e">
        <f t="shared" si="33"/>
        <v>#VALUE!</v>
      </c>
      <c r="N146" s="41" t="e">
        <f t="shared" si="34"/>
        <v>#VALUE!</v>
      </c>
      <c r="O146" s="41">
        <f t="shared" si="35"/>
        <v>0</v>
      </c>
      <c r="Q146" s="44" t="e">
        <f t="shared" si="36"/>
        <v>#VALUE!</v>
      </c>
      <c r="R146" s="44" t="e">
        <f t="shared" si="40"/>
        <v>#VALUE!</v>
      </c>
      <c r="S146" s="44" t="e">
        <f t="shared" si="37"/>
        <v>#VALUE!</v>
      </c>
      <c r="T146" s="41" t="e">
        <f t="shared" si="41"/>
        <v>#VALUE!</v>
      </c>
      <c r="U146" s="41" t="e">
        <f t="shared" si="42"/>
        <v>#VALUE!</v>
      </c>
      <c r="V146" s="41" t="e">
        <f t="shared" si="43"/>
        <v>#VALUE!</v>
      </c>
    </row>
    <row r="147" spans="2:22" x14ac:dyDescent="0.25">
      <c r="B147" s="41" t="b">
        <f t="shared" si="44"/>
        <v>0</v>
      </c>
      <c r="C147" s="41" t="e">
        <f t="shared" si="45"/>
        <v>#VALUE!</v>
      </c>
      <c r="E147" s="45">
        <v>144</v>
      </c>
      <c r="G147" s="138"/>
      <c r="H147" s="135">
        <v>1</v>
      </c>
      <c r="I147" s="46" t="e">
        <f t="shared" si="32"/>
        <v>#VALUE!</v>
      </c>
      <c r="J147" s="41" t="e">
        <f t="shared" si="38"/>
        <v>#VALUE!</v>
      </c>
      <c r="K147" s="41" t="e">
        <f t="shared" si="39"/>
        <v>#VALUE!</v>
      </c>
      <c r="L147" s="41" t="e">
        <f t="shared" si="39"/>
        <v>#VALUE!</v>
      </c>
      <c r="M147" s="41" t="e">
        <f t="shared" si="33"/>
        <v>#VALUE!</v>
      </c>
      <c r="N147" s="41" t="e">
        <f t="shared" si="34"/>
        <v>#VALUE!</v>
      </c>
      <c r="O147" s="41">
        <f t="shared" si="35"/>
        <v>0</v>
      </c>
      <c r="Q147" s="44" t="e">
        <f t="shared" si="36"/>
        <v>#VALUE!</v>
      </c>
      <c r="R147" s="44" t="e">
        <f t="shared" si="40"/>
        <v>#VALUE!</v>
      </c>
      <c r="S147" s="44" t="e">
        <f t="shared" si="37"/>
        <v>#VALUE!</v>
      </c>
      <c r="T147" s="41" t="e">
        <f t="shared" si="41"/>
        <v>#VALUE!</v>
      </c>
      <c r="U147" s="41" t="e">
        <f t="shared" si="42"/>
        <v>#VALUE!</v>
      </c>
      <c r="V147" s="41" t="e">
        <f t="shared" si="43"/>
        <v>#VALUE!</v>
      </c>
    </row>
    <row r="148" spans="2:22" x14ac:dyDescent="0.25">
      <c r="B148" s="41" t="b">
        <f t="shared" si="44"/>
        <v>0</v>
      </c>
      <c r="C148" s="41" t="e">
        <f t="shared" si="45"/>
        <v>#VALUE!</v>
      </c>
      <c r="E148" s="45">
        <v>145</v>
      </c>
      <c r="G148" s="138"/>
      <c r="H148" s="135">
        <v>1</v>
      </c>
      <c r="I148" s="46" t="e">
        <f t="shared" si="32"/>
        <v>#VALUE!</v>
      </c>
      <c r="J148" s="41" t="e">
        <f t="shared" si="38"/>
        <v>#VALUE!</v>
      </c>
      <c r="K148" s="41" t="e">
        <f t="shared" si="39"/>
        <v>#VALUE!</v>
      </c>
      <c r="L148" s="41" t="e">
        <f t="shared" si="39"/>
        <v>#VALUE!</v>
      </c>
      <c r="M148" s="41" t="e">
        <f t="shared" si="33"/>
        <v>#VALUE!</v>
      </c>
      <c r="N148" s="41" t="e">
        <f t="shared" si="34"/>
        <v>#VALUE!</v>
      </c>
      <c r="O148" s="41">
        <f t="shared" si="35"/>
        <v>0</v>
      </c>
      <c r="Q148" s="44" t="e">
        <f t="shared" si="36"/>
        <v>#VALUE!</v>
      </c>
      <c r="R148" s="44" t="e">
        <f t="shared" si="40"/>
        <v>#VALUE!</v>
      </c>
      <c r="S148" s="44" t="e">
        <f t="shared" si="37"/>
        <v>#VALUE!</v>
      </c>
      <c r="T148" s="41" t="e">
        <f t="shared" si="41"/>
        <v>#VALUE!</v>
      </c>
      <c r="U148" s="41" t="e">
        <f t="shared" si="42"/>
        <v>#VALUE!</v>
      </c>
      <c r="V148" s="41" t="e">
        <f t="shared" si="43"/>
        <v>#VALUE!</v>
      </c>
    </row>
    <row r="149" spans="2:22" x14ac:dyDescent="0.25">
      <c r="B149" s="41" t="b">
        <f t="shared" si="44"/>
        <v>0</v>
      </c>
      <c r="C149" s="41" t="e">
        <f t="shared" si="45"/>
        <v>#VALUE!</v>
      </c>
      <c r="E149" s="45">
        <v>146</v>
      </c>
      <c r="G149" s="138"/>
      <c r="H149" s="135">
        <v>1</v>
      </c>
      <c r="I149" s="46" t="e">
        <f t="shared" si="32"/>
        <v>#VALUE!</v>
      </c>
      <c r="J149" s="41" t="e">
        <f t="shared" si="38"/>
        <v>#VALUE!</v>
      </c>
      <c r="K149" s="41" t="e">
        <f t="shared" si="39"/>
        <v>#VALUE!</v>
      </c>
      <c r="L149" s="41" t="e">
        <f t="shared" si="39"/>
        <v>#VALUE!</v>
      </c>
      <c r="M149" s="41" t="e">
        <f t="shared" si="33"/>
        <v>#VALUE!</v>
      </c>
      <c r="N149" s="41" t="e">
        <f t="shared" si="34"/>
        <v>#VALUE!</v>
      </c>
      <c r="O149" s="41">
        <f t="shared" si="35"/>
        <v>0</v>
      </c>
      <c r="Q149" s="44" t="e">
        <f t="shared" si="36"/>
        <v>#VALUE!</v>
      </c>
      <c r="R149" s="44" t="e">
        <f t="shared" si="40"/>
        <v>#VALUE!</v>
      </c>
      <c r="S149" s="44" t="e">
        <f t="shared" si="37"/>
        <v>#VALUE!</v>
      </c>
      <c r="T149" s="41" t="e">
        <f t="shared" si="41"/>
        <v>#VALUE!</v>
      </c>
      <c r="U149" s="41" t="e">
        <f t="shared" si="42"/>
        <v>#VALUE!</v>
      </c>
      <c r="V149" s="41" t="e">
        <f t="shared" si="43"/>
        <v>#VALUE!</v>
      </c>
    </row>
    <row r="150" spans="2:22" x14ac:dyDescent="0.25">
      <c r="B150" s="41" t="b">
        <f t="shared" si="44"/>
        <v>0</v>
      </c>
      <c r="C150" s="41" t="e">
        <f t="shared" si="45"/>
        <v>#VALUE!</v>
      </c>
      <c r="E150" s="45">
        <v>147</v>
      </c>
      <c r="G150" s="138"/>
      <c r="H150" s="135">
        <v>1</v>
      </c>
      <c r="I150" s="46" t="e">
        <f t="shared" si="32"/>
        <v>#VALUE!</v>
      </c>
      <c r="J150" s="41" t="e">
        <f t="shared" si="38"/>
        <v>#VALUE!</v>
      </c>
      <c r="K150" s="41" t="e">
        <f t="shared" si="39"/>
        <v>#VALUE!</v>
      </c>
      <c r="L150" s="41" t="e">
        <f t="shared" si="39"/>
        <v>#VALUE!</v>
      </c>
      <c r="M150" s="41" t="e">
        <f t="shared" si="33"/>
        <v>#VALUE!</v>
      </c>
      <c r="N150" s="41" t="e">
        <f t="shared" si="34"/>
        <v>#VALUE!</v>
      </c>
      <c r="O150" s="41">
        <f t="shared" si="35"/>
        <v>0</v>
      </c>
      <c r="Q150" s="44" t="e">
        <f t="shared" si="36"/>
        <v>#VALUE!</v>
      </c>
      <c r="R150" s="44" t="e">
        <f t="shared" si="40"/>
        <v>#VALUE!</v>
      </c>
      <c r="S150" s="44" t="e">
        <f t="shared" si="37"/>
        <v>#VALUE!</v>
      </c>
      <c r="T150" s="41" t="e">
        <f t="shared" si="41"/>
        <v>#VALUE!</v>
      </c>
      <c r="U150" s="41" t="e">
        <f t="shared" si="42"/>
        <v>#VALUE!</v>
      </c>
      <c r="V150" s="41" t="e">
        <f t="shared" si="43"/>
        <v>#VALUE!</v>
      </c>
    </row>
    <row r="151" spans="2:22" x14ac:dyDescent="0.25">
      <c r="B151" s="41" t="b">
        <f t="shared" si="44"/>
        <v>0</v>
      </c>
      <c r="C151" s="41" t="e">
        <f t="shared" si="45"/>
        <v>#VALUE!</v>
      </c>
      <c r="E151" s="45">
        <v>148</v>
      </c>
      <c r="G151" s="138"/>
      <c r="H151" s="135">
        <v>1</v>
      </c>
      <c r="I151" s="46" t="e">
        <f t="shared" si="32"/>
        <v>#VALUE!</v>
      </c>
      <c r="J151" s="41" t="e">
        <f t="shared" si="38"/>
        <v>#VALUE!</v>
      </c>
      <c r="K151" s="41" t="e">
        <f t="shared" si="39"/>
        <v>#VALUE!</v>
      </c>
      <c r="L151" s="41" t="e">
        <f t="shared" si="39"/>
        <v>#VALUE!</v>
      </c>
      <c r="M151" s="41" t="e">
        <f t="shared" si="33"/>
        <v>#VALUE!</v>
      </c>
      <c r="N151" s="41" t="e">
        <f t="shared" si="34"/>
        <v>#VALUE!</v>
      </c>
      <c r="O151" s="41">
        <f t="shared" si="35"/>
        <v>0</v>
      </c>
      <c r="Q151" s="44" t="e">
        <f t="shared" si="36"/>
        <v>#VALUE!</v>
      </c>
      <c r="R151" s="44" t="e">
        <f t="shared" si="40"/>
        <v>#VALUE!</v>
      </c>
      <c r="S151" s="44" t="e">
        <f t="shared" si="37"/>
        <v>#VALUE!</v>
      </c>
      <c r="T151" s="41" t="e">
        <f t="shared" si="41"/>
        <v>#VALUE!</v>
      </c>
      <c r="U151" s="41" t="e">
        <f t="shared" si="42"/>
        <v>#VALUE!</v>
      </c>
      <c r="V151" s="41" t="e">
        <f t="shared" si="43"/>
        <v>#VALUE!</v>
      </c>
    </row>
    <row r="152" spans="2:22" x14ac:dyDescent="0.25">
      <c r="B152" s="41" t="b">
        <f t="shared" si="44"/>
        <v>0</v>
      </c>
      <c r="C152" s="41" t="e">
        <f t="shared" si="45"/>
        <v>#VALUE!</v>
      </c>
      <c r="E152" s="45">
        <v>149</v>
      </c>
      <c r="G152" s="138"/>
      <c r="H152" s="135">
        <v>1</v>
      </c>
      <c r="I152" s="46" t="e">
        <f t="shared" si="32"/>
        <v>#VALUE!</v>
      </c>
      <c r="J152" s="41" t="e">
        <f t="shared" si="38"/>
        <v>#VALUE!</v>
      </c>
      <c r="K152" s="41" t="e">
        <f t="shared" si="39"/>
        <v>#VALUE!</v>
      </c>
      <c r="L152" s="41" t="e">
        <f t="shared" si="39"/>
        <v>#VALUE!</v>
      </c>
      <c r="M152" s="41" t="e">
        <f t="shared" si="33"/>
        <v>#VALUE!</v>
      </c>
      <c r="N152" s="41" t="e">
        <f t="shared" si="34"/>
        <v>#VALUE!</v>
      </c>
      <c r="O152" s="41">
        <f t="shared" si="35"/>
        <v>0</v>
      </c>
      <c r="Q152" s="44" t="e">
        <f t="shared" si="36"/>
        <v>#VALUE!</v>
      </c>
      <c r="R152" s="44" t="e">
        <f t="shared" si="40"/>
        <v>#VALUE!</v>
      </c>
      <c r="S152" s="44" t="e">
        <f t="shared" si="37"/>
        <v>#VALUE!</v>
      </c>
      <c r="T152" s="41" t="e">
        <f t="shared" si="41"/>
        <v>#VALUE!</v>
      </c>
      <c r="U152" s="41" t="e">
        <f t="shared" si="42"/>
        <v>#VALUE!</v>
      </c>
      <c r="V152" s="41" t="e">
        <f t="shared" si="43"/>
        <v>#VALUE!</v>
      </c>
    </row>
    <row r="153" spans="2:22" x14ac:dyDescent="0.25">
      <c r="B153" s="41" t="b">
        <f t="shared" si="44"/>
        <v>0</v>
      </c>
      <c r="C153" s="41" t="e">
        <f t="shared" si="45"/>
        <v>#VALUE!</v>
      </c>
      <c r="E153" s="45">
        <v>150</v>
      </c>
      <c r="G153" s="138"/>
      <c r="H153" s="135">
        <v>1</v>
      </c>
      <c r="I153" s="46" t="e">
        <f t="shared" si="32"/>
        <v>#VALUE!</v>
      </c>
      <c r="J153" s="41" t="e">
        <f t="shared" si="38"/>
        <v>#VALUE!</v>
      </c>
      <c r="K153" s="41" t="e">
        <f t="shared" si="39"/>
        <v>#VALUE!</v>
      </c>
      <c r="L153" s="41" t="e">
        <f t="shared" si="39"/>
        <v>#VALUE!</v>
      </c>
      <c r="M153" s="41" t="e">
        <f t="shared" si="33"/>
        <v>#VALUE!</v>
      </c>
      <c r="N153" s="41" t="e">
        <f t="shared" si="34"/>
        <v>#VALUE!</v>
      </c>
      <c r="O153" s="41">
        <f t="shared" si="35"/>
        <v>0</v>
      </c>
      <c r="Q153" s="44" t="e">
        <f t="shared" si="36"/>
        <v>#VALUE!</v>
      </c>
      <c r="R153" s="44" t="e">
        <f t="shared" si="40"/>
        <v>#VALUE!</v>
      </c>
      <c r="S153" s="44" t="e">
        <f t="shared" si="37"/>
        <v>#VALUE!</v>
      </c>
      <c r="T153" s="41" t="e">
        <f t="shared" si="41"/>
        <v>#VALUE!</v>
      </c>
      <c r="U153" s="41" t="e">
        <f t="shared" si="42"/>
        <v>#VALUE!</v>
      </c>
      <c r="V153" s="41" t="e">
        <f t="shared" si="43"/>
        <v>#VALUE!</v>
      </c>
    </row>
    <row r="154" spans="2:22" x14ac:dyDescent="0.25">
      <c r="B154" s="41" t="b">
        <f t="shared" si="44"/>
        <v>0</v>
      </c>
      <c r="C154" s="41" t="e">
        <f t="shared" si="45"/>
        <v>#VALUE!</v>
      </c>
      <c r="E154" s="45">
        <v>151</v>
      </c>
      <c r="G154" s="138"/>
      <c r="H154" s="135">
        <v>1</v>
      </c>
      <c r="I154" s="46" t="e">
        <f t="shared" si="32"/>
        <v>#VALUE!</v>
      </c>
      <c r="J154" s="41" t="e">
        <f t="shared" si="38"/>
        <v>#VALUE!</v>
      </c>
      <c r="K154" s="41" t="e">
        <f t="shared" si="39"/>
        <v>#VALUE!</v>
      </c>
      <c r="L154" s="41" t="e">
        <f t="shared" si="39"/>
        <v>#VALUE!</v>
      </c>
      <c r="M154" s="41" t="e">
        <f t="shared" si="33"/>
        <v>#VALUE!</v>
      </c>
      <c r="N154" s="41" t="e">
        <f t="shared" si="34"/>
        <v>#VALUE!</v>
      </c>
      <c r="O154" s="41">
        <f t="shared" si="35"/>
        <v>0</v>
      </c>
      <c r="Q154" s="44" t="e">
        <f t="shared" si="36"/>
        <v>#VALUE!</v>
      </c>
      <c r="R154" s="44" t="e">
        <f t="shared" si="40"/>
        <v>#VALUE!</v>
      </c>
      <c r="S154" s="44" t="e">
        <f t="shared" si="37"/>
        <v>#VALUE!</v>
      </c>
      <c r="T154" s="41" t="e">
        <f t="shared" si="41"/>
        <v>#VALUE!</v>
      </c>
      <c r="U154" s="41" t="e">
        <f t="shared" si="42"/>
        <v>#VALUE!</v>
      </c>
      <c r="V154" s="41" t="e">
        <f t="shared" si="43"/>
        <v>#VALUE!</v>
      </c>
    </row>
    <row r="155" spans="2:22" x14ac:dyDescent="0.25">
      <c r="B155" s="41" t="b">
        <f t="shared" si="44"/>
        <v>0</v>
      </c>
      <c r="C155" s="41" t="e">
        <f t="shared" si="45"/>
        <v>#VALUE!</v>
      </c>
      <c r="E155" s="45">
        <v>152</v>
      </c>
      <c r="G155" s="138"/>
      <c r="H155" s="135">
        <v>1</v>
      </c>
      <c r="I155" s="46" t="e">
        <f t="shared" si="32"/>
        <v>#VALUE!</v>
      </c>
      <c r="J155" s="41" t="e">
        <f t="shared" si="38"/>
        <v>#VALUE!</v>
      </c>
      <c r="K155" s="41" t="e">
        <f t="shared" si="39"/>
        <v>#VALUE!</v>
      </c>
      <c r="L155" s="41" t="e">
        <f t="shared" si="39"/>
        <v>#VALUE!</v>
      </c>
      <c r="M155" s="41" t="e">
        <f t="shared" si="33"/>
        <v>#VALUE!</v>
      </c>
      <c r="N155" s="41" t="e">
        <f t="shared" si="34"/>
        <v>#VALUE!</v>
      </c>
      <c r="O155" s="41">
        <f t="shared" si="35"/>
        <v>0</v>
      </c>
      <c r="Q155" s="44" t="e">
        <f t="shared" si="36"/>
        <v>#VALUE!</v>
      </c>
      <c r="R155" s="44" t="e">
        <f t="shared" si="40"/>
        <v>#VALUE!</v>
      </c>
      <c r="S155" s="44" t="e">
        <f t="shared" si="37"/>
        <v>#VALUE!</v>
      </c>
      <c r="T155" s="41" t="e">
        <f t="shared" si="41"/>
        <v>#VALUE!</v>
      </c>
      <c r="U155" s="41" t="e">
        <f t="shared" si="42"/>
        <v>#VALUE!</v>
      </c>
      <c r="V155" s="41" t="e">
        <f t="shared" si="43"/>
        <v>#VALUE!</v>
      </c>
    </row>
    <row r="156" spans="2:22" x14ac:dyDescent="0.25">
      <c r="B156" s="41" t="b">
        <f t="shared" si="44"/>
        <v>0</v>
      </c>
      <c r="C156" s="41" t="e">
        <f t="shared" si="45"/>
        <v>#VALUE!</v>
      </c>
      <c r="E156" s="45">
        <v>153</v>
      </c>
      <c r="G156" s="138"/>
      <c r="H156" s="135">
        <v>1</v>
      </c>
      <c r="I156" s="46" t="e">
        <f t="shared" si="32"/>
        <v>#VALUE!</v>
      </c>
      <c r="J156" s="41" t="e">
        <f t="shared" si="38"/>
        <v>#VALUE!</v>
      </c>
      <c r="K156" s="41" t="e">
        <f t="shared" si="39"/>
        <v>#VALUE!</v>
      </c>
      <c r="L156" s="41" t="e">
        <f t="shared" si="39"/>
        <v>#VALUE!</v>
      </c>
      <c r="M156" s="41" t="e">
        <f t="shared" si="33"/>
        <v>#VALUE!</v>
      </c>
      <c r="N156" s="41" t="e">
        <f t="shared" si="34"/>
        <v>#VALUE!</v>
      </c>
      <c r="O156" s="41">
        <f t="shared" si="35"/>
        <v>0</v>
      </c>
      <c r="Q156" s="44" t="e">
        <f t="shared" si="36"/>
        <v>#VALUE!</v>
      </c>
      <c r="R156" s="44" t="e">
        <f t="shared" si="40"/>
        <v>#VALUE!</v>
      </c>
      <c r="S156" s="44" t="e">
        <f t="shared" si="37"/>
        <v>#VALUE!</v>
      </c>
      <c r="T156" s="41" t="e">
        <f t="shared" si="41"/>
        <v>#VALUE!</v>
      </c>
      <c r="U156" s="41" t="e">
        <f t="shared" si="42"/>
        <v>#VALUE!</v>
      </c>
      <c r="V156" s="41" t="e">
        <f t="shared" si="43"/>
        <v>#VALUE!</v>
      </c>
    </row>
    <row r="157" spans="2:22" x14ac:dyDescent="0.25">
      <c r="B157" s="41" t="b">
        <f t="shared" si="44"/>
        <v>0</v>
      </c>
      <c r="C157" s="41" t="e">
        <f t="shared" si="45"/>
        <v>#VALUE!</v>
      </c>
      <c r="E157" s="45">
        <v>154</v>
      </c>
      <c r="G157" s="138"/>
      <c r="H157" s="135">
        <v>1</v>
      </c>
      <c r="I157" s="46" t="e">
        <f t="shared" si="32"/>
        <v>#VALUE!</v>
      </c>
      <c r="J157" s="41" t="e">
        <f t="shared" si="38"/>
        <v>#VALUE!</v>
      </c>
      <c r="K157" s="41" t="e">
        <f t="shared" si="39"/>
        <v>#VALUE!</v>
      </c>
      <c r="L157" s="41" t="e">
        <f t="shared" si="39"/>
        <v>#VALUE!</v>
      </c>
      <c r="M157" s="41" t="e">
        <f t="shared" si="33"/>
        <v>#VALUE!</v>
      </c>
      <c r="N157" s="41" t="e">
        <f t="shared" si="34"/>
        <v>#VALUE!</v>
      </c>
      <c r="O157" s="41">
        <f t="shared" si="35"/>
        <v>0</v>
      </c>
      <c r="Q157" s="44" t="e">
        <f t="shared" si="36"/>
        <v>#VALUE!</v>
      </c>
      <c r="R157" s="44" t="e">
        <f t="shared" si="40"/>
        <v>#VALUE!</v>
      </c>
      <c r="S157" s="44" t="e">
        <f t="shared" si="37"/>
        <v>#VALUE!</v>
      </c>
      <c r="T157" s="41" t="e">
        <f t="shared" si="41"/>
        <v>#VALUE!</v>
      </c>
      <c r="U157" s="41" t="e">
        <f t="shared" si="42"/>
        <v>#VALUE!</v>
      </c>
      <c r="V157" s="41" t="e">
        <f t="shared" si="43"/>
        <v>#VALUE!</v>
      </c>
    </row>
    <row r="158" spans="2:22" x14ac:dyDescent="0.25">
      <c r="B158" s="41" t="b">
        <f t="shared" si="44"/>
        <v>0</v>
      </c>
      <c r="C158" s="41" t="e">
        <f t="shared" si="45"/>
        <v>#VALUE!</v>
      </c>
      <c r="E158" s="45">
        <v>155</v>
      </c>
      <c r="G158" s="138"/>
      <c r="H158" s="135">
        <v>1</v>
      </c>
      <c r="I158" s="46" t="e">
        <f t="shared" si="32"/>
        <v>#VALUE!</v>
      </c>
      <c r="J158" s="41" t="e">
        <f t="shared" si="38"/>
        <v>#VALUE!</v>
      </c>
      <c r="K158" s="41" t="e">
        <f t="shared" si="39"/>
        <v>#VALUE!</v>
      </c>
      <c r="L158" s="41" t="e">
        <f t="shared" si="39"/>
        <v>#VALUE!</v>
      </c>
      <c r="M158" s="41" t="e">
        <f t="shared" si="33"/>
        <v>#VALUE!</v>
      </c>
      <c r="N158" s="41" t="e">
        <f t="shared" si="34"/>
        <v>#VALUE!</v>
      </c>
      <c r="O158" s="41">
        <f t="shared" si="35"/>
        <v>0</v>
      </c>
      <c r="Q158" s="44" t="e">
        <f t="shared" si="36"/>
        <v>#VALUE!</v>
      </c>
      <c r="R158" s="44" t="e">
        <f t="shared" si="40"/>
        <v>#VALUE!</v>
      </c>
      <c r="S158" s="44" t="e">
        <f t="shared" si="37"/>
        <v>#VALUE!</v>
      </c>
      <c r="T158" s="41" t="e">
        <f t="shared" si="41"/>
        <v>#VALUE!</v>
      </c>
      <c r="U158" s="41" t="e">
        <f t="shared" si="42"/>
        <v>#VALUE!</v>
      </c>
      <c r="V158" s="41" t="e">
        <f t="shared" si="43"/>
        <v>#VALUE!</v>
      </c>
    </row>
    <row r="159" spans="2:22" x14ac:dyDescent="0.25">
      <c r="B159" s="41" t="b">
        <f t="shared" si="44"/>
        <v>0</v>
      </c>
      <c r="C159" s="41" t="e">
        <f t="shared" si="45"/>
        <v>#VALUE!</v>
      </c>
      <c r="E159" s="45">
        <v>156</v>
      </c>
      <c r="G159" s="138"/>
      <c r="H159" s="135">
        <v>1</v>
      </c>
      <c r="I159" s="46" t="e">
        <f t="shared" si="32"/>
        <v>#VALUE!</v>
      </c>
      <c r="J159" s="41" t="e">
        <f t="shared" si="38"/>
        <v>#VALUE!</v>
      </c>
      <c r="K159" s="41" t="e">
        <f t="shared" si="39"/>
        <v>#VALUE!</v>
      </c>
      <c r="L159" s="41" t="e">
        <f t="shared" si="39"/>
        <v>#VALUE!</v>
      </c>
      <c r="M159" s="41" t="e">
        <f t="shared" si="33"/>
        <v>#VALUE!</v>
      </c>
      <c r="N159" s="41" t="e">
        <f t="shared" si="34"/>
        <v>#VALUE!</v>
      </c>
      <c r="O159" s="41">
        <f t="shared" si="35"/>
        <v>0</v>
      </c>
      <c r="Q159" s="44" t="e">
        <f t="shared" si="36"/>
        <v>#VALUE!</v>
      </c>
      <c r="R159" s="44" t="e">
        <f t="shared" si="40"/>
        <v>#VALUE!</v>
      </c>
      <c r="S159" s="44" t="e">
        <f t="shared" si="37"/>
        <v>#VALUE!</v>
      </c>
      <c r="T159" s="41" t="e">
        <f t="shared" si="41"/>
        <v>#VALUE!</v>
      </c>
      <c r="U159" s="41" t="e">
        <f t="shared" si="42"/>
        <v>#VALUE!</v>
      </c>
      <c r="V159" s="41" t="e">
        <f t="shared" si="43"/>
        <v>#VALUE!</v>
      </c>
    </row>
    <row r="160" spans="2:22" x14ac:dyDescent="0.25">
      <c r="B160" s="41" t="b">
        <f t="shared" si="44"/>
        <v>0</v>
      </c>
      <c r="C160" s="41" t="e">
        <f t="shared" si="45"/>
        <v>#VALUE!</v>
      </c>
      <c r="E160" s="45">
        <v>157</v>
      </c>
      <c r="G160" s="138"/>
      <c r="H160" s="135">
        <v>1</v>
      </c>
      <c r="I160" s="46" t="e">
        <f t="shared" si="32"/>
        <v>#VALUE!</v>
      </c>
      <c r="J160" s="41" t="e">
        <f t="shared" si="38"/>
        <v>#VALUE!</v>
      </c>
      <c r="K160" s="41" t="e">
        <f t="shared" si="39"/>
        <v>#VALUE!</v>
      </c>
      <c r="L160" s="41" t="e">
        <f t="shared" si="39"/>
        <v>#VALUE!</v>
      </c>
      <c r="M160" s="41" t="e">
        <f t="shared" si="33"/>
        <v>#VALUE!</v>
      </c>
      <c r="N160" s="41" t="e">
        <f t="shared" si="34"/>
        <v>#VALUE!</v>
      </c>
      <c r="O160" s="41">
        <f t="shared" si="35"/>
        <v>0</v>
      </c>
      <c r="Q160" s="44" t="e">
        <f t="shared" si="36"/>
        <v>#VALUE!</v>
      </c>
      <c r="R160" s="44" t="e">
        <f t="shared" si="40"/>
        <v>#VALUE!</v>
      </c>
      <c r="S160" s="44" t="e">
        <f t="shared" si="37"/>
        <v>#VALUE!</v>
      </c>
      <c r="T160" s="41" t="e">
        <f t="shared" si="41"/>
        <v>#VALUE!</v>
      </c>
      <c r="U160" s="41" t="e">
        <f t="shared" si="42"/>
        <v>#VALUE!</v>
      </c>
      <c r="V160" s="41" t="e">
        <f t="shared" si="43"/>
        <v>#VALUE!</v>
      </c>
    </row>
    <row r="161" spans="2:22" x14ac:dyDescent="0.25">
      <c r="B161" s="41" t="b">
        <f t="shared" si="44"/>
        <v>0</v>
      </c>
      <c r="C161" s="41" t="e">
        <f t="shared" si="45"/>
        <v>#VALUE!</v>
      </c>
      <c r="E161" s="45">
        <v>158</v>
      </c>
      <c r="G161" s="138"/>
      <c r="H161" s="135">
        <v>1</v>
      </c>
      <c r="I161" s="46" t="e">
        <f t="shared" si="32"/>
        <v>#VALUE!</v>
      </c>
      <c r="J161" s="41" t="e">
        <f t="shared" si="38"/>
        <v>#VALUE!</v>
      </c>
      <c r="K161" s="41" t="e">
        <f t="shared" si="39"/>
        <v>#VALUE!</v>
      </c>
      <c r="L161" s="41" t="e">
        <f t="shared" si="39"/>
        <v>#VALUE!</v>
      </c>
      <c r="M161" s="41" t="e">
        <f t="shared" si="33"/>
        <v>#VALUE!</v>
      </c>
      <c r="N161" s="41" t="e">
        <f t="shared" si="34"/>
        <v>#VALUE!</v>
      </c>
      <c r="O161" s="41">
        <f t="shared" si="35"/>
        <v>0</v>
      </c>
      <c r="Q161" s="44" t="e">
        <f t="shared" si="36"/>
        <v>#VALUE!</v>
      </c>
      <c r="R161" s="44" t="e">
        <f t="shared" si="40"/>
        <v>#VALUE!</v>
      </c>
      <c r="S161" s="44" t="e">
        <f t="shared" si="37"/>
        <v>#VALUE!</v>
      </c>
      <c r="T161" s="41" t="e">
        <f t="shared" si="41"/>
        <v>#VALUE!</v>
      </c>
      <c r="U161" s="41" t="e">
        <f t="shared" si="42"/>
        <v>#VALUE!</v>
      </c>
      <c r="V161" s="41" t="e">
        <f t="shared" si="43"/>
        <v>#VALUE!</v>
      </c>
    </row>
    <row r="162" spans="2:22" x14ac:dyDescent="0.25">
      <c r="B162" s="41" t="b">
        <f t="shared" si="44"/>
        <v>0</v>
      </c>
      <c r="C162" s="41" t="e">
        <f t="shared" si="45"/>
        <v>#VALUE!</v>
      </c>
      <c r="E162" s="45">
        <v>159</v>
      </c>
      <c r="G162" s="138"/>
      <c r="H162" s="135">
        <v>1</v>
      </c>
      <c r="I162" s="46" t="e">
        <f t="shared" si="32"/>
        <v>#VALUE!</v>
      </c>
      <c r="J162" s="41" t="e">
        <f t="shared" si="38"/>
        <v>#VALUE!</v>
      </c>
      <c r="K162" s="41" t="e">
        <f t="shared" si="39"/>
        <v>#VALUE!</v>
      </c>
      <c r="L162" s="41" t="e">
        <f t="shared" si="39"/>
        <v>#VALUE!</v>
      </c>
      <c r="M162" s="41" t="e">
        <f t="shared" si="33"/>
        <v>#VALUE!</v>
      </c>
      <c r="N162" s="41" t="e">
        <f t="shared" si="34"/>
        <v>#VALUE!</v>
      </c>
      <c r="O162" s="41">
        <f t="shared" si="35"/>
        <v>0</v>
      </c>
      <c r="Q162" s="44" t="e">
        <f t="shared" si="36"/>
        <v>#VALUE!</v>
      </c>
      <c r="R162" s="44" t="e">
        <f t="shared" si="40"/>
        <v>#VALUE!</v>
      </c>
      <c r="S162" s="44" t="e">
        <f t="shared" si="37"/>
        <v>#VALUE!</v>
      </c>
      <c r="T162" s="41" t="e">
        <f t="shared" si="41"/>
        <v>#VALUE!</v>
      </c>
      <c r="U162" s="41" t="e">
        <f t="shared" si="42"/>
        <v>#VALUE!</v>
      </c>
      <c r="V162" s="41" t="e">
        <f t="shared" si="43"/>
        <v>#VALUE!</v>
      </c>
    </row>
    <row r="163" spans="2:22" x14ac:dyDescent="0.25">
      <c r="B163" s="41" t="b">
        <f t="shared" si="44"/>
        <v>0</v>
      </c>
      <c r="C163" s="41" t="e">
        <f t="shared" si="45"/>
        <v>#VALUE!</v>
      </c>
      <c r="E163" s="45">
        <v>160</v>
      </c>
      <c r="G163" s="138"/>
      <c r="H163" s="135">
        <v>1</v>
      </c>
      <c r="I163" s="46" t="e">
        <f t="shared" si="32"/>
        <v>#VALUE!</v>
      </c>
      <c r="J163" s="41" t="e">
        <f t="shared" si="38"/>
        <v>#VALUE!</v>
      </c>
      <c r="K163" s="41" t="e">
        <f t="shared" si="39"/>
        <v>#VALUE!</v>
      </c>
      <c r="L163" s="41" t="e">
        <f t="shared" si="39"/>
        <v>#VALUE!</v>
      </c>
      <c r="M163" s="41" t="e">
        <f t="shared" si="33"/>
        <v>#VALUE!</v>
      </c>
      <c r="N163" s="41" t="e">
        <f t="shared" si="34"/>
        <v>#VALUE!</v>
      </c>
      <c r="O163" s="41">
        <f t="shared" si="35"/>
        <v>0</v>
      </c>
      <c r="Q163" s="44" t="e">
        <f t="shared" si="36"/>
        <v>#VALUE!</v>
      </c>
      <c r="R163" s="44" t="e">
        <f t="shared" si="40"/>
        <v>#VALUE!</v>
      </c>
      <c r="S163" s="44" t="e">
        <f t="shared" si="37"/>
        <v>#VALUE!</v>
      </c>
      <c r="T163" s="41" t="e">
        <f t="shared" si="41"/>
        <v>#VALUE!</v>
      </c>
      <c r="U163" s="41" t="e">
        <f t="shared" si="42"/>
        <v>#VALUE!</v>
      </c>
      <c r="V163" s="41" t="e">
        <f t="shared" si="43"/>
        <v>#VALUE!</v>
      </c>
    </row>
    <row r="164" spans="2:22" x14ac:dyDescent="0.25">
      <c r="B164" s="41" t="b">
        <f t="shared" si="44"/>
        <v>0</v>
      </c>
      <c r="C164" s="41" t="e">
        <f t="shared" si="45"/>
        <v>#VALUE!</v>
      </c>
      <c r="E164" s="45">
        <v>161</v>
      </c>
      <c r="G164" s="138"/>
      <c r="H164" s="135">
        <v>1</v>
      </c>
      <c r="I164" s="46" t="e">
        <f t="shared" si="32"/>
        <v>#VALUE!</v>
      </c>
      <c r="J164" s="41" t="e">
        <f t="shared" si="38"/>
        <v>#VALUE!</v>
      </c>
      <c r="K164" s="41" t="e">
        <f t="shared" si="39"/>
        <v>#VALUE!</v>
      </c>
      <c r="L164" s="41" t="e">
        <f t="shared" si="39"/>
        <v>#VALUE!</v>
      </c>
      <c r="M164" s="41" t="e">
        <f t="shared" si="33"/>
        <v>#VALUE!</v>
      </c>
      <c r="N164" s="41" t="e">
        <f t="shared" si="34"/>
        <v>#VALUE!</v>
      </c>
      <c r="O164" s="41">
        <f t="shared" si="35"/>
        <v>0</v>
      </c>
      <c r="Q164" s="44" t="e">
        <f t="shared" si="36"/>
        <v>#VALUE!</v>
      </c>
      <c r="R164" s="44" t="e">
        <f t="shared" si="40"/>
        <v>#VALUE!</v>
      </c>
      <c r="S164" s="44" t="e">
        <f t="shared" si="37"/>
        <v>#VALUE!</v>
      </c>
      <c r="T164" s="41" t="e">
        <f t="shared" si="41"/>
        <v>#VALUE!</v>
      </c>
      <c r="U164" s="41" t="e">
        <f t="shared" si="42"/>
        <v>#VALUE!</v>
      </c>
      <c r="V164" s="41" t="e">
        <f t="shared" si="43"/>
        <v>#VALUE!</v>
      </c>
    </row>
    <row r="165" spans="2:22" x14ac:dyDescent="0.25">
      <c r="B165" s="41" t="b">
        <f t="shared" si="44"/>
        <v>0</v>
      </c>
      <c r="C165" s="41" t="e">
        <f t="shared" si="45"/>
        <v>#VALUE!</v>
      </c>
      <c r="E165" s="45">
        <v>162</v>
      </c>
      <c r="G165" s="138"/>
      <c r="H165" s="135">
        <v>1</v>
      </c>
      <c r="I165" s="46" t="e">
        <f t="shared" si="32"/>
        <v>#VALUE!</v>
      </c>
      <c r="J165" s="41" t="e">
        <f t="shared" si="38"/>
        <v>#VALUE!</v>
      </c>
      <c r="K165" s="41" t="e">
        <f t="shared" si="39"/>
        <v>#VALUE!</v>
      </c>
      <c r="L165" s="41" t="e">
        <f t="shared" si="39"/>
        <v>#VALUE!</v>
      </c>
      <c r="M165" s="41" t="e">
        <f t="shared" si="33"/>
        <v>#VALUE!</v>
      </c>
      <c r="N165" s="41" t="e">
        <f t="shared" si="34"/>
        <v>#VALUE!</v>
      </c>
      <c r="O165" s="41">
        <f t="shared" si="35"/>
        <v>0</v>
      </c>
      <c r="Q165" s="44" t="e">
        <f t="shared" si="36"/>
        <v>#VALUE!</v>
      </c>
      <c r="R165" s="44" t="e">
        <f t="shared" si="40"/>
        <v>#VALUE!</v>
      </c>
      <c r="S165" s="44" t="e">
        <f t="shared" si="37"/>
        <v>#VALUE!</v>
      </c>
      <c r="T165" s="41" t="e">
        <f t="shared" si="41"/>
        <v>#VALUE!</v>
      </c>
      <c r="U165" s="41" t="e">
        <f t="shared" si="42"/>
        <v>#VALUE!</v>
      </c>
      <c r="V165" s="41" t="e">
        <f t="shared" si="43"/>
        <v>#VALUE!</v>
      </c>
    </row>
    <row r="166" spans="2:22" x14ac:dyDescent="0.25">
      <c r="B166" s="41" t="b">
        <f t="shared" si="44"/>
        <v>0</v>
      </c>
      <c r="C166" s="41" t="e">
        <f t="shared" si="45"/>
        <v>#VALUE!</v>
      </c>
      <c r="E166" s="45">
        <v>163</v>
      </c>
      <c r="G166" s="138"/>
      <c r="H166" s="135">
        <v>1</v>
      </c>
      <c r="I166" s="46" t="e">
        <f t="shared" si="32"/>
        <v>#VALUE!</v>
      </c>
      <c r="J166" s="41" t="e">
        <f t="shared" si="38"/>
        <v>#VALUE!</v>
      </c>
      <c r="K166" s="41" t="e">
        <f t="shared" si="39"/>
        <v>#VALUE!</v>
      </c>
      <c r="L166" s="41" t="e">
        <f t="shared" si="39"/>
        <v>#VALUE!</v>
      </c>
      <c r="M166" s="41" t="e">
        <f t="shared" si="33"/>
        <v>#VALUE!</v>
      </c>
      <c r="N166" s="41" t="e">
        <f t="shared" si="34"/>
        <v>#VALUE!</v>
      </c>
      <c r="O166" s="41">
        <f t="shared" si="35"/>
        <v>0</v>
      </c>
      <c r="Q166" s="44" t="e">
        <f t="shared" si="36"/>
        <v>#VALUE!</v>
      </c>
      <c r="R166" s="44" t="e">
        <f t="shared" si="40"/>
        <v>#VALUE!</v>
      </c>
      <c r="S166" s="44" t="e">
        <f t="shared" si="37"/>
        <v>#VALUE!</v>
      </c>
      <c r="T166" s="41" t="e">
        <f t="shared" si="41"/>
        <v>#VALUE!</v>
      </c>
      <c r="U166" s="41" t="e">
        <f t="shared" si="42"/>
        <v>#VALUE!</v>
      </c>
      <c r="V166" s="41" t="e">
        <f t="shared" si="43"/>
        <v>#VALUE!</v>
      </c>
    </row>
    <row r="167" spans="2:22" x14ac:dyDescent="0.25">
      <c r="B167" s="41" t="b">
        <f t="shared" si="44"/>
        <v>0</v>
      </c>
      <c r="C167" s="41" t="e">
        <f t="shared" si="45"/>
        <v>#VALUE!</v>
      </c>
      <c r="E167" s="45">
        <v>164</v>
      </c>
      <c r="G167" s="138"/>
      <c r="H167" s="135">
        <v>1</v>
      </c>
      <c r="I167" s="46" t="e">
        <f t="shared" si="32"/>
        <v>#VALUE!</v>
      </c>
      <c r="J167" s="41" t="e">
        <f t="shared" si="38"/>
        <v>#VALUE!</v>
      </c>
      <c r="K167" s="41" t="e">
        <f t="shared" si="39"/>
        <v>#VALUE!</v>
      </c>
      <c r="L167" s="41" t="e">
        <f t="shared" si="39"/>
        <v>#VALUE!</v>
      </c>
      <c r="M167" s="41" t="e">
        <f t="shared" si="33"/>
        <v>#VALUE!</v>
      </c>
      <c r="N167" s="41" t="e">
        <f t="shared" si="34"/>
        <v>#VALUE!</v>
      </c>
      <c r="O167" s="41">
        <f t="shared" si="35"/>
        <v>0</v>
      </c>
      <c r="Q167" s="44" t="e">
        <f t="shared" si="36"/>
        <v>#VALUE!</v>
      </c>
      <c r="R167" s="44" t="e">
        <f t="shared" si="40"/>
        <v>#VALUE!</v>
      </c>
      <c r="S167" s="44" t="e">
        <f t="shared" si="37"/>
        <v>#VALUE!</v>
      </c>
      <c r="T167" s="41" t="e">
        <f t="shared" si="41"/>
        <v>#VALUE!</v>
      </c>
      <c r="U167" s="41" t="e">
        <f t="shared" si="42"/>
        <v>#VALUE!</v>
      </c>
      <c r="V167" s="41" t="e">
        <f t="shared" si="43"/>
        <v>#VALUE!</v>
      </c>
    </row>
    <row r="168" spans="2:22" x14ac:dyDescent="0.25">
      <c r="B168" s="41" t="b">
        <f t="shared" si="44"/>
        <v>0</v>
      </c>
      <c r="C168" s="41" t="e">
        <f t="shared" si="45"/>
        <v>#VALUE!</v>
      </c>
      <c r="E168" s="45">
        <v>165</v>
      </c>
      <c r="G168" s="138"/>
      <c r="H168" s="135">
        <v>1</v>
      </c>
      <c r="I168" s="46" t="e">
        <f t="shared" si="32"/>
        <v>#VALUE!</v>
      </c>
      <c r="J168" s="41" t="e">
        <f t="shared" si="38"/>
        <v>#VALUE!</v>
      </c>
      <c r="K168" s="41" t="e">
        <f t="shared" si="39"/>
        <v>#VALUE!</v>
      </c>
      <c r="L168" s="41" t="e">
        <f t="shared" si="39"/>
        <v>#VALUE!</v>
      </c>
      <c r="M168" s="41" t="e">
        <f t="shared" si="33"/>
        <v>#VALUE!</v>
      </c>
      <c r="N168" s="41" t="e">
        <f t="shared" si="34"/>
        <v>#VALUE!</v>
      </c>
      <c r="O168" s="41">
        <f t="shared" si="35"/>
        <v>0</v>
      </c>
      <c r="Q168" s="44" t="e">
        <f t="shared" si="36"/>
        <v>#VALUE!</v>
      </c>
      <c r="R168" s="44" t="e">
        <f t="shared" si="40"/>
        <v>#VALUE!</v>
      </c>
      <c r="S168" s="44" t="e">
        <f t="shared" si="37"/>
        <v>#VALUE!</v>
      </c>
      <c r="T168" s="41" t="e">
        <f t="shared" si="41"/>
        <v>#VALUE!</v>
      </c>
      <c r="U168" s="41" t="e">
        <f t="shared" si="42"/>
        <v>#VALUE!</v>
      </c>
      <c r="V168" s="41" t="e">
        <f t="shared" si="43"/>
        <v>#VALUE!</v>
      </c>
    </row>
    <row r="169" spans="2:22" x14ac:dyDescent="0.25">
      <c r="B169" s="41" t="b">
        <f t="shared" si="44"/>
        <v>0</v>
      </c>
      <c r="C169" s="41" t="e">
        <f t="shared" si="45"/>
        <v>#VALUE!</v>
      </c>
      <c r="E169" s="45">
        <v>166</v>
      </c>
      <c r="G169" s="138"/>
      <c r="H169" s="135">
        <v>1</v>
      </c>
      <c r="I169" s="46" t="e">
        <f t="shared" si="32"/>
        <v>#VALUE!</v>
      </c>
      <c r="J169" s="41" t="e">
        <f t="shared" si="38"/>
        <v>#VALUE!</v>
      </c>
      <c r="K169" s="41" t="e">
        <f t="shared" si="39"/>
        <v>#VALUE!</v>
      </c>
      <c r="L169" s="41" t="e">
        <f t="shared" si="39"/>
        <v>#VALUE!</v>
      </c>
      <c r="M169" s="41" t="e">
        <f t="shared" si="33"/>
        <v>#VALUE!</v>
      </c>
      <c r="N169" s="41" t="e">
        <f t="shared" si="34"/>
        <v>#VALUE!</v>
      </c>
      <c r="O169" s="41">
        <f t="shared" si="35"/>
        <v>0</v>
      </c>
      <c r="Q169" s="44" t="e">
        <f t="shared" si="36"/>
        <v>#VALUE!</v>
      </c>
      <c r="R169" s="44" t="e">
        <f t="shared" si="40"/>
        <v>#VALUE!</v>
      </c>
      <c r="S169" s="44" t="e">
        <f t="shared" si="37"/>
        <v>#VALUE!</v>
      </c>
      <c r="T169" s="41" t="e">
        <f t="shared" si="41"/>
        <v>#VALUE!</v>
      </c>
      <c r="U169" s="41" t="e">
        <f t="shared" si="42"/>
        <v>#VALUE!</v>
      </c>
      <c r="V169" s="41" t="e">
        <f t="shared" si="43"/>
        <v>#VALUE!</v>
      </c>
    </row>
    <row r="170" spans="2:22" x14ac:dyDescent="0.25">
      <c r="B170" s="41" t="b">
        <f t="shared" si="44"/>
        <v>0</v>
      </c>
      <c r="C170" s="41" t="e">
        <f t="shared" si="45"/>
        <v>#VALUE!</v>
      </c>
      <c r="E170" s="45">
        <v>167</v>
      </c>
      <c r="G170" s="138"/>
      <c r="H170" s="135">
        <v>1</v>
      </c>
      <c r="I170" s="46" t="e">
        <f t="shared" si="32"/>
        <v>#VALUE!</v>
      </c>
      <c r="J170" s="41" t="e">
        <f t="shared" si="38"/>
        <v>#VALUE!</v>
      </c>
      <c r="K170" s="41" t="e">
        <f t="shared" si="39"/>
        <v>#VALUE!</v>
      </c>
      <c r="L170" s="41" t="e">
        <f t="shared" si="39"/>
        <v>#VALUE!</v>
      </c>
      <c r="M170" s="41" t="e">
        <f t="shared" si="33"/>
        <v>#VALUE!</v>
      </c>
      <c r="N170" s="41" t="e">
        <f t="shared" si="34"/>
        <v>#VALUE!</v>
      </c>
      <c r="O170" s="41">
        <f t="shared" si="35"/>
        <v>0</v>
      </c>
      <c r="Q170" s="44" t="e">
        <f t="shared" si="36"/>
        <v>#VALUE!</v>
      </c>
      <c r="R170" s="44" t="e">
        <f t="shared" si="40"/>
        <v>#VALUE!</v>
      </c>
      <c r="S170" s="44" t="e">
        <f t="shared" si="37"/>
        <v>#VALUE!</v>
      </c>
      <c r="T170" s="41" t="e">
        <f t="shared" si="41"/>
        <v>#VALUE!</v>
      </c>
      <c r="U170" s="41" t="e">
        <f t="shared" si="42"/>
        <v>#VALUE!</v>
      </c>
      <c r="V170" s="41" t="e">
        <f t="shared" si="43"/>
        <v>#VALUE!</v>
      </c>
    </row>
    <row r="171" spans="2:22" x14ac:dyDescent="0.25">
      <c r="B171" s="41" t="b">
        <f t="shared" si="44"/>
        <v>0</v>
      </c>
      <c r="C171" s="41" t="e">
        <f t="shared" si="45"/>
        <v>#VALUE!</v>
      </c>
      <c r="E171" s="45">
        <v>168</v>
      </c>
      <c r="G171" s="138"/>
      <c r="H171" s="135">
        <v>1</v>
      </c>
      <c r="I171" s="46" t="e">
        <f t="shared" si="32"/>
        <v>#VALUE!</v>
      </c>
      <c r="J171" s="41" t="e">
        <f t="shared" si="38"/>
        <v>#VALUE!</v>
      </c>
      <c r="K171" s="41" t="e">
        <f t="shared" si="39"/>
        <v>#VALUE!</v>
      </c>
      <c r="L171" s="41" t="e">
        <f t="shared" si="39"/>
        <v>#VALUE!</v>
      </c>
      <c r="M171" s="41" t="e">
        <f t="shared" si="33"/>
        <v>#VALUE!</v>
      </c>
      <c r="N171" s="41" t="e">
        <f t="shared" si="34"/>
        <v>#VALUE!</v>
      </c>
      <c r="O171" s="41">
        <f t="shared" si="35"/>
        <v>0</v>
      </c>
      <c r="Q171" s="44" t="e">
        <f t="shared" si="36"/>
        <v>#VALUE!</v>
      </c>
      <c r="R171" s="44" t="e">
        <f t="shared" si="40"/>
        <v>#VALUE!</v>
      </c>
      <c r="S171" s="44" t="e">
        <f t="shared" si="37"/>
        <v>#VALUE!</v>
      </c>
      <c r="T171" s="41" t="e">
        <f t="shared" si="41"/>
        <v>#VALUE!</v>
      </c>
      <c r="U171" s="41" t="e">
        <f t="shared" si="42"/>
        <v>#VALUE!</v>
      </c>
      <c r="V171" s="41" t="e">
        <f t="shared" si="43"/>
        <v>#VALUE!</v>
      </c>
    </row>
    <row r="172" spans="2:22" x14ac:dyDescent="0.25">
      <c r="B172" s="41" t="b">
        <f t="shared" si="44"/>
        <v>0</v>
      </c>
      <c r="C172" s="41" t="e">
        <f t="shared" si="45"/>
        <v>#VALUE!</v>
      </c>
      <c r="E172" s="45">
        <v>169</v>
      </c>
      <c r="G172" s="138"/>
      <c r="H172" s="135">
        <v>1</v>
      </c>
      <c r="I172" s="46" t="e">
        <f t="shared" si="32"/>
        <v>#VALUE!</v>
      </c>
      <c r="J172" s="41" t="e">
        <f t="shared" si="38"/>
        <v>#VALUE!</v>
      </c>
      <c r="K172" s="41" t="e">
        <f t="shared" si="39"/>
        <v>#VALUE!</v>
      </c>
      <c r="L172" s="41" t="e">
        <f t="shared" si="39"/>
        <v>#VALUE!</v>
      </c>
      <c r="M172" s="41" t="e">
        <f t="shared" si="33"/>
        <v>#VALUE!</v>
      </c>
      <c r="N172" s="41" t="e">
        <f t="shared" si="34"/>
        <v>#VALUE!</v>
      </c>
      <c r="O172" s="41">
        <f t="shared" si="35"/>
        <v>0</v>
      </c>
      <c r="Q172" s="44" t="e">
        <f t="shared" si="36"/>
        <v>#VALUE!</v>
      </c>
      <c r="R172" s="44" t="e">
        <f t="shared" si="40"/>
        <v>#VALUE!</v>
      </c>
      <c r="S172" s="44" t="e">
        <f t="shared" si="37"/>
        <v>#VALUE!</v>
      </c>
      <c r="T172" s="41" t="e">
        <f t="shared" si="41"/>
        <v>#VALUE!</v>
      </c>
      <c r="U172" s="41" t="e">
        <f t="shared" si="42"/>
        <v>#VALUE!</v>
      </c>
      <c r="V172" s="41" t="e">
        <f t="shared" si="43"/>
        <v>#VALUE!</v>
      </c>
    </row>
    <row r="173" spans="2:22" x14ac:dyDescent="0.25">
      <c r="B173" s="41" t="b">
        <f t="shared" si="44"/>
        <v>0</v>
      </c>
      <c r="C173" s="41" t="e">
        <f t="shared" si="45"/>
        <v>#VALUE!</v>
      </c>
      <c r="E173" s="45">
        <v>170</v>
      </c>
      <c r="G173" s="138"/>
      <c r="H173" s="135">
        <v>1</v>
      </c>
      <c r="I173" s="46" t="e">
        <f t="shared" si="32"/>
        <v>#VALUE!</v>
      </c>
      <c r="J173" s="41" t="e">
        <f t="shared" si="38"/>
        <v>#VALUE!</v>
      </c>
      <c r="K173" s="41" t="e">
        <f t="shared" si="39"/>
        <v>#VALUE!</v>
      </c>
      <c r="L173" s="41" t="e">
        <f t="shared" si="39"/>
        <v>#VALUE!</v>
      </c>
      <c r="M173" s="41" t="e">
        <f t="shared" si="33"/>
        <v>#VALUE!</v>
      </c>
      <c r="N173" s="41" t="e">
        <f t="shared" si="34"/>
        <v>#VALUE!</v>
      </c>
      <c r="O173" s="41">
        <f t="shared" si="35"/>
        <v>0</v>
      </c>
      <c r="Q173" s="44" t="e">
        <f t="shared" si="36"/>
        <v>#VALUE!</v>
      </c>
      <c r="R173" s="44" t="e">
        <f t="shared" si="40"/>
        <v>#VALUE!</v>
      </c>
      <c r="S173" s="44" t="e">
        <f t="shared" si="37"/>
        <v>#VALUE!</v>
      </c>
      <c r="T173" s="41" t="e">
        <f t="shared" si="41"/>
        <v>#VALUE!</v>
      </c>
      <c r="U173" s="41" t="e">
        <f t="shared" si="42"/>
        <v>#VALUE!</v>
      </c>
      <c r="V173" s="41" t="e">
        <f t="shared" si="43"/>
        <v>#VALUE!</v>
      </c>
    </row>
    <row r="174" spans="2:22" x14ac:dyDescent="0.25">
      <c r="B174" s="41" t="b">
        <f t="shared" si="44"/>
        <v>0</v>
      </c>
      <c r="C174" s="41" t="e">
        <f t="shared" si="45"/>
        <v>#VALUE!</v>
      </c>
      <c r="E174" s="45">
        <v>171</v>
      </c>
      <c r="G174" s="138"/>
      <c r="H174" s="135">
        <v>1</v>
      </c>
      <c r="I174" s="46" t="e">
        <f t="shared" si="32"/>
        <v>#VALUE!</v>
      </c>
      <c r="J174" s="41" t="e">
        <f t="shared" si="38"/>
        <v>#VALUE!</v>
      </c>
      <c r="K174" s="41" t="e">
        <f t="shared" si="39"/>
        <v>#VALUE!</v>
      </c>
      <c r="L174" s="41" t="e">
        <f t="shared" si="39"/>
        <v>#VALUE!</v>
      </c>
      <c r="M174" s="41" t="e">
        <f t="shared" si="33"/>
        <v>#VALUE!</v>
      </c>
      <c r="N174" s="41" t="e">
        <f t="shared" si="34"/>
        <v>#VALUE!</v>
      </c>
      <c r="O174" s="41">
        <f t="shared" si="35"/>
        <v>0</v>
      </c>
      <c r="Q174" s="44" t="e">
        <f t="shared" si="36"/>
        <v>#VALUE!</v>
      </c>
      <c r="R174" s="44" t="e">
        <f t="shared" si="40"/>
        <v>#VALUE!</v>
      </c>
      <c r="S174" s="44" t="e">
        <f t="shared" si="37"/>
        <v>#VALUE!</v>
      </c>
      <c r="T174" s="41" t="e">
        <f t="shared" si="41"/>
        <v>#VALUE!</v>
      </c>
      <c r="U174" s="41" t="e">
        <f t="shared" si="42"/>
        <v>#VALUE!</v>
      </c>
      <c r="V174" s="41" t="e">
        <f t="shared" si="43"/>
        <v>#VALUE!</v>
      </c>
    </row>
    <row r="175" spans="2:22" x14ac:dyDescent="0.25">
      <c r="B175" s="41" t="b">
        <f t="shared" si="44"/>
        <v>0</v>
      </c>
      <c r="C175" s="41" t="e">
        <f t="shared" si="45"/>
        <v>#VALUE!</v>
      </c>
      <c r="E175" s="45">
        <v>172</v>
      </c>
      <c r="G175" s="138"/>
      <c r="H175" s="135">
        <v>1</v>
      </c>
      <c r="I175" s="46" t="e">
        <f t="shared" si="32"/>
        <v>#VALUE!</v>
      </c>
      <c r="J175" s="41" t="e">
        <f t="shared" si="38"/>
        <v>#VALUE!</v>
      </c>
      <c r="K175" s="41" t="e">
        <f t="shared" si="39"/>
        <v>#VALUE!</v>
      </c>
      <c r="L175" s="41" t="e">
        <f t="shared" si="39"/>
        <v>#VALUE!</v>
      </c>
      <c r="M175" s="41" t="e">
        <f t="shared" si="33"/>
        <v>#VALUE!</v>
      </c>
      <c r="N175" s="41" t="e">
        <f t="shared" si="34"/>
        <v>#VALUE!</v>
      </c>
      <c r="O175" s="41">
        <f t="shared" si="35"/>
        <v>0</v>
      </c>
      <c r="Q175" s="44" t="e">
        <f t="shared" si="36"/>
        <v>#VALUE!</v>
      </c>
      <c r="R175" s="44" t="e">
        <f t="shared" si="40"/>
        <v>#VALUE!</v>
      </c>
      <c r="S175" s="44" t="e">
        <f t="shared" si="37"/>
        <v>#VALUE!</v>
      </c>
      <c r="T175" s="41" t="e">
        <f t="shared" si="41"/>
        <v>#VALUE!</v>
      </c>
      <c r="U175" s="41" t="e">
        <f t="shared" si="42"/>
        <v>#VALUE!</v>
      </c>
      <c r="V175" s="41" t="e">
        <f t="shared" si="43"/>
        <v>#VALUE!</v>
      </c>
    </row>
    <row r="176" spans="2:22" x14ac:dyDescent="0.25">
      <c r="B176" s="41" t="b">
        <f t="shared" si="44"/>
        <v>0</v>
      </c>
      <c r="C176" s="41" t="e">
        <f t="shared" si="45"/>
        <v>#VALUE!</v>
      </c>
      <c r="E176" s="45">
        <v>173</v>
      </c>
      <c r="G176" s="138"/>
      <c r="H176" s="135">
        <v>1</v>
      </c>
      <c r="I176" s="46" t="e">
        <f t="shared" si="32"/>
        <v>#VALUE!</v>
      </c>
      <c r="J176" s="41" t="e">
        <f t="shared" si="38"/>
        <v>#VALUE!</v>
      </c>
      <c r="K176" s="41" t="e">
        <f t="shared" si="39"/>
        <v>#VALUE!</v>
      </c>
      <c r="L176" s="41" t="e">
        <f t="shared" si="39"/>
        <v>#VALUE!</v>
      </c>
      <c r="M176" s="41" t="e">
        <f t="shared" si="33"/>
        <v>#VALUE!</v>
      </c>
      <c r="N176" s="41" t="e">
        <f t="shared" si="34"/>
        <v>#VALUE!</v>
      </c>
      <c r="O176" s="41">
        <f t="shared" si="35"/>
        <v>0</v>
      </c>
      <c r="Q176" s="44" t="e">
        <f t="shared" si="36"/>
        <v>#VALUE!</v>
      </c>
      <c r="R176" s="44" t="e">
        <f t="shared" si="40"/>
        <v>#VALUE!</v>
      </c>
      <c r="S176" s="44" t="e">
        <f t="shared" si="37"/>
        <v>#VALUE!</v>
      </c>
      <c r="T176" s="41" t="e">
        <f t="shared" si="41"/>
        <v>#VALUE!</v>
      </c>
      <c r="U176" s="41" t="e">
        <f t="shared" si="42"/>
        <v>#VALUE!</v>
      </c>
      <c r="V176" s="41" t="e">
        <f t="shared" si="43"/>
        <v>#VALUE!</v>
      </c>
    </row>
    <row r="177" spans="2:22" x14ac:dyDescent="0.25">
      <c r="B177" s="41" t="b">
        <f t="shared" si="44"/>
        <v>0</v>
      </c>
      <c r="C177" s="41" t="e">
        <f t="shared" si="45"/>
        <v>#VALUE!</v>
      </c>
      <c r="E177" s="45">
        <v>174</v>
      </c>
      <c r="G177" s="138"/>
      <c r="H177" s="135">
        <v>1</v>
      </c>
      <c r="I177" s="46" t="e">
        <f t="shared" si="32"/>
        <v>#VALUE!</v>
      </c>
      <c r="J177" s="41" t="e">
        <f t="shared" si="38"/>
        <v>#VALUE!</v>
      </c>
      <c r="K177" s="41" t="e">
        <f t="shared" si="39"/>
        <v>#VALUE!</v>
      </c>
      <c r="L177" s="41" t="e">
        <f t="shared" si="39"/>
        <v>#VALUE!</v>
      </c>
      <c r="M177" s="41" t="e">
        <f t="shared" si="33"/>
        <v>#VALUE!</v>
      </c>
      <c r="N177" s="41" t="e">
        <f t="shared" si="34"/>
        <v>#VALUE!</v>
      </c>
      <c r="O177" s="41">
        <f t="shared" si="35"/>
        <v>0</v>
      </c>
      <c r="Q177" s="44" t="e">
        <f t="shared" si="36"/>
        <v>#VALUE!</v>
      </c>
      <c r="R177" s="44" t="e">
        <f t="shared" si="40"/>
        <v>#VALUE!</v>
      </c>
      <c r="S177" s="44" t="e">
        <f t="shared" si="37"/>
        <v>#VALUE!</v>
      </c>
      <c r="T177" s="41" t="e">
        <f t="shared" si="41"/>
        <v>#VALUE!</v>
      </c>
      <c r="U177" s="41" t="e">
        <f t="shared" si="42"/>
        <v>#VALUE!</v>
      </c>
      <c r="V177" s="41" t="e">
        <f t="shared" si="43"/>
        <v>#VALUE!</v>
      </c>
    </row>
    <row r="178" spans="2:22" x14ac:dyDescent="0.25">
      <c r="B178" s="41" t="b">
        <f t="shared" si="44"/>
        <v>0</v>
      </c>
      <c r="C178" s="41" t="e">
        <f t="shared" si="45"/>
        <v>#VALUE!</v>
      </c>
      <c r="E178" s="45">
        <v>175</v>
      </c>
      <c r="G178" s="138"/>
      <c r="H178" s="135">
        <v>1</v>
      </c>
      <c r="I178" s="46" t="e">
        <f t="shared" si="32"/>
        <v>#VALUE!</v>
      </c>
      <c r="J178" s="41" t="e">
        <f t="shared" si="38"/>
        <v>#VALUE!</v>
      </c>
      <c r="K178" s="41" t="e">
        <f t="shared" si="39"/>
        <v>#VALUE!</v>
      </c>
      <c r="L178" s="41" t="e">
        <f t="shared" si="39"/>
        <v>#VALUE!</v>
      </c>
      <c r="M178" s="41" t="e">
        <f t="shared" si="33"/>
        <v>#VALUE!</v>
      </c>
      <c r="N178" s="41" t="e">
        <f t="shared" si="34"/>
        <v>#VALUE!</v>
      </c>
      <c r="O178" s="41">
        <f t="shared" si="35"/>
        <v>0</v>
      </c>
      <c r="Q178" s="44" t="e">
        <f t="shared" si="36"/>
        <v>#VALUE!</v>
      </c>
      <c r="R178" s="44" t="e">
        <f t="shared" si="40"/>
        <v>#VALUE!</v>
      </c>
      <c r="S178" s="44" t="e">
        <f t="shared" si="37"/>
        <v>#VALUE!</v>
      </c>
      <c r="T178" s="41" t="e">
        <f t="shared" si="41"/>
        <v>#VALUE!</v>
      </c>
      <c r="U178" s="41" t="e">
        <f t="shared" si="42"/>
        <v>#VALUE!</v>
      </c>
      <c r="V178" s="41" t="e">
        <f t="shared" si="43"/>
        <v>#VALUE!</v>
      </c>
    </row>
    <row r="179" spans="2:22" x14ac:dyDescent="0.25">
      <c r="B179" s="41" t="b">
        <f t="shared" si="44"/>
        <v>0</v>
      </c>
      <c r="C179" s="41" t="e">
        <f t="shared" si="45"/>
        <v>#VALUE!</v>
      </c>
      <c r="E179" s="45">
        <v>176</v>
      </c>
      <c r="G179" s="138"/>
      <c r="H179" s="135">
        <v>1</v>
      </c>
      <c r="I179" s="46" t="e">
        <f t="shared" si="32"/>
        <v>#VALUE!</v>
      </c>
      <c r="J179" s="41" t="e">
        <f t="shared" si="38"/>
        <v>#VALUE!</v>
      </c>
      <c r="K179" s="41" t="e">
        <f t="shared" si="39"/>
        <v>#VALUE!</v>
      </c>
      <c r="L179" s="41" t="e">
        <f t="shared" si="39"/>
        <v>#VALUE!</v>
      </c>
      <c r="M179" s="41" t="e">
        <f t="shared" si="33"/>
        <v>#VALUE!</v>
      </c>
      <c r="N179" s="41" t="e">
        <f t="shared" si="34"/>
        <v>#VALUE!</v>
      </c>
      <c r="O179" s="41">
        <f t="shared" si="35"/>
        <v>0</v>
      </c>
      <c r="Q179" s="44" t="e">
        <f t="shared" si="36"/>
        <v>#VALUE!</v>
      </c>
      <c r="R179" s="44" t="e">
        <f t="shared" si="40"/>
        <v>#VALUE!</v>
      </c>
      <c r="S179" s="44" t="e">
        <f t="shared" si="37"/>
        <v>#VALUE!</v>
      </c>
      <c r="T179" s="41" t="e">
        <f t="shared" si="41"/>
        <v>#VALUE!</v>
      </c>
      <c r="U179" s="41" t="e">
        <f t="shared" si="42"/>
        <v>#VALUE!</v>
      </c>
      <c r="V179" s="41" t="e">
        <f t="shared" si="43"/>
        <v>#VALUE!</v>
      </c>
    </row>
    <row r="180" spans="2:22" x14ac:dyDescent="0.25">
      <c r="B180" s="41" t="b">
        <f t="shared" si="44"/>
        <v>0</v>
      </c>
      <c r="C180" s="41" t="e">
        <f t="shared" si="45"/>
        <v>#VALUE!</v>
      </c>
      <c r="E180" s="45">
        <v>177</v>
      </c>
      <c r="G180" s="138"/>
      <c r="H180" s="135">
        <v>1</v>
      </c>
      <c r="I180" s="46" t="e">
        <f t="shared" si="32"/>
        <v>#VALUE!</v>
      </c>
      <c r="J180" s="41" t="e">
        <f t="shared" si="38"/>
        <v>#VALUE!</v>
      </c>
      <c r="K180" s="41" t="e">
        <f t="shared" si="39"/>
        <v>#VALUE!</v>
      </c>
      <c r="L180" s="41" t="e">
        <f t="shared" si="39"/>
        <v>#VALUE!</v>
      </c>
      <c r="M180" s="41" t="e">
        <f t="shared" si="33"/>
        <v>#VALUE!</v>
      </c>
      <c r="N180" s="41" t="e">
        <f t="shared" si="34"/>
        <v>#VALUE!</v>
      </c>
      <c r="O180" s="41">
        <f t="shared" si="35"/>
        <v>0</v>
      </c>
      <c r="Q180" s="44" t="e">
        <f t="shared" si="36"/>
        <v>#VALUE!</v>
      </c>
      <c r="R180" s="44" t="e">
        <f t="shared" si="40"/>
        <v>#VALUE!</v>
      </c>
      <c r="S180" s="44" t="e">
        <f t="shared" si="37"/>
        <v>#VALUE!</v>
      </c>
      <c r="T180" s="41" t="e">
        <f t="shared" si="41"/>
        <v>#VALUE!</v>
      </c>
      <c r="U180" s="41" t="e">
        <f t="shared" si="42"/>
        <v>#VALUE!</v>
      </c>
      <c r="V180" s="41" t="e">
        <f t="shared" si="43"/>
        <v>#VALUE!</v>
      </c>
    </row>
    <row r="181" spans="2:22" x14ac:dyDescent="0.25">
      <c r="B181" s="41" t="b">
        <f t="shared" si="44"/>
        <v>0</v>
      </c>
      <c r="C181" s="41" t="e">
        <f t="shared" si="45"/>
        <v>#VALUE!</v>
      </c>
      <c r="E181" s="45">
        <v>178</v>
      </c>
      <c r="G181" s="138"/>
      <c r="H181" s="135">
        <v>1</v>
      </c>
      <c r="I181" s="46" t="e">
        <f t="shared" si="32"/>
        <v>#VALUE!</v>
      </c>
      <c r="J181" s="41" t="e">
        <f t="shared" si="38"/>
        <v>#VALUE!</v>
      </c>
      <c r="K181" s="41" t="e">
        <f t="shared" si="39"/>
        <v>#VALUE!</v>
      </c>
      <c r="L181" s="41" t="e">
        <f t="shared" si="39"/>
        <v>#VALUE!</v>
      </c>
      <c r="M181" s="41" t="e">
        <f t="shared" si="33"/>
        <v>#VALUE!</v>
      </c>
      <c r="N181" s="41" t="e">
        <f t="shared" si="34"/>
        <v>#VALUE!</v>
      </c>
      <c r="O181" s="41">
        <f t="shared" si="35"/>
        <v>0</v>
      </c>
      <c r="Q181" s="44" t="e">
        <f t="shared" si="36"/>
        <v>#VALUE!</v>
      </c>
      <c r="R181" s="44" t="e">
        <f t="shared" si="40"/>
        <v>#VALUE!</v>
      </c>
      <c r="S181" s="44" t="e">
        <f t="shared" si="37"/>
        <v>#VALUE!</v>
      </c>
      <c r="T181" s="41" t="e">
        <f t="shared" si="41"/>
        <v>#VALUE!</v>
      </c>
      <c r="U181" s="41" t="e">
        <f t="shared" si="42"/>
        <v>#VALUE!</v>
      </c>
      <c r="V181" s="41" t="e">
        <f t="shared" si="43"/>
        <v>#VALUE!</v>
      </c>
    </row>
    <row r="182" spans="2:22" x14ac:dyDescent="0.25">
      <c r="B182" s="41" t="b">
        <f t="shared" si="44"/>
        <v>0</v>
      </c>
      <c r="C182" s="41" t="e">
        <f t="shared" si="45"/>
        <v>#VALUE!</v>
      </c>
      <c r="E182" s="45">
        <v>179</v>
      </c>
      <c r="G182" s="138"/>
      <c r="H182" s="135">
        <v>1</v>
      </c>
      <c r="I182" s="46" t="e">
        <f t="shared" si="32"/>
        <v>#VALUE!</v>
      </c>
      <c r="J182" s="41" t="e">
        <f t="shared" si="38"/>
        <v>#VALUE!</v>
      </c>
      <c r="K182" s="41" t="e">
        <f t="shared" si="39"/>
        <v>#VALUE!</v>
      </c>
      <c r="L182" s="41" t="e">
        <f t="shared" si="39"/>
        <v>#VALUE!</v>
      </c>
      <c r="M182" s="41" t="e">
        <f t="shared" si="33"/>
        <v>#VALUE!</v>
      </c>
      <c r="N182" s="41" t="e">
        <f t="shared" si="34"/>
        <v>#VALUE!</v>
      </c>
      <c r="O182" s="41">
        <f t="shared" si="35"/>
        <v>0</v>
      </c>
      <c r="Q182" s="44" t="e">
        <f t="shared" si="36"/>
        <v>#VALUE!</v>
      </c>
      <c r="R182" s="44" t="e">
        <f t="shared" si="40"/>
        <v>#VALUE!</v>
      </c>
      <c r="S182" s="44" t="e">
        <f t="shared" si="37"/>
        <v>#VALUE!</v>
      </c>
      <c r="T182" s="41" t="e">
        <f t="shared" si="41"/>
        <v>#VALUE!</v>
      </c>
      <c r="U182" s="41" t="e">
        <f t="shared" si="42"/>
        <v>#VALUE!</v>
      </c>
      <c r="V182" s="41" t="e">
        <f t="shared" si="43"/>
        <v>#VALUE!</v>
      </c>
    </row>
    <row r="183" spans="2:22" x14ac:dyDescent="0.25">
      <c r="B183" s="41" t="b">
        <f t="shared" si="44"/>
        <v>0</v>
      </c>
      <c r="C183" s="41" t="e">
        <f t="shared" si="45"/>
        <v>#VALUE!</v>
      </c>
      <c r="E183" s="45">
        <v>180</v>
      </c>
      <c r="G183" s="138"/>
      <c r="H183" s="135">
        <v>1</v>
      </c>
      <c r="I183" s="46" t="e">
        <f t="shared" si="32"/>
        <v>#VALUE!</v>
      </c>
      <c r="J183" s="41" t="e">
        <f t="shared" si="38"/>
        <v>#VALUE!</v>
      </c>
      <c r="K183" s="41" t="e">
        <f t="shared" si="39"/>
        <v>#VALUE!</v>
      </c>
      <c r="L183" s="41" t="e">
        <f t="shared" si="39"/>
        <v>#VALUE!</v>
      </c>
      <c r="M183" s="41" t="e">
        <f t="shared" si="33"/>
        <v>#VALUE!</v>
      </c>
      <c r="N183" s="41" t="e">
        <f t="shared" si="34"/>
        <v>#VALUE!</v>
      </c>
      <c r="O183" s="41">
        <f t="shared" si="35"/>
        <v>0</v>
      </c>
      <c r="Q183" s="44" t="e">
        <f t="shared" si="36"/>
        <v>#VALUE!</v>
      </c>
      <c r="R183" s="44" t="e">
        <f t="shared" si="40"/>
        <v>#VALUE!</v>
      </c>
      <c r="S183" s="44" t="e">
        <f t="shared" si="37"/>
        <v>#VALUE!</v>
      </c>
      <c r="T183" s="41" t="e">
        <f t="shared" si="41"/>
        <v>#VALUE!</v>
      </c>
      <c r="U183" s="41" t="e">
        <f t="shared" si="42"/>
        <v>#VALUE!</v>
      </c>
      <c r="V183" s="41" t="e">
        <f t="shared" si="43"/>
        <v>#VALUE!</v>
      </c>
    </row>
    <row r="184" spans="2:22" x14ac:dyDescent="0.25">
      <c r="B184" s="41" t="b">
        <f t="shared" si="44"/>
        <v>0</v>
      </c>
      <c r="C184" s="41" t="e">
        <f t="shared" si="45"/>
        <v>#VALUE!</v>
      </c>
      <c r="E184" s="45">
        <v>181</v>
      </c>
      <c r="G184" s="138"/>
      <c r="H184" s="135">
        <v>1</v>
      </c>
      <c r="I184" s="46" t="e">
        <f t="shared" si="32"/>
        <v>#VALUE!</v>
      </c>
      <c r="J184" s="41" t="e">
        <f t="shared" si="38"/>
        <v>#VALUE!</v>
      </c>
      <c r="K184" s="41" t="e">
        <f t="shared" si="39"/>
        <v>#VALUE!</v>
      </c>
      <c r="L184" s="41" t="e">
        <f t="shared" si="39"/>
        <v>#VALUE!</v>
      </c>
      <c r="M184" s="41" t="e">
        <f t="shared" si="33"/>
        <v>#VALUE!</v>
      </c>
      <c r="N184" s="41" t="e">
        <f t="shared" si="34"/>
        <v>#VALUE!</v>
      </c>
      <c r="O184" s="41">
        <f t="shared" si="35"/>
        <v>0</v>
      </c>
      <c r="Q184" s="44" t="e">
        <f t="shared" si="36"/>
        <v>#VALUE!</v>
      </c>
      <c r="R184" s="44" t="e">
        <f t="shared" si="40"/>
        <v>#VALUE!</v>
      </c>
      <c r="S184" s="44" t="e">
        <f t="shared" si="37"/>
        <v>#VALUE!</v>
      </c>
      <c r="T184" s="41" t="e">
        <f t="shared" si="41"/>
        <v>#VALUE!</v>
      </c>
      <c r="U184" s="41" t="e">
        <f t="shared" si="42"/>
        <v>#VALUE!</v>
      </c>
      <c r="V184" s="41" t="e">
        <f t="shared" si="43"/>
        <v>#VALUE!</v>
      </c>
    </row>
    <row r="185" spans="2:22" x14ac:dyDescent="0.25">
      <c r="B185" s="41" t="b">
        <f t="shared" si="44"/>
        <v>0</v>
      </c>
      <c r="C185" s="41" t="e">
        <f t="shared" si="45"/>
        <v>#VALUE!</v>
      </c>
      <c r="E185" s="45">
        <v>182</v>
      </c>
      <c r="G185" s="138"/>
      <c r="H185" s="135">
        <v>1</v>
      </c>
      <c r="I185" s="46" t="e">
        <f t="shared" si="32"/>
        <v>#VALUE!</v>
      </c>
      <c r="J185" s="41" t="e">
        <f t="shared" si="38"/>
        <v>#VALUE!</v>
      </c>
      <c r="K185" s="41" t="e">
        <f t="shared" si="39"/>
        <v>#VALUE!</v>
      </c>
      <c r="L185" s="41" t="e">
        <f t="shared" si="39"/>
        <v>#VALUE!</v>
      </c>
      <c r="M185" s="41" t="e">
        <f t="shared" si="33"/>
        <v>#VALUE!</v>
      </c>
      <c r="N185" s="41" t="e">
        <f t="shared" si="34"/>
        <v>#VALUE!</v>
      </c>
      <c r="O185" s="41">
        <f t="shared" si="35"/>
        <v>0</v>
      </c>
      <c r="Q185" s="44" t="e">
        <f t="shared" si="36"/>
        <v>#VALUE!</v>
      </c>
      <c r="R185" s="44" t="e">
        <f t="shared" si="40"/>
        <v>#VALUE!</v>
      </c>
      <c r="S185" s="44" t="e">
        <f t="shared" si="37"/>
        <v>#VALUE!</v>
      </c>
      <c r="T185" s="41" t="e">
        <f t="shared" si="41"/>
        <v>#VALUE!</v>
      </c>
      <c r="U185" s="41" t="e">
        <f t="shared" si="42"/>
        <v>#VALUE!</v>
      </c>
      <c r="V185" s="41" t="e">
        <f t="shared" si="43"/>
        <v>#VALUE!</v>
      </c>
    </row>
    <row r="186" spans="2:22" x14ac:dyDescent="0.25">
      <c r="B186" s="41" t="b">
        <f t="shared" si="44"/>
        <v>0</v>
      </c>
      <c r="C186" s="41" t="e">
        <f t="shared" si="45"/>
        <v>#VALUE!</v>
      </c>
      <c r="E186" s="45">
        <v>183</v>
      </c>
      <c r="G186" s="138"/>
      <c r="H186" s="135">
        <v>1</v>
      </c>
      <c r="I186" s="46" t="e">
        <f t="shared" si="32"/>
        <v>#VALUE!</v>
      </c>
      <c r="J186" s="41" t="e">
        <f t="shared" si="38"/>
        <v>#VALUE!</v>
      </c>
      <c r="K186" s="41" t="e">
        <f t="shared" si="39"/>
        <v>#VALUE!</v>
      </c>
      <c r="L186" s="41" t="e">
        <f t="shared" si="39"/>
        <v>#VALUE!</v>
      </c>
      <c r="M186" s="41" t="e">
        <f t="shared" si="33"/>
        <v>#VALUE!</v>
      </c>
      <c r="N186" s="41" t="e">
        <f t="shared" si="34"/>
        <v>#VALUE!</v>
      </c>
      <c r="O186" s="41">
        <f t="shared" si="35"/>
        <v>0</v>
      </c>
      <c r="Q186" s="44" t="e">
        <f t="shared" si="36"/>
        <v>#VALUE!</v>
      </c>
      <c r="R186" s="44" t="e">
        <f t="shared" si="40"/>
        <v>#VALUE!</v>
      </c>
      <c r="S186" s="44" t="e">
        <f t="shared" si="37"/>
        <v>#VALUE!</v>
      </c>
      <c r="T186" s="41" t="e">
        <f t="shared" si="41"/>
        <v>#VALUE!</v>
      </c>
      <c r="U186" s="41" t="e">
        <f t="shared" si="42"/>
        <v>#VALUE!</v>
      </c>
      <c r="V186" s="41" t="e">
        <f t="shared" si="43"/>
        <v>#VALUE!</v>
      </c>
    </row>
    <row r="187" spans="2:22" x14ac:dyDescent="0.25">
      <c r="B187" s="41" t="b">
        <f t="shared" si="44"/>
        <v>0</v>
      </c>
      <c r="C187" s="41" t="e">
        <f t="shared" si="45"/>
        <v>#VALUE!</v>
      </c>
      <c r="E187" s="45">
        <v>184</v>
      </c>
      <c r="G187" s="138"/>
      <c r="H187" s="135">
        <v>1</v>
      </c>
      <c r="I187" s="46" t="e">
        <f t="shared" si="32"/>
        <v>#VALUE!</v>
      </c>
      <c r="J187" s="41" t="e">
        <f t="shared" si="38"/>
        <v>#VALUE!</v>
      </c>
      <c r="K187" s="41" t="e">
        <f t="shared" si="39"/>
        <v>#VALUE!</v>
      </c>
      <c r="L187" s="41" t="e">
        <f t="shared" si="39"/>
        <v>#VALUE!</v>
      </c>
      <c r="M187" s="41" t="e">
        <f t="shared" si="33"/>
        <v>#VALUE!</v>
      </c>
      <c r="N187" s="41" t="e">
        <f t="shared" si="34"/>
        <v>#VALUE!</v>
      </c>
      <c r="O187" s="41">
        <f t="shared" si="35"/>
        <v>0</v>
      </c>
      <c r="Q187" s="44" t="e">
        <f t="shared" si="36"/>
        <v>#VALUE!</v>
      </c>
      <c r="R187" s="44" t="e">
        <f t="shared" si="40"/>
        <v>#VALUE!</v>
      </c>
      <c r="S187" s="44" t="e">
        <f t="shared" si="37"/>
        <v>#VALUE!</v>
      </c>
      <c r="T187" s="41" t="e">
        <f t="shared" si="41"/>
        <v>#VALUE!</v>
      </c>
      <c r="U187" s="41" t="e">
        <f t="shared" si="42"/>
        <v>#VALUE!</v>
      </c>
      <c r="V187" s="41" t="e">
        <f t="shared" si="43"/>
        <v>#VALUE!</v>
      </c>
    </row>
    <row r="188" spans="2:22" x14ac:dyDescent="0.25">
      <c r="B188" s="41" t="b">
        <f t="shared" si="44"/>
        <v>0</v>
      </c>
      <c r="C188" s="41" t="e">
        <f t="shared" si="45"/>
        <v>#VALUE!</v>
      </c>
      <c r="E188" s="45">
        <v>185</v>
      </c>
      <c r="G188" s="138"/>
      <c r="H188" s="135">
        <v>1</v>
      </c>
      <c r="I188" s="46" t="e">
        <f t="shared" si="32"/>
        <v>#VALUE!</v>
      </c>
      <c r="J188" s="41" t="e">
        <f t="shared" si="38"/>
        <v>#VALUE!</v>
      </c>
      <c r="K188" s="41" t="e">
        <f t="shared" si="39"/>
        <v>#VALUE!</v>
      </c>
      <c r="L188" s="41" t="e">
        <f t="shared" si="39"/>
        <v>#VALUE!</v>
      </c>
      <c r="M188" s="41" t="e">
        <f t="shared" si="33"/>
        <v>#VALUE!</v>
      </c>
      <c r="N188" s="41" t="e">
        <f t="shared" si="34"/>
        <v>#VALUE!</v>
      </c>
      <c r="O188" s="41">
        <f t="shared" si="35"/>
        <v>0</v>
      </c>
      <c r="Q188" s="44" t="e">
        <f t="shared" si="36"/>
        <v>#VALUE!</v>
      </c>
      <c r="R188" s="44" t="e">
        <f t="shared" si="40"/>
        <v>#VALUE!</v>
      </c>
      <c r="S188" s="44" t="e">
        <f t="shared" si="37"/>
        <v>#VALUE!</v>
      </c>
      <c r="T188" s="41" t="e">
        <f t="shared" si="41"/>
        <v>#VALUE!</v>
      </c>
      <c r="U188" s="41" t="e">
        <f t="shared" si="42"/>
        <v>#VALUE!</v>
      </c>
      <c r="V188" s="41" t="e">
        <f t="shared" si="43"/>
        <v>#VALUE!</v>
      </c>
    </row>
    <row r="189" spans="2:22" x14ac:dyDescent="0.25">
      <c r="B189" s="41" t="b">
        <f t="shared" si="44"/>
        <v>0</v>
      </c>
      <c r="C189" s="41" t="e">
        <f t="shared" si="45"/>
        <v>#VALUE!</v>
      </c>
      <c r="E189" s="45">
        <v>186</v>
      </c>
      <c r="G189" s="138"/>
      <c r="H189" s="135">
        <v>1</v>
      </c>
      <c r="I189" s="46" t="e">
        <f t="shared" si="32"/>
        <v>#VALUE!</v>
      </c>
      <c r="J189" s="41" t="e">
        <f t="shared" si="38"/>
        <v>#VALUE!</v>
      </c>
      <c r="K189" s="41" t="e">
        <f t="shared" si="39"/>
        <v>#VALUE!</v>
      </c>
      <c r="L189" s="41" t="e">
        <f t="shared" si="39"/>
        <v>#VALUE!</v>
      </c>
      <c r="M189" s="41" t="e">
        <f t="shared" si="33"/>
        <v>#VALUE!</v>
      </c>
      <c r="N189" s="41" t="e">
        <f t="shared" si="34"/>
        <v>#VALUE!</v>
      </c>
      <c r="O189" s="41">
        <f t="shared" si="35"/>
        <v>0</v>
      </c>
      <c r="Q189" s="44" t="e">
        <f t="shared" si="36"/>
        <v>#VALUE!</v>
      </c>
      <c r="R189" s="44" t="e">
        <f t="shared" si="40"/>
        <v>#VALUE!</v>
      </c>
      <c r="S189" s="44" t="e">
        <f t="shared" si="37"/>
        <v>#VALUE!</v>
      </c>
      <c r="T189" s="41" t="e">
        <f t="shared" si="41"/>
        <v>#VALUE!</v>
      </c>
      <c r="U189" s="41" t="e">
        <f t="shared" si="42"/>
        <v>#VALUE!</v>
      </c>
      <c r="V189" s="41" t="e">
        <f t="shared" si="43"/>
        <v>#VALUE!</v>
      </c>
    </row>
    <row r="190" spans="2:22" x14ac:dyDescent="0.25">
      <c r="B190" s="41" t="b">
        <f t="shared" si="44"/>
        <v>0</v>
      </c>
      <c r="C190" s="41" t="e">
        <f t="shared" si="45"/>
        <v>#VALUE!</v>
      </c>
      <c r="E190" s="45">
        <v>187</v>
      </c>
      <c r="G190" s="138"/>
      <c r="H190" s="135">
        <v>1</v>
      </c>
      <c r="I190" s="46" t="e">
        <f t="shared" si="32"/>
        <v>#VALUE!</v>
      </c>
      <c r="J190" s="41" t="e">
        <f t="shared" si="38"/>
        <v>#VALUE!</v>
      </c>
      <c r="K190" s="41" t="e">
        <f t="shared" si="39"/>
        <v>#VALUE!</v>
      </c>
      <c r="L190" s="41" t="e">
        <f t="shared" si="39"/>
        <v>#VALUE!</v>
      </c>
      <c r="M190" s="41" t="e">
        <f t="shared" si="33"/>
        <v>#VALUE!</v>
      </c>
      <c r="N190" s="41" t="e">
        <f t="shared" si="34"/>
        <v>#VALUE!</v>
      </c>
      <c r="O190" s="41">
        <f t="shared" si="35"/>
        <v>0</v>
      </c>
      <c r="Q190" s="44" t="e">
        <f t="shared" si="36"/>
        <v>#VALUE!</v>
      </c>
      <c r="R190" s="44" t="e">
        <f t="shared" si="40"/>
        <v>#VALUE!</v>
      </c>
      <c r="S190" s="44" t="e">
        <f t="shared" si="37"/>
        <v>#VALUE!</v>
      </c>
      <c r="T190" s="41" t="e">
        <f t="shared" si="41"/>
        <v>#VALUE!</v>
      </c>
      <c r="U190" s="41" t="e">
        <f t="shared" si="42"/>
        <v>#VALUE!</v>
      </c>
      <c r="V190" s="41" t="e">
        <f t="shared" si="43"/>
        <v>#VALUE!</v>
      </c>
    </row>
    <row r="191" spans="2:22" x14ac:dyDescent="0.25">
      <c r="B191" s="41" t="b">
        <f t="shared" si="44"/>
        <v>0</v>
      </c>
      <c r="C191" s="41" t="e">
        <f t="shared" si="45"/>
        <v>#VALUE!</v>
      </c>
      <c r="E191" s="45">
        <v>188</v>
      </c>
      <c r="G191" s="138"/>
      <c r="H191" s="135">
        <v>1</v>
      </c>
      <c r="I191" s="46" t="e">
        <f t="shared" si="32"/>
        <v>#VALUE!</v>
      </c>
      <c r="J191" s="41" t="e">
        <f t="shared" si="38"/>
        <v>#VALUE!</v>
      </c>
      <c r="K191" s="41" t="e">
        <f t="shared" si="39"/>
        <v>#VALUE!</v>
      </c>
      <c r="L191" s="41" t="e">
        <f t="shared" si="39"/>
        <v>#VALUE!</v>
      </c>
      <c r="M191" s="41" t="e">
        <f t="shared" si="33"/>
        <v>#VALUE!</v>
      </c>
      <c r="N191" s="41" t="e">
        <f t="shared" si="34"/>
        <v>#VALUE!</v>
      </c>
      <c r="O191" s="41">
        <f t="shared" si="35"/>
        <v>0</v>
      </c>
      <c r="Q191" s="44" t="e">
        <f t="shared" si="36"/>
        <v>#VALUE!</v>
      </c>
      <c r="R191" s="44" t="e">
        <f t="shared" si="40"/>
        <v>#VALUE!</v>
      </c>
      <c r="S191" s="44" t="e">
        <f t="shared" si="37"/>
        <v>#VALUE!</v>
      </c>
      <c r="T191" s="41" t="e">
        <f t="shared" si="41"/>
        <v>#VALUE!</v>
      </c>
      <c r="U191" s="41" t="e">
        <f t="shared" si="42"/>
        <v>#VALUE!</v>
      </c>
      <c r="V191" s="41" t="e">
        <f t="shared" si="43"/>
        <v>#VALUE!</v>
      </c>
    </row>
    <row r="192" spans="2:22" x14ac:dyDescent="0.25">
      <c r="B192" s="41" t="b">
        <f t="shared" si="44"/>
        <v>0</v>
      </c>
      <c r="C192" s="41" t="e">
        <f t="shared" si="45"/>
        <v>#VALUE!</v>
      </c>
      <c r="E192" s="45">
        <v>189</v>
      </c>
      <c r="G192" s="138"/>
      <c r="H192" s="135">
        <v>1</v>
      </c>
      <c r="I192" s="46" t="e">
        <f t="shared" si="32"/>
        <v>#VALUE!</v>
      </c>
      <c r="J192" s="41" t="e">
        <f t="shared" si="38"/>
        <v>#VALUE!</v>
      </c>
      <c r="K192" s="41" t="e">
        <f t="shared" si="39"/>
        <v>#VALUE!</v>
      </c>
      <c r="L192" s="41" t="e">
        <f t="shared" si="39"/>
        <v>#VALUE!</v>
      </c>
      <c r="M192" s="41" t="e">
        <f t="shared" si="33"/>
        <v>#VALUE!</v>
      </c>
      <c r="N192" s="41" t="e">
        <f t="shared" si="34"/>
        <v>#VALUE!</v>
      </c>
      <c r="O192" s="41">
        <f t="shared" si="35"/>
        <v>0</v>
      </c>
      <c r="Q192" s="44" t="e">
        <f t="shared" si="36"/>
        <v>#VALUE!</v>
      </c>
      <c r="R192" s="44" t="e">
        <f t="shared" si="40"/>
        <v>#VALUE!</v>
      </c>
      <c r="S192" s="44" t="e">
        <f t="shared" si="37"/>
        <v>#VALUE!</v>
      </c>
      <c r="T192" s="41" t="e">
        <f t="shared" si="41"/>
        <v>#VALUE!</v>
      </c>
      <c r="U192" s="41" t="e">
        <f t="shared" si="42"/>
        <v>#VALUE!</v>
      </c>
      <c r="V192" s="41" t="e">
        <f t="shared" si="43"/>
        <v>#VALUE!</v>
      </c>
    </row>
    <row r="193" spans="2:22" x14ac:dyDescent="0.25">
      <c r="B193" s="41" t="b">
        <f t="shared" si="44"/>
        <v>0</v>
      </c>
      <c r="C193" s="41" t="e">
        <f t="shared" si="45"/>
        <v>#VALUE!</v>
      </c>
      <c r="E193" s="45">
        <v>190</v>
      </c>
      <c r="G193" s="138"/>
      <c r="H193" s="135">
        <v>1</v>
      </c>
      <c r="I193" s="46" t="e">
        <f t="shared" si="32"/>
        <v>#VALUE!</v>
      </c>
      <c r="J193" s="41" t="e">
        <f t="shared" si="38"/>
        <v>#VALUE!</v>
      </c>
      <c r="K193" s="41" t="e">
        <f t="shared" si="39"/>
        <v>#VALUE!</v>
      </c>
      <c r="L193" s="41" t="e">
        <f t="shared" si="39"/>
        <v>#VALUE!</v>
      </c>
      <c r="M193" s="41" t="e">
        <f t="shared" si="33"/>
        <v>#VALUE!</v>
      </c>
      <c r="N193" s="41" t="e">
        <f t="shared" si="34"/>
        <v>#VALUE!</v>
      </c>
      <c r="O193" s="41">
        <f t="shared" si="35"/>
        <v>0</v>
      </c>
      <c r="Q193" s="44" t="e">
        <f t="shared" si="36"/>
        <v>#VALUE!</v>
      </c>
      <c r="R193" s="44" t="e">
        <f t="shared" si="40"/>
        <v>#VALUE!</v>
      </c>
      <c r="S193" s="44" t="e">
        <f t="shared" si="37"/>
        <v>#VALUE!</v>
      </c>
      <c r="T193" s="41" t="e">
        <f t="shared" si="41"/>
        <v>#VALUE!</v>
      </c>
      <c r="U193" s="41" t="e">
        <f t="shared" si="42"/>
        <v>#VALUE!</v>
      </c>
      <c r="V193" s="41" t="e">
        <f t="shared" si="43"/>
        <v>#VALUE!</v>
      </c>
    </row>
    <row r="194" spans="2:22" x14ac:dyDescent="0.25">
      <c r="B194" s="41" t="b">
        <f t="shared" si="44"/>
        <v>0</v>
      </c>
      <c r="C194" s="41" t="e">
        <f t="shared" si="45"/>
        <v>#VALUE!</v>
      </c>
      <c r="E194" s="45">
        <v>191</v>
      </c>
      <c r="G194" s="138"/>
      <c r="H194" s="135">
        <v>1</v>
      </c>
      <c r="I194" s="46" t="e">
        <f t="shared" si="32"/>
        <v>#VALUE!</v>
      </c>
      <c r="J194" s="41" t="e">
        <f t="shared" si="38"/>
        <v>#VALUE!</v>
      </c>
      <c r="K194" s="41" t="e">
        <f t="shared" si="39"/>
        <v>#VALUE!</v>
      </c>
      <c r="L194" s="41" t="e">
        <f t="shared" si="39"/>
        <v>#VALUE!</v>
      </c>
      <c r="M194" s="41" t="e">
        <f t="shared" si="33"/>
        <v>#VALUE!</v>
      </c>
      <c r="N194" s="41" t="e">
        <f t="shared" si="34"/>
        <v>#VALUE!</v>
      </c>
      <c r="O194" s="41">
        <f t="shared" si="35"/>
        <v>0</v>
      </c>
      <c r="Q194" s="44" t="e">
        <f t="shared" si="36"/>
        <v>#VALUE!</v>
      </c>
      <c r="R194" s="44" t="e">
        <f t="shared" si="40"/>
        <v>#VALUE!</v>
      </c>
      <c r="S194" s="44" t="e">
        <f t="shared" si="37"/>
        <v>#VALUE!</v>
      </c>
      <c r="T194" s="41" t="e">
        <f t="shared" si="41"/>
        <v>#VALUE!</v>
      </c>
      <c r="U194" s="41" t="e">
        <f t="shared" si="42"/>
        <v>#VALUE!</v>
      </c>
      <c r="V194" s="41" t="e">
        <f t="shared" si="43"/>
        <v>#VALUE!</v>
      </c>
    </row>
    <row r="195" spans="2:22" x14ac:dyDescent="0.25">
      <c r="B195" s="41" t="b">
        <f t="shared" si="44"/>
        <v>0</v>
      </c>
      <c r="C195" s="41" t="e">
        <f t="shared" si="45"/>
        <v>#VALUE!</v>
      </c>
      <c r="E195" s="45">
        <v>192</v>
      </c>
      <c r="G195" s="138"/>
      <c r="H195" s="135">
        <v>1</v>
      </c>
      <c r="I195" s="46" t="e">
        <f t="shared" si="32"/>
        <v>#VALUE!</v>
      </c>
      <c r="J195" s="41" t="e">
        <f t="shared" si="38"/>
        <v>#VALUE!</v>
      </c>
      <c r="K195" s="41" t="e">
        <f t="shared" si="39"/>
        <v>#VALUE!</v>
      </c>
      <c r="L195" s="41" t="e">
        <f t="shared" si="39"/>
        <v>#VALUE!</v>
      </c>
      <c r="M195" s="41" t="e">
        <f t="shared" si="33"/>
        <v>#VALUE!</v>
      </c>
      <c r="N195" s="41" t="e">
        <f t="shared" si="34"/>
        <v>#VALUE!</v>
      </c>
      <c r="O195" s="41">
        <f t="shared" si="35"/>
        <v>0</v>
      </c>
      <c r="Q195" s="44" t="e">
        <f t="shared" si="36"/>
        <v>#VALUE!</v>
      </c>
      <c r="R195" s="44" t="e">
        <f t="shared" si="40"/>
        <v>#VALUE!</v>
      </c>
      <c r="S195" s="44" t="e">
        <f t="shared" si="37"/>
        <v>#VALUE!</v>
      </c>
      <c r="T195" s="41" t="e">
        <f t="shared" si="41"/>
        <v>#VALUE!</v>
      </c>
      <c r="U195" s="41" t="e">
        <f t="shared" si="42"/>
        <v>#VALUE!</v>
      </c>
      <c r="V195" s="41" t="e">
        <f t="shared" si="43"/>
        <v>#VALUE!</v>
      </c>
    </row>
    <row r="196" spans="2:22" x14ac:dyDescent="0.25">
      <c r="B196" s="41" t="b">
        <f t="shared" si="44"/>
        <v>0</v>
      </c>
      <c r="C196" s="41" t="e">
        <f t="shared" si="45"/>
        <v>#VALUE!</v>
      </c>
      <c r="E196" s="45">
        <v>193</v>
      </c>
      <c r="G196" s="138"/>
      <c r="H196" s="135">
        <v>1</v>
      </c>
      <c r="I196" s="46" t="e">
        <f t="shared" ref="I196:I259" si="46">RIGHT(G196,J196)</f>
        <v>#VALUE!</v>
      </c>
      <c r="J196" s="41" t="e">
        <f t="shared" si="38"/>
        <v>#VALUE!</v>
      </c>
      <c r="K196" s="41" t="e">
        <f t="shared" si="39"/>
        <v>#VALUE!</v>
      </c>
      <c r="L196" s="41" t="e">
        <f t="shared" si="39"/>
        <v>#VALUE!</v>
      </c>
      <c r="M196" s="41" t="e">
        <f t="shared" ref="M196:M259" si="47">SEARCH("-",G196,2)</f>
        <v>#VALUE!</v>
      </c>
      <c r="N196" s="41" t="e">
        <f t="shared" ref="N196:N259" si="48">SEARCH("-",G196,M196+1)</f>
        <v>#VALUE!</v>
      </c>
      <c r="O196" s="41">
        <f t="shared" ref="O196:O259" si="49">LEN(G196)</f>
        <v>0</v>
      </c>
      <c r="Q196" s="44" t="e">
        <f t="shared" ref="Q196:Q259" si="50">LEFT(G196,M196-1)</f>
        <v>#VALUE!</v>
      </c>
      <c r="R196" s="44" t="e">
        <f t="shared" si="40"/>
        <v>#VALUE!</v>
      </c>
      <c r="S196" s="44" t="e">
        <f t="shared" ref="S196:S259" si="51">RIGHT(G196,L196)</f>
        <v>#VALUE!</v>
      </c>
      <c r="T196" s="41" t="e">
        <f t="shared" si="41"/>
        <v>#VALUE!</v>
      </c>
      <c r="U196" s="41" t="e">
        <f t="shared" si="42"/>
        <v>#VALUE!</v>
      </c>
      <c r="V196" s="41" t="e">
        <f t="shared" si="43"/>
        <v>#VALUE!</v>
      </c>
    </row>
    <row r="197" spans="2:22" x14ac:dyDescent="0.25">
      <c r="B197" s="41" t="b">
        <f t="shared" si="44"/>
        <v>0</v>
      </c>
      <c r="C197" s="41" t="e">
        <f t="shared" si="45"/>
        <v>#VALUE!</v>
      </c>
      <c r="E197" s="45">
        <v>194</v>
      </c>
      <c r="G197" s="138"/>
      <c r="H197" s="135">
        <v>1</v>
      </c>
      <c r="I197" s="46" t="e">
        <f t="shared" si="46"/>
        <v>#VALUE!</v>
      </c>
      <c r="J197" s="41" t="e">
        <f t="shared" ref="J197:J260" si="52">O197-M197</f>
        <v>#VALUE!</v>
      </c>
      <c r="K197" s="41" t="e">
        <f t="shared" ref="K197:L260" si="53">N197-M197</f>
        <v>#VALUE!</v>
      </c>
      <c r="L197" s="41" t="e">
        <f t="shared" si="53"/>
        <v>#VALUE!</v>
      </c>
      <c r="M197" s="41" t="e">
        <f t="shared" si="47"/>
        <v>#VALUE!</v>
      </c>
      <c r="N197" s="41" t="e">
        <f t="shared" si="48"/>
        <v>#VALUE!</v>
      </c>
      <c r="O197" s="41">
        <f t="shared" si="49"/>
        <v>0</v>
      </c>
      <c r="Q197" s="44" t="e">
        <f t="shared" si="50"/>
        <v>#VALUE!</v>
      </c>
      <c r="R197" s="44" t="e">
        <f t="shared" ref="R197:R260" si="54">LEFT(I197,K197-1)</f>
        <v>#VALUE!</v>
      </c>
      <c r="S197" s="44" t="e">
        <f t="shared" si="51"/>
        <v>#VALUE!</v>
      </c>
      <c r="T197" s="41" t="e">
        <f t="shared" ref="T197:T260" si="55">Q197*1*H197</f>
        <v>#VALUE!</v>
      </c>
      <c r="U197" s="41" t="e">
        <f t="shared" ref="U197:U260" si="56">R197*1*H197</f>
        <v>#VALUE!</v>
      </c>
      <c r="V197" s="41" t="e">
        <f t="shared" ref="V197:V260" si="57">S197*1*H197</f>
        <v>#VALUE!</v>
      </c>
    </row>
    <row r="198" spans="2:22" x14ac:dyDescent="0.25">
      <c r="B198" s="41" t="b">
        <f t="shared" si="44"/>
        <v>0</v>
      </c>
      <c r="C198" s="41" t="e">
        <f t="shared" si="45"/>
        <v>#VALUE!</v>
      </c>
      <c r="E198" s="45">
        <v>195</v>
      </c>
      <c r="G198" s="138"/>
      <c r="H198" s="135">
        <v>1</v>
      </c>
      <c r="I198" s="46" t="e">
        <f t="shared" si="46"/>
        <v>#VALUE!</v>
      </c>
      <c r="J198" s="41" t="e">
        <f t="shared" si="52"/>
        <v>#VALUE!</v>
      </c>
      <c r="K198" s="41" t="e">
        <f t="shared" si="53"/>
        <v>#VALUE!</v>
      </c>
      <c r="L198" s="41" t="e">
        <f t="shared" si="53"/>
        <v>#VALUE!</v>
      </c>
      <c r="M198" s="41" t="e">
        <f t="shared" si="47"/>
        <v>#VALUE!</v>
      </c>
      <c r="N198" s="41" t="e">
        <f t="shared" si="48"/>
        <v>#VALUE!</v>
      </c>
      <c r="O198" s="41">
        <f t="shared" si="49"/>
        <v>0</v>
      </c>
      <c r="Q198" s="44" t="e">
        <f t="shared" si="50"/>
        <v>#VALUE!</v>
      </c>
      <c r="R198" s="44" t="e">
        <f t="shared" si="54"/>
        <v>#VALUE!</v>
      </c>
      <c r="S198" s="44" t="e">
        <f t="shared" si="51"/>
        <v>#VALUE!</v>
      </c>
      <c r="T198" s="41" t="e">
        <f t="shared" si="55"/>
        <v>#VALUE!</v>
      </c>
      <c r="U198" s="41" t="e">
        <f t="shared" si="56"/>
        <v>#VALUE!</v>
      </c>
      <c r="V198" s="41" t="e">
        <f t="shared" si="57"/>
        <v>#VALUE!</v>
      </c>
    </row>
    <row r="199" spans="2:22" x14ac:dyDescent="0.25">
      <c r="B199" s="41" t="b">
        <f t="shared" si="44"/>
        <v>0</v>
      </c>
      <c r="C199" s="41" t="e">
        <f t="shared" si="45"/>
        <v>#VALUE!</v>
      </c>
      <c r="E199" s="45">
        <v>196</v>
      </c>
      <c r="G199" s="138"/>
      <c r="H199" s="135">
        <v>1</v>
      </c>
      <c r="I199" s="46" t="e">
        <f t="shared" si="46"/>
        <v>#VALUE!</v>
      </c>
      <c r="J199" s="41" t="e">
        <f t="shared" si="52"/>
        <v>#VALUE!</v>
      </c>
      <c r="K199" s="41" t="e">
        <f t="shared" si="53"/>
        <v>#VALUE!</v>
      </c>
      <c r="L199" s="41" t="e">
        <f t="shared" si="53"/>
        <v>#VALUE!</v>
      </c>
      <c r="M199" s="41" t="e">
        <f t="shared" si="47"/>
        <v>#VALUE!</v>
      </c>
      <c r="N199" s="41" t="e">
        <f t="shared" si="48"/>
        <v>#VALUE!</v>
      </c>
      <c r="O199" s="41">
        <f t="shared" si="49"/>
        <v>0</v>
      </c>
      <c r="Q199" s="44" t="e">
        <f t="shared" si="50"/>
        <v>#VALUE!</v>
      </c>
      <c r="R199" s="44" t="e">
        <f t="shared" si="54"/>
        <v>#VALUE!</v>
      </c>
      <c r="S199" s="44" t="e">
        <f t="shared" si="51"/>
        <v>#VALUE!</v>
      </c>
      <c r="T199" s="41" t="e">
        <f t="shared" si="55"/>
        <v>#VALUE!</v>
      </c>
      <c r="U199" s="41" t="e">
        <f t="shared" si="56"/>
        <v>#VALUE!</v>
      </c>
      <c r="V199" s="41" t="e">
        <f t="shared" si="57"/>
        <v>#VALUE!</v>
      </c>
    </row>
    <row r="200" spans="2:22" x14ac:dyDescent="0.25">
      <c r="B200" s="41" t="b">
        <f t="shared" si="44"/>
        <v>0</v>
      </c>
      <c r="C200" s="41" t="e">
        <f t="shared" si="45"/>
        <v>#VALUE!</v>
      </c>
      <c r="E200" s="45">
        <v>197</v>
      </c>
      <c r="G200" s="138"/>
      <c r="H200" s="135">
        <v>1</v>
      </c>
      <c r="I200" s="46" t="e">
        <f t="shared" si="46"/>
        <v>#VALUE!</v>
      </c>
      <c r="J200" s="41" t="e">
        <f t="shared" si="52"/>
        <v>#VALUE!</v>
      </c>
      <c r="K200" s="41" t="e">
        <f t="shared" si="53"/>
        <v>#VALUE!</v>
      </c>
      <c r="L200" s="41" t="e">
        <f t="shared" si="53"/>
        <v>#VALUE!</v>
      </c>
      <c r="M200" s="41" t="e">
        <f t="shared" si="47"/>
        <v>#VALUE!</v>
      </c>
      <c r="N200" s="41" t="e">
        <f t="shared" si="48"/>
        <v>#VALUE!</v>
      </c>
      <c r="O200" s="41">
        <f t="shared" si="49"/>
        <v>0</v>
      </c>
      <c r="Q200" s="44" t="e">
        <f t="shared" si="50"/>
        <v>#VALUE!</v>
      </c>
      <c r="R200" s="44" t="e">
        <f t="shared" si="54"/>
        <v>#VALUE!</v>
      </c>
      <c r="S200" s="44" t="e">
        <f t="shared" si="51"/>
        <v>#VALUE!</v>
      </c>
      <c r="T200" s="41" t="e">
        <f t="shared" si="55"/>
        <v>#VALUE!</v>
      </c>
      <c r="U200" s="41" t="e">
        <f t="shared" si="56"/>
        <v>#VALUE!</v>
      </c>
      <c r="V200" s="41" t="e">
        <f t="shared" si="57"/>
        <v>#VALUE!</v>
      </c>
    </row>
    <row r="201" spans="2:22" x14ac:dyDescent="0.25">
      <c r="B201" s="41" t="b">
        <f t="shared" si="44"/>
        <v>0</v>
      </c>
      <c r="C201" s="41" t="e">
        <f t="shared" si="45"/>
        <v>#VALUE!</v>
      </c>
      <c r="E201" s="45">
        <v>198</v>
      </c>
      <c r="G201" s="138"/>
      <c r="H201" s="135">
        <v>1</v>
      </c>
      <c r="I201" s="46" t="e">
        <f t="shared" si="46"/>
        <v>#VALUE!</v>
      </c>
      <c r="J201" s="41" t="e">
        <f t="shared" si="52"/>
        <v>#VALUE!</v>
      </c>
      <c r="K201" s="41" t="e">
        <f t="shared" si="53"/>
        <v>#VALUE!</v>
      </c>
      <c r="L201" s="41" t="e">
        <f t="shared" si="53"/>
        <v>#VALUE!</v>
      </c>
      <c r="M201" s="41" t="e">
        <f t="shared" si="47"/>
        <v>#VALUE!</v>
      </c>
      <c r="N201" s="41" t="e">
        <f t="shared" si="48"/>
        <v>#VALUE!</v>
      </c>
      <c r="O201" s="41">
        <f t="shared" si="49"/>
        <v>0</v>
      </c>
      <c r="Q201" s="44" t="e">
        <f t="shared" si="50"/>
        <v>#VALUE!</v>
      </c>
      <c r="R201" s="44" t="e">
        <f t="shared" si="54"/>
        <v>#VALUE!</v>
      </c>
      <c r="S201" s="44" t="e">
        <f t="shared" si="51"/>
        <v>#VALUE!</v>
      </c>
      <c r="T201" s="41" t="e">
        <f t="shared" si="55"/>
        <v>#VALUE!</v>
      </c>
      <c r="U201" s="41" t="e">
        <f t="shared" si="56"/>
        <v>#VALUE!</v>
      </c>
      <c r="V201" s="41" t="e">
        <f t="shared" si="57"/>
        <v>#VALUE!</v>
      </c>
    </row>
    <row r="202" spans="2:22" x14ac:dyDescent="0.25">
      <c r="B202" s="41" t="b">
        <f t="shared" si="44"/>
        <v>0</v>
      </c>
      <c r="C202" s="41" t="e">
        <f t="shared" si="45"/>
        <v>#VALUE!</v>
      </c>
      <c r="E202" s="45">
        <v>199</v>
      </c>
      <c r="G202" s="138"/>
      <c r="H202" s="135">
        <v>1</v>
      </c>
      <c r="I202" s="46" t="e">
        <f t="shared" si="46"/>
        <v>#VALUE!</v>
      </c>
      <c r="J202" s="41" t="e">
        <f t="shared" si="52"/>
        <v>#VALUE!</v>
      </c>
      <c r="K202" s="41" t="e">
        <f t="shared" si="53"/>
        <v>#VALUE!</v>
      </c>
      <c r="L202" s="41" t="e">
        <f t="shared" si="53"/>
        <v>#VALUE!</v>
      </c>
      <c r="M202" s="41" t="e">
        <f t="shared" si="47"/>
        <v>#VALUE!</v>
      </c>
      <c r="N202" s="41" t="e">
        <f t="shared" si="48"/>
        <v>#VALUE!</v>
      </c>
      <c r="O202" s="41">
        <f t="shared" si="49"/>
        <v>0</v>
      </c>
      <c r="Q202" s="44" t="e">
        <f t="shared" si="50"/>
        <v>#VALUE!</v>
      </c>
      <c r="R202" s="44" t="e">
        <f t="shared" si="54"/>
        <v>#VALUE!</v>
      </c>
      <c r="S202" s="44" t="e">
        <f t="shared" si="51"/>
        <v>#VALUE!</v>
      </c>
      <c r="T202" s="41" t="e">
        <f t="shared" si="55"/>
        <v>#VALUE!</v>
      </c>
      <c r="U202" s="41" t="e">
        <f t="shared" si="56"/>
        <v>#VALUE!</v>
      </c>
      <c r="V202" s="41" t="e">
        <f t="shared" si="57"/>
        <v>#VALUE!</v>
      </c>
    </row>
    <row r="203" spans="2:22" x14ac:dyDescent="0.25">
      <c r="B203" s="41" t="b">
        <f t="shared" si="44"/>
        <v>0</v>
      </c>
      <c r="C203" s="41" t="e">
        <f t="shared" si="45"/>
        <v>#VALUE!</v>
      </c>
      <c r="E203" s="45">
        <v>200</v>
      </c>
      <c r="G203" s="138"/>
      <c r="H203" s="135">
        <v>1</v>
      </c>
      <c r="I203" s="46" t="e">
        <f t="shared" si="46"/>
        <v>#VALUE!</v>
      </c>
      <c r="J203" s="41" t="e">
        <f t="shared" si="52"/>
        <v>#VALUE!</v>
      </c>
      <c r="K203" s="41" t="e">
        <f t="shared" si="53"/>
        <v>#VALUE!</v>
      </c>
      <c r="L203" s="41" t="e">
        <f t="shared" si="53"/>
        <v>#VALUE!</v>
      </c>
      <c r="M203" s="41" t="e">
        <f t="shared" si="47"/>
        <v>#VALUE!</v>
      </c>
      <c r="N203" s="41" t="e">
        <f t="shared" si="48"/>
        <v>#VALUE!</v>
      </c>
      <c r="O203" s="41">
        <f t="shared" si="49"/>
        <v>0</v>
      </c>
      <c r="Q203" s="44" t="e">
        <f t="shared" si="50"/>
        <v>#VALUE!</v>
      </c>
      <c r="R203" s="44" t="e">
        <f t="shared" si="54"/>
        <v>#VALUE!</v>
      </c>
      <c r="S203" s="44" t="e">
        <f t="shared" si="51"/>
        <v>#VALUE!</v>
      </c>
      <c r="T203" s="41" t="e">
        <f t="shared" si="55"/>
        <v>#VALUE!</v>
      </c>
      <c r="U203" s="41" t="e">
        <f t="shared" si="56"/>
        <v>#VALUE!</v>
      </c>
      <c r="V203" s="41" t="e">
        <f t="shared" si="57"/>
        <v>#VALUE!</v>
      </c>
    </row>
    <row r="204" spans="2:22" x14ac:dyDescent="0.25">
      <c r="B204" s="41" t="b">
        <f t="shared" si="44"/>
        <v>0</v>
      </c>
      <c r="C204" s="41" t="e">
        <f t="shared" si="45"/>
        <v>#VALUE!</v>
      </c>
      <c r="E204" s="45">
        <v>201</v>
      </c>
      <c r="G204" s="138"/>
      <c r="H204" s="135">
        <v>1</v>
      </c>
      <c r="I204" s="46" t="e">
        <f t="shared" si="46"/>
        <v>#VALUE!</v>
      </c>
      <c r="J204" s="41" t="e">
        <f t="shared" si="52"/>
        <v>#VALUE!</v>
      </c>
      <c r="K204" s="41" t="e">
        <f t="shared" si="53"/>
        <v>#VALUE!</v>
      </c>
      <c r="L204" s="41" t="e">
        <f t="shared" si="53"/>
        <v>#VALUE!</v>
      </c>
      <c r="M204" s="41" t="e">
        <f t="shared" si="47"/>
        <v>#VALUE!</v>
      </c>
      <c r="N204" s="41" t="e">
        <f t="shared" si="48"/>
        <v>#VALUE!</v>
      </c>
      <c r="O204" s="41">
        <f t="shared" si="49"/>
        <v>0</v>
      </c>
      <c r="Q204" s="44" t="e">
        <f t="shared" si="50"/>
        <v>#VALUE!</v>
      </c>
      <c r="R204" s="44" t="e">
        <f t="shared" si="54"/>
        <v>#VALUE!</v>
      </c>
      <c r="S204" s="44" t="e">
        <f t="shared" si="51"/>
        <v>#VALUE!</v>
      </c>
      <c r="T204" s="41" t="e">
        <f t="shared" si="55"/>
        <v>#VALUE!</v>
      </c>
      <c r="U204" s="41" t="e">
        <f t="shared" si="56"/>
        <v>#VALUE!</v>
      </c>
      <c r="V204" s="41" t="e">
        <f t="shared" si="57"/>
        <v>#VALUE!</v>
      </c>
    </row>
    <row r="205" spans="2:22" x14ac:dyDescent="0.25">
      <c r="B205" s="41" t="b">
        <f t="shared" si="44"/>
        <v>0</v>
      </c>
      <c r="C205" s="41" t="e">
        <f t="shared" si="45"/>
        <v>#VALUE!</v>
      </c>
      <c r="E205" s="45">
        <v>202</v>
      </c>
      <c r="G205" s="138"/>
      <c r="H205" s="135">
        <v>1</v>
      </c>
      <c r="I205" s="46" t="e">
        <f t="shared" si="46"/>
        <v>#VALUE!</v>
      </c>
      <c r="J205" s="41" t="e">
        <f t="shared" si="52"/>
        <v>#VALUE!</v>
      </c>
      <c r="K205" s="41" t="e">
        <f t="shared" si="53"/>
        <v>#VALUE!</v>
      </c>
      <c r="L205" s="41" t="e">
        <f t="shared" si="53"/>
        <v>#VALUE!</v>
      </c>
      <c r="M205" s="41" t="e">
        <f t="shared" si="47"/>
        <v>#VALUE!</v>
      </c>
      <c r="N205" s="41" t="e">
        <f t="shared" si="48"/>
        <v>#VALUE!</v>
      </c>
      <c r="O205" s="41">
        <f t="shared" si="49"/>
        <v>0</v>
      </c>
      <c r="Q205" s="44" t="e">
        <f t="shared" si="50"/>
        <v>#VALUE!</v>
      </c>
      <c r="R205" s="44" t="e">
        <f t="shared" si="54"/>
        <v>#VALUE!</v>
      </c>
      <c r="S205" s="44" t="e">
        <f t="shared" si="51"/>
        <v>#VALUE!</v>
      </c>
      <c r="T205" s="41" t="e">
        <f t="shared" si="55"/>
        <v>#VALUE!</v>
      </c>
      <c r="U205" s="41" t="e">
        <f t="shared" si="56"/>
        <v>#VALUE!</v>
      </c>
      <c r="V205" s="41" t="e">
        <f t="shared" si="57"/>
        <v>#VALUE!</v>
      </c>
    </row>
    <row r="206" spans="2:22" x14ac:dyDescent="0.25">
      <c r="B206" s="41" t="b">
        <f t="shared" ref="B206:B269" si="58">ISNUMBER(C206)</f>
        <v>0</v>
      </c>
      <c r="C206" s="41" t="e">
        <f t="shared" ref="C206:C245" si="59">SUM(T206:V206)</f>
        <v>#VALUE!</v>
      </c>
      <c r="E206" s="45">
        <v>203</v>
      </c>
      <c r="G206" s="138"/>
      <c r="H206" s="135">
        <v>1</v>
      </c>
      <c r="I206" s="46" t="e">
        <f t="shared" si="46"/>
        <v>#VALUE!</v>
      </c>
      <c r="J206" s="41" t="e">
        <f t="shared" si="52"/>
        <v>#VALUE!</v>
      </c>
      <c r="K206" s="41" t="e">
        <f t="shared" si="53"/>
        <v>#VALUE!</v>
      </c>
      <c r="L206" s="41" t="e">
        <f t="shared" si="53"/>
        <v>#VALUE!</v>
      </c>
      <c r="M206" s="41" t="e">
        <f t="shared" si="47"/>
        <v>#VALUE!</v>
      </c>
      <c r="N206" s="41" t="e">
        <f t="shared" si="48"/>
        <v>#VALUE!</v>
      </c>
      <c r="O206" s="41">
        <f t="shared" si="49"/>
        <v>0</v>
      </c>
      <c r="Q206" s="44" t="e">
        <f t="shared" si="50"/>
        <v>#VALUE!</v>
      </c>
      <c r="R206" s="44" t="e">
        <f t="shared" si="54"/>
        <v>#VALUE!</v>
      </c>
      <c r="S206" s="44" t="e">
        <f t="shared" si="51"/>
        <v>#VALUE!</v>
      </c>
      <c r="T206" s="41" t="e">
        <f t="shared" si="55"/>
        <v>#VALUE!</v>
      </c>
      <c r="U206" s="41" t="e">
        <f t="shared" si="56"/>
        <v>#VALUE!</v>
      </c>
      <c r="V206" s="41" t="e">
        <f t="shared" si="57"/>
        <v>#VALUE!</v>
      </c>
    </row>
    <row r="207" spans="2:22" x14ac:dyDescent="0.25">
      <c r="B207" s="41" t="b">
        <f t="shared" si="58"/>
        <v>0</v>
      </c>
      <c r="C207" s="41" t="e">
        <f t="shared" si="59"/>
        <v>#VALUE!</v>
      </c>
      <c r="E207" s="45">
        <v>204</v>
      </c>
      <c r="G207" s="138"/>
      <c r="H207" s="135">
        <v>1</v>
      </c>
      <c r="I207" s="46" t="e">
        <f t="shared" si="46"/>
        <v>#VALUE!</v>
      </c>
      <c r="J207" s="41" t="e">
        <f t="shared" si="52"/>
        <v>#VALUE!</v>
      </c>
      <c r="K207" s="41" t="e">
        <f t="shared" si="53"/>
        <v>#VALUE!</v>
      </c>
      <c r="L207" s="41" t="e">
        <f t="shared" si="53"/>
        <v>#VALUE!</v>
      </c>
      <c r="M207" s="41" t="e">
        <f t="shared" si="47"/>
        <v>#VALUE!</v>
      </c>
      <c r="N207" s="41" t="e">
        <f t="shared" si="48"/>
        <v>#VALUE!</v>
      </c>
      <c r="O207" s="41">
        <f t="shared" si="49"/>
        <v>0</v>
      </c>
      <c r="Q207" s="44" t="e">
        <f t="shared" si="50"/>
        <v>#VALUE!</v>
      </c>
      <c r="R207" s="44" t="e">
        <f t="shared" si="54"/>
        <v>#VALUE!</v>
      </c>
      <c r="S207" s="44" t="e">
        <f t="shared" si="51"/>
        <v>#VALUE!</v>
      </c>
      <c r="T207" s="41" t="e">
        <f t="shared" si="55"/>
        <v>#VALUE!</v>
      </c>
      <c r="U207" s="41" t="e">
        <f t="shared" si="56"/>
        <v>#VALUE!</v>
      </c>
      <c r="V207" s="41" t="e">
        <f t="shared" si="57"/>
        <v>#VALUE!</v>
      </c>
    </row>
    <row r="208" spans="2:22" x14ac:dyDescent="0.25">
      <c r="B208" s="41" t="b">
        <f t="shared" si="58"/>
        <v>0</v>
      </c>
      <c r="C208" s="41" t="e">
        <f t="shared" si="59"/>
        <v>#VALUE!</v>
      </c>
      <c r="E208" s="45">
        <v>205</v>
      </c>
      <c r="G208" s="138"/>
      <c r="H208" s="135">
        <v>1</v>
      </c>
      <c r="I208" s="46" t="e">
        <f t="shared" si="46"/>
        <v>#VALUE!</v>
      </c>
      <c r="J208" s="41" t="e">
        <f t="shared" si="52"/>
        <v>#VALUE!</v>
      </c>
      <c r="K208" s="41" t="e">
        <f t="shared" si="53"/>
        <v>#VALUE!</v>
      </c>
      <c r="L208" s="41" t="e">
        <f t="shared" si="53"/>
        <v>#VALUE!</v>
      </c>
      <c r="M208" s="41" t="e">
        <f t="shared" si="47"/>
        <v>#VALUE!</v>
      </c>
      <c r="N208" s="41" t="e">
        <f t="shared" si="48"/>
        <v>#VALUE!</v>
      </c>
      <c r="O208" s="41">
        <f t="shared" si="49"/>
        <v>0</v>
      </c>
      <c r="Q208" s="44" t="e">
        <f t="shared" si="50"/>
        <v>#VALUE!</v>
      </c>
      <c r="R208" s="44" t="e">
        <f t="shared" si="54"/>
        <v>#VALUE!</v>
      </c>
      <c r="S208" s="44" t="e">
        <f t="shared" si="51"/>
        <v>#VALUE!</v>
      </c>
      <c r="T208" s="41" t="e">
        <f t="shared" si="55"/>
        <v>#VALUE!</v>
      </c>
      <c r="U208" s="41" t="e">
        <f t="shared" si="56"/>
        <v>#VALUE!</v>
      </c>
      <c r="V208" s="41" t="e">
        <f t="shared" si="57"/>
        <v>#VALUE!</v>
      </c>
    </row>
    <row r="209" spans="2:22" x14ac:dyDescent="0.25">
      <c r="B209" s="41" t="b">
        <f t="shared" si="58"/>
        <v>0</v>
      </c>
      <c r="C209" s="41" t="e">
        <f t="shared" si="59"/>
        <v>#VALUE!</v>
      </c>
      <c r="E209" s="45">
        <v>206</v>
      </c>
      <c r="G209" s="138"/>
      <c r="H209" s="135">
        <v>1</v>
      </c>
      <c r="I209" s="46" t="e">
        <f t="shared" si="46"/>
        <v>#VALUE!</v>
      </c>
      <c r="J209" s="41" t="e">
        <f t="shared" si="52"/>
        <v>#VALUE!</v>
      </c>
      <c r="K209" s="41" t="e">
        <f t="shared" si="53"/>
        <v>#VALUE!</v>
      </c>
      <c r="L209" s="41" t="e">
        <f t="shared" si="53"/>
        <v>#VALUE!</v>
      </c>
      <c r="M209" s="41" t="e">
        <f t="shared" si="47"/>
        <v>#VALUE!</v>
      </c>
      <c r="N209" s="41" t="e">
        <f t="shared" si="48"/>
        <v>#VALUE!</v>
      </c>
      <c r="O209" s="41">
        <f t="shared" si="49"/>
        <v>0</v>
      </c>
      <c r="Q209" s="44" t="e">
        <f t="shared" si="50"/>
        <v>#VALUE!</v>
      </c>
      <c r="R209" s="44" t="e">
        <f t="shared" si="54"/>
        <v>#VALUE!</v>
      </c>
      <c r="S209" s="44" t="e">
        <f t="shared" si="51"/>
        <v>#VALUE!</v>
      </c>
      <c r="T209" s="41" t="e">
        <f t="shared" si="55"/>
        <v>#VALUE!</v>
      </c>
      <c r="U209" s="41" t="e">
        <f t="shared" si="56"/>
        <v>#VALUE!</v>
      </c>
      <c r="V209" s="41" t="e">
        <f t="shared" si="57"/>
        <v>#VALUE!</v>
      </c>
    </row>
    <row r="210" spans="2:22" x14ac:dyDescent="0.25">
      <c r="B210" s="41" t="b">
        <f t="shared" si="58"/>
        <v>0</v>
      </c>
      <c r="C210" s="41" t="e">
        <f t="shared" si="59"/>
        <v>#VALUE!</v>
      </c>
      <c r="E210" s="45">
        <v>207</v>
      </c>
      <c r="G210" s="138"/>
      <c r="H210" s="135">
        <v>1</v>
      </c>
      <c r="I210" s="46" t="e">
        <f t="shared" si="46"/>
        <v>#VALUE!</v>
      </c>
      <c r="J210" s="41" t="e">
        <f t="shared" si="52"/>
        <v>#VALUE!</v>
      </c>
      <c r="K210" s="41" t="e">
        <f t="shared" si="53"/>
        <v>#VALUE!</v>
      </c>
      <c r="L210" s="41" t="e">
        <f t="shared" si="53"/>
        <v>#VALUE!</v>
      </c>
      <c r="M210" s="41" t="e">
        <f t="shared" si="47"/>
        <v>#VALUE!</v>
      </c>
      <c r="N210" s="41" t="e">
        <f t="shared" si="48"/>
        <v>#VALUE!</v>
      </c>
      <c r="O210" s="41">
        <f t="shared" si="49"/>
        <v>0</v>
      </c>
      <c r="Q210" s="44" t="e">
        <f t="shared" si="50"/>
        <v>#VALUE!</v>
      </c>
      <c r="R210" s="44" t="e">
        <f t="shared" si="54"/>
        <v>#VALUE!</v>
      </c>
      <c r="S210" s="44" t="e">
        <f t="shared" si="51"/>
        <v>#VALUE!</v>
      </c>
      <c r="T210" s="41" t="e">
        <f t="shared" si="55"/>
        <v>#VALUE!</v>
      </c>
      <c r="U210" s="41" t="e">
        <f t="shared" si="56"/>
        <v>#VALUE!</v>
      </c>
      <c r="V210" s="41" t="e">
        <f t="shared" si="57"/>
        <v>#VALUE!</v>
      </c>
    </row>
    <row r="211" spans="2:22" x14ac:dyDescent="0.25">
      <c r="B211" s="41" t="b">
        <f t="shared" si="58"/>
        <v>0</v>
      </c>
      <c r="C211" s="41" t="e">
        <f t="shared" si="59"/>
        <v>#VALUE!</v>
      </c>
      <c r="E211" s="45">
        <v>208</v>
      </c>
      <c r="G211" s="138"/>
      <c r="H211" s="135">
        <v>1</v>
      </c>
      <c r="I211" s="46" t="e">
        <f t="shared" si="46"/>
        <v>#VALUE!</v>
      </c>
      <c r="J211" s="41" t="e">
        <f t="shared" si="52"/>
        <v>#VALUE!</v>
      </c>
      <c r="K211" s="41" t="e">
        <f t="shared" si="53"/>
        <v>#VALUE!</v>
      </c>
      <c r="L211" s="41" t="e">
        <f t="shared" si="53"/>
        <v>#VALUE!</v>
      </c>
      <c r="M211" s="41" t="e">
        <f t="shared" si="47"/>
        <v>#VALUE!</v>
      </c>
      <c r="N211" s="41" t="e">
        <f t="shared" si="48"/>
        <v>#VALUE!</v>
      </c>
      <c r="O211" s="41">
        <f t="shared" si="49"/>
        <v>0</v>
      </c>
      <c r="Q211" s="44" t="e">
        <f t="shared" si="50"/>
        <v>#VALUE!</v>
      </c>
      <c r="R211" s="44" t="e">
        <f t="shared" si="54"/>
        <v>#VALUE!</v>
      </c>
      <c r="S211" s="44" t="e">
        <f t="shared" si="51"/>
        <v>#VALUE!</v>
      </c>
      <c r="T211" s="41" t="e">
        <f t="shared" si="55"/>
        <v>#VALUE!</v>
      </c>
      <c r="U211" s="41" t="e">
        <f t="shared" si="56"/>
        <v>#VALUE!</v>
      </c>
      <c r="V211" s="41" t="e">
        <f t="shared" si="57"/>
        <v>#VALUE!</v>
      </c>
    </row>
    <row r="212" spans="2:22" x14ac:dyDescent="0.25">
      <c r="B212" s="41" t="b">
        <f t="shared" si="58"/>
        <v>0</v>
      </c>
      <c r="C212" s="41" t="e">
        <f t="shared" si="59"/>
        <v>#VALUE!</v>
      </c>
      <c r="E212" s="45">
        <v>209</v>
      </c>
      <c r="G212" s="138"/>
      <c r="H212" s="135">
        <v>1</v>
      </c>
      <c r="I212" s="46" t="e">
        <f t="shared" si="46"/>
        <v>#VALUE!</v>
      </c>
      <c r="J212" s="41" t="e">
        <f t="shared" si="52"/>
        <v>#VALUE!</v>
      </c>
      <c r="K212" s="41" t="e">
        <f t="shared" si="53"/>
        <v>#VALUE!</v>
      </c>
      <c r="L212" s="41" t="e">
        <f t="shared" si="53"/>
        <v>#VALUE!</v>
      </c>
      <c r="M212" s="41" t="e">
        <f t="shared" si="47"/>
        <v>#VALUE!</v>
      </c>
      <c r="N212" s="41" t="e">
        <f t="shared" si="48"/>
        <v>#VALUE!</v>
      </c>
      <c r="O212" s="41">
        <f t="shared" si="49"/>
        <v>0</v>
      </c>
      <c r="Q212" s="44" t="e">
        <f t="shared" si="50"/>
        <v>#VALUE!</v>
      </c>
      <c r="R212" s="44" t="e">
        <f t="shared" si="54"/>
        <v>#VALUE!</v>
      </c>
      <c r="S212" s="44" t="e">
        <f t="shared" si="51"/>
        <v>#VALUE!</v>
      </c>
      <c r="T212" s="41" t="e">
        <f t="shared" si="55"/>
        <v>#VALUE!</v>
      </c>
      <c r="U212" s="41" t="e">
        <f t="shared" si="56"/>
        <v>#VALUE!</v>
      </c>
      <c r="V212" s="41" t="e">
        <f t="shared" si="57"/>
        <v>#VALUE!</v>
      </c>
    </row>
    <row r="213" spans="2:22" x14ac:dyDescent="0.25">
      <c r="B213" s="41" t="b">
        <f t="shared" si="58"/>
        <v>0</v>
      </c>
      <c r="C213" s="41" t="e">
        <f t="shared" si="59"/>
        <v>#VALUE!</v>
      </c>
      <c r="E213" s="45">
        <v>210</v>
      </c>
      <c r="G213" s="138"/>
      <c r="H213" s="135">
        <v>1</v>
      </c>
      <c r="I213" s="46" t="e">
        <f t="shared" si="46"/>
        <v>#VALUE!</v>
      </c>
      <c r="J213" s="41" t="e">
        <f t="shared" si="52"/>
        <v>#VALUE!</v>
      </c>
      <c r="K213" s="41" t="e">
        <f t="shared" si="53"/>
        <v>#VALUE!</v>
      </c>
      <c r="L213" s="41" t="e">
        <f t="shared" si="53"/>
        <v>#VALUE!</v>
      </c>
      <c r="M213" s="41" t="e">
        <f t="shared" si="47"/>
        <v>#VALUE!</v>
      </c>
      <c r="N213" s="41" t="e">
        <f t="shared" si="48"/>
        <v>#VALUE!</v>
      </c>
      <c r="O213" s="41">
        <f t="shared" si="49"/>
        <v>0</v>
      </c>
      <c r="Q213" s="44" t="e">
        <f t="shared" si="50"/>
        <v>#VALUE!</v>
      </c>
      <c r="R213" s="44" t="e">
        <f t="shared" si="54"/>
        <v>#VALUE!</v>
      </c>
      <c r="S213" s="44" t="e">
        <f t="shared" si="51"/>
        <v>#VALUE!</v>
      </c>
      <c r="T213" s="41" t="e">
        <f t="shared" si="55"/>
        <v>#VALUE!</v>
      </c>
      <c r="U213" s="41" t="e">
        <f t="shared" si="56"/>
        <v>#VALUE!</v>
      </c>
      <c r="V213" s="41" t="e">
        <f t="shared" si="57"/>
        <v>#VALUE!</v>
      </c>
    </row>
    <row r="214" spans="2:22" x14ac:dyDescent="0.25">
      <c r="B214" s="41" t="b">
        <f t="shared" si="58"/>
        <v>0</v>
      </c>
      <c r="C214" s="41" t="e">
        <f t="shared" si="59"/>
        <v>#VALUE!</v>
      </c>
      <c r="E214" s="45">
        <v>211</v>
      </c>
      <c r="G214" s="138"/>
      <c r="H214" s="135">
        <v>1</v>
      </c>
      <c r="I214" s="46" t="e">
        <f t="shared" si="46"/>
        <v>#VALUE!</v>
      </c>
      <c r="J214" s="41" t="e">
        <f t="shared" si="52"/>
        <v>#VALUE!</v>
      </c>
      <c r="K214" s="41" t="e">
        <f t="shared" si="53"/>
        <v>#VALUE!</v>
      </c>
      <c r="L214" s="41" t="e">
        <f t="shared" si="53"/>
        <v>#VALUE!</v>
      </c>
      <c r="M214" s="41" t="e">
        <f t="shared" si="47"/>
        <v>#VALUE!</v>
      </c>
      <c r="N214" s="41" t="e">
        <f t="shared" si="48"/>
        <v>#VALUE!</v>
      </c>
      <c r="O214" s="41">
        <f t="shared" si="49"/>
        <v>0</v>
      </c>
      <c r="Q214" s="44" t="e">
        <f t="shared" si="50"/>
        <v>#VALUE!</v>
      </c>
      <c r="R214" s="44" t="e">
        <f t="shared" si="54"/>
        <v>#VALUE!</v>
      </c>
      <c r="S214" s="44" t="e">
        <f t="shared" si="51"/>
        <v>#VALUE!</v>
      </c>
      <c r="T214" s="41" t="e">
        <f t="shared" si="55"/>
        <v>#VALUE!</v>
      </c>
      <c r="U214" s="41" t="e">
        <f t="shared" si="56"/>
        <v>#VALUE!</v>
      </c>
      <c r="V214" s="41" t="e">
        <f t="shared" si="57"/>
        <v>#VALUE!</v>
      </c>
    </row>
    <row r="215" spans="2:22" x14ac:dyDescent="0.25">
      <c r="B215" s="41" t="b">
        <f t="shared" si="58"/>
        <v>0</v>
      </c>
      <c r="C215" s="41" t="e">
        <f t="shared" si="59"/>
        <v>#VALUE!</v>
      </c>
      <c r="E215" s="45">
        <v>212</v>
      </c>
      <c r="G215" s="138"/>
      <c r="H215" s="135">
        <v>1</v>
      </c>
      <c r="I215" s="46" t="e">
        <f t="shared" si="46"/>
        <v>#VALUE!</v>
      </c>
      <c r="J215" s="41" t="e">
        <f t="shared" si="52"/>
        <v>#VALUE!</v>
      </c>
      <c r="K215" s="41" t="e">
        <f t="shared" si="53"/>
        <v>#VALUE!</v>
      </c>
      <c r="L215" s="41" t="e">
        <f t="shared" si="53"/>
        <v>#VALUE!</v>
      </c>
      <c r="M215" s="41" t="e">
        <f t="shared" si="47"/>
        <v>#VALUE!</v>
      </c>
      <c r="N215" s="41" t="e">
        <f t="shared" si="48"/>
        <v>#VALUE!</v>
      </c>
      <c r="O215" s="41">
        <f t="shared" si="49"/>
        <v>0</v>
      </c>
      <c r="Q215" s="44" t="e">
        <f t="shared" si="50"/>
        <v>#VALUE!</v>
      </c>
      <c r="R215" s="44" t="e">
        <f t="shared" si="54"/>
        <v>#VALUE!</v>
      </c>
      <c r="S215" s="44" t="e">
        <f t="shared" si="51"/>
        <v>#VALUE!</v>
      </c>
      <c r="T215" s="41" t="e">
        <f t="shared" si="55"/>
        <v>#VALUE!</v>
      </c>
      <c r="U215" s="41" t="e">
        <f t="shared" si="56"/>
        <v>#VALUE!</v>
      </c>
      <c r="V215" s="41" t="e">
        <f t="shared" si="57"/>
        <v>#VALUE!</v>
      </c>
    </row>
    <row r="216" spans="2:22" x14ac:dyDescent="0.25">
      <c r="B216" s="41" t="b">
        <f t="shared" si="58"/>
        <v>0</v>
      </c>
      <c r="C216" s="41" t="e">
        <f t="shared" si="59"/>
        <v>#VALUE!</v>
      </c>
      <c r="E216" s="45">
        <v>213</v>
      </c>
      <c r="G216" s="138"/>
      <c r="H216" s="135">
        <v>1</v>
      </c>
      <c r="I216" s="46" t="e">
        <f t="shared" si="46"/>
        <v>#VALUE!</v>
      </c>
      <c r="J216" s="41" t="e">
        <f t="shared" si="52"/>
        <v>#VALUE!</v>
      </c>
      <c r="K216" s="41" t="e">
        <f t="shared" si="53"/>
        <v>#VALUE!</v>
      </c>
      <c r="L216" s="41" t="e">
        <f t="shared" si="53"/>
        <v>#VALUE!</v>
      </c>
      <c r="M216" s="41" t="e">
        <f t="shared" si="47"/>
        <v>#VALUE!</v>
      </c>
      <c r="N216" s="41" t="e">
        <f t="shared" si="48"/>
        <v>#VALUE!</v>
      </c>
      <c r="O216" s="41">
        <f t="shared" si="49"/>
        <v>0</v>
      </c>
      <c r="Q216" s="44" t="e">
        <f t="shared" si="50"/>
        <v>#VALUE!</v>
      </c>
      <c r="R216" s="44" t="e">
        <f t="shared" si="54"/>
        <v>#VALUE!</v>
      </c>
      <c r="S216" s="44" t="e">
        <f t="shared" si="51"/>
        <v>#VALUE!</v>
      </c>
      <c r="T216" s="41" t="e">
        <f t="shared" si="55"/>
        <v>#VALUE!</v>
      </c>
      <c r="U216" s="41" t="e">
        <f t="shared" si="56"/>
        <v>#VALUE!</v>
      </c>
      <c r="V216" s="41" t="e">
        <f t="shared" si="57"/>
        <v>#VALUE!</v>
      </c>
    </row>
    <row r="217" spans="2:22" x14ac:dyDescent="0.25">
      <c r="B217" s="41" t="b">
        <f t="shared" si="58"/>
        <v>0</v>
      </c>
      <c r="C217" s="41" t="e">
        <f t="shared" si="59"/>
        <v>#VALUE!</v>
      </c>
      <c r="E217" s="45">
        <v>214</v>
      </c>
      <c r="G217" s="138"/>
      <c r="H217" s="135">
        <v>1</v>
      </c>
      <c r="I217" s="46" t="e">
        <f t="shared" si="46"/>
        <v>#VALUE!</v>
      </c>
      <c r="J217" s="41" t="e">
        <f t="shared" si="52"/>
        <v>#VALUE!</v>
      </c>
      <c r="K217" s="41" t="e">
        <f t="shared" si="53"/>
        <v>#VALUE!</v>
      </c>
      <c r="L217" s="41" t="e">
        <f t="shared" si="53"/>
        <v>#VALUE!</v>
      </c>
      <c r="M217" s="41" t="e">
        <f t="shared" si="47"/>
        <v>#VALUE!</v>
      </c>
      <c r="N217" s="41" t="e">
        <f t="shared" si="48"/>
        <v>#VALUE!</v>
      </c>
      <c r="O217" s="41">
        <f t="shared" si="49"/>
        <v>0</v>
      </c>
      <c r="Q217" s="44" t="e">
        <f t="shared" si="50"/>
        <v>#VALUE!</v>
      </c>
      <c r="R217" s="44" t="e">
        <f t="shared" si="54"/>
        <v>#VALUE!</v>
      </c>
      <c r="S217" s="44" t="e">
        <f t="shared" si="51"/>
        <v>#VALUE!</v>
      </c>
      <c r="T217" s="41" t="e">
        <f t="shared" si="55"/>
        <v>#VALUE!</v>
      </c>
      <c r="U217" s="41" t="e">
        <f t="shared" si="56"/>
        <v>#VALUE!</v>
      </c>
      <c r="V217" s="41" t="e">
        <f t="shared" si="57"/>
        <v>#VALUE!</v>
      </c>
    </row>
    <row r="218" spans="2:22" x14ac:dyDescent="0.25">
      <c r="B218" s="41" t="b">
        <f t="shared" si="58"/>
        <v>0</v>
      </c>
      <c r="C218" s="41" t="e">
        <f t="shared" si="59"/>
        <v>#VALUE!</v>
      </c>
      <c r="E218" s="45">
        <v>215</v>
      </c>
      <c r="G218" s="138"/>
      <c r="H218" s="135">
        <v>1</v>
      </c>
      <c r="I218" s="46" t="e">
        <f t="shared" si="46"/>
        <v>#VALUE!</v>
      </c>
      <c r="J218" s="41" t="e">
        <f t="shared" si="52"/>
        <v>#VALUE!</v>
      </c>
      <c r="K218" s="41" t="e">
        <f t="shared" si="53"/>
        <v>#VALUE!</v>
      </c>
      <c r="L218" s="41" t="e">
        <f t="shared" si="53"/>
        <v>#VALUE!</v>
      </c>
      <c r="M218" s="41" t="e">
        <f t="shared" si="47"/>
        <v>#VALUE!</v>
      </c>
      <c r="N218" s="41" t="e">
        <f t="shared" si="48"/>
        <v>#VALUE!</v>
      </c>
      <c r="O218" s="41">
        <f t="shared" si="49"/>
        <v>0</v>
      </c>
      <c r="Q218" s="44" t="e">
        <f t="shared" si="50"/>
        <v>#VALUE!</v>
      </c>
      <c r="R218" s="44" t="e">
        <f t="shared" si="54"/>
        <v>#VALUE!</v>
      </c>
      <c r="S218" s="44" t="e">
        <f t="shared" si="51"/>
        <v>#VALUE!</v>
      </c>
      <c r="T218" s="41" t="e">
        <f t="shared" si="55"/>
        <v>#VALUE!</v>
      </c>
      <c r="U218" s="41" t="e">
        <f t="shared" si="56"/>
        <v>#VALUE!</v>
      </c>
      <c r="V218" s="41" t="e">
        <f t="shared" si="57"/>
        <v>#VALUE!</v>
      </c>
    </row>
    <row r="219" spans="2:22" x14ac:dyDescent="0.25">
      <c r="B219" s="41" t="b">
        <f t="shared" si="58"/>
        <v>0</v>
      </c>
      <c r="C219" s="41" t="e">
        <f t="shared" si="59"/>
        <v>#VALUE!</v>
      </c>
      <c r="E219" s="45">
        <v>216</v>
      </c>
      <c r="G219" s="138"/>
      <c r="H219" s="135">
        <v>1</v>
      </c>
      <c r="I219" s="46" t="e">
        <f t="shared" si="46"/>
        <v>#VALUE!</v>
      </c>
      <c r="J219" s="41" t="e">
        <f t="shared" si="52"/>
        <v>#VALUE!</v>
      </c>
      <c r="K219" s="41" t="e">
        <f t="shared" si="53"/>
        <v>#VALUE!</v>
      </c>
      <c r="L219" s="41" t="e">
        <f t="shared" si="53"/>
        <v>#VALUE!</v>
      </c>
      <c r="M219" s="41" t="e">
        <f t="shared" si="47"/>
        <v>#VALUE!</v>
      </c>
      <c r="N219" s="41" t="e">
        <f t="shared" si="48"/>
        <v>#VALUE!</v>
      </c>
      <c r="O219" s="41">
        <f t="shared" si="49"/>
        <v>0</v>
      </c>
      <c r="Q219" s="44" t="e">
        <f t="shared" si="50"/>
        <v>#VALUE!</v>
      </c>
      <c r="R219" s="44" t="e">
        <f t="shared" si="54"/>
        <v>#VALUE!</v>
      </c>
      <c r="S219" s="44" t="e">
        <f t="shared" si="51"/>
        <v>#VALUE!</v>
      </c>
      <c r="T219" s="41" t="e">
        <f t="shared" si="55"/>
        <v>#VALUE!</v>
      </c>
      <c r="U219" s="41" t="e">
        <f t="shared" si="56"/>
        <v>#VALUE!</v>
      </c>
      <c r="V219" s="41" t="e">
        <f t="shared" si="57"/>
        <v>#VALUE!</v>
      </c>
    </row>
    <row r="220" spans="2:22" x14ac:dyDescent="0.25">
      <c r="B220" s="41" t="b">
        <f t="shared" si="58"/>
        <v>0</v>
      </c>
      <c r="C220" s="41" t="e">
        <f t="shared" si="59"/>
        <v>#VALUE!</v>
      </c>
      <c r="E220" s="45">
        <v>217</v>
      </c>
      <c r="G220" s="138"/>
      <c r="H220" s="135">
        <v>1</v>
      </c>
      <c r="I220" s="46" t="e">
        <f t="shared" si="46"/>
        <v>#VALUE!</v>
      </c>
      <c r="J220" s="41" t="e">
        <f t="shared" si="52"/>
        <v>#VALUE!</v>
      </c>
      <c r="K220" s="41" t="e">
        <f t="shared" si="53"/>
        <v>#VALUE!</v>
      </c>
      <c r="L220" s="41" t="e">
        <f t="shared" si="53"/>
        <v>#VALUE!</v>
      </c>
      <c r="M220" s="41" t="e">
        <f t="shared" si="47"/>
        <v>#VALUE!</v>
      </c>
      <c r="N220" s="41" t="e">
        <f t="shared" si="48"/>
        <v>#VALUE!</v>
      </c>
      <c r="O220" s="41">
        <f t="shared" si="49"/>
        <v>0</v>
      </c>
      <c r="Q220" s="44" t="e">
        <f t="shared" si="50"/>
        <v>#VALUE!</v>
      </c>
      <c r="R220" s="44" t="e">
        <f t="shared" si="54"/>
        <v>#VALUE!</v>
      </c>
      <c r="S220" s="44" t="e">
        <f t="shared" si="51"/>
        <v>#VALUE!</v>
      </c>
      <c r="T220" s="41" t="e">
        <f t="shared" si="55"/>
        <v>#VALUE!</v>
      </c>
      <c r="U220" s="41" t="e">
        <f t="shared" si="56"/>
        <v>#VALUE!</v>
      </c>
      <c r="V220" s="41" t="e">
        <f t="shared" si="57"/>
        <v>#VALUE!</v>
      </c>
    </row>
    <row r="221" spans="2:22" x14ac:dyDescent="0.25">
      <c r="B221" s="41" t="b">
        <f t="shared" si="58"/>
        <v>0</v>
      </c>
      <c r="C221" s="41" t="e">
        <f t="shared" si="59"/>
        <v>#VALUE!</v>
      </c>
      <c r="E221" s="45">
        <v>218</v>
      </c>
      <c r="G221" s="138"/>
      <c r="H221" s="135">
        <v>1</v>
      </c>
      <c r="I221" s="46" t="e">
        <f t="shared" si="46"/>
        <v>#VALUE!</v>
      </c>
      <c r="J221" s="41" t="e">
        <f t="shared" si="52"/>
        <v>#VALUE!</v>
      </c>
      <c r="K221" s="41" t="e">
        <f t="shared" si="53"/>
        <v>#VALUE!</v>
      </c>
      <c r="L221" s="41" t="e">
        <f t="shared" si="53"/>
        <v>#VALUE!</v>
      </c>
      <c r="M221" s="41" t="e">
        <f t="shared" si="47"/>
        <v>#VALUE!</v>
      </c>
      <c r="N221" s="41" t="e">
        <f t="shared" si="48"/>
        <v>#VALUE!</v>
      </c>
      <c r="O221" s="41">
        <f t="shared" si="49"/>
        <v>0</v>
      </c>
      <c r="Q221" s="44" t="e">
        <f t="shared" si="50"/>
        <v>#VALUE!</v>
      </c>
      <c r="R221" s="44" t="e">
        <f t="shared" si="54"/>
        <v>#VALUE!</v>
      </c>
      <c r="S221" s="44" t="e">
        <f t="shared" si="51"/>
        <v>#VALUE!</v>
      </c>
      <c r="T221" s="41" t="e">
        <f t="shared" si="55"/>
        <v>#VALUE!</v>
      </c>
      <c r="U221" s="41" t="e">
        <f t="shared" si="56"/>
        <v>#VALUE!</v>
      </c>
      <c r="V221" s="41" t="e">
        <f t="shared" si="57"/>
        <v>#VALUE!</v>
      </c>
    </row>
    <row r="222" spans="2:22" x14ac:dyDescent="0.25">
      <c r="B222" s="41" t="b">
        <f t="shared" si="58"/>
        <v>0</v>
      </c>
      <c r="C222" s="41" t="e">
        <f t="shared" si="59"/>
        <v>#VALUE!</v>
      </c>
      <c r="E222" s="45">
        <v>219</v>
      </c>
      <c r="G222" s="138"/>
      <c r="H222" s="135">
        <v>1</v>
      </c>
      <c r="I222" s="46" t="e">
        <f t="shared" si="46"/>
        <v>#VALUE!</v>
      </c>
      <c r="J222" s="41" t="e">
        <f t="shared" si="52"/>
        <v>#VALUE!</v>
      </c>
      <c r="K222" s="41" t="e">
        <f t="shared" si="53"/>
        <v>#VALUE!</v>
      </c>
      <c r="L222" s="41" t="e">
        <f t="shared" si="53"/>
        <v>#VALUE!</v>
      </c>
      <c r="M222" s="41" t="e">
        <f t="shared" si="47"/>
        <v>#VALUE!</v>
      </c>
      <c r="N222" s="41" t="e">
        <f t="shared" si="48"/>
        <v>#VALUE!</v>
      </c>
      <c r="O222" s="41">
        <f t="shared" si="49"/>
        <v>0</v>
      </c>
      <c r="Q222" s="44" t="e">
        <f t="shared" si="50"/>
        <v>#VALUE!</v>
      </c>
      <c r="R222" s="44" t="e">
        <f t="shared" si="54"/>
        <v>#VALUE!</v>
      </c>
      <c r="S222" s="44" t="e">
        <f t="shared" si="51"/>
        <v>#VALUE!</v>
      </c>
      <c r="T222" s="41" t="e">
        <f t="shared" si="55"/>
        <v>#VALUE!</v>
      </c>
      <c r="U222" s="41" t="e">
        <f t="shared" si="56"/>
        <v>#VALUE!</v>
      </c>
      <c r="V222" s="41" t="e">
        <f t="shared" si="57"/>
        <v>#VALUE!</v>
      </c>
    </row>
    <row r="223" spans="2:22" x14ac:dyDescent="0.25">
      <c r="B223" s="41" t="b">
        <f t="shared" si="58"/>
        <v>0</v>
      </c>
      <c r="C223" s="41" t="e">
        <f t="shared" si="59"/>
        <v>#VALUE!</v>
      </c>
      <c r="E223" s="45">
        <v>220</v>
      </c>
      <c r="G223" s="138"/>
      <c r="H223" s="135">
        <v>1</v>
      </c>
      <c r="I223" s="46" t="e">
        <f t="shared" si="46"/>
        <v>#VALUE!</v>
      </c>
      <c r="J223" s="41" t="e">
        <f t="shared" si="52"/>
        <v>#VALUE!</v>
      </c>
      <c r="K223" s="41" t="e">
        <f t="shared" si="53"/>
        <v>#VALUE!</v>
      </c>
      <c r="L223" s="41" t="e">
        <f t="shared" si="53"/>
        <v>#VALUE!</v>
      </c>
      <c r="M223" s="41" t="e">
        <f t="shared" si="47"/>
        <v>#VALUE!</v>
      </c>
      <c r="N223" s="41" t="e">
        <f t="shared" si="48"/>
        <v>#VALUE!</v>
      </c>
      <c r="O223" s="41">
        <f t="shared" si="49"/>
        <v>0</v>
      </c>
      <c r="Q223" s="44" t="e">
        <f t="shared" si="50"/>
        <v>#VALUE!</v>
      </c>
      <c r="R223" s="44" t="e">
        <f t="shared" si="54"/>
        <v>#VALUE!</v>
      </c>
      <c r="S223" s="44" t="e">
        <f t="shared" si="51"/>
        <v>#VALUE!</v>
      </c>
      <c r="T223" s="41" t="e">
        <f t="shared" si="55"/>
        <v>#VALUE!</v>
      </c>
      <c r="U223" s="41" t="e">
        <f t="shared" si="56"/>
        <v>#VALUE!</v>
      </c>
      <c r="V223" s="41" t="e">
        <f t="shared" si="57"/>
        <v>#VALUE!</v>
      </c>
    </row>
    <row r="224" spans="2:22" x14ac:dyDescent="0.25">
      <c r="B224" s="41" t="b">
        <f t="shared" si="58"/>
        <v>0</v>
      </c>
      <c r="C224" s="41" t="e">
        <f t="shared" si="59"/>
        <v>#VALUE!</v>
      </c>
      <c r="E224" s="45">
        <v>221</v>
      </c>
      <c r="G224" s="138"/>
      <c r="H224" s="135">
        <v>1</v>
      </c>
      <c r="I224" s="46" t="e">
        <f t="shared" si="46"/>
        <v>#VALUE!</v>
      </c>
      <c r="J224" s="41" t="e">
        <f t="shared" si="52"/>
        <v>#VALUE!</v>
      </c>
      <c r="K224" s="41" t="e">
        <f t="shared" si="53"/>
        <v>#VALUE!</v>
      </c>
      <c r="L224" s="41" t="e">
        <f t="shared" si="53"/>
        <v>#VALUE!</v>
      </c>
      <c r="M224" s="41" t="e">
        <f t="shared" si="47"/>
        <v>#VALUE!</v>
      </c>
      <c r="N224" s="41" t="e">
        <f t="shared" si="48"/>
        <v>#VALUE!</v>
      </c>
      <c r="O224" s="41">
        <f t="shared" si="49"/>
        <v>0</v>
      </c>
      <c r="Q224" s="44" t="e">
        <f t="shared" si="50"/>
        <v>#VALUE!</v>
      </c>
      <c r="R224" s="44" t="e">
        <f t="shared" si="54"/>
        <v>#VALUE!</v>
      </c>
      <c r="S224" s="44" t="e">
        <f t="shared" si="51"/>
        <v>#VALUE!</v>
      </c>
      <c r="T224" s="41" t="e">
        <f t="shared" si="55"/>
        <v>#VALUE!</v>
      </c>
      <c r="U224" s="41" t="e">
        <f t="shared" si="56"/>
        <v>#VALUE!</v>
      </c>
      <c r="V224" s="41" t="e">
        <f t="shared" si="57"/>
        <v>#VALUE!</v>
      </c>
    </row>
    <row r="225" spans="2:22" x14ac:dyDescent="0.25">
      <c r="B225" s="41" t="b">
        <f t="shared" si="58"/>
        <v>0</v>
      </c>
      <c r="C225" s="41" t="e">
        <f t="shared" si="59"/>
        <v>#VALUE!</v>
      </c>
      <c r="E225" s="45">
        <v>222</v>
      </c>
      <c r="G225" s="138"/>
      <c r="H225" s="135">
        <v>1</v>
      </c>
      <c r="I225" s="46" t="e">
        <f t="shared" si="46"/>
        <v>#VALUE!</v>
      </c>
      <c r="J225" s="41" t="e">
        <f t="shared" si="52"/>
        <v>#VALUE!</v>
      </c>
      <c r="K225" s="41" t="e">
        <f t="shared" si="53"/>
        <v>#VALUE!</v>
      </c>
      <c r="L225" s="41" t="e">
        <f t="shared" si="53"/>
        <v>#VALUE!</v>
      </c>
      <c r="M225" s="41" t="e">
        <f t="shared" si="47"/>
        <v>#VALUE!</v>
      </c>
      <c r="N225" s="41" t="e">
        <f t="shared" si="48"/>
        <v>#VALUE!</v>
      </c>
      <c r="O225" s="41">
        <f t="shared" si="49"/>
        <v>0</v>
      </c>
      <c r="Q225" s="44" t="e">
        <f t="shared" si="50"/>
        <v>#VALUE!</v>
      </c>
      <c r="R225" s="44" t="e">
        <f t="shared" si="54"/>
        <v>#VALUE!</v>
      </c>
      <c r="S225" s="44" t="e">
        <f t="shared" si="51"/>
        <v>#VALUE!</v>
      </c>
      <c r="T225" s="41" t="e">
        <f t="shared" si="55"/>
        <v>#VALUE!</v>
      </c>
      <c r="U225" s="41" t="e">
        <f t="shared" si="56"/>
        <v>#VALUE!</v>
      </c>
      <c r="V225" s="41" t="e">
        <f t="shared" si="57"/>
        <v>#VALUE!</v>
      </c>
    </row>
    <row r="226" spans="2:22" x14ac:dyDescent="0.25">
      <c r="B226" s="41" t="b">
        <f t="shared" si="58"/>
        <v>0</v>
      </c>
      <c r="C226" s="41" t="e">
        <f t="shared" si="59"/>
        <v>#VALUE!</v>
      </c>
      <c r="E226" s="45">
        <v>223</v>
      </c>
      <c r="G226" s="138"/>
      <c r="H226" s="135">
        <v>1</v>
      </c>
      <c r="I226" s="46" t="e">
        <f t="shared" si="46"/>
        <v>#VALUE!</v>
      </c>
      <c r="J226" s="41" t="e">
        <f t="shared" si="52"/>
        <v>#VALUE!</v>
      </c>
      <c r="K226" s="41" t="e">
        <f t="shared" si="53"/>
        <v>#VALUE!</v>
      </c>
      <c r="L226" s="41" t="e">
        <f t="shared" si="53"/>
        <v>#VALUE!</v>
      </c>
      <c r="M226" s="41" t="e">
        <f t="shared" si="47"/>
        <v>#VALUE!</v>
      </c>
      <c r="N226" s="41" t="e">
        <f t="shared" si="48"/>
        <v>#VALUE!</v>
      </c>
      <c r="O226" s="41">
        <f t="shared" si="49"/>
        <v>0</v>
      </c>
      <c r="Q226" s="44" t="e">
        <f t="shared" si="50"/>
        <v>#VALUE!</v>
      </c>
      <c r="R226" s="44" t="e">
        <f t="shared" si="54"/>
        <v>#VALUE!</v>
      </c>
      <c r="S226" s="44" t="e">
        <f t="shared" si="51"/>
        <v>#VALUE!</v>
      </c>
      <c r="T226" s="41" t="e">
        <f t="shared" si="55"/>
        <v>#VALUE!</v>
      </c>
      <c r="U226" s="41" t="e">
        <f t="shared" si="56"/>
        <v>#VALUE!</v>
      </c>
      <c r="V226" s="41" t="e">
        <f t="shared" si="57"/>
        <v>#VALUE!</v>
      </c>
    </row>
    <row r="227" spans="2:22" x14ac:dyDescent="0.25">
      <c r="B227" s="41" t="b">
        <f t="shared" si="58"/>
        <v>0</v>
      </c>
      <c r="C227" s="41" t="e">
        <f t="shared" si="59"/>
        <v>#VALUE!</v>
      </c>
      <c r="E227" s="45">
        <v>224</v>
      </c>
      <c r="G227" s="138"/>
      <c r="H227" s="135">
        <v>1</v>
      </c>
      <c r="I227" s="46" t="e">
        <f t="shared" si="46"/>
        <v>#VALUE!</v>
      </c>
      <c r="J227" s="41" t="e">
        <f t="shared" si="52"/>
        <v>#VALUE!</v>
      </c>
      <c r="K227" s="41" t="e">
        <f t="shared" si="53"/>
        <v>#VALUE!</v>
      </c>
      <c r="L227" s="41" t="e">
        <f t="shared" si="53"/>
        <v>#VALUE!</v>
      </c>
      <c r="M227" s="41" t="e">
        <f t="shared" si="47"/>
        <v>#VALUE!</v>
      </c>
      <c r="N227" s="41" t="e">
        <f t="shared" si="48"/>
        <v>#VALUE!</v>
      </c>
      <c r="O227" s="41">
        <f t="shared" si="49"/>
        <v>0</v>
      </c>
      <c r="Q227" s="44" t="e">
        <f t="shared" si="50"/>
        <v>#VALUE!</v>
      </c>
      <c r="R227" s="44" t="e">
        <f t="shared" si="54"/>
        <v>#VALUE!</v>
      </c>
      <c r="S227" s="44" t="e">
        <f t="shared" si="51"/>
        <v>#VALUE!</v>
      </c>
      <c r="T227" s="41" t="e">
        <f t="shared" si="55"/>
        <v>#VALUE!</v>
      </c>
      <c r="U227" s="41" t="e">
        <f t="shared" si="56"/>
        <v>#VALUE!</v>
      </c>
      <c r="V227" s="41" t="e">
        <f t="shared" si="57"/>
        <v>#VALUE!</v>
      </c>
    </row>
    <row r="228" spans="2:22" x14ac:dyDescent="0.25">
      <c r="B228" s="41" t="b">
        <f t="shared" si="58"/>
        <v>0</v>
      </c>
      <c r="C228" s="41" t="e">
        <f t="shared" si="59"/>
        <v>#VALUE!</v>
      </c>
      <c r="E228" s="45">
        <v>225</v>
      </c>
      <c r="G228" s="138"/>
      <c r="H228" s="135">
        <v>1</v>
      </c>
      <c r="I228" s="46" t="e">
        <f t="shared" si="46"/>
        <v>#VALUE!</v>
      </c>
      <c r="J228" s="41" t="e">
        <f t="shared" si="52"/>
        <v>#VALUE!</v>
      </c>
      <c r="K228" s="41" t="e">
        <f t="shared" si="53"/>
        <v>#VALUE!</v>
      </c>
      <c r="L228" s="41" t="e">
        <f t="shared" si="53"/>
        <v>#VALUE!</v>
      </c>
      <c r="M228" s="41" t="e">
        <f t="shared" si="47"/>
        <v>#VALUE!</v>
      </c>
      <c r="N228" s="41" t="e">
        <f t="shared" si="48"/>
        <v>#VALUE!</v>
      </c>
      <c r="O228" s="41">
        <f t="shared" si="49"/>
        <v>0</v>
      </c>
      <c r="Q228" s="44" t="e">
        <f t="shared" si="50"/>
        <v>#VALUE!</v>
      </c>
      <c r="R228" s="44" t="e">
        <f t="shared" si="54"/>
        <v>#VALUE!</v>
      </c>
      <c r="S228" s="44" t="e">
        <f t="shared" si="51"/>
        <v>#VALUE!</v>
      </c>
      <c r="T228" s="41" t="e">
        <f t="shared" si="55"/>
        <v>#VALUE!</v>
      </c>
      <c r="U228" s="41" t="e">
        <f t="shared" si="56"/>
        <v>#VALUE!</v>
      </c>
      <c r="V228" s="41" t="e">
        <f t="shared" si="57"/>
        <v>#VALUE!</v>
      </c>
    </row>
    <row r="229" spans="2:22" x14ac:dyDescent="0.25">
      <c r="B229" s="41" t="b">
        <f t="shared" si="58"/>
        <v>0</v>
      </c>
      <c r="C229" s="41" t="e">
        <f t="shared" si="59"/>
        <v>#VALUE!</v>
      </c>
      <c r="E229" s="45">
        <v>226</v>
      </c>
      <c r="G229" s="138"/>
      <c r="H229" s="135">
        <v>1</v>
      </c>
      <c r="I229" s="46" t="e">
        <f t="shared" si="46"/>
        <v>#VALUE!</v>
      </c>
      <c r="J229" s="41" t="e">
        <f t="shared" si="52"/>
        <v>#VALUE!</v>
      </c>
      <c r="K229" s="41" t="e">
        <f t="shared" si="53"/>
        <v>#VALUE!</v>
      </c>
      <c r="L229" s="41" t="e">
        <f t="shared" si="53"/>
        <v>#VALUE!</v>
      </c>
      <c r="M229" s="41" t="e">
        <f t="shared" si="47"/>
        <v>#VALUE!</v>
      </c>
      <c r="N229" s="41" t="e">
        <f t="shared" si="48"/>
        <v>#VALUE!</v>
      </c>
      <c r="O229" s="41">
        <f t="shared" si="49"/>
        <v>0</v>
      </c>
      <c r="Q229" s="44" t="e">
        <f t="shared" si="50"/>
        <v>#VALUE!</v>
      </c>
      <c r="R229" s="44" t="e">
        <f t="shared" si="54"/>
        <v>#VALUE!</v>
      </c>
      <c r="S229" s="44" t="e">
        <f t="shared" si="51"/>
        <v>#VALUE!</v>
      </c>
      <c r="T229" s="41" t="e">
        <f t="shared" si="55"/>
        <v>#VALUE!</v>
      </c>
      <c r="U229" s="41" t="e">
        <f t="shared" si="56"/>
        <v>#VALUE!</v>
      </c>
      <c r="V229" s="41" t="e">
        <f t="shared" si="57"/>
        <v>#VALUE!</v>
      </c>
    </row>
    <row r="230" spans="2:22" x14ac:dyDescent="0.25">
      <c r="B230" s="41" t="b">
        <f t="shared" si="58"/>
        <v>0</v>
      </c>
      <c r="C230" s="41" t="e">
        <f t="shared" si="59"/>
        <v>#VALUE!</v>
      </c>
      <c r="E230" s="45">
        <v>227</v>
      </c>
      <c r="G230" s="138"/>
      <c r="H230" s="135">
        <v>1</v>
      </c>
      <c r="I230" s="46" t="e">
        <f t="shared" si="46"/>
        <v>#VALUE!</v>
      </c>
      <c r="J230" s="41" t="e">
        <f t="shared" si="52"/>
        <v>#VALUE!</v>
      </c>
      <c r="K230" s="41" t="e">
        <f t="shared" si="53"/>
        <v>#VALUE!</v>
      </c>
      <c r="L230" s="41" t="e">
        <f t="shared" si="53"/>
        <v>#VALUE!</v>
      </c>
      <c r="M230" s="41" t="e">
        <f t="shared" si="47"/>
        <v>#VALUE!</v>
      </c>
      <c r="N230" s="41" t="e">
        <f t="shared" si="48"/>
        <v>#VALUE!</v>
      </c>
      <c r="O230" s="41">
        <f t="shared" si="49"/>
        <v>0</v>
      </c>
      <c r="Q230" s="44" t="e">
        <f t="shared" si="50"/>
        <v>#VALUE!</v>
      </c>
      <c r="R230" s="44" t="e">
        <f t="shared" si="54"/>
        <v>#VALUE!</v>
      </c>
      <c r="S230" s="44" t="e">
        <f t="shared" si="51"/>
        <v>#VALUE!</v>
      </c>
      <c r="T230" s="41" t="e">
        <f t="shared" si="55"/>
        <v>#VALUE!</v>
      </c>
      <c r="U230" s="41" t="e">
        <f t="shared" si="56"/>
        <v>#VALUE!</v>
      </c>
      <c r="V230" s="41" t="e">
        <f t="shared" si="57"/>
        <v>#VALUE!</v>
      </c>
    </row>
    <row r="231" spans="2:22" x14ac:dyDescent="0.25">
      <c r="B231" s="41" t="b">
        <f t="shared" si="58"/>
        <v>0</v>
      </c>
      <c r="C231" s="41" t="e">
        <f t="shared" si="59"/>
        <v>#VALUE!</v>
      </c>
      <c r="E231" s="45">
        <v>228</v>
      </c>
      <c r="G231" s="138"/>
      <c r="H231" s="135">
        <v>1</v>
      </c>
      <c r="I231" s="46" t="e">
        <f t="shared" si="46"/>
        <v>#VALUE!</v>
      </c>
      <c r="J231" s="41" t="e">
        <f t="shared" si="52"/>
        <v>#VALUE!</v>
      </c>
      <c r="K231" s="41" t="e">
        <f t="shared" si="53"/>
        <v>#VALUE!</v>
      </c>
      <c r="L231" s="41" t="e">
        <f t="shared" si="53"/>
        <v>#VALUE!</v>
      </c>
      <c r="M231" s="41" t="e">
        <f t="shared" si="47"/>
        <v>#VALUE!</v>
      </c>
      <c r="N231" s="41" t="e">
        <f t="shared" si="48"/>
        <v>#VALUE!</v>
      </c>
      <c r="O231" s="41">
        <f t="shared" si="49"/>
        <v>0</v>
      </c>
      <c r="Q231" s="44" t="e">
        <f t="shared" si="50"/>
        <v>#VALUE!</v>
      </c>
      <c r="R231" s="44" t="e">
        <f t="shared" si="54"/>
        <v>#VALUE!</v>
      </c>
      <c r="S231" s="44" t="e">
        <f t="shared" si="51"/>
        <v>#VALUE!</v>
      </c>
      <c r="T231" s="41" t="e">
        <f t="shared" si="55"/>
        <v>#VALUE!</v>
      </c>
      <c r="U231" s="41" t="e">
        <f t="shared" si="56"/>
        <v>#VALUE!</v>
      </c>
      <c r="V231" s="41" t="e">
        <f t="shared" si="57"/>
        <v>#VALUE!</v>
      </c>
    </row>
    <row r="232" spans="2:22" x14ac:dyDescent="0.25">
      <c r="B232" s="41" t="b">
        <f t="shared" si="58"/>
        <v>0</v>
      </c>
      <c r="C232" s="41" t="e">
        <f t="shared" si="59"/>
        <v>#VALUE!</v>
      </c>
      <c r="E232" s="45">
        <v>229</v>
      </c>
      <c r="G232" s="138"/>
      <c r="H232" s="135">
        <v>1</v>
      </c>
      <c r="I232" s="46" t="e">
        <f t="shared" si="46"/>
        <v>#VALUE!</v>
      </c>
      <c r="J232" s="41" t="e">
        <f t="shared" si="52"/>
        <v>#VALUE!</v>
      </c>
      <c r="K232" s="41" t="e">
        <f t="shared" si="53"/>
        <v>#VALUE!</v>
      </c>
      <c r="L232" s="41" t="e">
        <f t="shared" si="53"/>
        <v>#VALUE!</v>
      </c>
      <c r="M232" s="41" t="e">
        <f t="shared" si="47"/>
        <v>#VALUE!</v>
      </c>
      <c r="N232" s="41" t="e">
        <f t="shared" si="48"/>
        <v>#VALUE!</v>
      </c>
      <c r="O232" s="41">
        <f t="shared" si="49"/>
        <v>0</v>
      </c>
      <c r="Q232" s="44" t="e">
        <f t="shared" si="50"/>
        <v>#VALUE!</v>
      </c>
      <c r="R232" s="44" t="e">
        <f t="shared" si="54"/>
        <v>#VALUE!</v>
      </c>
      <c r="S232" s="44" t="e">
        <f t="shared" si="51"/>
        <v>#VALUE!</v>
      </c>
      <c r="T232" s="41" t="e">
        <f t="shared" si="55"/>
        <v>#VALUE!</v>
      </c>
      <c r="U232" s="41" t="e">
        <f t="shared" si="56"/>
        <v>#VALUE!</v>
      </c>
      <c r="V232" s="41" t="e">
        <f t="shared" si="57"/>
        <v>#VALUE!</v>
      </c>
    </row>
    <row r="233" spans="2:22" x14ac:dyDescent="0.25">
      <c r="B233" s="41" t="b">
        <f t="shared" si="58"/>
        <v>0</v>
      </c>
      <c r="C233" s="41" t="e">
        <f t="shared" si="59"/>
        <v>#VALUE!</v>
      </c>
      <c r="E233" s="45">
        <v>230</v>
      </c>
      <c r="G233" s="138"/>
      <c r="H233" s="135">
        <v>1</v>
      </c>
      <c r="I233" s="46" t="e">
        <f t="shared" si="46"/>
        <v>#VALUE!</v>
      </c>
      <c r="J233" s="41" t="e">
        <f t="shared" si="52"/>
        <v>#VALUE!</v>
      </c>
      <c r="K233" s="41" t="e">
        <f t="shared" si="53"/>
        <v>#VALUE!</v>
      </c>
      <c r="L233" s="41" t="e">
        <f t="shared" si="53"/>
        <v>#VALUE!</v>
      </c>
      <c r="M233" s="41" t="e">
        <f t="shared" si="47"/>
        <v>#VALUE!</v>
      </c>
      <c r="N233" s="41" t="e">
        <f t="shared" si="48"/>
        <v>#VALUE!</v>
      </c>
      <c r="O233" s="41">
        <f t="shared" si="49"/>
        <v>0</v>
      </c>
      <c r="Q233" s="44" t="e">
        <f t="shared" si="50"/>
        <v>#VALUE!</v>
      </c>
      <c r="R233" s="44" t="e">
        <f t="shared" si="54"/>
        <v>#VALUE!</v>
      </c>
      <c r="S233" s="44" t="e">
        <f t="shared" si="51"/>
        <v>#VALUE!</v>
      </c>
      <c r="T233" s="41" t="e">
        <f t="shared" si="55"/>
        <v>#VALUE!</v>
      </c>
      <c r="U233" s="41" t="e">
        <f t="shared" si="56"/>
        <v>#VALUE!</v>
      </c>
      <c r="V233" s="41" t="e">
        <f t="shared" si="57"/>
        <v>#VALUE!</v>
      </c>
    </row>
    <row r="234" spans="2:22" x14ac:dyDescent="0.25">
      <c r="B234" s="41" t="b">
        <f t="shared" si="58"/>
        <v>0</v>
      </c>
      <c r="C234" s="41" t="e">
        <f t="shared" si="59"/>
        <v>#VALUE!</v>
      </c>
      <c r="E234" s="45">
        <v>231</v>
      </c>
      <c r="G234" s="138"/>
      <c r="H234" s="135">
        <v>1</v>
      </c>
      <c r="I234" s="46" t="e">
        <f t="shared" si="46"/>
        <v>#VALUE!</v>
      </c>
      <c r="J234" s="41" t="e">
        <f t="shared" si="52"/>
        <v>#VALUE!</v>
      </c>
      <c r="K234" s="41" t="e">
        <f t="shared" si="53"/>
        <v>#VALUE!</v>
      </c>
      <c r="L234" s="41" t="e">
        <f t="shared" si="53"/>
        <v>#VALUE!</v>
      </c>
      <c r="M234" s="41" t="e">
        <f t="shared" si="47"/>
        <v>#VALUE!</v>
      </c>
      <c r="N234" s="41" t="e">
        <f t="shared" si="48"/>
        <v>#VALUE!</v>
      </c>
      <c r="O234" s="41">
        <f t="shared" si="49"/>
        <v>0</v>
      </c>
      <c r="Q234" s="44" t="e">
        <f t="shared" si="50"/>
        <v>#VALUE!</v>
      </c>
      <c r="R234" s="44" t="e">
        <f t="shared" si="54"/>
        <v>#VALUE!</v>
      </c>
      <c r="S234" s="44" t="e">
        <f t="shared" si="51"/>
        <v>#VALUE!</v>
      </c>
      <c r="T234" s="41" t="e">
        <f t="shared" si="55"/>
        <v>#VALUE!</v>
      </c>
      <c r="U234" s="41" t="e">
        <f t="shared" si="56"/>
        <v>#VALUE!</v>
      </c>
      <c r="V234" s="41" t="e">
        <f t="shared" si="57"/>
        <v>#VALUE!</v>
      </c>
    </row>
    <row r="235" spans="2:22" x14ac:dyDescent="0.25">
      <c r="B235" s="41" t="b">
        <f t="shared" si="58"/>
        <v>0</v>
      </c>
      <c r="C235" s="41" t="e">
        <f t="shared" si="59"/>
        <v>#VALUE!</v>
      </c>
      <c r="E235" s="45">
        <v>232</v>
      </c>
      <c r="G235" s="138"/>
      <c r="H235" s="135">
        <v>1</v>
      </c>
      <c r="I235" s="46" t="e">
        <f t="shared" si="46"/>
        <v>#VALUE!</v>
      </c>
      <c r="J235" s="41" t="e">
        <f t="shared" si="52"/>
        <v>#VALUE!</v>
      </c>
      <c r="K235" s="41" t="e">
        <f t="shared" si="53"/>
        <v>#VALUE!</v>
      </c>
      <c r="L235" s="41" t="e">
        <f t="shared" si="53"/>
        <v>#VALUE!</v>
      </c>
      <c r="M235" s="41" t="e">
        <f t="shared" si="47"/>
        <v>#VALUE!</v>
      </c>
      <c r="N235" s="41" t="e">
        <f t="shared" si="48"/>
        <v>#VALUE!</v>
      </c>
      <c r="O235" s="41">
        <f t="shared" si="49"/>
        <v>0</v>
      </c>
      <c r="Q235" s="44" t="e">
        <f t="shared" si="50"/>
        <v>#VALUE!</v>
      </c>
      <c r="R235" s="44" t="e">
        <f t="shared" si="54"/>
        <v>#VALUE!</v>
      </c>
      <c r="S235" s="44" t="e">
        <f t="shared" si="51"/>
        <v>#VALUE!</v>
      </c>
      <c r="T235" s="41" t="e">
        <f t="shared" si="55"/>
        <v>#VALUE!</v>
      </c>
      <c r="U235" s="41" t="e">
        <f t="shared" si="56"/>
        <v>#VALUE!</v>
      </c>
      <c r="V235" s="41" t="e">
        <f t="shared" si="57"/>
        <v>#VALUE!</v>
      </c>
    </row>
    <row r="236" spans="2:22" x14ac:dyDescent="0.25">
      <c r="B236" s="41" t="b">
        <f t="shared" si="58"/>
        <v>0</v>
      </c>
      <c r="C236" s="41" t="e">
        <f t="shared" si="59"/>
        <v>#VALUE!</v>
      </c>
      <c r="E236" s="45">
        <v>233</v>
      </c>
      <c r="G236" s="138"/>
      <c r="H236" s="135">
        <v>1</v>
      </c>
      <c r="I236" s="46" t="e">
        <f t="shared" si="46"/>
        <v>#VALUE!</v>
      </c>
      <c r="J236" s="41" t="e">
        <f t="shared" si="52"/>
        <v>#VALUE!</v>
      </c>
      <c r="K236" s="41" t="e">
        <f t="shared" si="53"/>
        <v>#VALUE!</v>
      </c>
      <c r="L236" s="41" t="e">
        <f t="shared" si="53"/>
        <v>#VALUE!</v>
      </c>
      <c r="M236" s="41" t="e">
        <f t="shared" si="47"/>
        <v>#VALUE!</v>
      </c>
      <c r="N236" s="41" t="e">
        <f t="shared" si="48"/>
        <v>#VALUE!</v>
      </c>
      <c r="O236" s="41">
        <f t="shared" si="49"/>
        <v>0</v>
      </c>
      <c r="Q236" s="44" t="e">
        <f t="shared" si="50"/>
        <v>#VALUE!</v>
      </c>
      <c r="R236" s="44" t="e">
        <f t="shared" si="54"/>
        <v>#VALUE!</v>
      </c>
      <c r="S236" s="44" t="e">
        <f t="shared" si="51"/>
        <v>#VALUE!</v>
      </c>
      <c r="T236" s="41" t="e">
        <f t="shared" si="55"/>
        <v>#VALUE!</v>
      </c>
      <c r="U236" s="41" t="e">
        <f t="shared" si="56"/>
        <v>#VALUE!</v>
      </c>
      <c r="V236" s="41" t="e">
        <f t="shared" si="57"/>
        <v>#VALUE!</v>
      </c>
    </row>
    <row r="237" spans="2:22" x14ac:dyDescent="0.25">
      <c r="B237" s="41" t="b">
        <f t="shared" si="58"/>
        <v>0</v>
      </c>
      <c r="C237" s="41" t="e">
        <f t="shared" si="59"/>
        <v>#VALUE!</v>
      </c>
      <c r="E237" s="45">
        <v>234</v>
      </c>
      <c r="G237" s="138"/>
      <c r="H237" s="135">
        <v>1</v>
      </c>
      <c r="I237" s="46" t="e">
        <f t="shared" si="46"/>
        <v>#VALUE!</v>
      </c>
      <c r="J237" s="41" t="e">
        <f t="shared" si="52"/>
        <v>#VALUE!</v>
      </c>
      <c r="K237" s="41" t="e">
        <f t="shared" si="53"/>
        <v>#VALUE!</v>
      </c>
      <c r="L237" s="41" t="e">
        <f t="shared" si="53"/>
        <v>#VALUE!</v>
      </c>
      <c r="M237" s="41" t="e">
        <f t="shared" si="47"/>
        <v>#VALUE!</v>
      </c>
      <c r="N237" s="41" t="e">
        <f t="shared" si="48"/>
        <v>#VALUE!</v>
      </c>
      <c r="O237" s="41">
        <f t="shared" si="49"/>
        <v>0</v>
      </c>
      <c r="Q237" s="44" t="e">
        <f t="shared" si="50"/>
        <v>#VALUE!</v>
      </c>
      <c r="R237" s="44" t="e">
        <f t="shared" si="54"/>
        <v>#VALUE!</v>
      </c>
      <c r="S237" s="44" t="e">
        <f t="shared" si="51"/>
        <v>#VALUE!</v>
      </c>
      <c r="T237" s="41" t="e">
        <f t="shared" si="55"/>
        <v>#VALUE!</v>
      </c>
      <c r="U237" s="41" t="e">
        <f t="shared" si="56"/>
        <v>#VALUE!</v>
      </c>
      <c r="V237" s="41" t="e">
        <f t="shared" si="57"/>
        <v>#VALUE!</v>
      </c>
    </row>
    <row r="238" spans="2:22" x14ac:dyDescent="0.25">
      <c r="B238" s="41" t="b">
        <f t="shared" si="58"/>
        <v>0</v>
      </c>
      <c r="C238" s="41" t="e">
        <f t="shared" si="59"/>
        <v>#VALUE!</v>
      </c>
      <c r="E238" s="45">
        <v>235</v>
      </c>
      <c r="G238" s="138"/>
      <c r="H238" s="135">
        <v>1</v>
      </c>
      <c r="I238" s="46" t="e">
        <f t="shared" si="46"/>
        <v>#VALUE!</v>
      </c>
      <c r="J238" s="41" t="e">
        <f t="shared" si="52"/>
        <v>#VALUE!</v>
      </c>
      <c r="K238" s="41" t="e">
        <f t="shared" si="53"/>
        <v>#VALUE!</v>
      </c>
      <c r="L238" s="41" t="e">
        <f t="shared" si="53"/>
        <v>#VALUE!</v>
      </c>
      <c r="M238" s="41" t="e">
        <f t="shared" si="47"/>
        <v>#VALUE!</v>
      </c>
      <c r="N238" s="41" t="e">
        <f t="shared" si="48"/>
        <v>#VALUE!</v>
      </c>
      <c r="O238" s="41">
        <f t="shared" si="49"/>
        <v>0</v>
      </c>
      <c r="Q238" s="44" t="e">
        <f t="shared" si="50"/>
        <v>#VALUE!</v>
      </c>
      <c r="R238" s="44" t="e">
        <f t="shared" si="54"/>
        <v>#VALUE!</v>
      </c>
      <c r="S238" s="44" t="e">
        <f t="shared" si="51"/>
        <v>#VALUE!</v>
      </c>
      <c r="T238" s="41" t="e">
        <f t="shared" si="55"/>
        <v>#VALUE!</v>
      </c>
      <c r="U238" s="41" t="e">
        <f t="shared" si="56"/>
        <v>#VALUE!</v>
      </c>
      <c r="V238" s="41" t="e">
        <f t="shared" si="57"/>
        <v>#VALUE!</v>
      </c>
    </row>
    <row r="239" spans="2:22" x14ac:dyDescent="0.25">
      <c r="B239" s="41" t="b">
        <f t="shared" si="58"/>
        <v>0</v>
      </c>
      <c r="C239" s="41" t="e">
        <f t="shared" si="59"/>
        <v>#VALUE!</v>
      </c>
      <c r="E239" s="45">
        <v>236</v>
      </c>
      <c r="G239" s="138"/>
      <c r="H239" s="135">
        <v>1</v>
      </c>
      <c r="I239" s="46" t="e">
        <f t="shared" si="46"/>
        <v>#VALUE!</v>
      </c>
      <c r="J239" s="41" t="e">
        <f t="shared" si="52"/>
        <v>#VALUE!</v>
      </c>
      <c r="K239" s="41" t="e">
        <f t="shared" si="53"/>
        <v>#VALUE!</v>
      </c>
      <c r="L239" s="41" t="e">
        <f t="shared" si="53"/>
        <v>#VALUE!</v>
      </c>
      <c r="M239" s="41" t="e">
        <f t="shared" si="47"/>
        <v>#VALUE!</v>
      </c>
      <c r="N239" s="41" t="e">
        <f t="shared" si="48"/>
        <v>#VALUE!</v>
      </c>
      <c r="O239" s="41">
        <f t="shared" si="49"/>
        <v>0</v>
      </c>
      <c r="Q239" s="44" t="e">
        <f t="shared" si="50"/>
        <v>#VALUE!</v>
      </c>
      <c r="R239" s="44" t="e">
        <f t="shared" si="54"/>
        <v>#VALUE!</v>
      </c>
      <c r="S239" s="44" t="e">
        <f t="shared" si="51"/>
        <v>#VALUE!</v>
      </c>
      <c r="T239" s="41" t="e">
        <f t="shared" si="55"/>
        <v>#VALUE!</v>
      </c>
      <c r="U239" s="41" t="e">
        <f t="shared" si="56"/>
        <v>#VALUE!</v>
      </c>
      <c r="V239" s="41" t="e">
        <f t="shared" si="57"/>
        <v>#VALUE!</v>
      </c>
    </row>
    <row r="240" spans="2:22" x14ac:dyDescent="0.25">
      <c r="B240" s="41" t="b">
        <f t="shared" si="58"/>
        <v>0</v>
      </c>
      <c r="C240" s="41" t="e">
        <f t="shared" si="59"/>
        <v>#VALUE!</v>
      </c>
      <c r="E240" s="45">
        <v>237</v>
      </c>
      <c r="G240" s="138"/>
      <c r="H240" s="135">
        <v>1</v>
      </c>
      <c r="I240" s="46" t="e">
        <f t="shared" si="46"/>
        <v>#VALUE!</v>
      </c>
      <c r="J240" s="41" t="e">
        <f t="shared" si="52"/>
        <v>#VALUE!</v>
      </c>
      <c r="K240" s="41" t="e">
        <f t="shared" si="53"/>
        <v>#VALUE!</v>
      </c>
      <c r="L240" s="41" t="e">
        <f t="shared" si="53"/>
        <v>#VALUE!</v>
      </c>
      <c r="M240" s="41" t="e">
        <f t="shared" si="47"/>
        <v>#VALUE!</v>
      </c>
      <c r="N240" s="41" t="e">
        <f t="shared" si="48"/>
        <v>#VALUE!</v>
      </c>
      <c r="O240" s="41">
        <f t="shared" si="49"/>
        <v>0</v>
      </c>
      <c r="Q240" s="44" t="e">
        <f t="shared" si="50"/>
        <v>#VALUE!</v>
      </c>
      <c r="R240" s="44" t="e">
        <f t="shared" si="54"/>
        <v>#VALUE!</v>
      </c>
      <c r="S240" s="44" t="e">
        <f t="shared" si="51"/>
        <v>#VALUE!</v>
      </c>
      <c r="T240" s="41" t="e">
        <f t="shared" si="55"/>
        <v>#VALUE!</v>
      </c>
      <c r="U240" s="41" t="e">
        <f t="shared" si="56"/>
        <v>#VALUE!</v>
      </c>
      <c r="V240" s="41" t="e">
        <f t="shared" si="57"/>
        <v>#VALUE!</v>
      </c>
    </row>
    <row r="241" spans="2:22" x14ac:dyDescent="0.25">
      <c r="B241" s="41" t="b">
        <f t="shared" si="58"/>
        <v>0</v>
      </c>
      <c r="C241" s="41" t="e">
        <f t="shared" si="59"/>
        <v>#VALUE!</v>
      </c>
      <c r="E241" s="45">
        <v>238</v>
      </c>
      <c r="G241" s="138"/>
      <c r="H241" s="135">
        <v>1</v>
      </c>
      <c r="I241" s="46" t="e">
        <f t="shared" si="46"/>
        <v>#VALUE!</v>
      </c>
      <c r="J241" s="41" t="e">
        <f t="shared" si="52"/>
        <v>#VALUE!</v>
      </c>
      <c r="K241" s="41" t="e">
        <f t="shared" si="53"/>
        <v>#VALUE!</v>
      </c>
      <c r="L241" s="41" t="e">
        <f t="shared" si="53"/>
        <v>#VALUE!</v>
      </c>
      <c r="M241" s="41" t="e">
        <f t="shared" si="47"/>
        <v>#VALUE!</v>
      </c>
      <c r="N241" s="41" t="e">
        <f t="shared" si="48"/>
        <v>#VALUE!</v>
      </c>
      <c r="O241" s="41">
        <f t="shared" si="49"/>
        <v>0</v>
      </c>
      <c r="Q241" s="44" t="e">
        <f t="shared" si="50"/>
        <v>#VALUE!</v>
      </c>
      <c r="R241" s="44" t="e">
        <f t="shared" si="54"/>
        <v>#VALUE!</v>
      </c>
      <c r="S241" s="44" t="e">
        <f t="shared" si="51"/>
        <v>#VALUE!</v>
      </c>
      <c r="T241" s="41" t="e">
        <f t="shared" si="55"/>
        <v>#VALUE!</v>
      </c>
      <c r="U241" s="41" t="e">
        <f t="shared" si="56"/>
        <v>#VALUE!</v>
      </c>
      <c r="V241" s="41" t="e">
        <f t="shared" si="57"/>
        <v>#VALUE!</v>
      </c>
    </row>
    <row r="242" spans="2:22" x14ac:dyDescent="0.25">
      <c r="B242" s="41" t="b">
        <f t="shared" si="58"/>
        <v>0</v>
      </c>
      <c r="C242" s="41" t="e">
        <f t="shared" si="59"/>
        <v>#VALUE!</v>
      </c>
      <c r="E242" s="45">
        <v>239</v>
      </c>
      <c r="G242" s="138"/>
      <c r="H242" s="135">
        <v>1</v>
      </c>
      <c r="I242" s="46" t="e">
        <f t="shared" si="46"/>
        <v>#VALUE!</v>
      </c>
      <c r="J242" s="41" t="e">
        <f t="shared" si="52"/>
        <v>#VALUE!</v>
      </c>
      <c r="K242" s="41" t="e">
        <f t="shared" si="53"/>
        <v>#VALUE!</v>
      </c>
      <c r="L242" s="41" t="e">
        <f t="shared" si="53"/>
        <v>#VALUE!</v>
      </c>
      <c r="M242" s="41" t="e">
        <f t="shared" si="47"/>
        <v>#VALUE!</v>
      </c>
      <c r="N242" s="41" t="e">
        <f t="shared" si="48"/>
        <v>#VALUE!</v>
      </c>
      <c r="O242" s="41">
        <f t="shared" si="49"/>
        <v>0</v>
      </c>
      <c r="Q242" s="44" t="e">
        <f t="shared" si="50"/>
        <v>#VALUE!</v>
      </c>
      <c r="R242" s="44" t="e">
        <f t="shared" si="54"/>
        <v>#VALUE!</v>
      </c>
      <c r="S242" s="44" t="e">
        <f t="shared" si="51"/>
        <v>#VALUE!</v>
      </c>
      <c r="T242" s="41" t="e">
        <f t="shared" si="55"/>
        <v>#VALUE!</v>
      </c>
      <c r="U242" s="41" t="e">
        <f t="shared" si="56"/>
        <v>#VALUE!</v>
      </c>
      <c r="V242" s="41" t="e">
        <f t="shared" si="57"/>
        <v>#VALUE!</v>
      </c>
    </row>
    <row r="243" spans="2:22" x14ac:dyDescent="0.25">
      <c r="B243" s="41" t="b">
        <f t="shared" si="58"/>
        <v>0</v>
      </c>
      <c r="C243" s="41" t="e">
        <f t="shared" si="59"/>
        <v>#VALUE!</v>
      </c>
      <c r="E243" s="45">
        <v>240</v>
      </c>
      <c r="G243" s="138"/>
      <c r="H243" s="135">
        <v>1</v>
      </c>
      <c r="I243" s="46" t="e">
        <f t="shared" si="46"/>
        <v>#VALUE!</v>
      </c>
      <c r="J243" s="41" t="e">
        <f t="shared" si="52"/>
        <v>#VALUE!</v>
      </c>
      <c r="K243" s="41" t="e">
        <f t="shared" si="53"/>
        <v>#VALUE!</v>
      </c>
      <c r="L243" s="41" t="e">
        <f t="shared" si="53"/>
        <v>#VALUE!</v>
      </c>
      <c r="M243" s="41" t="e">
        <f t="shared" si="47"/>
        <v>#VALUE!</v>
      </c>
      <c r="N243" s="41" t="e">
        <f t="shared" si="48"/>
        <v>#VALUE!</v>
      </c>
      <c r="O243" s="41">
        <f t="shared" si="49"/>
        <v>0</v>
      </c>
      <c r="Q243" s="44" t="e">
        <f t="shared" si="50"/>
        <v>#VALUE!</v>
      </c>
      <c r="R243" s="44" t="e">
        <f t="shared" si="54"/>
        <v>#VALUE!</v>
      </c>
      <c r="S243" s="44" t="e">
        <f t="shared" si="51"/>
        <v>#VALUE!</v>
      </c>
      <c r="T243" s="41" t="e">
        <f t="shared" si="55"/>
        <v>#VALUE!</v>
      </c>
      <c r="U243" s="41" t="e">
        <f t="shared" si="56"/>
        <v>#VALUE!</v>
      </c>
      <c r="V243" s="41" t="e">
        <f t="shared" si="57"/>
        <v>#VALUE!</v>
      </c>
    </row>
    <row r="244" spans="2:22" x14ac:dyDescent="0.25">
      <c r="B244" s="41" t="b">
        <f t="shared" si="58"/>
        <v>0</v>
      </c>
      <c r="C244" s="41" t="e">
        <f t="shared" si="59"/>
        <v>#VALUE!</v>
      </c>
      <c r="E244" s="45">
        <v>241</v>
      </c>
      <c r="G244" s="138"/>
      <c r="H244" s="135">
        <v>1</v>
      </c>
      <c r="I244" s="46" t="e">
        <f t="shared" si="46"/>
        <v>#VALUE!</v>
      </c>
      <c r="J244" s="41" t="e">
        <f t="shared" si="52"/>
        <v>#VALUE!</v>
      </c>
      <c r="K244" s="41" t="e">
        <f t="shared" si="53"/>
        <v>#VALUE!</v>
      </c>
      <c r="L244" s="41" t="e">
        <f t="shared" si="53"/>
        <v>#VALUE!</v>
      </c>
      <c r="M244" s="41" t="e">
        <f t="shared" si="47"/>
        <v>#VALUE!</v>
      </c>
      <c r="N244" s="41" t="e">
        <f t="shared" si="48"/>
        <v>#VALUE!</v>
      </c>
      <c r="O244" s="41">
        <f t="shared" si="49"/>
        <v>0</v>
      </c>
      <c r="Q244" s="44" t="e">
        <f t="shared" si="50"/>
        <v>#VALUE!</v>
      </c>
      <c r="R244" s="44" t="e">
        <f t="shared" si="54"/>
        <v>#VALUE!</v>
      </c>
      <c r="S244" s="44" t="e">
        <f t="shared" si="51"/>
        <v>#VALUE!</v>
      </c>
      <c r="T244" s="41" t="e">
        <f t="shared" si="55"/>
        <v>#VALUE!</v>
      </c>
      <c r="U244" s="41" t="e">
        <f t="shared" si="56"/>
        <v>#VALUE!</v>
      </c>
      <c r="V244" s="41" t="e">
        <f t="shared" si="57"/>
        <v>#VALUE!</v>
      </c>
    </row>
    <row r="245" spans="2:22" x14ac:dyDescent="0.25">
      <c r="B245" s="41" t="b">
        <f t="shared" si="58"/>
        <v>0</v>
      </c>
      <c r="C245" s="41" t="e">
        <f t="shared" si="59"/>
        <v>#VALUE!</v>
      </c>
      <c r="E245" s="45">
        <v>242</v>
      </c>
      <c r="G245" s="138"/>
      <c r="H245" s="135">
        <v>1</v>
      </c>
      <c r="I245" s="46" t="e">
        <f t="shared" si="46"/>
        <v>#VALUE!</v>
      </c>
      <c r="J245" s="41" t="e">
        <f t="shared" si="52"/>
        <v>#VALUE!</v>
      </c>
      <c r="K245" s="41" t="e">
        <f t="shared" si="53"/>
        <v>#VALUE!</v>
      </c>
      <c r="L245" s="41" t="e">
        <f t="shared" si="53"/>
        <v>#VALUE!</v>
      </c>
      <c r="M245" s="41" t="e">
        <f t="shared" si="47"/>
        <v>#VALUE!</v>
      </c>
      <c r="N245" s="41" t="e">
        <f t="shared" si="48"/>
        <v>#VALUE!</v>
      </c>
      <c r="O245" s="41">
        <f t="shared" si="49"/>
        <v>0</v>
      </c>
      <c r="Q245" s="44" t="e">
        <f t="shared" si="50"/>
        <v>#VALUE!</v>
      </c>
      <c r="R245" s="44" t="e">
        <f t="shared" si="54"/>
        <v>#VALUE!</v>
      </c>
      <c r="S245" s="44" t="e">
        <f t="shared" si="51"/>
        <v>#VALUE!</v>
      </c>
      <c r="T245" s="41" t="e">
        <f t="shared" si="55"/>
        <v>#VALUE!</v>
      </c>
      <c r="U245" s="41" t="e">
        <f t="shared" si="56"/>
        <v>#VALUE!</v>
      </c>
      <c r="V245" s="41" t="e">
        <f t="shared" si="57"/>
        <v>#VALUE!</v>
      </c>
    </row>
    <row r="246" spans="2:22" x14ac:dyDescent="0.25">
      <c r="B246" s="41" t="b">
        <f t="shared" si="58"/>
        <v>0</v>
      </c>
      <c r="C246" s="41" t="e">
        <f t="shared" ref="C246:C309" si="60">SUM(T246:V246)</f>
        <v>#VALUE!</v>
      </c>
      <c r="E246" s="45">
        <v>243</v>
      </c>
      <c r="G246" s="138"/>
      <c r="H246" s="135">
        <v>1</v>
      </c>
      <c r="I246" s="46" t="e">
        <f t="shared" si="46"/>
        <v>#VALUE!</v>
      </c>
      <c r="J246" s="41" t="e">
        <f t="shared" si="52"/>
        <v>#VALUE!</v>
      </c>
      <c r="K246" s="41" t="e">
        <f t="shared" si="53"/>
        <v>#VALUE!</v>
      </c>
      <c r="L246" s="41" t="e">
        <f t="shared" si="53"/>
        <v>#VALUE!</v>
      </c>
      <c r="M246" s="41" t="e">
        <f t="shared" si="47"/>
        <v>#VALUE!</v>
      </c>
      <c r="N246" s="41" t="e">
        <f t="shared" si="48"/>
        <v>#VALUE!</v>
      </c>
      <c r="O246" s="41">
        <f t="shared" si="49"/>
        <v>0</v>
      </c>
      <c r="Q246" s="44" t="e">
        <f t="shared" si="50"/>
        <v>#VALUE!</v>
      </c>
      <c r="R246" s="44" t="e">
        <f t="shared" si="54"/>
        <v>#VALUE!</v>
      </c>
      <c r="S246" s="44" t="e">
        <f t="shared" si="51"/>
        <v>#VALUE!</v>
      </c>
      <c r="T246" s="41" t="e">
        <f t="shared" si="55"/>
        <v>#VALUE!</v>
      </c>
      <c r="U246" s="41" t="e">
        <f t="shared" si="56"/>
        <v>#VALUE!</v>
      </c>
      <c r="V246" s="41" t="e">
        <f t="shared" si="57"/>
        <v>#VALUE!</v>
      </c>
    </row>
    <row r="247" spans="2:22" x14ac:dyDescent="0.25">
      <c r="B247" s="41" t="b">
        <f t="shared" si="58"/>
        <v>0</v>
      </c>
      <c r="C247" s="41" t="e">
        <f t="shared" si="60"/>
        <v>#VALUE!</v>
      </c>
      <c r="E247" s="45">
        <v>244</v>
      </c>
      <c r="G247" s="138"/>
      <c r="H247" s="135">
        <v>1</v>
      </c>
      <c r="I247" s="46" t="e">
        <f t="shared" si="46"/>
        <v>#VALUE!</v>
      </c>
      <c r="J247" s="41" t="e">
        <f t="shared" si="52"/>
        <v>#VALUE!</v>
      </c>
      <c r="K247" s="41" t="e">
        <f t="shared" si="53"/>
        <v>#VALUE!</v>
      </c>
      <c r="L247" s="41" t="e">
        <f t="shared" si="53"/>
        <v>#VALUE!</v>
      </c>
      <c r="M247" s="41" t="e">
        <f t="shared" si="47"/>
        <v>#VALUE!</v>
      </c>
      <c r="N247" s="41" t="e">
        <f t="shared" si="48"/>
        <v>#VALUE!</v>
      </c>
      <c r="O247" s="41">
        <f t="shared" si="49"/>
        <v>0</v>
      </c>
      <c r="Q247" s="44" t="e">
        <f t="shared" si="50"/>
        <v>#VALUE!</v>
      </c>
      <c r="R247" s="44" t="e">
        <f t="shared" si="54"/>
        <v>#VALUE!</v>
      </c>
      <c r="S247" s="44" t="e">
        <f t="shared" si="51"/>
        <v>#VALUE!</v>
      </c>
      <c r="T247" s="41" t="e">
        <f t="shared" si="55"/>
        <v>#VALUE!</v>
      </c>
      <c r="U247" s="41" t="e">
        <f t="shared" si="56"/>
        <v>#VALUE!</v>
      </c>
      <c r="V247" s="41" t="e">
        <f t="shared" si="57"/>
        <v>#VALUE!</v>
      </c>
    </row>
    <row r="248" spans="2:22" x14ac:dyDescent="0.25">
      <c r="B248" s="41" t="b">
        <f t="shared" si="58"/>
        <v>0</v>
      </c>
      <c r="C248" s="41" t="e">
        <f t="shared" si="60"/>
        <v>#VALUE!</v>
      </c>
      <c r="E248" s="45">
        <v>245</v>
      </c>
      <c r="G248" s="138"/>
      <c r="H248" s="135">
        <v>1</v>
      </c>
      <c r="I248" s="46" t="e">
        <f t="shared" si="46"/>
        <v>#VALUE!</v>
      </c>
      <c r="J248" s="41" t="e">
        <f t="shared" si="52"/>
        <v>#VALUE!</v>
      </c>
      <c r="K248" s="41" t="e">
        <f t="shared" si="53"/>
        <v>#VALUE!</v>
      </c>
      <c r="L248" s="41" t="e">
        <f t="shared" si="53"/>
        <v>#VALUE!</v>
      </c>
      <c r="M248" s="41" t="e">
        <f t="shared" si="47"/>
        <v>#VALUE!</v>
      </c>
      <c r="N248" s="41" t="e">
        <f t="shared" si="48"/>
        <v>#VALUE!</v>
      </c>
      <c r="O248" s="41">
        <f t="shared" si="49"/>
        <v>0</v>
      </c>
      <c r="Q248" s="44" t="e">
        <f t="shared" si="50"/>
        <v>#VALUE!</v>
      </c>
      <c r="R248" s="44" t="e">
        <f t="shared" si="54"/>
        <v>#VALUE!</v>
      </c>
      <c r="S248" s="44" t="e">
        <f t="shared" si="51"/>
        <v>#VALUE!</v>
      </c>
      <c r="T248" s="41" t="e">
        <f t="shared" si="55"/>
        <v>#VALUE!</v>
      </c>
      <c r="U248" s="41" t="e">
        <f t="shared" si="56"/>
        <v>#VALUE!</v>
      </c>
      <c r="V248" s="41" t="e">
        <f t="shared" si="57"/>
        <v>#VALUE!</v>
      </c>
    </row>
    <row r="249" spans="2:22" x14ac:dyDescent="0.25">
      <c r="B249" s="41" t="b">
        <f t="shared" si="58"/>
        <v>0</v>
      </c>
      <c r="C249" s="41" t="e">
        <f t="shared" si="60"/>
        <v>#VALUE!</v>
      </c>
      <c r="E249" s="45">
        <v>246</v>
      </c>
      <c r="G249" s="138"/>
      <c r="H249" s="135">
        <v>1</v>
      </c>
      <c r="I249" s="46" t="e">
        <f t="shared" si="46"/>
        <v>#VALUE!</v>
      </c>
      <c r="J249" s="41" t="e">
        <f t="shared" si="52"/>
        <v>#VALUE!</v>
      </c>
      <c r="K249" s="41" t="e">
        <f t="shared" si="53"/>
        <v>#VALUE!</v>
      </c>
      <c r="L249" s="41" t="e">
        <f t="shared" si="53"/>
        <v>#VALUE!</v>
      </c>
      <c r="M249" s="41" t="e">
        <f t="shared" si="47"/>
        <v>#VALUE!</v>
      </c>
      <c r="N249" s="41" t="e">
        <f t="shared" si="48"/>
        <v>#VALUE!</v>
      </c>
      <c r="O249" s="41">
        <f t="shared" si="49"/>
        <v>0</v>
      </c>
      <c r="Q249" s="44" t="e">
        <f t="shared" si="50"/>
        <v>#VALUE!</v>
      </c>
      <c r="R249" s="44" t="e">
        <f t="shared" si="54"/>
        <v>#VALUE!</v>
      </c>
      <c r="S249" s="44" t="e">
        <f t="shared" si="51"/>
        <v>#VALUE!</v>
      </c>
      <c r="T249" s="41" t="e">
        <f t="shared" si="55"/>
        <v>#VALUE!</v>
      </c>
      <c r="U249" s="41" t="e">
        <f t="shared" si="56"/>
        <v>#VALUE!</v>
      </c>
      <c r="V249" s="41" t="e">
        <f t="shared" si="57"/>
        <v>#VALUE!</v>
      </c>
    </row>
    <row r="250" spans="2:22" x14ac:dyDescent="0.25">
      <c r="B250" s="41" t="b">
        <f t="shared" si="58"/>
        <v>0</v>
      </c>
      <c r="C250" s="41" t="e">
        <f t="shared" si="60"/>
        <v>#VALUE!</v>
      </c>
      <c r="E250" s="45">
        <v>247</v>
      </c>
      <c r="G250" s="138"/>
      <c r="H250" s="135">
        <v>1</v>
      </c>
      <c r="I250" s="46" t="e">
        <f t="shared" si="46"/>
        <v>#VALUE!</v>
      </c>
      <c r="J250" s="41" t="e">
        <f t="shared" si="52"/>
        <v>#VALUE!</v>
      </c>
      <c r="K250" s="41" t="e">
        <f t="shared" si="53"/>
        <v>#VALUE!</v>
      </c>
      <c r="L250" s="41" t="e">
        <f t="shared" si="53"/>
        <v>#VALUE!</v>
      </c>
      <c r="M250" s="41" t="e">
        <f t="shared" si="47"/>
        <v>#VALUE!</v>
      </c>
      <c r="N250" s="41" t="e">
        <f t="shared" si="48"/>
        <v>#VALUE!</v>
      </c>
      <c r="O250" s="41">
        <f t="shared" si="49"/>
        <v>0</v>
      </c>
      <c r="Q250" s="44" t="e">
        <f t="shared" si="50"/>
        <v>#VALUE!</v>
      </c>
      <c r="R250" s="44" t="e">
        <f t="shared" si="54"/>
        <v>#VALUE!</v>
      </c>
      <c r="S250" s="44" t="e">
        <f t="shared" si="51"/>
        <v>#VALUE!</v>
      </c>
      <c r="T250" s="41" t="e">
        <f t="shared" si="55"/>
        <v>#VALUE!</v>
      </c>
      <c r="U250" s="41" t="e">
        <f t="shared" si="56"/>
        <v>#VALUE!</v>
      </c>
      <c r="V250" s="41" t="e">
        <f t="shared" si="57"/>
        <v>#VALUE!</v>
      </c>
    </row>
    <row r="251" spans="2:22" x14ac:dyDescent="0.25">
      <c r="B251" s="41" t="b">
        <f t="shared" si="58"/>
        <v>0</v>
      </c>
      <c r="C251" s="41" t="e">
        <f t="shared" si="60"/>
        <v>#VALUE!</v>
      </c>
      <c r="E251" s="45">
        <v>248</v>
      </c>
      <c r="G251" s="138"/>
      <c r="H251" s="135">
        <v>1</v>
      </c>
      <c r="I251" s="46" t="e">
        <f t="shared" si="46"/>
        <v>#VALUE!</v>
      </c>
      <c r="J251" s="41" t="e">
        <f t="shared" si="52"/>
        <v>#VALUE!</v>
      </c>
      <c r="K251" s="41" t="e">
        <f t="shared" si="53"/>
        <v>#VALUE!</v>
      </c>
      <c r="L251" s="41" t="e">
        <f t="shared" si="53"/>
        <v>#VALUE!</v>
      </c>
      <c r="M251" s="41" t="e">
        <f t="shared" si="47"/>
        <v>#VALUE!</v>
      </c>
      <c r="N251" s="41" t="e">
        <f t="shared" si="48"/>
        <v>#VALUE!</v>
      </c>
      <c r="O251" s="41">
        <f t="shared" si="49"/>
        <v>0</v>
      </c>
      <c r="Q251" s="44" t="e">
        <f t="shared" si="50"/>
        <v>#VALUE!</v>
      </c>
      <c r="R251" s="44" t="e">
        <f t="shared" si="54"/>
        <v>#VALUE!</v>
      </c>
      <c r="S251" s="44" t="e">
        <f t="shared" si="51"/>
        <v>#VALUE!</v>
      </c>
      <c r="T251" s="41" t="e">
        <f t="shared" si="55"/>
        <v>#VALUE!</v>
      </c>
      <c r="U251" s="41" t="e">
        <f t="shared" si="56"/>
        <v>#VALUE!</v>
      </c>
      <c r="V251" s="41" t="e">
        <f t="shared" si="57"/>
        <v>#VALUE!</v>
      </c>
    </row>
    <row r="252" spans="2:22" x14ac:dyDescent="0.25">
      <c r="B252" s="41" t="b">
        <f t="shared" si="58"/>
        <v>0</v>
      </c>
      <c r="C252" s="41" t="e">
        <f t="shared" si="60"/>
        <v>#VALUE!</v>
      </c>
      <c r="E252" s="45">
        <v>249</v>
      </c>
      <c r="G252" s="138"/>
      <c r="H252" s="135">
        <v>1</v>
      </c>
      <c r="I252" s="46" t="e">
        <f t="shared" si="46"/>
        <v>#VALUE!</v>
      </c>
      <c r="J252" s="41" t="e">
        <f t="shared" si="52"/>
        <v>#VALUE!</v>
      </c>
      <c r="K252" s="41" t="e">
        <f t="shared" si="53"/>
        <v>#VALUE!</v>
      </c>
      <c r="L252" s="41" t="e">
        <f t="shared" si="53"/>
        <v>#VALUE!</v>
      </c>
      <c r="M252" s="41" t="e">
        <f t="shared" si="47"/>
        <v>#VALUE!</v>
      </c>
      <c r="N252" s="41" t="e">
        <f t="shared" si="48"/>
        <v>#VALUE!</v>
      </c>
      <c r="O252" s="41">
        <f t="shared" si="49"/>
        <v>0</v>
      </c>
      <c r="Q252" s="44" t="e">
        <f t="shared" si="50"/>
        <v>#VALUE!</v>
      </c>
      <c r="R252" s="44" t="e">
        <f t="shared" si="54"/>
        <v>#VALUE!</v>
      </c>
      <c r="S252" s="44" t="e">
        <f t="shared" si="51"/>
        <v>#VALUE!</v>
      </c>
      <c r="T252" s="41" t="e">
        <f t="shared" si="55"/>
        <v>#VALUE!</v>
      </c>
      <c r="U252" s="41" t="e">
        <f t="shared" si="56"/>
        <v>#VALUE!</v>
      </c>
      <c r="V252" s="41" t="e">
        <f t="shared" si="57"/>
        <v>#VALUE!</v>
      </c>
    </row>
    <row r="253" spans="2:22" x14ac:dyDescent="0.25">
      <c r="B253" s="41" t="b">
        <f t="shared" si="58"/>
        <v>0</v>
      </c>
      <c r="C253" s="41" t="e">
        <f t="shared" si="60"/>
        <v>#VALUE!</v>
      </c>
      <c r="E253" s="45">
        <v>250</v>
      </c>
      <c r="G253" s="138"/>
      <c r="H253" s="135">
        <v>1</v>
      </c>
      <c r="I253" s="46" t="e">
        <f t="shared" si="46"/>
        <v>#VALUE!</v>
      </c>
      <c r="J253" s="41" t="e">
        <f t="shared" si="52"/>
        <v>#VALUE!</v>
      </c>
      <c r="K253" s="41" t="e">
        <f t="shared" si="53"/>
        <v>#VALUE!</v>
      </c>
      <c r="L253" s="41" t="e">
        <f t="shared" si="53"/>
        <v>#VALUE!</v>
      </c>
      <c r="M253" s="41" t="e">
        <f t="shared" si="47"/>
        <v>#VALUE!</v>
      </c>
      <c r="N253" s="41" t="e">
        <f t="shared" si="48"/>
        <v>#VALUE!</v>
      </c>
      <c r="O253" s="41">
        <f t="shared" si="49"/>
        <v>0</v>
      </c>
      <c r="Q253" s="44" t="e">
        <f t="shared" si="50"/>
        <v>#VALUE!</v>
      </c>
      <c r="R253" s="44" t="e">
        <f t="shared" si="54"/>
        <v>#VALUE!</v>
      </c>
      <c r="S253" s="44" t="e">
        <f t="shared" si="51"/>
        <v>#VALUE!</v>
      </c>
      <c r="T253" s="41" t="e">
        <f t="shared" si="55"/>
        <v>#VALUE!</v>
      </c>
      <c r="U253" s="41" t="e">
        <f t="shared" si="56"/>
        <v>#VALUE!</v>
      </c>
      <c r="V253" s="41" t="e">
        <f t="shared" si="57"/>
        <v>#VALUE!</v>
      </c>
    </row>
    <row r="254" spans="2:22" x14ac:dyDescent="0.25">
      <c r="B254" s="41" t="b">
        <f t="shared" si="58"/>
        <v>0</v>
      </c>
      <c r="C254" s="41" t="e">
        <f t="shared" si="60"/>
        <v>#VALUE!</v>
      </c>
      <c r="E254" s="45">
        <v>251</v>
      </c>
      <c r="G254" s="138"/>
      <c r="H254" s="135">
        <v>1</v>
      </c>
      <c r="I254" s="46" t="e">
        <f t="shared" si="46"/>
        <v>#VALUE!</v>
      </c>
      <c r="J254" s="41" t="e">
        <f t="shared" si="52"/>
        <v>#VALUE!</v>
      </c>
      <c r="K254" s="41" t="e">
        <f t="shared" si="53"/>
        <v>#VALUE!</v>
      </c>
      <c r="L254" s="41" t="e">
        <f t="shared" si="53"/>
        <v>#VALUE!</v>
      </c>
      <c r="M254" s="41" t="e">
        <f t="shared" si="47"/>
        <v>#VALUE!</v>
      </c>
      <c r="N254" s="41" t="e">
        <f t="shared" si="48"/>
        <v>#VALUE!</v>
      </c>
      <c r="O254" s="41">
        <f t="shared" si="49"/>
        <v>0</v>
      </c>
      <c r="Q254" s="44" t="e">
        <f t="shared" si="50"/>
        <v>#VALUE!</v>
      </c>
      <c r="R254" s="44" t="e">
        <f t="shared" si="54"/>
        <v>#VALUE!</v>
      </c>
      <c r="S254" s="44" t="e">
        <f t="shared" si="51"/>
        <v>#VALUE!</v>
      </c>
      <c r="T254" s="41" t="e">
        <f t="shared" si="55"/>
        <v>#VALUE!</v>
      </c>
      <c r="U254" s="41" t="e">
        <f t="shared" si="56"/>
        <v>#VALUE!</v>
      </c>
      <c r="V254" s="41" t="e">
        <f t="shared" si="57"/>
        <v>#VALUE!</v>
      </c>
    </row>
    <row r="255" spans="2:22" x14ac:dyDescent="0.25">
      <c r="B255" s="41" t="b">
        <f t="shared" si="58"/>
        <v>0</v>
      </c>
      <c r="C255" s="41" t="e">
        <f t="shared" si="60"/>
        <v>#VALUE!</v>
      </c>
      <c r="E255" s="45">
        <v>252</v>
      </c>
      <c r="G255" s="138"/>
      <c r="H255" s="135">
        <v>1</v>
      </c>
      <c r="I255" s="46" t="e">
        <f t="shared" si="46"/>
        <v>#VALUE!</v>
      </c>
      <c r="J255" s="41" t="e">
        <f t="shared" si="52"/>
        <v>#VALUE!</v>
      </c>
      <c r="K255" s="41" t="e">
        <f t="shared" si="53"/>
        <v>#VALUE!</v>
      </c>
      <c r="L255" s="41" t="e">
        <f t="shared" si="53"/>
        <v>#VALUE!</v>
      </c>
      <c r="M255" s="41" t="e">
        <f t="shared" si="47"/>
        <v>#VALUE!</v>
      </c>
      <c r="N255" s="41" t="e">
        <f t="shared" si="48"/>
        <v>#VALUE!</v>
      </c>
      <c r="O255" s="41">
        <f t="shared" si="49"/>
        <v>0</v>
      </c>
      <c r="Q255" s="44" t="e">
        <f t="shared" si="50"/>
        <v>#VALUE!</v>
      </c>
      <c r="R255" s="44" t="e">
        <f t="shared" si="54"/>
        <v>#VALUE!</v>
      </c>
      <c r="S255" s="44" t="e">
        <f t="shared" si="51"/>
        <v>#VALUE!</v>
      </c>
      <c r="T255" s="41" t="e">
        <f t="shared" si="55"/>
        <v>#VALUE!</v>
      </c>
      <c r="U255" s="41" t="e">
        <f t="shared" si="56"/>
        <v>#VALUE!</v>
      </c>
      <c r="V255" s="41" t="e">
        <f t="shared" si="57"/>
        <v>#VALUE!</v>
      </c>
    </row>
    <row r="256" spans="2:22" x14ac:dyDescent="0.25">
      <c r="B256" s="41" t="b">
        <f t="shared" si="58"/>
        <v>0</v>
      </c>
      <c r="C256" s="41" t="e">
        <f t="shared" si="60"/>
        <v>#VALUE!</v>
      </c>
      <c r="E256" s="45">
        <v>253</v>
      </c>
      <c r="G256" s="138"/>
      <c r="H256" s="135">
        <v>1</v>
      </c>
      <c r="I256" s="46" t="e">
        <f t="shared" si="46"/>
        <v>#VALUE!</v>
      </c>
      <c r="J256" s="41" t="e">
        <f t="shared" si="52"/>
        <v>#VALUE!</v>
      </c>
      <c r="K256" s="41" t="e">
        <f t="shared" si="53"/>
        <v>#VALUE!</v>
      </c>
      <c r="L256" s="41" t="e">
        <f t="shared" si="53"/>
        <v>#VALUE!</v>
      </c>
      <c r="M256" s="41" t="e">
        <f t="shared" si="47"/>
        <v>#VALUE!</v>
      </c>
      <c r="N256" s="41" t="e">
        <f t="shared" si="48"/>
        <v>#VALUE!</v>
      </c>
      <c r="O256" s="41">
        <f t="shared" si="49"/>
        <v>0</v>
      </c>
      <c r="Q256" s="44" t="e">
        <f t="shared" si="50"/>
        <v>#VALUE!</v>
      </c>
      <c r="R256" s="44" t="e">
        <f t="shared" si="54"/>
        <v>#VALUE!</v>
      </c>
      <c r="S256" s="44" t="e">
        <f t="shared" si="51"/>
        <v>#VALUE!</v>
      </c>
      <c r="T256" s="41" t="e">
        <f t="shared" si="55"/>
        <v>#VALUE!</v>
      </c>
      <c r="U256" s="41" t="e">
        <f t="shared" si="56"/>
        <v>#VALUE!</v>
      </c>
      <c r="V256" s="41" t="e">
        <f t="shared" si="57"/>
        <v>#VALUE!</v>
      </c>
    </row>
    <row r="257" spans="2:22" x14ac:dyDescent="0.25">
      <c r="B257" s="41" t="b">
        <f t="shared" si="58"/>
        <v>0</v>
      </c>
      <c r="C257" s="41" t="e">
        <f t="shared" si="60"/>
        <v>#VALUE!</v>
      </c>
      <c r="E257" s="45">
        <v>254</v>
      </c>
      <c r="G257" s="138"/>
      <c r="H257" s="135">
        <v>1</v>
      </c>
      <c r="I257" s="46" t="e">
        <f t="shared" si="46"/>
        <v>#VALUE!</v>
      </c>
      <c r="J257" s="41" t="e">
        <f t="shared" si="52"/>
        <v>#VALUE!</v>
      </c>
      <c r="K257" s="41" t="e">
        <f t="shared" si="53"/>
        <v>#VALUE!</v>
      </c>
      <c r="L257" s="41" t="e">
        <f t="shared" si="53"/>
        <v>#VALUE!</v>
      </c>
      <c r="M257" s="41" t="e">
        <f t="shared" si="47"/>
        <v>#VALUE!</v>
      </c>
      <c r="N257" s="41" t="e">
        <f t="shared" si="48"/>
        <v>#VALUE!</v>
      </c>
      <c r="O257" s="41">
        <f t="shared" si="49"/>
        <v>0</v>
      </c>
      <c r="Q257" s="44" t="e">
        <f t="shared" si="50"/>
        <v>#VALUE!</v>
      </c>
      <c r="R257" s="44" t="e">
        <f t="shared" si="54"/>
        <v>#VALUE!</v>
      </c>
      <c r="S257" s="44" t="e">
        <f t="shared" si="51"/>
        <v>#VALUE!</v>
      </c>
      <c r="T257" s="41" t="e">
        <f t="shared" si="55"/>
        <v>#VALUE!</v>
      </c>
      <c r="U257" s="41" t="e">
        <f t="shared" si="56"/>
        <v>#VALUE!</v>
      </c>
      <c r="V257" s="41" t="e">
        <f t="shared" si="57"/>
        <v>#VALUE!</v>
      </c>
    </row>
    <row r="258" spans="2:22" x14ac:dyDescent="0.25">
      <c r="B258" s="41" t="b">
        <f t="shared" si="58"/>
        <v>0</v>
      </c>
      <c r="C258" s="41" t="e">
        <f t="shared" si="60"/>
        <v>#VALUE!</v>
      </c>
      <c r="E258" s="45">
        <v>255</v>
      </c>
      <c r="G258" s="138"/>
      <c r="H258" s="135">
        <v>1</v>
      </c>
      <c r="I258" s="46" t="e">
        <f t="shared" si="46"/>
        <v>#VALUE!</v>
      </c>
      <c r="J258" s="41" t="e">
        <f t="shared" si="52"/>
        <v>#VALUE!</v>
      </c>
      <c r="K258" s="41" t="e">
        <f t="shared" si="53"/>
        <v>#VALUE!</v>
      </c>
      <c r="L258" s="41" t="e">
        <f t="shared" si="53"/>
        <v>#VALUE!</v>
      </c>
      <c r="M258" s="41" t="e">
        <f t="shared" si="47"/>
        <v>#VALUE!</v>
      </c>
      <c r="N258" s="41" t="e">
        <f t="shared" si="48"/>
        <v>#VALUE!</v>
      </c>
      <c r="O258" s="41">
        <f t="shared" si="49"/>
        <v>0</v>
      </c>
      <c r="Q258" s="44" t="e">
        <f t="shared" si="50"/>
        <v>#VALUE!</v>
      </c>
      <c r="R258" s="44" t="e">
        <f t="shared" si="54"/>
        <v>#VALUE!</v>
      </c>
      <c r="S258" s="44" t="e">
        <f t="shared" si="51"/>
        <v>#VALUE!</v>
      </c>
      <c r="T258" s="41" t="e">
        <f t="shared" si="55"/>
        <v>#VALUE!</v>
      </c>
      <c r="U258" s="41" t="e">
        <f t="shared" si="56"/>
        <v>#VALUE!</v>
      </c>
      <c r="V258" s="41" t="e">
        <f t="shared" si="57"/>
        <v>#VALUE!</v>
      </c>
    </row>
    <row r="259" spans="2:22" x14ac:dyDescent="0.25">
      <c r="B259" s="41" t="b">
        <f t="shared" si="58"/>
        <v>0</v>
      </c>
      <c r="C259" s="41" t="e">
        <f t="shared" si="60"/>
        <v>#VALUE!</v>
      </c>
      <c r="E259" s="45">
        <v>256</v>
      </c>
      <c r="G259" s="138"/>
      <c r="H259" s="135">
        <v>1</v>
      </c>
      <c r="I259" s="46" t="e">
        <f t="shared" si="46"/>
        <v>#VALUE!</v>
      </c>
      <c r="J259" s="41" t="e">
        <f t="shared" si="52"/>
        <v>#VALUE!</v>
      </c>
      <c r="K259" s="41" t="e">
        <f t="shared" si="53"/>
        <v>#VALUE!</v>
      </c>
      <c r="L259" s="41" t="e">
        <f t="shared" si="53"/>
        <v>#VALUE!</v>
      </c>
      <c r="M259" s="41" t="e">
        <f t="shared" si="47"/>
        <v>#VALUE!</v>
      </c>
      <c r="N259" s="41" t="e">
        <f t="shared" si="48"/>
        <v>#VALUE!</v>
      </c>
      <c r="O259" s="41">
        <f t="shared" si="49"/>
        <v>0</v>
      </c>
      <c r="Q259" s="44" t="e">
        <f t="shared" si="50"/>
        <v>#VALUE!</v>
      </c>
      <c r="R259" s="44" t="e">
        <f t="shared" si="54"/>
        <v>#VALUE!</v>
      </c>
      <c r="S259" s="44" t="e">
        <f t="shared" si="51"/>
        <v>#VALUE!</v>
      </c>
      <c r="T259" s="41" t="e">
        <f t="shared" si="55"/>
        <v>#VALUE!</v>
      </c>
      <c r="U259" s="41" t="e">
        <f t="shared" si="56"/>
        <v>#VALUE!</v>
      </c>
      <c r="V259" s="41" t="e">
        <f t="shared" si="57"/>
        <v>#VALUE!</v>
      </c>
    </row>
    <row r="260" spans="2:22" x14ac:dyDescent="0.25">
      <c r="B260" s="41" t="b">
        <f t="shared" si="58"/>
        <v>0</v>
      </c>
      <c r="C260" s="41" t="e">
        <f t="shared" si="60"/>
        <v>#VALUE!</v>
      </c>
      <c r="E260" s="45">
        <v>257</v>
      </c>
      <c r="G260" s="138"/>
      <c r="H260" s="135">
        <v>1</v>
      </c>
      <c r="I260" s="46" t="e">
        <f t="shared" ref="I260:I323" si="61">RIGHT(G260,J260)</f>
        <v>#VALUE!</v>
      </c>
      <c r="J260" s="41" t="e">
        <f t="shared" si="52"/>
        <v>#VALUE!</v>
      </c>
      <c r="K260" s="41" t="e">
        <f t="shared" si="53"/>
        <v>#VALUE!</v>
      </c>
      <c r="L260" s="41" t="e">
        <f t="shared" si="53"/>
        <v>#VALUE!</v>
      </c>
      <c r="M260" s="41" t="e">
        <f t="shared" ref="M260:M323" si="62">SEARCH("-",G260,2)</f>
        <v>#VALUE!</v>
      </c>
      <c r="N260" s="41" t="e">
        <f t="shared" ref="N260:N323" si="63">SEARCH("-",G260,M260+1)</f>
        <v>#VALUE!</v>
      </c>
      <c r="O260" s="41">
        <f t="shared" ref="O260:O323" si="64">LEN(G260)</f>
        <v>0</v>
      </c>
      <c r="Q260" s="44" t="e">
        <f t="shared" ref="Q260:Q323" si="65">LEFT(G260,M260-1)</f>
        <v>#VALUE!</v>
      </c>
      <c r="R260" s="44" t="e">
        <f t="shared" si="54"/>
        <v>#VALUE!</v>
      </c>
      <c r="S260" s="44" t="e">
        <f t="shared" ref="S260:S323" si="66">RIGHT(G260,L260)</f>
        <v>#VALUE!</v>
      </c>
      <c r="T260" s="41" t="e">
        <f t="shared" si="55"/>
        <v>#VALUE!</v>
      </c>
      <c r="U260" s="41" t="e">
        <f t="shared" si="56"/>
        <v>#VALUE!</v>
      </c>
      <c r="V260" s="41" t="e">
        <f t="shared" si="57"/>
        <v>#VALUE!</v>
      </c>
    </row>
    <row r="261" spans="2:22" x14ac:dyDescent="0.25">
      <c r="B261" s="41" t="b">
        <f t="shared" si="58"/>
        <v>0</v>
      </c>
      <c r="C261" s="41" t="e">
        <f t="shared" si="60"/>
        <v>#VALUE!</v>
      </c>
      <c r="E261" s="45">
        <v>258</v>
      </c>
      <c r="G261" s="138"/>
      <c r="H261" s="135">
        <v>1</v>
      </c>
      <c r="I261" s="46" t="e">
        <f t="shared" si="61"/>
        <v>#VALUE!</v>
      </c>
      <c r="J261" s="41" t="e">
        <f t="shared" ref="J261:J324" si="67">O261-M261</f>
        <v>#VALUE!</v>
      </c>
      <c r="K261" s="41" t="e">
        <f t="shared" ref="K261:L324" si="68">N261-M261</f>
        <v>#VALUE!</v>
      </c>
      <c r="L261" s="41" t="e">
        <f t="shared" si="68"/>
        <v>#VALUE!</v>
      </c>
      <c r="M261" s="41" t="e">
        <f t="shared" si="62"/>
        <v>#VALUE!</v>
      </c>
      <c r="N261" s="41" t="e">
        <f t="shared" si="63"/>
        <v>#VALUE!</v>
      </c>
      <c r="O261" s="41">
        <f t="shared" si="64"/>
        <v>0</v>
      </c>
      <c r="Q261" s="44" t="e">
        <f t="shared" si="65"/>
        <v>#VALUE!</v>
      </c>
      <c r="R261" s="44" t="e">
        <f t="shared" ref="R261:R324" si="69">LEFT(I261,K261-1)</f>
        <v>#VALUE!</v>
      </c>
      <c r="S261" s="44" t="e">
        <f t="shared" si="66"/>
        <v>#VALUE!</v>
      </c>
      <c r="T261" s="41" t="e">
        <f t="shared" ref="T261:T324" si="70">Q261*1*H261</f>
        <v>#VALUE!</v>
      </c>
      <c r="U261" s="41" t="e">
        <f t="shared" ref="U261:U324" si="71">R261*1*H261</f>
        <v>#VALUE!</v>
      </c>
      <c r="V261" s="41" t="e">
        <f t="shared" ref="V261:V324" si="72">S261*1*H261</f>
        <v>#VALUE!</v>
      </c>
    </row>
    <row r="262" spans="2:22" x14ac:dyDescent="0.25">
      <c r="B262" s="41" t="b">
        <f t="shared" si="58"/>
        <v>0</v>
      </c>
      <c r="C262" s="41" t="e">
        <f t="shared" si="60"/>
        <v>#VALUE!</v>
      </c>
      <c r="E262" s="45">
        <v>259</v>
      </c>
      <c r="G262" s="138"/>
      <c r="H262" s="135">
        <v>1</v>
      </c>
      <c r="I262" s="46" t="e">
        <f t="shared" si="61"/>
        <v>#VALUE!</v>
      </c>
      <c r="J262" s="41" t="e">
        <f t="shared" si="67"/>
        <v>#VALUE!</v>
      </c>
      <c r="K262" s="41" t="e">
        <f t="shared" si="68"/>
        <v>#VALUE!</v>
      </c>
      <c r="L262" s="41" t="e">
        <f t="shared" si="68"/>
        <v>#VALUE!</v>
      </c>
      <c r="M262" s="41" t="e">
        <f t="shared" si="62"/>
        <v>#VALUE!</v>
      </c>
      <c r="N262" s="41" t="e">
        <f t="shared" si="63"/>
        <v>#VALUE!</v>
      </c>
      <c r="O262" s="41">
        <f t="shared" si="64"/>
        <v>0</v>
      </c>
      <c r="Q262" s="44" t="e">
        <f t="shared" si="65"/>
        <v>#VALUE!</v>
      </c>
      <c r="R262" s="44" t="e">
        <f t="shared" si="69"/>
        <v>#VALUE!</v>
      </c>
      <c r="S262" s="44" t="e">
        <f t="shared" si="66"/>
        <v>#VALUE!</v>
      </c>
      <c r="T262" s="41" t="e">
        <f t="shared" si="70"/>
        <v>#VALUE!</v>
      </c>
      <c r="U262" s="41" t="e">
        <f t="shared" si="71"/>
        <v>#VALUE!</v>
      </c>
      <c r="V262" s="41" t="e">
        <f t="shared" si="72"/>
        <v>#VALUE!</v>
      </c>
    </row>
    <row r="263" spans="2:22" x14ac:dyDescent="0.25">
      <c r="B263" s="41" t="b">
        <f t="shared" si="58"/>
        <v>0</v>
      </c>
      <c r="C263" s="41" t="e">
        <f t="shared" si="60"/>
        <v>#VALUE!</v>
      </c>
      <c r="E263" s="45">
        <v>260</v>
      </c>
      <c r="G263" s="138"/>
      <c r="H263" s="135">
        <v>1</v>
      </c>
      <c r="I263" s="46" t="e">
        <f t="shared" si="61"/>
        <v>#VALUE!</v>
      </c>
      <c r="J263" s="41" t="e">
        <f t="shared" si="67"/>
        <v>#VALUE!</v>
      </c>
      <c r="K263" s="41" t="e">
        <f t="shared" si="68"/>
        <v>#VALUE!</v>
      </c>
      <c r="L263" s="41" t="e">
        <f t="shared" si="68"/>
        <v>#VALUE!</v>
      </c>
      <c r="M263" s="41" t="e">
        <f t="shared" si="62"/>
        <v>#VALUE!</v>
      </c>
      <c r="N263" s="41" t="e">
        <f t="shared" si="63"/>
        <v>#VALUE!</v>
      </c>
      <c r="O263" s="41">
        <f t="shared" si="64"/>
        <v>0</v>
      </c>
      <c r="Q263" s="44" t="e">
        <f t="shared" si="65"/>
        <v>#VALUE!</v>
      </c>
      <c r="R263" s="44" t="e">
        <f t="shared" si="69"/>
        <v>#VALUE!</v>
      </c>
      <c r="S263" s="44" t="e">
        <f t="shared" si="66"/>
        <v>#VALUE!</v>
      </c>
      <c r="T263" s="41" t="e">
        <f t="shared" si="70"/>
        <v>#VALUE!</v>
      </c>
      <c r="U263" s="41" t="e">
        <f t="shared" si="71"/>
        <v>#VALUE!</v>
      </c>
      <c r="V263" s="41" t="e">
        <f t="shared" si="72"/>
        <v>#VALUE!</v>
      </c>
    </row>
    <row r="264" spans="2:22" x14ac:dyDescent="0.25">
      <c r="B264" s="41" t="b">
        <f t="shared" si="58"/>
        <v>0</v>
      </c>
      <c r="C264" s="41" t="e">
        <f t="shared" si="60"/>
        <v>#VALUE!</v>
      </c>
      <c r="E264" s="45">
        <v>261</v>
      </c>
      <c r="G264" s="138"/>
      <c r="H264" s="135">
        <v>1</v>
      </c>
      <c r="I264" s="46" t="e">
        <f t="shared" si="61"/>
        <v>#VALUE!</v>
      </c>
      <c r="J264" s="41" t="e">
        <f t="shared" si="67"/>
        <v>#VALUE!</v>
      </c>
      <c r="K264" s="41" t="e">
        <f t="shared" si="68"/>
        <v>#VALUE!</v>
      </c>
      <c r="L264" s="41" t="e">
        <f t="shared" si="68"/>
        <v>#VALUE!</v>
      </c>
      <c r="M264" s="41" t="e">
        <f t="shared" si="62"/>
        <v>#VALUE!</v>
      </c>
      <c r="N264" s="41" t="e">
        <f t="shared" si="63"/>
        <v>#VALUE!</v>
      </c>
      <c r="O264" s="41">
        <f t="shared" si="64"/>
        <v>0</v>
      </c>
      <c r="Q264" s="44" t="e">
        <f t="shared" si="65"/>
        <v>#VALUE!</v>
      </c>
      <c r="R264" s="44" t="e">
        <f t="shared" si="69"/>
        <v>#VALUE!</v>
      </c>
      <c r="S264" s="44" t="e">
        <f t="shared" si="66"/>
        <v>#VALUE!</v>
      </c>
      <c r="T264" s="41" t="e">
        <f t="shared" si="70"/>
        <v>#VALUE!</v>
      </c>
      <c r="U264" s="41" t="e">
        <f t="shared" si="71"/>
        <v>#VALUE!</v>
      </c>
      <c r="V264" s="41" t="e">
        <f t="shared" si="72"/>
        <v>#VALUE!</v>
      </c>
    </row>
    <row r="265" spans="2:22" x14ac:dyDescent="0.25">
      <c r="B265" s="41" t="b">
        <f t="shared" si="58"/>
        <v>0</v>
      </c>
      <c r="C265" s="41" t="e">
        <f t="shared" si="60"/>
        <v>#VALUE!</v>
      </c>
      <c r="E265" s="45">
        <v>262</v>
      </c>
      <c r="G265" s="138"/>
      <c r="H265" s="135">
        <v>1</v>
      </c>
      <c r="I265" s="46" t="e">
        <f t="shared" si="61"/>
        <v>#VALUE!</v>
      </c>
      <c r="J265" s="41" t="e">
        <f t="shared" si="67"/>
        <v>#VALUE!</v>
      </c>
      <c r="K265" s="41" t="e">
        <f t="shared" si="68"/>
        <v>#VALUE!</v>
      </c>
      <c r="L265" s="41" t="e">
        <f t="shared" si="68"/>
        <v>#VALUE!</v>
      </c>
      <c r="M265" s="41" t="e">
        <f t="shared" si="62"/>
        <v>#VALUE!</v>
      </c>
      <c r="N265" s="41" t="e">
        <f t="shared" si="63"/>
        <v>#VALUE!</v>
      </c>
      <c r="O265" s="41">
        <f t="shared" si="64"/>
        <v>0</v>
      </c>
      <c r="Q265" s="44" t="e">
        <f t="shared" si="65"/>
        <v>#VALUE!</v>
      </c>
      <c r="R265" s="44" t="e">
        <f t="shared" si="69"/>
        <v>#VALUE!</v>
      </c>
      <c r="S265" s="44" t="e">
        <f t="shared" si="66"/>
        <v>#VALUE!</v>
      </c>
      <c r="T265" s="41" t="e">
        <f t="shared" si="70"/>
        <v>#VALUE!</v>
      </c>
      <c r="U265" s="41" t="e">
        <f t="shared" si="71"/>
        <v>#VALUE!</v>
      </c>
      <c r="V265" s="41" t="e">
        <f t="shared" si="72"/>
        <v>#VALUE!</v>
      </c>
    </row>
    <row r="266" spans="2:22" x14ac:dyDescent="0.25">
      <c r="B266" s="41" t="b">
        <f t="shared" si="58"/>
        <v>0</v>
      </c>
      <c r="C266" s="41" t="e">
        <f t="shared" si="60"/>
        <v>#VALUE!</v>
      </c>
      <c r="E266" s="45">
        <v>263</v>
      </c>
      <c r="G266" s="138"/>
      <c r="H266" s="135">
        <v>1</v>
      </c>
      <c r="I266" s="46" t="e">
        <f t="shared" si="61"/>
        <v>#VALUE!</v>
      </c>
      <c r="J266" s="41" t="e">
        <f t="shared" si="67"/>
        <v>#VALUE!</v>
      </c>
      <c r="K266" s="41" t="e">
        <f t="shared" si="68"/>
        <v>#VALUE!</v>
      </c>
      <c r="L266" s="41" t="e">
        <f t="shared" si="68"/>
        <v>#VALUE!</v>
      </c>
      <c r="M266" s="41" t="e">
        <f t="shared" si="62"/>
        <v>#VALUE!</v>
      </c>
      <c r="N266" s="41" t="e">
        <f t="shared" si="63"/>
        <v>#VALUE!</v>
      </c>
      <c r="O266" s="41">
        <f t="shared" si="64"/>
        <v>0</v>
      </c>
      <c r="Q266" s="44" t="e">
        <f t="shared" si="65"/>
        <v>#VALUE!</v>
      </c>
      <c r="R266" s="44" t="e">
        <f t="shared" si="69"/>
        <v>#VALUE!</v>
      </c>
      <c r="S266" s="44" t="e">
        <f t="shared" si="66"/>
        <v>#VALUE!</v>
      </c>
      <c r="T266" s="41" t="e">
        <f t="shared" si="70"/>
        <v>#VALUE!</v>
      </c>
      <c r="U266" s="41" t="e">
        <f t="shared" si="71"/>
        <v>#VALUE!</v>
      </c>
      <c r="V266" s="41" t="e">
        <f t="shared" si="72"/>
        <v>#VALUE!</v>
      </c>
    </row>
    <row r="267" spans="2:22" x14ac:dyDescent="0.25">
      <c r="B267" s="41" t="b">
        <f t="shared" si="58"/>
        <v>0</v>
      </c>
      <c r="C267" s="41" t="e">
        <f t="shared" si="60"/>
        <v>#VALUE!</v>
      </c>
      <c r="E267" s="45">
        <v>264</v>
      </c>
      <c r="G267" s="138"/>
      <c r="H267" s="135">
        <v>1</v>
      </c>
      <c r="I267" s="46" t="e">
        <f t="shared" si="61"/>
        <v>#VALUE!</v>
      </c>
      <c r="J267" s="41" t="e">
        <f t="shared" si="67"/>
        <v>#VALUE!</v>
      </c>
      <c r="K267" s="41" t="e">
        <f t="shared" si="68"/>
        <v>#VALUE!</v>
      </c>
      <c r="L267" s="41" t="e">
        <f t="shared" si="68"/>
        <v>#VALUE!</v>
      </c>
      <c r="M267" s="41" t="e">
        <f t="shared" si="62"/>
        <v>#VALUE!</v>
      </c>
      <c r="N267" s="41" t="e">
        <f t="shared" si="63"/>
        <v>#VALUE!</v>
      </c>
      <c r="O267" s="41">
        <f t="shared" si="64"/>
        <v>0</v>
      </c>
      <c r="Q267" s="44" t="e">
        <f t="shared" si="65"/>
        <v>#VALUE!</v>
      </c>
      <c r="R267" s="44" t="e">
        <f t="shared" si="69"/>
        <v>#VALUE!</v>
      </c>
      <c r="S267" s="44" t="e">
        <f t="shared" si="66"/>
        <v>#VALUE!</v>
      </c>
      <c r="T267" s="41" t="e">
        <f t="shared" si="70"/>
        <v>#VALUE!</v>
      </c>
      <c r="U267" s="41" t="e">
        <f t="shared" si="71"/>
        <v>#VALUE!</v>
      </c>
      <c r="V267" s="41" t="e">
        <f t="shared" si="72"/>
        <v>#VALUE!</v>
      </c>
    </row>
    <row r="268" spans="2:22" x14ac:dyDescent="0.25">
      <c r="B268" s="41" t="b">
        <f t="shared" si="58"/>
        <v>0</v>
      </c>
      <c r="C268" s="41" t="e">
        <f t="shared" si="60"/>
        <v>#VALUE!</v>
      </c>
      <c r="E268" s="45">
        <v>265</v>
      </c>
      <c r="G268" s="138"/>
      <c r="H268" s="135">
        <v>1</v>
      </c>
      <c r="I268" s="46" t="e">
        <f t="shared" si="61"/>
        <v>#VALUE!</v>
      </c>
      <c r="J268" s="41" t="e">
        <f t="shared" si="67"/>
        <v>#VALUE!</v>
      </c>
      <c r="K268" s="41" t="e">
        <f t="shared" si="68"/>
        <v>#VALUE!</v>
      </c>
      <c r="L268" s="41" t="e">
        <f t="shared" si="68"/>
        <v>#VALUE!</v>
      </c>
      <c r="M268" s="41" t="e">
        <f t="shared" si="62"/>
        <v>#VALUE!</v>
      </c>
      <c r="N268" s="41" t="e">
        <f t="shared" si="63"/>
        <v>#VALUE!</v>
      </c>
      <c r="O268" s="41">
        <f t="shared" si="64"/>
        <v>0</v>
      </c>
      <c r="Q268" s="44" t="e">
        <f t="shared" si="65"/>
        <v>#VALUE!</v>
      </c>
      <c r="R268" s="44" t="e">
        <f t="shared" si="69"/>
        <v>#VALUE!</v>
      </c>
      <c r="S268" s="44" t="e">
        <f t="shared" si="66"/>
        <v>#VALUE!</v>
      </c>
      <c r="T268" s="41" t="e">
        <f t="shared" si="70"/>
        <v>#VALUE!</v>
      </c>
      <c r="U268" s="41" t="e">
        <f t="shared" si="71"/>
        <v>#VALUE!</v>
      </c>
      <c r="V268" s="41" t="e">
        <f t="shared" si="72"/>
        <v>#VALUE!</v>
      </c>
    </row>
    <row r="269" spans="2:22" x14ac:dyDescent="0.25">
      <c r="B269" s="41" t="b">
        <f t="shared" si="58"/>
        <v>0</v>
      </c>
      <c r="C269" s="41" t="e">
        <f t="shared" si="60"/>
        <v>#VALUE!</v>
      </c>
      <c r="E269" s="45">
        <v>266</v>
      </c>
      <c r="G269" s="138"/>
      <c r="H269" s="135">
        <v>1</v>
      </c>
      <c r="I269" s="46" t="e">
        <f t="shared" si="61"/>
        <v>#VALUE!</v>
      </c>
      <c r="J269" s="41" t="e">
        <f t="shared" si="67"/>
        <v>#VALUE!</v>
      </c>
      <c r="K269" s="41" t="e">
        <f t="shared" si="68"/>
        <v>#VALUE!</v>
      </c>
      <c r="L269" s="41" t="e">
        <f t="shared" si="68"/>
        <v>#VALUE!</v>
      </c>
      <c r="M269" s="41" t="e">
        <f t="shared" si="62"/>
        <v>#VALUE!</v>
      </c>
      <c r="N269" s="41" t="e">
        <f t="shared" si="63"/>
        <v>#VALUE!</v>
      </c>
      <c r="O269" s="41">
        <f t="shared" si="64"/>
        <v>0</v>
      </c>
      <c r="Q269" s="44" t="e">
        <f t="shared" si="65"/>
        <v>#VALUE!</v>
      </c>
      <c r="R269" s="44" t="e">
        <f t="shared" si="69"/>
        <v>#VALUE!</v>
      </c>
      <c r="S269" s="44" t="e">
        <f t="shared" si="66"/>
        <v>#VALUE!</v>
      </c>
      <c r="T269" s="41" t="e">
        <f t="shared" si="70"/>
        <v>#VALUE!</v>
      </c>
      <c r="U269" s="41" t="e">
        <f t="shared" si="71"/>
        <v>#VALUE!</v>
      </c>
      <c r="V269" s="41" t="e">
        <f t="shared" si="72"/>
        <v>#VALUE!</v>
      </c>
    </row>
    <row r="270" spans="2:22" x14ac:dyDescent="0.25">
      <c r="B270" s="41" t="b">
        <f t="shared" ref="B270:B333" si="73">ISNUMBER(C270)</f>
        <v>0</v>
      </c>
      <c r="C270" s="41" t="e">
        <f t="shared" si="60"/>
        <v>#VALUE!</v>
      </c>
      <c r="E270" s="45">
        <v>267</v>
      </c>
      <c r="G270" s="138"/>
      <c r="H270" s="135">
        <v>1</v>
      </c>
      <c r="I270" s="46" t="e">
        <f t="shared" si="61"/>
        <v>#VALUE!</v>
      </c>
      <c r="J270" s="41" t="e">
        <f t="shared" si="67"/>
        <v>#VALUE!</v>
      </c>
      <c r="K270" s="41" t="e">
        <f t="shared" si="68"/>
        <v>#VALUE!</v>
      </c>
      <c r="L270" s="41" t="e">
        <f t="shared" si="68"/>
        <v>#VALUE!</v>
      </c>
      <c r="M270" s="41" t="e">
        <f t="shared" si="62"/>
        <v>#VALUE!</v>
      </c>
      <c r="N270" s="41" t="e">
        <f t="shared" si="63"/>
        <v>#VALUE!</v>
      </c>
      <c r="O270" s="41">
        <f t="shared" si="64"/>
        <v>0</v>
      </c>
      <c r="Q270" s="44" t="e">
        <f t="shared" si="65"/>
        <v>#VALUE!</v>
      </c>
      <c r="R270" s="44" t="e">
        <f t="shared" si="69"/>
        <v>#VALUE!</v>
      </c>
      <c r="S270" s="44" t="e">
        <f t="shared" si="66"/>
        <v>#VALUE!</v>
      </c>
      <c r="T270" s="41" t="e">
        <f t="shared" si="70"/>
        <v>#VALUE!</v>
      </c>
      <c r="U270" s="41" t="e">
        <f t="shared" si="71"/>
        <v>#VALUE!</v>
      </c>
      <c r="V270" s="41" t="e">
        <f t="shared" si="72"/>
        <v>#VALUE!</v>
      </c>
    </row>
    <row r="271" spans="2:22" x14ac:dyDescent="0.25">
      <c r="B271" s="41" t="b">
        <f t="shared" si="73"/>
        <v>0</v>
      </c>
      <c r="C271" s="41" t="e">
        <f t="shared" si="60"/>
        <v>#VALUE!</v>
      </c>
      <c r="E271" s="45">
        <v>268</v>
      </c>
      <c r="G271" s="138"/>
      <c r="H271" s="135">
        <v>1</v>
      </c>
      <c r="I271" s="46" t="e">
        <f t="shared" si="61"/>
        <v>#VALUE!</v>
      </c>
      <c r="J271" s="41" t="e">
        <f t="shared" si="67"/>
        <v>#VALUE!</v>
      </c>
      <c r="K271" s="41" t="e">
        <f t="shared" si="68"/>
        <v>#VALUE!</v>
      </c>
      <c r="L271" s="41" t="e">
        <f t="shared" si="68"/>
        <v>#VALUE!</v>
      </c>
      <c r="M271" s="41" t="e">
        <f t="shared" si="62"/>
        <v>#VALUE!</v>
      </c>
      <c r="N271" s="41" t="e">
        <f t="shared" si="63"/>
        <v>#VALUE!</v>
      </c>
      <c r="O271" s="41">
        <f t="shared" si="64"/>
        <v>0</v>
      </c>
      <c r="Q271" s="44" t="e">
        <f t="shared" si="65"/>
        <v>#VALUE!</v>
      </c>
      <c r="R271" s="44" t="e">
        <f t="shared" si="69"/>
        <v>#VALUE!</v>
      </c>
      <c r="S271" s="44" t="e">
        <f t="shared" si="66"/>
        <v>#VALUE!</v>
      </c>
      <c r="T271" s="41" t="e">
        <f t="shared" si="70"/>
        <v>#VALUE!</v>
      </c>
      <c r="U271" s="41" t="e">
        <f t="shared" si="71"/>
        <v>#VALUE!</v>
      </c>
      <c r="V271" s="41" t="e">
        <f t="shared" si="72"/>
        <v>#VALUE!</v>
      </c>
    </row>
    <row r="272" spans="2:22" x14ac:dyDescent="0.25">
      <c r="B272" s="41" t="b">
        <f t="shared" si="73"/>
        <v>0</v>
      </c>
      <c r="C272" s="41" t="e">
        <f t="shared" si="60"/>
        <v>#VALUE!</v>
      </c>
      <c r="E272" s="45">
        <v>269</v>
      </c>
      <c r="G272" s="138"/>
      <c r="H272" s="135">
        <v>1</v>
      </c>
      <c r="I272" s="46" t="e">
        <f t="shared" si="61"/>
        <v>#VALUE!</v>
      </c>
      <c r="J272" s="41" t="e">
        <f t="shared" si="67"/>
        <v>#VALUE!</v>
      </c>
      <c r="K272" s="41" t="e">
        <f t="shared" si="68"/>
        <v>#VALUE!</v>
      </c>
      <c r="L272" s="41" t="e">
        <f t="shared" si="68"/>
        <v>#VALUE!</v>
      </c>
      <c r="M272" s="41" t="e">
        <f t="shared" si="62"/>
        <v>#VALUE!</v>
      </c>
      <c r="N272" s="41" t="e">
        <f t="shared" si="63"/>
        <v>#VALUE!</v>
      </c>
      <c r="O272" s="41">
        <f t="shared" si="64"/>
        <v>0</v>
      </c>
      <c r="Q272" s="44" t="e">
        <f t="shared" si="65"/>
        <v>#VALUE!</v>
      </c>
      <c r="R272" s="44" t="e">
        <f t="shared" si="69"/>
        <v>#VALUE!</v>
      </c>
      <c r="S272" s="44" t="e">
        <f t="shared" si="66"/>
        <v>#VALUE!</v>
      </c>
      <c r="T272" s="41" t="e">
        <f t="shared" si="70"/>
        <v>#VALUE!</v>
      </c>
      <c r="U272" s="41" t="e">
        <f t="shared" si="71"/>
        <v>#VALUE!</v>
      </c>
      <c r="V272" s="41" t="e">
        <f t="shared" si="72"/>
        <v>#VALUE!</v>
      </c>
    </row>
    <row r="273" spans="2:22" x14ac:dyDescent="0.25">
      <c r="B273" s="41" t="b">
        <f t="shared" si="73"/>
        <v>0</v>
      </c>
      <c r="C273" s="41" t="e">
        <f t="shared" si="60"/>
        <v>#VALUE!</v>
      </c>
      <c r="E273" s="45">
        <v>270</v>
      </c>
      <c r="G273" s="138"/>
      <c r="H273" s="135">
        <v>1</v>
      </c>
      <c r="I273" s="46" t="e">
        <f t="shared" si="61"/>
        <v>#VALUE!</v>
      </c>
      <c r="J273" s="41" t="e">
        <f t="shared" si="67"/>
        <v>#VALUE!</v>
      </c>
      <c r="K273" s="41" t="e">
        <f t="shared" si="68"/>
        <v>#VALUE!</v>
      </c>
      <c r="L273" s="41" t="e">
        <f t="shared" si="68"/>
        <v>#VALUE!</v>
      </c>
      <c r="M273" s="41" t="e">
        <f t="shared" si="62"/>
        <v>#VALUE!</v>
      </c>
      <c r="N273" s="41" t="e">
        <f t="shared" si="63"/>
        <v>#VALUE!</v>
      </c>
      <c r="O273" s="41">
        <f t="shared" si="64"/>
        <v>0</v>
      </c>
      <c r="Q273" s="44" t="e">
        <f t="shared" si="65"/>
        <v>#VALUE!</v>
      </c>
      <c r="R273" s="44" t="e">
        <f t="shared" si="69"/>
        <v>#VALUE!</v>
      </c>
      <c r="S273" s="44" t="e">
        <f t="shared" si="66"/>
        <v>#VALUE!</v>
      </c>
      <c r="T273" s="41" t="e">
        <f t="shared" si="70"/>
        <v>#VALUE!</v>
      </c>
      <c r="U273" s="41" t="e">
        <f t="shared" si="71"/>
        <v>#VALUE!</v>
      </c>
      <c r="V273" s="41" t="e">
        <f t="shared" si="72"/>
        <v>#VALUE!</v>
      </c>
    </row>
    <row r="274" spans="2:22" x14ac:dyDescent="0.25">
      <c r="B274" s="41" t="b">
        <f t="shared" si="73"/>
        <v>0</v>
      </c>
      <c r="C274" s="41" t="e">
        <f t="shared" si="60"/>
        <v>#VALUE!</v>
      </c>
      <c r="E274" s="45">
        <v>271</v>
      </c>
      <c r="G274" s="138"/>
      <c r="H274" s="135">
        <v>1</v>
      </c>
      <c r="I274" s="46" t="e">
        <f t="shared" si="61"/>
        <v>#VALUE!</v>
      </c>
      <c r="J274" s="41" t="e">
        <f t="shared" si="67"/>
        <v>#VALUE!</v>
      </c>
      <c r="K274" s="41" t="e">
        <f t="shared" si="68"/>
        <v>#VALUE!</v>
      </c>
      <c r="L274" s="41" t="e">
        <f t="shared" si="68"/>
        <v>#VALUE!</v>
      </c>
      <c r="M274" s="41" t="e">
        <f t="shared" si="62"/>
        <v>#VALUE!</v>
      </c>
      <c r="N274" s="41" t="e">
        <f t="shared" si="63"/>
        <v>#VALUE!</v>
      </c>
      <c r="O274" s="41">
        <f t="shared" si="64"/>
        <v>0</v>
      </c>
      <c r="Q274" s="44" t="e">
        <f t="shared" si="65"/>
        <v>#VALUE!</v>
      </c>
      <c r="R274" s="44" t="e">
        <f t="shared" si="69"/>
        <v>#VALUE!</v>
      </c>
      <c r="S274" s="44" t="e">
        <f t="shared" si="66"/>
        <v>#VALUE!</v>
      </c>
      <c r="T274" s="41" t="e">
        <f t="shared" si="70"/>
        <v>#VALUE!</v>
      </c>
      <c r="U274" s="41" t="e">
        <f t="shared" si="71"/>
        <v>#VALUE!</v>
      </c>
      <c r="V274" s="41" t="e">
        <f t="shared" si="72"/>
        <v>#VALUE!</v>
      </c>
    </row>
    <row r="275" spans="2:22" x14ac:dyDescent="0.25">
      <c r="B275" s="41" t="b">
        <f t="shared" si="73"/>
        <v>0</v>
      </c>
      <c r="C275" s="41" t="e">
        <f t="shared" si="60"/>
        <v>#VALUE!</v>
      </c>
      <c r="E275" s="45">
        <v>272</v>
      </c>
      <c r="G275" s="138"/>
      <c r="H275" s="135">
        <v>1</v>
      </c>
      <c r="I275" s="46" t="e">
        <f t="shared" si="61"/>
        <v>#VALUE!</v>
      </c>
      <c r="J275" s="41" t="e">
        <f t="shared" si="67"/>
        <v>#VALUE!</v>
      </c>
      <c r="K275" s="41" t="e">
        <f t="shared" si="68"/>
        <v>#VALUE!</v>
      </c>
      <c r="L275" s="41" t="e">
        <f t="shared" si="68"/>
        <v>#VALUE!</v>
      </c>
      <c r="M275" s="41" t="e">
        <f t="shared" si="62"/>
        <v>#VALUE!</v>
      </c>
      <c r="N275" s="41" t="e">
        <f t="shared" si="63"/>
        <v>#VALUE!</v>
      </c>
      <c r="O275" s="41">
        <f t="shared" si="64"/>
        <v>0</v>
      </c>
      <c r="Q275" s="44" t="e">
        <f t="shared" si="65"/>
        <v>#VALUE!</v>
      </c>
      <c r="R275" s="44" t="e">
        <f t="shared" si="69"/>
        <v>#VALUE!</v>
      </c>
      <c r="S275" s="44" t="e">
        <f t="shared" si="66"/>
        <v>#VALUE!</v>
      </c>
      <c r="T275" s="41" t="e">
        <f t="shared" si="70"/>
        <v>#VALUE!</v>
      </c>
      <c r="U275" s="41" t="e">
        <f t="shared" si="71"/>
        <v>#VALUE!</v>
      </c>
      <c r="V275" s="41" t="e">
        <f t="shared" si="72"/>
        <v>#VALUE!</v>
      </c>
    </row>
    <row r="276" spans="2:22" x14ac:dyDescent="0.25">
      <c r="B276" s="41" t="b">
        <f t="shared" si="73"/>
        <v>0</v>
      </c>
      <c r="C276" s="41" t="e">
        <f t="shared" si="60"/>
        <v>#VALUE!</v>
      </c>
      <c r="E276" s="45">
        <v>273</v>
      </c>
      <c r="G276" s="138"/>
      <c r="H276" s="135">
        <v>1</v>
      </c>
      <c r="I276" s="46" t="e">
        <f t="shared" si="61"/>
        <v>#VALUE!</v>
      </c>
      <c r="J276" s="41" t="e">
        <f t="shared" si="67"/>
        <v>#VALUE!</v>
      </c>
      <c r="K276" s="41" t="e">
        <f t="shared" si="68"/>
        <v>#VALUE!</v>
      </c>
      <c r="L276" s="41" t="e">
        <f t="shared" si="68"/>
        <v>#VALUE!</v>
      </c>
      <c r="M276" s="41" t="e">
        <f t="shared" si="62"/>
        <v>#VALUE!</v>
      </c>
      <c r="N276" s="41" t="e">
        <f t="shared" si="63"/>
        <v>#VALUE!</v>
      </c>
      <c r="O276" s="41">
        <f t="shared" si="64"/>
        <v>0</v>
      </c>
      <c r="Q276" s="44" t="e">
        <f t="shared" si="65"/>
        <v>#VALUE!</v>
      </c>
      <c r="R276" s="44" t="e">
        <f t="shared" si="69"/>
        <v>#VALUE!</v>
      </c>
      <c r="S276" s="44" t="e">
        <f t="shared" si="66"/>
        <v>#VALUE!</v>
      </c>
      <c r="T276" s="41" t="e">
        <f t="shared" si="70"/>
        <v>#VALUE!</v>
      </c>
      <c r="U276" s="41" t="e">
        <f t="shared" si="71"/>
        <v>#VALUE!</v>
      </c>
      <c r="V276" s="41" t="e">
        <f t="shared" si="72"/>
        <v>#VALUE!</v>
      </c>
    </row>
    <row r="277" spans="2:22" x14ac:dyDescent="0.25">
      <c r="B277" s="41" t="b">
        <f t="shared" si="73"/>
        <v>0</v>
      </c>
      <c r="C277" s="41" t="e">
        <f t="shared" si="60"/>
        <v>#VALUE!</v>
      </c>
      <c r="E277" s="45">
        <v>274</v>
      </c>
      <c r="G277" s="138"/>
      <c r="H277" s="135">
        <v>1</v>
      </c>
      <c r="I277" s="46" t="e">
        <f t="shared" si="61"/>
        <v>#VALUE!</v>
      </c>
      <c r="J277" s="41" t="e">
        <f t="shared" si="67"/>
        <v>#VALUE!</v>
      </c>
      <c r="K277" s="41" t="e">
        <f t="shared" si="68"/>
        <v>#VALUE!</v>
      </c>
      <c r="L277" s="41" t="e">
        <f t="shared" si="68"/>
        <v>#VALUE!</v>
      </c>
      <c r="M277" s="41" t="e">
        <f t="shared" si="62"/>
        <v>#VALUE!</v>
      </c>
      <c r="N277" s="41" t="e">
        <f t="shared" si="63"/>
        <v>#VALUE!</v>
      </c>
      <c r="O277" s="41">
        <f t="shared" si="64"/>
        <v>0</v>
      </c>
      <c r="Q277" s="44" t="e">
        <f t="shared" si="65"/>
        <v>#VALUE!</v>
      </c>
      <c r="R277" s="44" t="e">
        <f t="shared" si="69"/>
        <v>#VALUE!</v>
      </c>
      <c r="S277" s="44" t="e">
        <f t="shared" si="66"/>
        <v>#VALUE!</v>
      </c>
      <c r="T277" s="41" t="e">
        <f t="shared" si="70"/>
        <v>#VALUE!</v>
      </c>
      <c r="U277" s="41" t="e">
        <f t="shared" si="71"/>
        <v>#VALUE!</v>
      </c>
      <c r="V277" s="41" t="e">
        <f t="shared" si="72"/>
        <v>#VALUE!</v>
      </c>
    </row>
    <row r="278" spans="2:22" x14ac:dyDescent="0.25">
      <c r="B278" s="41" t="b">
        <f t="shared" si="73"/>
        <v>0</v>
      </c>
      <c r="C278" s="41" t="e">
        <f t="shared" si="60"/>
        <v>#VALUE!</v>
      </c>
      <c r="E278" s="45">
        <v>275</v>
      </c>
      <c r="G278" s="138"/>
      <c r="H278" s="135">
        <v>1</v>
      </c>
      <c r="I278" s="46" t="e">
        <f t="shared" si="61"/>
        <v>#VALUE!</v>
      </c>
      <c r="J278" s="41" t="e">
        <f t="shared" si="67"/>
        <v>#VALUE!</v>
      </c>
      <c r="K278" s="41" t="e">
        <f t="shared" si="68"/>
        <v>#VALUE!</v>
      </c>
      <c r="L278" s="41" t="e">
        <f t="shared" si="68"/>
        <v>#VALUE!</v>
      </c>
      <c r="M278" s="41" t="e">
        <f t="shared" si="62"/>
        <v>#VALUE!</v>
      </c>
      <c r="N278" s="41" t="e">
        <f t="shared" si="63"/>
        <v>#VALUE!</v>
      </c>
      <c r="O278" s="41">
        <f t="shared" si="64"/>
        <v>0</v>
      </c>
      <c r="Q278" s="44" t="e">
        <f t="shared" si="65"/>
        <v>#VALUE!</v>
      </c>
      <c r="R278" s="44" t="e">
        <f t="shared" si="69"/>
        <v>#VALUE!</v>
      </c>
      <c r="S278" s="44" t="e">
        <f t="shared" si="66"/>
        <v>#VALUE!</v>
      </c>
      <c r="T278" s="41" t="e">
        <f t="shared" si="70"/>
        <v>#VALUE!</v>
      </c>
      <c r="U278" s="41" t="e">
        <f t="shared" si="71"/>
        <v>#VALUE!</v>
      </c>
      <c r="V278" s="41" t="e">
        <f t="shared" si="72"/>
        <v>#VALUE!</v>
      </c>
    </row>
    <row r="279" spans="2:22" x14ac:dyDescent="0.25">
      <c r="B279" s="41" t="b">
        <f t="shared" si="73"/>
        <v>0</v>
      </c>
      <c r="C279" s="41" t="e">
        <f t="shared" si="60"/>
        <v>#VALUE!</v>
      </c>
      <c r="E279" s="45">
        <v>276</v>
      </c>
      <c r="G279" s="138"/>
      <c r="H279" s="135">
        <v>1</v>
      </c>
      <c r="I279" s="46" t="e">
        <f t="shared" si="61"/>
        <v>#VALUE!</v>
      </c>
      <c r="J279" s="41" t="e">
        <f t="shared" si="67"/>
        <v>#VALUE!</v>
      </c>
      <c r="K279" s="41" t="e">
        <f t="shared" si="68"/>
        <v>#VALUE!</v>
      </c>
      <c r="L279" s="41" t="e">
        <f t="shared" si="68"/>
        <v>#VALUE!</v>
      </c>
      <c r="M279" s="41" t="e">
        <f t="shared" si="62"/>
        <v>#VALUE!</v>
      </c>
      <c r="N279" s="41" t="e">
        <f t="shared" si="63"/>
        <v>#VALUE!</v>
      </c>
      <c r="O279" s="41">
        <f t="shared" si="64"/>
        <v>0</v>
      </c>
      <c r="Q279" s="44" t="e">
        <f t="shared" si="65"/>
        <v>#VALUE!</v>
      </c>
      <c r="R279" s="44" t="e">
        <f t="shared" si="69"/>
        <v>#VALUE!</v>
      </c>
      <c r="S279" s="44" t="e">
        <f t="shared" si="66"/>
        <v>#VALUE!</v>
      </c>
      <c r="T279" s="41" t="e">
        <f t="shared" si="70"/>
        <v>#VALUE!</v>
      </c>
      <c r="U279" s="41" t="e">
        <f t="shared" si="71"/>
        <v>#VALUE!</v>
      </c>
      <c r="V279" s="41" t="e">
        <f t="shared" si="72"/>
        <v>#VALUE!</v>
      </c>
    </row>
    <row r="280" spans="2:22" x14ac:dyDescent="0.25">
      <c r="B280" s="41" t="b">
        <f t="shared" si="73"/>
        <v>0</v>
      </c>
      <c r="C280" s="41" t="e">
        <f t="shared" si="60"/>
        <v>#VALUE!</v>
      </c>
      <c r="E280" s="45">
        <v>277</v>
      </c>
      <c r="G280" s="138"/>
      <c r="H280" s="135">
        <v>1</v>
      </c>
      <c r="I280" s="46" t="e">
        <f t="shared" si="61"/>
        <v>#VALUE!</v>
      </c>
      <c r="J280" s="41" t="e">
        <f t="shared" si="67"/>
        <v>#VALUE!</v>
      </c>
      <c r="K280" s="41" t="e">
        <f t="shared" si="68"/>
        <v>#VALUE!</v>
      </c>
      <c r="L280" s="41" t="e">
        <f t="shared" si="68"/>
        <v>#VALUE!</v>
      </c>
      <c r="M280" s="41" t="e">
        <f t="shared" si="62"/>
        <v>#VALUE!</v>
      </c>
      <c r="N280" s="41" t="e">
        <f t="shared" si="63"/>
        <v>#VALUE!</v>
      </c>
      <c r="O280" s="41">
        <f t="shared" si="64"/>
        <v>0</v>
      </c>
      <c r="Q280" s="44" t="e">
        <f t="shared" si="65"/>
        <v>#VALUE!</v>
      </c>
      <c r="R280" s="44" t="e">
        <f t="shared" si="69"/>
        <v>#VALUE!</v>
      </c>
      <c r="S280" s="44" t="e">
        <f t="shared" si="66"/>
        <v>#VALUE!</v>
      </c>
      <c r="T280" s="41" t="e">
        <f t="shared" si="70"/>
        <v>#VALUE!</v>
      </c>
      <c r="U280" s="41" t="e">
        <f t="shared" si="71"/>
        <v>#VALUE!</v>
      </c>
      <c r="V280" s="41" t="e">
        <f t="shared" si="72"/>
        <v>#VALUE!</v>
      </c>
    </row>
    <row r="281" spans="2:22" x14ac:dyDescent="0.25">
      <c r="B281" s="41" t="b">
        <f t="shared" si="73"/>
        <v>0</v>
      </c>
      <c r="C281" s="41" t="e">
        <f t="shared" si="60"/>
        <v>#VALUE!</v>
      </c>
      <c r="E281" s="45">
        <v>278</v>
      </c>
      <c r="G281" s="138"/>
      <c r="H281" s="135">
        <v>1</v>
      </c>
      <c r="I281" s="46" t="e">
        <f t="shared" si="61"/>
        <v>#VALUE!</v>
      </c>
      <c r="J281" s="41" t="e">
        <f t="shared" si="67"/>
        <v>#VALUE!</v>
      </c>
      <c r="K281" s="41" t="e">
        <f t="shared" si="68"/>
        <v>#VALUE!</v>
      </c>
      <c r="L281" s="41" t="e">
        <f t="shared" si="68"/>
        <v>#VALUE!</v>
      </c>
      <c r="M281" s="41" t="e">
        <f t="shared" si="62"/>
        <v>#VALUE!</v>
      </c>
      <c r="N281" s="41" t="e">
        <f t="shared" si="63"/>
        <v>#VALUE!</v>
      </c>
      <c r="O281" s="41">
        <f t="shared" si="64"/>
        <v>0</v>
      </c>
      <c r="Q281" s="44" t="e">
        <f t="shared" si="65"/>
        <v>#VALUE!</v>
      </c>
      <c r="R281" s="44" t="e">
        <f t="shared" si="69"/>
        <v>#VALUE!</v>
      </c>
      <c r="S281" s="44" t="e">
        <f t="shared" si="66"/>
        <v>#VALUE!</v>
      </c>
      <c r="T281" s="41" t="e">
        <f t="shared" si="70"/>
        <v>#VALUE!</v>
      </c>
      <c r="U281" s="41" t="e">
        <f t="shared" si="71"/>
        <v>#VALUE!</v>
      </c>
      <c r="V281" s="41" t="e">
        <f t="shared" si="72"/>
        <v>#VALUE!</v>
      </c>
    </row>
    <row r="282" spans="2:22" x14ac:dyDescent="0.25">
      <c r="B282" s="41" t="b">
        <f t="shared" si="73"/>
        <v>0</v>
      </c>
      <c r="C282" s="41" t="e">
        <f t="shared" si="60"/>
        <v>#VALUE!</v>
      </c>
      <c r="E282" s="45">
        <v>279</v>
      </c>
      <c r="G282" s="138"/>
      <c r="H282" s="135">
        <v>1</v>
      </c>
      <c r="I282" s="46" t="e">
        <f t="shared" si="61"/>
        <v>#VALUE!</v>
      </c>
      <c r="J282" s="41" t="e">
        <f t="shared" si="67"/>
        <v>#VALUE!</v>
      </c>
      <c r="K282" s="41" t="e">
        <f t="shared" si="68"/>
        <v>#VALUE!</v>
      </c>
      <c r="L282" s="41" t="e">
        <f t="shared" si="68"/>
        <v>#VALUE!</v>
      </c>
      <c r="M282" s="41" t="e">
        <f t="shared" si="62"/>
        <v>#VALUE!</v>
      </c>
      <c r="N282" s="41" t="e">
        <f t="shared" si="63"/>
        <v>#VALUE!</v>
      </c>
      <c r="O282" s="41">
        <f t="shared" si="64"/>
        <v>0</v>
      </c>
      <c r="Q282" s="44" t="e">
        <f t="shared" si="65"/>
        <v>#VALUE!</v>
      </c>
      <c r="R282" s="44" t="e">
        <f t="shared" si="69"/>
        <v>#VALUE!</v>
      </c>
      <c r="S282" s="44" t="e">
        <f t="shared" si="66"/>
        <v>#VALUE!</v>
      </c>
      <c r="T282" s="41" t="e">
        <f t="shared" si="70"/>
        <v>#VALUE!</v>
      </c>
      <c r="U282" s="41" t="e">
        <f t="shared" si="71"/>
        <v>#VALUE!</v>
      </c>
      <c r="V282" s="41" t="e">
        <f t="shared" si="72"/>
        <v>#VALUE!</v>
      </c>
    </row>
    <row r="283" spans="2:22" x14ac:dyDescent="0.25">
      <c r="B283" s="41" t="b">
        <f t="shared" si="73"/>
        <v>0</v>
      </c>
      <c r="C283" s="41" t="e">
        <f t="shared" si="60"/>
        <v>#VALUE!</v>
      </c>
      <c r="E283" s="45">
        <v>280</v>
      </c>
      <c r="G283" s="138"/>
      <c r="H283" s="135">
        <v>1</v>
      </c>
      <c r="I283" s="46" t="e">
        <f t="shared" si="61"/>
        <v>#VALUE!</v>
      </c>
      <c r="J283" s="41" t="e">
        <f t="shared" si="67"/>
        <v>#VALUE!</v>
      </c>
      <c r="K283" s="41" t="e">
        <f t="shared" si="68"/>
        <v>#VALUE!</v>
      </c>
      <c r="L283" s="41" t="e">
        <f t="shared" si="68"/>
        <v>#VALUE!</v>
      </c>
      <c r="M283" s="41" t="e">
        <f t="shared" si="62"/>
        <v>#VALUE!</v>
      </c>
      <c r="N283" s="41" t="e">
        <f t="shared" si="63"/>
        <v>#VALUE!</v>
      </c>
      <c r="O283" s="41">
        <f t="shared" si="64"/>
        <v>0</v>
      </c>
      <c r="Q283" s="44" t="e">
        <f t="shared" si="65"/>
        <v>#VALUE!</v>
      </c>
      <c r="R283" s="44" t="e">
        <f t="shared" si="69"/>
        <v>#VALUE!</v>
      </c>
      <c r="S283" s="44" t="e">
        <f t="shared" si="66"/>
        <v>#VALUE!</v>
      </c>
      <c r="T283" s="41" t="e">
        <f t="shared" si="70"/>
        <v>#VALUE!</v>
      </c>
      <c r="U283" s="41" t="e">
        <f t="shared" si="71"/>
        <v>#VALUE!</v>
      </c>
      <c r="V283" s="41" t="e">
        <f t="shared" si="72"/>
        <v>#VALUE!</v>
      </c>
    </row>
    <row r="284" spans="2:22" x14ac:dyDescent="0.25">
      <c r="B284" s="41" t="b">
        <f t="shared" si="73"/>
        <v>0</v>
      </c>
      <c r="C284" s="41" t="e">
        <f t="shared" si="60"/>
        <v>#VALUE!</v>
      </c>
      <c r="E284" s="45">
        <v>281</v>
      </c>
      <c r="G284" s="138"/>
      <c r="H284" s="135">
        <v>1</v>
      </c>
      <c r="I284" s="46" t="e">
        <f t="shared" si="61"/>
        <v>#VALUE!</v>
      </c>
      <c r="J284" s="41" t="e">
        <f t="shared" si="67"/>
        <v>#VALUE!</v>
      </c>
      <c r="K284" s="41" t="e">
        <f t="shared" si="68"/>
        <v>#VALUE!</v>
      </c>
      <c r="L284" s="41" t="e">
        <f t="shared" si="68"/>
        <v>#VALUE!</v>
      </c>
      <c r="M284" s="41" t="e">
        <f t="shared" si="62"/>
        <v>#VALUE!</v>
      </c>
      <c r="N284" s="41" t="e">
        <f t="shared" si="63"/>
        <v>#VALUE!</v>
      </c>
      <c r="O284" s="41">
        <f t="shared" si="64"/>
        <v>0</v>
      </c>
      <c r="Q284" s="44" t="e">
        <f t="shared" si="65"/>
        <v>#VALUE!</v>
      </c>
      <c r="R284" s="44" t="e">
        <f t="shared" si="69"/>
        <v>#VALUE!</v>
      </c>
      <c r="S284" s="44" t="e">
        <f t="shared" si="66"/>
        <v>#VALUE!</v>
      </c>
      <c r="T284" s="41" t="e">
        <f t="shared" si="70"/>
        <v>#VALUE!</v>
      </c>
      <c r="U284" s="41" t="e">
        <f t="shared" si="71"/>
        <v>#VALUE!</v>
      </c>
      <c r="V284" s="41" t="e">
        <f t="shared" si="72"/>
        <v>#VALUE!</v>
      </c>
    </row>
    <row r="285" spans="2:22" x14ac:dyDescent="0.25">
      <c r="B285" s="41" t="b">
        <f t="shared" si="73"/>
        <v>0</v>
      </c>
      <c r="C285" s="41" t="e">
        <f t="shared" si="60"/>
        <v>#VALUE!</v>
      </c>
      <c r="E285" s="45">
        <v>282</v>
      </c>
      <c r="G285" s="138"/>
      <c r="H285" s="135">
        <v>1</v>
      </c>
      <c r="I285" s="46" t="e">
        <f t="shared" si="61"/>
        <v>#VALUE!</v>
      </c>
      <c r="J285" s="41" t="e">
        <f t="shared" si="67"/>
        <v>#VALUE!</v>
      </c>
      <c r="K285" s="41" t="e">
        <f t="shared" si="68"/>
        <v>#VALUE!</v>
      </c>
      <c r="L285" s="41" t="e">
        <f t="shared" si="68"/>
        <v>#VALUE!</v>
      </c>
      <c r="M285" s="41" t="e">
        <f t="shared" si="62"/>
        <v>#VALUE!</v>
      </c>
      <c r="N285" s="41" t="e">
        <f t="shared" si="63"/>
        <v>#VALUE!</v>
      </c>
      <c r="O285" s="41">
        <f t="shared" si="64"/>
        <v>0</v>
      </c>
      <c r="Q285" s="44" t="e">
        <f t="shared" si="65"/>
        <v>#VALUE!</v>
      </c>
      <c r="R285" s="44" t="e">
        <f t="shared" si="69"/>
        <v>#VALUE!</v>
      </c>
      <c r="S285" s="44" t="e">
        <f t="shared" si="66"/>
        <v>#VALUE!</v>
      </c>
      <c r="T285" s="41" t="e">
        <f t="shared" si="70"/>
        <v>#VALUE!</v>
      </c>
      <c r="U285" s="41" t="e">
        <f t="shared" si="71"/>
        <v>#VALUE!</v>
      </c>
      <c r="V285" s="41" t="e">
        <f t="shared" si="72"/>
        <v>#VALUE!</v>
      </c>
    </row>
    <row r="286" spans="2:22" x14ac:dyDescent="0.25">
      <c r="B286" s="41" t="b">
        <f t="shared" si="73"/>
        <v>0</v>
      </c>
      <c r="C286" s="41" t="e">
        <f t="shared" si="60"/>
        <v>#VALUE!</v>
      </c>
      <c r="E286" s="45">
        <v>283</v>
      </c>
      <c r="G286" s="138"/>
      <c r="H286" s="135">
        <v>1</v>
      </c>
      <c r="I286" s="46" t="e">
        <f t="shared" si="61"/>
        <v>#VALUE!</v>
      </c>
      <c r="J286" s="41" t="e">
        <f t="shared" si="67"/>
        <v>#VALUE!</v>
      </c>
      <c r="K286" s="41" t="e">
        <f t="shared" si="68"/>
        <v>#VALUE!</v>
      </c>
      <c r="L286" s="41" t="e">
        <f t="shared" si="68"/>
        <v>#VALUE!</v>
      </c>
      <c r="M286" s="41" t="e">
        <f t="shared" si="62"/>
        <v>#VALUE!</v>
      </c>
      <c r="N286" s="41" t="e">
        <f t="shared" si="63"/>
        <v>#VALUE!</v>
      </c>
      <c r="O286" s="41">
        <f t="shared" si="64"/>
        <v>0</v>
      </c>
      <c r="Q286" s="44" t="e">
        <f t="shared" si="65"/>
        <v>#VALUE!</v>
      </c>
      <c r="R286" s="44" t="e">
        <f t="shared" si="69"/>
        <v>#VALUE!</v>
      </c>
      <c r="S286" s="44" t="e">
        <f t="shared" si="66"/>
        <v>#VALUE!</v>
      </c>
      <c r="T286" s="41" t="e">
        <f t="shared" si="70"/>
        <v>#VALUE!</v>
      </c>
      <c r="U286" s="41" t="e">
        <f t="shared" si="71"/>
        <v>#VALUE!</v>
      </c>
      <c r="V286" s="41" t="e">
        <f t="shared" si="72"/>
        <v>#VALUE!</v>
      </c>
    </row>
    <row r="287" spans="2:22" x14ac:dyDescent="0.25">
      <c r="B287" s="41" t="b">
        <f t="shared" si="73"/>
        <v>0</v>
      </c>
      <c r="C287" s="41" t="e">
        <f t="shared" si="60"/>
        <v>#VALUE!</v>
      </c>
      <c r="E287" s="45">
        <v>284</v>
      </c>
      <c r="G287" s="138"/>
      <c r="H287" s="135">
        <v>1</v>
      </c>
      <c r="I287" s="46" t="e">
        <f t="shared" si="61"/>
        <v>#VALUE!</v>
      </c>
      <c r="J287" s="41" t="e">
        <f t="shared" si="67"/>
        <v>#VALUE!</v>
      </c>
      <c r="K287" s="41" t="e">
        <f t="shared" si="68"/>
        <v>#VALUE!</v>
      </c>
      <c r="L287" s="41" t="e">
        <f t="shared" si="68"/>
        <v>#VALUE!</v>
      </c>
      <c r="M287" s="41" t="e">
        <f t="shared" si="62"/>
        <v>#VALUE!</v>
      </c>
      <c r="N287" s="41" t="e">
        <f t="shared" si="63"/>
        <v>#VALUE!</v>
      </c>
      <c r="O287" s="41">
        <f t="shared" si="64"/>
        <v>0</v>
      </c>
      <c r="Q287" s="44" t="e">
        <f t="shared" si="65"/>
        <v>#VALUE!</v>
      </c>
      <c r="R287" s="44" t="e">
        <f t="shared" si="69"/>
        <v>#VALUE!</v>
      </c>
      <c r="S287" s="44" t="e">
        <f t="shared" si="66"/>
        <v>#VALUE!</v>
      </c>
      <c r="T287" s="41" t="e">
        <f t="shared" si="70"/>
        <v>#VALUE!</v>
      </c>
      <c r="U287" s="41" t="e">
        <f t="shared" si="71"/>
        <v>#VALUE!</v>
      </c>
      <c r="V287" s="41" t="e">
        <f t="shared" si="72"/>
        <v>#VALUE!</v>
      </c>
    </row>
    <row r="288" spans="2:22" x14ac:dyDescent="0.25">
      <c r="B288" s="41" t="b">
        <f t="shared" si="73"/>
        <v>0</v>
      </c>
      <c r="C288" s="41" t="e">
        <f t="shared" si="60"/>
        <v>#VALUE!</v>
      </c>
      <c r="E288" s="45">
        <v>285</v>
      </c>
      <c r="G288" s="138"/>
      <c r="H288" s="135">
        <v>1</v>
      </c>
      <c r="I288" s="46" t="e">
        <f t="shared" si="61"/>
        <v>#VALUE!</v>
      </c>
      <c r="J288" s="41" t="e">
        <f t="shared" si="67"/>
        <v>#VALUE!</v>
      </c>
      <c r="K288" s="41" t="e">
        <f t="shared" si="68"/>
        <v>#VALUE!</v>
      </c>
      <c r="L288" s="41" t="e">
        <f t="shared" si="68"/>
        <v>#VALUE!</v>
      </c>
      <c r="M288" s="41" t="e">
        <f t="shared" si="62"/>
        <v>#VALUE!</v>
      </c>
      <c r="N288" s="41" t="e">
        <f t="shared" si="63"/>
        <v>#VALUE!</v>
      </c>
      <c r="O288" s="41">
        <f t="shared" si="64"/>
        <v>0</v>
      </c>
      <c r="Q288" s="44" t="e">
        <f t="shared" si="65"/>
        <v>#VALUE!</v>
      </c>
      <c r="R288" s="44" t="e">
        <f t="shared" si="69"/>
        <v>#VALUE!</v>
      </c>
      <c r="S288" s="44" t="e">
        <f t="shared" si="66"/>
        <v>#VALUE!</v>
      </c>
      <c r="T288" s="41" t="e">
        <f t="shared" si="70"/>
        <v>#VALUE!</v>
      </c>
      <c r="U288" s="41" t="e">
        <f t="shared" si="71"/>
        <v>#VALUE!</v>
      </c>
      <c r="V288" s="41" t="e">
        <f t="shared" si="72"/>
        <v>#VALUE!</v>
      </c>
    </row>
    <row r="289" spans="2:22" x14ac:dyDescent="0.25">
      <c r="B289" s="41" t="b">
        <f t="shared" si="73"/>
        <v>0</v>
      </c>
      <c r="C289" s="41" t="e">
        <f t="shared" si="60"/>
        <v>#VALUE!</v>
      </c>
      <c r="E289" s="45">
        <v>286</v>
      </c>
      <c r="G289" s="138"/>
      <c r="H289" s="135">
        <v>1</v>
      </c>
      <c r="I289" s="46" t="e">
        <f t="shared" si="61"/>
        <v>#VALUE!</v>
      </c>
      <c r="J289" s="41" t="e">
        <f t="shared" si="67"/>
        <v>#VALUE!</v>
      </c>
      <c r="K289" s="41" t="e">
        <f t="shared" si="68"/>
        <v>#VALUE!</v>
      </c>
      <c r="L289" s="41" t="e">
        <f t="shared" si="68"/>
        <v>#VALUE!</v>
      </c>
      <c r="M289" s="41" t="e">
        <f t="shared" si="62"/>
        <v>#VALUE!</v>
      </c>
      <c r="N289" s="41" t="e">
        <f t="shared" si="63"/>
        <v>#VALUE!</v>
      </c>
      <c r="O289" s="41">
        <f t="shared" si="64"/>
        <v>0</v>
      </c>
      <c r="Q289" s="44" t="e">
        <f t="shared" si="65"/>
        <v>#VALUE!</v>
      </c>
      <c r="R289" s="44" t="e">
        <f t="shared" si="69"/>
        <v>#VALUE!</v>
      </c>
      <c r="S289" s="44" t="e">
        <f t="shared" si="66"/>
        <v>#VALUE!</v>
      </c>
      <c r="T289" s="41" t="e">
        <f t="shared" si="70"/>
        <v>#VALUE!</v>
      </c>
      <c r="U289" s="41" t="e">
        <f t="shared" si="71"/>
        <v>#VALUE!</v>
      </c>
      <c r="V289" s="41" t="e">
        <f t="shared" si="72"/>
        <v>#VALUE!</v>
      </c>
    </row>
    <row r="290" spans="2:22" x14ac:dyDescent="0.25">
      <c r="B290" s="41" t="b">
        <f t="shared" si="73"/>
        <v>0</v>
      </c>
      <c r="C290" s="41" t="e">
        <f t="shared" si="60"/>
        <v>#VALUE!</v>
      </c>
      <c r="E290" s="45">
        <v>287</v>
      </c>
      <c r="G290" s="138"/>
      <c r="H290" s="135">
        <v>1</v>
      </c>
      <c r="I290" s="46" t="e">
        <f t="shared" si="61"/>
        <v>#VALUE!</v>
      </c>
      <c r="J290" s="41" t="e">
        <f t="shared" si="67"/>
        <v>#VALUE!</v>
      </c>
      <c r="K290" s="41" t="e">
        <f t="shared" si="68"/>
        <v>#VALUE!</v>
      </c>
      <c r="L290" s="41" t="e">
        <f t="shared" si="68"/>
        <v>#VALUE!</v>
      </c>
      <c r="M290" s="41" t="e">
        <f t="shared" si="62"/>
        <v>#VALUE!</v>
      </c>
      <c r="N290" s="41" t="e">
        <f t="shared" si="63"/>
        <v>#VALUE!</v>
      </c>
      <c r="O290" s="41">
        <f t="shared" si="64"/>
        <v>0</v>
      </c>
      <c r="Q290" s="44" t="e">
        <f t="shared" si="65"/>
        <v>#VALUE!</v>
      </c>
      <c r="R290" s="44" t="e">
        <f t="shared" si="69"/>
        <v>#VALUE!</v>
      </c>
      <c r="S290" s="44" t="e">
        <f t="shared" si="66"/>
        <v>#VALUE!</v>
      </c>
      <c r="T290" s="41" t="e">
        <f t="shared" si="70"/>
        <v>#VALUE!</v>
      </c>
      <c r="U290" s="41" t="e">
        <f t="shared" si="71"/>
        <v>#VALUE!</v>
      </c>
      <c r="V290" s="41" t="e">
        <f t="shared" si="72"/>
        <v>#VALUE!</v>
      </c>
    </row>
    <row r="291" spans="2:22" x14ac:dyDescent="0.25">
      <c r="B291" s="41" t="b">
        <f t="shared" si="73"/>
        <v>0</v>
      </c>
      <c r="C291" s="41" t="e">
        <f t="shared" si="60"/>
        <v>#VALUE!</v>
      </c>
      <c r="E291" s="45">
        <v>288</v>
      </c>
      <c r="G291" s="138"/>
      <c r="H291" s="135">
        <v>1</v>
      </c>
      <c r="I291" s="46" t="e">
        <f t="shared" si="61"/>
        <v>#VALUE!</v>
      </c>
      <c r="J291" s="41" t="e">
        <f t="shared" si="67"/>
        <v>#VALUE!</v>
      </c>
      <c r="K291" s="41" t="e">
        <f t="shared" si="68"/>
        <v>#VALUE!</v>
      </c>
      <c r="L291" s="41" t="e">
        <f t="shared" si="68"/>
        <v>#VALUE!</v>
      </c>
      <c r="M291" s="41" t="e">
        <f t="shared" si="62"/>
        <v>#VALUE!</v>
      </c>
      <c r="N291" s="41" t="e">
        <f t="shared" si="63"/>
        <v>#VALUE!</v>
      </c>
      <c r="O291" s="41">
        <f t="shared" si="64"/>
        <v>0</v>
      </c>
      <c r="Q291" s="44" t="e">
        <f t="shared" si="65"/>
        <v>#VALUE!</v>
      </c>
      <c r="R291" s="44" t="e">
        <f t="shared" si="69"/>
        <v>#VALUE!</v>
      </c>
      <c r="S291" s="44" t="e">
        <f t="shared" si="66"/>
        <v>#VALUE!</v>
      </c>
      <c r="T291" s="41" t="e">
        <f t="shared" si="70"/>
        <v>#VALUE!</v>
      </c>
      <c r="U291" s="41" t="e">
        <f t="shared" si="71"/>
        <v>#VALUE!</v>
      </c>
      <c r="V291" s="41" t="e">
        <f t="shared" si="72"/>
        <v>#VALUE!</v>
      </c>
    </row>
    <row r="292" spans="2:22" x14ac:dyDescent="0.25">
      <c r="B292" s="41" t="b">
        <f t="shared" si="73"/>
        <v>0</v>
      </c>
      <c r="C292" s="41" t="e">
        <f t="shared" si="60"/>
        <v>#VALUE!</v>
      </c>
      <c r="E292" s="45">
        <v>289</v>
      </c>
      <c r="G292" s="138"/>
      <c r="H292" s="135">
        <v>1</v>
      </c>
      <c r="I292" s="46" t="e">
        <f t="shared" si="61"/>
        <v>#VALUE!</v>
      </c>
      <c r="J292" s="41" t="e">
        <f t="shared" si="67"/>
        <v>#VALUE!</v>
      </c>
      <c r="K292" s="41" t="e">
        <f t="shared" si="68"/>
        <v>#VALUE!</v>
      </c>
      <c r="L292" s="41" t="e">
        <f t="shared" si="68"/>
        <v>#VALUE!</v>
      </c>
      <c r="M292" s="41" t="e">
        <f t="shared" si="62"/>
        <v>#VALUE!</v>
      </c>
      <c r="N292" s="41" t="e">
        <f t="shared" si="63"/>
        <v>#VALUE!</v>
      </c>
      <c r="O292" s="41">
        <f t="shared" si="64"/>
        <v>0</v>
      </c>
      <c r="Q292" s="44" t="e">
        <f t="shared" si="65"/>
        <v>#VALUE!</v>
      </c>
      <c r="R292" s="44" t="e">
        <f t="shared" si="69"/>
        <v>#VALUE!</v>
      </c>
      <c r="S292" s="44" t="e">
        <f t="shared" si="66"/>
        <v>#VALUE!</v>
      </c>
      <c r="T292" s="41" t="e">
        <f t="shared" si="70"/>
        <v>#VALUE!</v>
      </c>
      <c r="U292" s="41" t="e">
        <f t="shared" si="71"/>
        <v>#VALUE!</v>
      </c>
      <c r="V292" s="41" t="e">
        <f t="shared" si="72"/>
        <v>#VALUE!</v>
      </c>
    </row>
    <row r="293" spans="2:22" x14ac:dyDescent="0.25">
      <c r="B293" s="41" t="b">
        <f t="shared" si="73"/>
        <v>0</v>
      </c>
      <c r="C293" s="41" t="e">
        <f t="shared" si="60"/>
        <v>#VALUE!</v>
      </c>
      <c r="E293" s="45">
        <v>290</v>
      </c>
      <c r="G293" s="138"/>
      <c r="H293" s="135">
        <v>1</v>
      </c>
      <c r="I293" s="46" t="e">
        <f t="shared" si="61"/>
        <v>#VALUE!</v>
      </c>
      <c r="J293" s="41" t="e">
        <f t="shared" si="67"/>
        <v>#VALUE!</v>
      </c>
      <c r="K293" s="41" t="e">
        <f t="shared" si="68"/>
        <v>#VALUE!</v>
      </c>
      <c r="L293" s="41" t="e">
        <f t="shared" si="68"/>
        <v>#VALUE!</v>
      </c>
      <c r="M293" s="41" t="e">
        <f t="shared" si="62"/>
        <v>#VALUE!</v>
      </c>
      <c r="N293" s="41" t="e">
        <f t="shared" si="63"/>
        <v>#VALUE!</v>
      </c>
      <c r="O293" s="41">
        <f t="shared" si="64"/>
        <v>0</v>
      </c>
      <c r="Q293" s="44" t="e">
        <f t="shared" si="65"/>
        <v>#VALUE!</v>
      </c>
      <c r="R293" s="44" t="e">
        <f t="shared" si="69"/>
        <v>#VALUE!</v>
      </c>
      <c r="S293" s="44" t="e">
        <f t="shared" si="66"/>
        <v>#VALUE!</v>
      </c>
      <c r="T293" s="41" t="e">
        <f t="shared" si="70"/>
        <v>#VALUE!</v>
      </c>
      <c r="U293" s="41" t="e">
        <f t="shared" si="71"/>
        <v>#VALUE!</v>
      </c>
      <c r="V293" s="41" t="e">
        <f t="shared" si="72"/>
        <v>#VALUE!</v>
      </c>
    </row>
    <row r="294" spans="2:22" x14ac:dyDescent="0.25">
      <c r="B294" s="41" t="b">
        <f t="shared" si="73"/>
        <v>0</v>
      </c>
      <c r="C294" s="41" t="e">
        <f t="shared" si="60"/>
        <v>#VALUE!</v>
      </c>
      <c r="E294" s="45">
        <v>291</v>
      </c>
      <c r="G294" s="138"/>
      <c r="H294" s="135">
        <v>1</v>
      </c>
      <c r="I294" s="46" t="e">
        <f t="shared" si="61"/>
        <v>#VALUE!</v>
      </c>
      <c r="J294" s="41" t="e">
        <f t="shared" si="67"/>
        <v>#VALUE!</v>
      </c>
      <c r="K294" s="41" t="e">
        <f t="shared" si="68"/>
        <v>#VALUE!</v>
      </c>
      <c r="L294" s="41" t="e">
        <f t="shared" si="68"/>
        <v>#VALUE!</v>
      </c>
      <c r="M294" s="41" t="e">
        <f t="shared" si="62"/>
        <v>#VALUE!</v>
      </c>
      <c r="N294" s="41" t="e">
        <f t="shared" si="63"/>
        <v>#VALUE!</v>
      </c>
      <c r="O294" s="41">
        <f t="shared" si="64"/>
        <v>0</v>
      </c>
      <c r="Q294" s="44" t="e">
        <f t="shared" si="65"/>
        <v>#VALUE!</v>
      </c>
      <c r="R294" s="44" t="e">
        <f t="shared" si="69"/>
        <v>#VALUE!</v>
      </c>
      <c r="S294" s="44" t="e">
        <f t="shared" si="66"/>
        <v>#VALUE!</v>
      </c>
      <c r="T294" s="41" t="e">
        <f t="shared" si="70"/>
        <v>#VALUE!</v>
      </c>
      <c r="U294" s="41" t="e">
        <f t="shared" si="71"/>
        <v>#VALUE!</v>
      </c>
      <c r="V294" s="41" t="e">
        <f t="shared" si="72"/>
        <v>#VALUE!</v>
      </c>
    </row>
    <row r="295" spans="2:22" x14ac:dyDescent="0.25">
      <c r="B295" s="41" t="b">
        <f t="shared" si="73"/>
        <v>0</v>
      </c>
      <c r="C295" s="41" t="e">
        <f t="shared" si="60"/>
        <v>#VALUE!</v>
      </c>
      <c r="E295" s="45">
        <v>292</v>
      </c>
      <c r="G295" s="138"/>
      <c r="H295" s="135">
        <v>1</v>
      </c>
      <c r="I295" s="46" t="e">
        <f t="shared" si="61"/>
        <v>#VALUE!</v>
      </c>
      <c r="J295" s="41" t="e">
        <f t="shared" si="67"/>
        <v>#VALUE!</v>
      </c>
      <c r="K295" s="41" t="e">
        <f t="shared" si="68"/>
        <v>#VALUE!</v>
      </c>
      <c r="L295" s="41" t="e">
        <f t="shared" si="68"/>
        <v>#VALUE!</v>
      </c>
      <c r="M295" s="41" t="e">
        <f t="shared" si="62"/>
        <v>#VALUE!</v>
      </c>
      <c r="N295" s="41" t="e">
        <f t="shared" si="63"/>
        <v>#VALUE!</v>
      </c>
      <c r="O295" s="41">
        <f t="shared" si="64"/>
        <v>0</v>
      </c>
      <c r="Q295" s="44" t="e">
        <f t="shared" si="65"/>
        <v>#VALUE!</v>
      </c>
      <c r="R295" s="44" t="e">
        <f t="shared" si="69"/>
        <v>#VALUE!</v>
      </c>
      <c r="S295" s="44" t="e">
        <f t="shared" si="66"/>
        <v>#VALUE!</v>
      </c>
      <c r="T295" s="41" t="e">
        <f t="shared" si="70"/>
        <v>#VALUE!</v>
      </c>
      <c r="U295" s="41" t="e">
        <f t="shared" si="71"/>
        <v>#VALUE!</v>
      </c>
      <c r="V295" s="41" t="e">
        <f t="shared" si="72"/>
        <v>#VALUE!</v>
      </c>
    </row>
    <row r="296" spans="2:22" x14ac:dyDescent="0.25">
      <c r="B296" s="41" t="b">
        <f t="shared" si="73"/>
        <v>0</v>
      </c>
      <c r="C296" s="41" t="e">
        <f t="shared" si="60"/>
        <v>#VALUE!</v>
      </c>
      <c r="E296" s="45">
        <v>293</v>
      </c>
      <c r="G296" s="138"/>
      <c r="H296" s="135">
        <v>1</v>
      </c>
      <c r="I296" s="46" t="e">
        <f t="shared" si="61"/>
        <v>#VALUE!</v>
      </c>
      <c r="J296" s="41" t="e">
        <f t="shared" si="67"/>
        <v>#VALUE!</v>
      </c>
      <c r="K296" s="41" t="e">
        <f t="shared" si="68"/>
        <v>#VALUE!</v>
      </c>
      <c r="L296" s="41" t="e">
        <f t="shared" si="68"/>
        <v>#VALUE!</v>
      </c>
      <c r="M296" s="41" t="e">
        <f t="shared" si="62"/>
        <v>#VALUE!</v>
      </c>
      <c r="N296" s="41" t="e">
        <f t="shared" si="63"/>
        <v>#VALUE!</v>
      </c>
      <c r="O296" s="41">
        <f t="shared" si="64"/>
        <v>0</v>
      </c>
      <c r="Q296" s="44" t="e">
        <f t="shared" si="65"/>
        <v>#VALUE!</v>
      </c>
      <c r="R296" s="44" t="e">
        <f t="shared" si="69"/>
        <v>#VALUE!</v>
      </c>
      <c r="S296" s="44" t="e">
        <f t="shared" si="66"/>
        <v>#VALUE!</v>
      </c>
      <c r="T296" s="41" t="e">
        <f t="shared" si="70"/>
        <v>#VALUE!</v>
      </c>
      <c r="U296" s="41" t="e">
        <f t="shared" si="71"/>
        <v>#VALUE!</v>
      </c>
      <c r="V296" s="41" t="e">
        <f t="shared" si="72"/>
        <v>#VALUE!</v>
      </c>
    </row>
    <row r="297" spans="2:22" x14ac:dyDescent="0.25">
      <c r="B297" s="41" t="b">
        <f t="shared" si="73"/>
        <v>0</v>
      </c>
      <c r="C297" s="41" t="e">
        <f t="shared" si="60"/>
        <v>#VALUE!</v>
      </c>
      <c r="E297" s="45">
        <v>294</v>
      </c>
      <c r="G297" s="138"/>
      <c r="H297" s="135">
        <v>1</v>
      </c>
      <c r="I297" s="46" t="e">
        <f t="shared" si="61"/>
        <v>#VALUE!</v>
      </c>
      <c r="J297" s="41" t="e">
        <f t="shared" si="67"/>
        <v>#VALUE!</v>
      </c>
      <c r="K297" s="41" t="e">
        <f t="shared" si="68"/>
        <v>#VALUE!</v>
      </c>
      <c r="L297" s="41" t="e">
        <f t="shared" si="68"/>
        <v>#VALUE!</v>
      </c>
      <c r="M297" s="41" t="e">
        <f t="shared" si="62"/>
        <v>#VALUE!</v>
      </c>
      <c r="N297" s="41" t="e">
        <f t="shared" si="63"/>
        <v>#VALUE!</v>
      </c>
      <c r="O297" s="41">
        <f t="shared" si="64"/>
        <v>0</v>
      </c>
      <c r="Q297" s="44" t="e">
        <f t="shared" si="65"/>
        <v>#VALUE!</v>
      </c>
      <c r="R297" s="44" t="e">
        <f t="shared" si="69"/>
        <v>#VALUE!</v>
      </c>
      <c r="S297" s="44" t="e">
        <f t="shared" si="66"/>
        <v>#VALUE!</v>
      </c>
      <c r="T297" s="41" t="e">
        <f t="shared" si="70"/>
        <v>#VALUE!</v>
      </c>
      <c r="U297" s="41" t="e">
        <f t="shared" si="71"/>
        <v>#VALUE!</v>
      </c>
      <c r="V297" s="41" t="e">
        <f t="shared" si="72"/>
        <v>#VALUE!</v>
      </c>
    </row>
    <row r="298" spans="2:22" x14ac:dyDescent="0.25">
      <c r="B298" s="41" t="b">
        <f t="shared" si="73"/>
        <v>0</v>
      </c>
      <c r="C298" s="41" t="e">
        <f t="shared" si="60"/>
        <v>#VALUE!</v>
      </c>
      <c r="E298" s="45">
        <v>295</v>
      </c>
      <c r="G298" s="138"/>
      <c r="H298" s="135">
        <v>1</v>
      </c>
      <c r="I298" s="46" t="e">
        <f t="shared" si="61"/>
        <v>#VALUE!</v>
      </c>
      <c r="J298" s="41" t="e">
        <f t="shared" si="67"/>
        <v>#VALUE!</v>
      </c>
      <c r="K298" s="41" t="e">
        <f t="shared" si="68"/>
        <v>#VALUE!</v>
      </c>
      <c r="L298" s="41" t="e">
        <f t="shared" si="68"/>
        <v>#VALUE!</v>
      </c>
      <c r="M298" s="41" t="e">
        <f t="shared" si="62"/>
        <v>#VALUE!</v>
      </c>
      <c r="N298" s="41" t="e">
        <f t="shared" si="63"/>
        <v>#VALUE!</v>
      </c>
      <c r="O298" s="41">
        <f t="shared" si="64"/>
        <v>0</v>
      </c>
      <c r="Q298" s="44" t="e">
        <f t="shared" si="65"/>
        <v>#VALUE!</v>
      </c>
      <c r="R298" s="44" t="e">
        <f t="shared" si="69"/>
        <v>#VALUE!</v>
      </c>
      <c r="S298" s="44" t="e">
        <f t="shared" si="66"/>
        <v>#VALUE!</v>
      </c>
      <c r="T298" s="41" t="e">
        <f t="shared" si="70"/>
        <v>#VALUE!</v>
      </c>
      <c r="U298" s="41" t="e">
        <f t="shared" si="71"/>
        <v>#VALUE!</v>
      </c>
      <c r="V298" s="41" t="e">
        <f t="shared" si="72"/>
        <v>#VALUE!</v>
      </c>
    </row>
    <row r="299" spans="2:22" x14ac:dyDescent="0.25">
      <c r="B299" s="41" t="b">
        <f t="shared" si="73"/>
        <v>0</v>
      </c>
      <c r="C299" s="41" t="e">
        <f t="shared" si="60"/>
        <v>#VALUE!</v>
      </c>
      <c r="E299" s="45">
        <v>296</v>
      </c>
      <c r="G299" s="138"/>
      <c r="H299" s="135">
        <v>1</v>
      </c>
      <c r="I299" s="46" t="e">
        <f t="shared" si="61"/>
        <v>#VALUE!</v>
      </c>
      <c r="J299" s="41" t="e">
        <f t="shared" si="67"/>
        <v>#VALUE!</v>
      </c>
      <c r="K299" s="41" t="e">
        <f t="shared" si="68"/>
        <v>#VALUE!</v>
      </c>
      <c r="L299" s="41" t="e">
        <f t="shared" si="68"/>
        <v>#VALUE!</v>
      </c>
      <c r="M299" s="41" t="e">
        <f t="shared" si="62"/>
        <v>#VALUE!</v>
      </c>
      <c r="N299" s="41" t="e">
        <f t="shared" si="63"/>
        <v>#VALUE!</v>
      </c>
      <c r="O299" s="41">
        <f t="shared" si="64"/>
        <v>0</v>
      </c>
      <c r="Q299" s="44" t="e">
        <f t="shared" si="65"/>
        <v>#VALUE!</v>
      </c>
      <c r="R299" s="44" t="e">
        <f t="shared" si="69"/>
        <v>#VALUE!</v>
      </c>
      <c r="S299" s="44" t="e">
        <f t="shared" si="66"/>
        <v>#VALUE!</v>
      </c>
      <c r="T299" s="41" t="e">
        <f t="shared" si="70"/>
        <v>#VALUE!</v>
      </c>
      <c r="U299" s="41" t="e">
        <f t="shared" si="71"/>
        <v>#VALUE!</v>
      </c>
      <c r="V299" s="41" t="e">
        <f t="shared" si="72"/>
        <v>#VALUE!</v>
      </c>
    </row>
    <row r="300" spans="2:22" x14ac:dyDescent="0.25">
      <c r="B300" s="41" t="b">
        <f t="shared" si="73"/>
        <v>0</v>
      </c>
      <c r="C300" s="41" t="e">
        <f t="shared" si="60"/>
        <v>#VALUE!</v>
      </c>
      <c r="E300" s="45">
        <v>297</v>
      </c>
      <c r="G300" s="138"/>
      <c r="H300" s="135">
        <v>1</v>
      </c>
      <c r="I300" s="46" t="e">
        <f t="shared" si="61"/>
        <v>#VALUE!</v>
      </c>
      <c r="J300" s="41" t="e">
        <f t="shared" si="67"/>
        <v>#VALUE!</v>
      </c>
      <c r="K300" s="41" t="e">
        <f t="shared" si="68"/>
        <v>#VALUE!</v>
      </c>
      <c r="L300" s="41" t="e">
        <f t="shared" si="68"/>
        <v>#VALUE!</v>
      </c>
      <c r="M300" s="41" t="e">
        <f t="shared" si="62"/>
        <v>#VALUE!</v>
      </c>
      <c r="N300" s="41" t="e">
        <f t="shared" si="63"/>
        <v>#VALUE!</v>
      </c>
      <c r="O300" s="41">
        <f t="shared" si="64"/>
        <v>0</v>
      </c>
      <c r="Q300" s="44" t="e">
        <f t="shared" si="65"/>
        <v>#VALUE!</v>
      </c>
      <c r="R300" s="44" t="e">
        <f t="shared" si="69"/>
        <v>#VALUE!</v>
      </c>
      <c r="S300" s="44" t="e">
        <f t="shared" si="66"/>
        <v>#VALUE!</v>
      </c>
      <c r="T300" s="41" t="e">
        <f t="shared" si="70"/>
        <v>#VALUE!</v>
      </c>
      <c r="U300" s="41" t="e">
        <f t="shared" si="71"/>
        <v>#VALUE!</v>
      </c>
      <c r="V300" s="41" t="e">
        <f t="shared" si="72"/>
        <v>#VALUE!</v>
      </c>
    </row>
    <row r="301" spans="2:22" x14ac:dyDescent="0.25">
      <c r="B301" s="41" t="b">
        <f t="shared" si="73"/>
        <v>0</v>
      </c>
      <c r="C301" s="41" t="e">
        <f t="shared" si="60"/>
        <v>#VALUE!</v>
      </c>
      <c r="E301" s="45">
        <v>298</v>
      </c>
      <c r="G301" s="138"/>
      <c r="H301" s="135">
        <v>1</v>
      </c>
      <c r="I301" s="46" t="e">
        <f t="shared" si="61"/>
        <v>#VALUE!</v>
      </c>
      <c r="J301" s="41" t="e">
        <f t="shared" si="67"/>
        <v>#VALUE!</v>
      </c>
      <c r="K301" s="41" t="e">
        <f t="shared" si="68"/>
        <v>#VALUE!</v>
      </c>
      <c r="L301" s="41" t="e">
        <f t="shared" si="68"/>
        <v>#VALUE!</v>
      </c>
      <c r="M301" s="41" t="e">
        <f t="shared" si="62"/>
        <v>#VALUE!</v>
      </c>
      <c r="N301" s="41" t="e">
        <f t="shared" si="63"/>
        <v>#VALUE!</v>
      </c>
      <c r="O301" s="41">
        <f t="shared" si="64"/>
        <v>0</v>
      </c>
      <c r="Q301" s="44" t="e">
        <f t="shared" si="65"/>
        <v>#VALUE!</v>
      </c>
      <c r="R301" s="44" t="e">
        <f t="shared" si="69"/>
        <v>#VALUE!</v>
      </c>
      <c r="S301" s="44" t="e">
        <f t="shared" si="66"/>
        <v>#VALUE!</v>
      </c>
      <c r="T301" s="41" t="e">
        <f t="shared" si="70"/>
        <v>#VALUE!</v>
      </c>
      <c r="U301" s="41" t="e">
        <f t="shared" si="71"/>
        <v>#VALUE!</v>
      </c>
      <c r="V301" s="41" t="e">
        <f t="shared" si="72"/>
        <v>#VALUE!</v>
      </c>
    </row>
    <row r="302" spans="2:22" x14ac:dyDescent="0.25">
      <c r="B302" s="41" t="b">
        <f t="shared" si="73"/>
        <v>0</v>
      </c>
      <c r="C302" s="41" t="e">
        <f t="shared" si="60"/>
        <v>#VALUE!</v>
      </c>
      <c r="E302" s="45">
        <v>299</v>
      </c>
      <c r="G302" s="138"/>
      <c r="H302" s="135">
        <v>1</v>
      </c>
      <c r="I302" s="46" t="e">
        <f t="shared" si="61"/>
        <v>#VALUE!</v>
      </c>
      <c r="J302" s="41" t="e">
        <f t="shared" si="67"/>
        <v>#VALUE!</v>
      </c>
      <c r="K302" s="41" t="e">
        <f t="shared" si="68"/>
        <v>#VALUE!</v>
      </c>
      <c r="L302" s="41" t="e">
        <f t="shared" si="68"/>
        <v>#VALUE!</v>
      </c>
      <c r="M302" s="41" t="e">
        <f t="shared" si="62"/>
        <v>#VALUE!</v>
      </c>
      <c r="N302" s="41" t="e">
        <f t="shared" si="63"/>
        <v>#VALUE!</v>
      </c>
      <c r="O302" s="41">
        <f t="shared" si="64"/>
        <v>0</v>
      </c>
      <c r="Q302" s="44" t="e">
        <f t="shared" si="65"/>
        <v>#VALUE!</v>
      </c>
      <c r="R302" s="44" t="e">
        <f t="shared" si="69"/>
        <v>#VALUE!</v>
      </c>
      <c r="S302" s="44" t="e">
        <f t="shared" si="66"/>
        <v>#VALUE!</v>
      </c>
      <c r="T302" s="41" t="e">
        <f t="shared" si="70"/>
        <v>#VALUE!</v>
      </c>
      <c r="U302" s="41" t="e">
        <f t="shared" si="71"/>
        <v>#VALUE!</v>
      </c>
      <c r="V302" s="41" t="e">
        <f t="shared" si="72"/>
        <v>#VALUE!</v>
      </c>
    </row>
    <row r="303" spans="2:22" x14ac:dyDescent="0.25">
      <c r="B303" s="41" t="b">
        <f t="shared" si="73"/>
        <v>0</v>
      </c>
      <c r="C303" s="41" t="e">
        <f t="shared" si="60"/>
        <v>#VALUE!</v>
      </c>
      <c r="E303" s="45">
        <v>300</v>
      </c>
      <c r="G303" s="138"/>
      <c r="H303" s="135">
        <v>1</v>
      </c>
      <c r="I303" s="46" t="e">
        <f t="shared" si="61"/>
        <v>#VALUE!</v>
      </c>
      <c r="J303" s="41" t="e">
        <f t="shared" si="67"/>
        <v>#VALUE!</v>
      </c>
      <c r="K303" s="41" t="e">
        <f t="shared" si="68"/>
        <v>#VALUE!</v>
      </c>
      <c r="L303" s="41" t="e">
        <f t="shared" si="68"/>
        <v>#VALUE!</v>
      </c>
      <c r="M303" s="41" t="e">
        <f t="shared" si="62"/>
        <v>#VALUE!</v>
      </c>
      <c r="N303" s="41" t="e">
        <f t="shared" si="63"/>
        <v>#VALUE!</v>
      </c>
      <c r="O303" s="41">
        <f t="shared" si="64"/>
        <v>0</v>
      </c>
      <c r="Q303" s="44" t="e">
        <f t="shared" si="65"/>
        <v>#VALUE!</v>
      </c>
      <c r="R303" s="44" t="e">
        <f t="shared" si="69"/>
        <v>#VALUE!</v>
      </c>
      <c r="S303" s="44" t="e">
        <f t="shared" si="66"/>
        <v>#VALUE!</v>
      </c>
      <c r="T303" s="41" t="e">
        <f t="shared" si="70"/>
        <v>#VALUE!</v>
      </c>
      <c r="U303" s="41" t="e">
        <f t="shared" si="71"/>
        <v>#VALUE!</v>
      </c>
      <c r="V303" s="41" t="e">
        <f t="shared" si="72"/>
        <v>#VALUE!</v>
      </c>
    </row>
    <row r="304" spans="2:22" x14ac:dyDescent="0.25">
      <c r="B304" s="41" t="b">
        <f t="shared" si="73"/>
        <v>0</v>
      </c>
      <c r="C304" s="41" t="e">
        <f t="shared" si="60"/>
        <v>#VALUE!</v>
      </c>
      <c r="E304" s="45">
        <v>301</v>
      </c>
      <c r="G304" s="138"/>
      <c r="H304" s="135">
        <v>1</v>
      </c>
      <c r="I304" s="46" t="e">
        <f t="shared" si="61"/>
        <v>#VALUE!</v>
      </c>
      <c r="J304" s="41" t="e">
        <f t="shared" si="67"/>
        <v>#VALUE!</v>
      </c>
      <c r="K304" s="41" t="e">
        <f t="shared" si="68"/>
        <v>#VALUE!</v>
      </c>
      <c r="L304" s="41" t="e">
        <f t="shared" si="68"/>
        <v>#VALUE!</v>
      </c>
      <c r="M304" s="41" t="e">
        <f t="shared" si="62"/>
        <v>#VALUE!</v>
      </c>
      <c r="N304" s="41" t="e">
        <f t="shared" si="63"/>
        <v>#VALUE!</v>
      </c>
      <c r="O304" s="41">
        <f t="shared" si="64"/>
        <v>0</v>
      </c>
      <c r="Q304" s="44" t="e">
        <f t="shared" si="65"/>
        <v>#VALUE!</v>
      </c>
      <c r="R304" s="44" t="e">
        <f t="shared" si="69"/>
        <v>#VALUE!</v>
      </c>
      <c r="S304" s="44" t="e">
        <f t="shared" si="66"/>
        <v>#VALUE!</v>
      </c>
      <c r="T304" s="41" t="e">
        <f t="shared" si="70"/>
        <v>#VALUE!</v>
      </c>
      <c r="U304" s="41" t="e">
        <f t="shared" si="71"/>
        <v>#VALUE!</v>
      </c>
      <c r="V304" s="41" t="e">
        <f t="shared" si="72"/>
        <v>#VALUE!</v>
      </c>
    </row>
    <row r="305" spans="2:22" x14ac:dyDescent="0.25">
      <c r="B305" s="41" t="b">
        <f t="shared" si="73"/>
        <v>0</v>
      </c>
      <c r="C305" s="41" t="e">
        <f t="shared" si="60"/>
        <v>#VALUE!</v>
      </c>
      <c r="E305" s="45">
        <v>302</v>
      </c>
      <c r="G305" s="138"/>
      <c r="H305" s="135">
        <v>1</v>
      </c>
      <c r="I305" s="46" t="e">
        <f t="shared" si="61"/>
        <v>#VALUE!</v>
      </c>
      <c r="J305" s="41" t="e">
        <f t="shared" si="67"/>
        <v>#VALUE!</v>
      </c>
      <c r="K305" s="41" t="e">
        <f t="shared" si="68"/>
        <v>#VALUE!</v>
      </c>
      <c r="L305" s="41" t="e">
        <f t="shared" si="68"/>
        <v>#VALUE!</v>
      </c>
      <c r="M305" s="41" t="e">
        <f t="shared" si="62"/>
        <v>#VALUE!</v>
      </c>
      <c r="N305" s="41" t="e">
        <f t="shared" si="63"/>
        <v>#VALUE!</v>
      </c>
      <c r="O305" s="41">
        <f t="shared" si="64"/>
        <v>0</v>
      </c>
      <c r="Q305" s="44" t="e">
        <f t="shared" si="65"/>
        <v>#VALUE!</v>
      </c>
      <c r="R305" s="44" t="e">
        <f t="shared" si="69"/>
        <v>#VALUE!</v>
      </c>
      <c r="S305" s="44" t="e">
        <f t="shared" si="66"/>
        <v>#VALUE!</v>
      </c>
      <c r="T305" s="41" t="e">
        <f t="shared" si="70"/>
        <v>#VALUE!</v>
      </c>
      <c r="U305" s="41" t="e">
        <f t="shared" si="71"/>
        <v>#VALUE!</v>
      </c>
      <c r="V305" s="41" t="e">
        <f t="shared" si="72"/>
        <v>#VALUE!</v>
      </c>
    </row>
    <row r="306" spans="2:22" x14ac:dyDescent="0.25">
      <c r="B306" s="41" t="b">
        <f t="shared" si="73"/>
        <v>0</v>
      </c>
      <c r="C306" s="41" t="e">
        <f t="shared" si="60"/>
        <v>#VALUE!</v>
      </c>
      <c r="E306" s="45">
        <v>303</v>
      </c>
      <c r="G306" s="138"/>
      <c r="H306" s="135">
        <v>1</v>
      </c>
      <c r="I306" s="46" t="e">
        <f t="shared" si="61"/>
        <v>#VALUE!</v>
      </c>
      <c r="J306" s="41" t="e">
        <f t="shared" si="67"/>
        <v>#VALUE!</v>
      </c>
      <c r="K306" s="41" t="e">
        <f t="shared" si="68"/>
        <v>#VALUE!</v>
      </c>
      <c r="L306" s="41" t="e">
        <f t="shared" si="68"/>
        <v>#VALUE!</v>
      </c>
      <c r="M306" s="41" t="e">
        <f t="shared" si="62"/>
        <v>#VALUE!</v>
      </c>
      <c r="N306" s="41" t="e">
        <f t="shared" si="63"/>
        <v>#VALUE!</v>
      </c>
      <c r="O306" s="41">
        <f t="shared" si="64"/>
        <v>0</v>
      </c>
      <c r="Q306" s="44" t="e">
        <f t="shared" si="65"/>
        <v>#VALUE!</v>
      </c>
      <c r="R306" s="44" t="e">
        <f t="shared" si="69"/>
        <v>#VALUE!</v>
      </c>
      <c r="S306" s="44" t="e">
        <f t="shared" si="66"/>
        <v>#VALUE!</v>
      </c>
      <c r="T306" s="41" t="e">
        <f t="shared" si="70"/>
        <v>#VALUE!</v>
      </c>
      <c r="U306" s="41" t="e">
        <f t="shared" si="71"/>
        <v>#VALUE!</v>
      </c>
      <c r="V306" s="41" t="e">
        <f t="shared" si="72"/>
        <v>#VALUE!</v>
      </c>
    </row>
    <row r="307" spans="2:22" x14ac:dyDescent="0.25">
      <c r="B307" s="41" t="b">
        <f t="shared" si="73"/>
        <v>0</v>
      </c>
      <c r="C307" s="41" t="e">
        <f t="shared" si="60"/>
        <v>#VALUE!</v>
      </c>
      <c r="E307" s="45">
        <v>304</v>
      </c>
      <c r="G307" s="138"/>
      <c r="H307" s="135">
        <v>1</v>
      </c>
      <c r="I307" s="46" t="e">
        <f t="shared" si="61"/>
        <v>#VALUE!</v>
      </c>
      <c r="J307" s="41" t="e">
        <f t="shared" si="67"/>
        <v>#VALUE!</v>
      </c>
      <c r="K307" s="41" t="e">
        <f t="shared" si="68"/>
        <v>#VALUE!</v>
      </c>
      <c r="L307" s="41" t="e">
        <f t="shared" si="68"/>
        <v>#VALUE!</v>
      </c>
      <c r="M307" s="41" t="e">
        <f t="shared" si="62"/>
        <v>#VALUE!</v>
      </c>
      <c r="N307" s="41" t="e">
        <f t="shared" si="63"/>
        <v>#VALUE!</v>
      </c>
      <c r="O307" s="41">
        <f t="shared" si="64"/>
        <v>0</v>
      </c>
      <c r="Q307" s="44" t="e">
        <f t="shared" si="65"/>
        <v>#VALUE!</v>
      </c>
      <c r="R307" s="44" t="e">
        <f t="shared" si="69"/>
        <v>#VALUE!</v>
      </c>
      <c r="S307" s="44" t="e">
        <f t="shared" si="66"/>
        <v>#VALUE!</v>
      </c>
      <c r="T307" s="41" t="e">
        <f t="shared" si="70"/>
        <v>#VALUE!</v>
      </c>
      <c r="U307" s="41" t="e">
        <f t="shared" si="71"/>
        <v>#VALUE!</v>
      </c>
      <c r="V307" s="41" t="e">
        <f t="shared" si="72"/>
        <v>#VALUE!</v>
      </c>
    </row>
    <row r="308" spans="2:22" x14ac:dyDescent="0.25">
      <c r="B308" s="41" t="b">
        <f t="shared" si="73"/>
        <v>0</v>
      </c>
      <c r="C308" s="41" t="e">
        <f t="shared" si="60"/>
        <v>#VALUE!</v>
      </c>
      <c r="E308" s="45">
        <v>305</v>
      </c>
      <c r="G308" s="138"/>
      <c r="H308" s="135">
        <v>1</v>
      </c>
      <c r="I308" s="46" t="e">
        <f t="shared" si="61"/>
        <v>#VALUE!</v>
      </c>
      <c r="J308" s="41" t="e">
        <f t="shared" si="67"/>
        <v>#VALUE!</v>
      </c>
      <c r="K308" s="41" t="e">
        <f t="shared" si="68"/>
        <v>#VALUE!</v>
      </c>
      <c r="L308" s="41" t="e">
        <f t="shared" si="68"/>
        <v>#VALUE!</v>
      </c>
      <c r="M308" s="41" t="e">
        <f t="shared" si="62"/>
        <v>#VALUE!</v>
      </c>
      <c r="N308" s="41" t="e">
        <f t="shared" si="63"/>
        <v>#VALUE!</v>
      </c>
      <c r="O308" s="41">
        <f t="shared" si="64"/>
        <v>0</v>
      </c>
      <c r="Q308" s="44" t="e">
        <f t="shared" si="65"/>
        <v>#VALUE!</v>
      </c>
      <c r="R308" s="44" t="e">
        <f t="shared" si="69"/>
        <v>#VALUE!</v>
      </c>
      <c r="S308" s="44" t="e">
        <f t="shared" si="66"/>
        <v>#VALUE!</v>
      </c>
      <c r="T308" s="41" t="e">
        <f t="shared" si="70"/>
        <v>#VALUE!</v>
      </c>
      <c r="U308" s="41" t="e">
        <f t="shared" si="71"/>
        <v>#VALUE!</v>
      </c>
      <c r="V308" s="41" t="e">
        <f t="shared" si="72"/>
        <v>#VALUE!</v>
      </c>
    </row>
    <row r="309" spans="2:22" x14ac:dyDescent="0.25">
      <c r="B309" s="41" t="b">
        <f t="shared" si="73"/>
        <v>0</v>
      </c>
      <c r="C309" s="41" t="e">
        <f t="shared" si="60"/>
        <v>#VALUE!</v>
      </c>
      <c r="E309" s="45">
        <v>306</v>
      </c>
      <c r="G309" s="138"/>
      <c r="H309" s="135">
        <v>1</v>
      </c>
      <c r="I309" s="46" t="e">
        <f t="shared" si="61"/>
        <v>#VALUE!</v>
      </c>
      <c r="J309" s="41" t="e">
        <f t="shared" si="67"/>
        <v>#VALUE!</v>
      </c>
      <c r="K309" s="41" t="e">
        <f t="shared" si="68"/>
        <v>#VALUE!</v>
      </c>
      <c r="L309" s="41" t="e">
        <f t="shared" si="68"/>
        <v>#VALUE!</v>
      </c>
      <c r="M309" s="41" t="e">
        <f t="shared" si="62"/>
        <v>#VALUE!</v>
      </c>
      <c r="N309" s="41" t="e">
        <f t="shared" si="63"/>
        <v>#VALUE!</v>
      </c>
      <c r="O309" s="41">
        <f t="shared" si="64"/>
        <v>0</v>
      </c>
      <c r="Q309" s="44" t="e">
        <f t="shared" si="65"/>
        <v>#VALUE!</v>
      </c>
      <c r="R309" s="44" t="e">
        <f t="shared" si="69"/>
        <v>#VALUE!</v>
      </c>
      <c r="S309" s="44" t="e">
        <f t="shared" si="66"/>
        <v>#VALUE!</v>
      </c>
      <c r="T309" s="41" t="e">
        <f t="shared" si="70"/>
        <v>#VALUE!</v>
      </c>
      <c r="U309" s="41" t="e">
        <f t="shared" si="71"/>
        <v>#VALUE!</v>
      </c>
      <c r="V309" s="41" t="e">
        <f t="shared" si="72"/>
        <v>#VALUE!</v>
      </c>
    </row>
    <row r="310" spans="2:22" x14ac:dyDescent="0.25">
      <c r="B310" s="41" t="b">
        <f t="shared" si="73"/>
        <v>0</v>
      </c>
      <c r="C310" s="41" t="e">
        <f t="shared" ref="C310:C373" si="74">SUM(T310:V310)</f>
        <v>#VALUE!</v>
      </c>
      <c r="E310" s="45">
        <v>307</v>
      </c>
      <c r="G310" s="138"/>
      <c r="H310" s="135">
        <v>1</v>
      </c>
      <c r="I310" s="46" t="e">
        <f t="shared" si="61"/>
        <v>#VALUE!</v>
      </c>
      <c r="J310" s="41" t="e">
        <f t="shared" si="67"/>
        <v>#VALUE!</v>
      </c>
      <c r="K310" s="41" t="e">
        <f t="shared" si="68"/>
        <v>#VALUE!</v>
      </c>
      <c r="L310" s="41" t="e">
        <f t="shared" si="68"/>
        <v>#VALUE!</v>
      </c>
      <c r="M310" s="41" t="e">
        <f t="shared" si="62"/>
        <v>#VALUE!</v>
      </c>
      <c r="N310" s="41" t="e">
        <f t="shared" si="63"/>
        <v>#VALUE!</v>
      </c>
      <c r="O310" s="41">
        <f t="shared" si="64"/>
        <v>0</v>
      </c>
      <c r="Q310" s="44" t="e">
        <f t="shared" si="65"/>
        <v>#VALUE!</v>
      </c>
      <c r="R310" s="44" t="e">
        <f t="shared" si="69"/>
        <v>#VALUE!</v>
      </c>
      <c r="S310" s="44" t="e">
        <f t="shared" si="66"/>
        <v>#VALUE!</v>
      </c>
      <c r="T310" s="41" t="e">
        <f t="shared" si="70"/>
        <v>#VALUE!</v>
      </c>
      <c r="U310" s="41" t="e">
        <f t="shared" si="71"/>
        <v>#VALUE!</v>
      </c>
      <c r="V310" s="41" t="e">
        <f t="shared" si="72"/>
        <v>#VALUE!</v>
      </c>
    </row>
    <row r="311" spans="2:22" x14ac:dyDescent="0.25">
      <c r="B311" s="41" t="b">
        <f t="shared" si="73"/>
        <v>0</v>
      </c>
      <c r="C311" s="41" t="e">
        <f t="shared" si="74"/>
        <v>#VALUE!</v>
      </c>
      <c r="E311" s="45">
        <v>308</v>
      </c>
      <c r="G311" s="138"/>
      <c r="H311" s="135">
        <v>1</v>
      </c>
      <c r="I311" s="46" t="e">
        <f t="shared" si="61"/>
        <v>#VALUE!</v>
      </c>
      <c r="J311" s="41" t="e">
        <f t="shared" si="67"/>
        <v>#VALUE!</v>
      </c>
      <c r="K311" s="41" t="e">
        <f t="shared" si="68"/>
        <v>#VALUE!</v>
      </c>
      <c r="L311" s="41" t="e">
        <f t="shared" si="68"/>
        <v>#VALUE!</v>
      </c>
      <c r="M311" s="41" t="e">
        <f t="shared" si="62"/>
        <v>#VALUE!</v>
      </c>
      <c r="N311" s="41" t="e">
        <f t="shared" si="63"/>
        <v>#VALUE!</v>
      </c>
      <c r="O311" s="41">
        <f t="shared" si="64"/>
        <v>0</v>
      </c>
      <c r="Q311" s="44" t="e">
        <f t="shared" si="65"/>
        <v>#VALUE!</v>
      </c>
      <c r="R311" s="44" t="e">
        <f t="shared" si="69"/>
        <v>#VALUE!</v>
      </c>
      <c r="S311" s="44" t="e">
        <f t="shared" si="66"/>
        <v>#VALUE!</v>
      </c>
      <c r="T311" s="41" t="e">
        <f t="shared" si="70"/>
        <v>#VALUE!</v>
      </c>
      <c r="U311" s="41" t="e">
        <f t="shared" si="71"/>
        <v>#VALUE!</v>
      </c>
      <c r="V311" s="41" t="e">
        <f t="shared" si="72"/>
        <v>#VALUE!</v>
      </c>
    </row>
    <row r="312" spans="2:22" x14ac:dyDescent="0.25">
      <c r="B312" s="41" t="b">
        <f t="shared" si="73"/>
        <v>0</v>
      </c>
      <c r="C312" s="41" t="e">
        <f t="shared" si="74"/>
        <v>#VALUE!</v>
      </c>
      <c r="E312" s="45">
        <v>309</v>
      </c>
      <c r="G312" s="138"/>
      <c r="H312" s="135">
        <v>1</v>
      </c>
      <c r="I312" s="46" t="e">
        <f t="shared" si="61"/>
        <v>#VALUE!</v>
      </c>
      <c r="J312" s="41" t="e">
        <f t="shared" si="67"/>
        <v>#VALUE!</v>
      </c>
      <c r="K312" s="41" t="e">
        <f t="shared" si="68"/>
        <v>#VALUE!</v>
      </c>
      <c r="L312" s="41" t="e">
        <f t="shared" si="68"/>
        <v>#VALUE!</v>
      </c>
      <c r="M312" s="41" t="e">
        <f t="shared" si="62"/>
        <v>#VALUE!</v>
      </c>
      <c r="N312" s="41" t="e">
        <f t="shared" si="63"/>
        <v>#VALUE!</v>
      </c>
      <c r="O312" s="41">
        <f t="shared" si="64"/>
        <v>0</v>
      </c>
      <c r="Q312" s="44" t="e">
        <f t="shared" si="65"/>
        <v>#VALUE!</v>
      </c>
      <c r="R312" s="44" t="e">
        <f t="shared" si="69"/>
        <v>#VALUE!</v>
      </c>
      <c r="S312" s="44" t="e">
        <f t="shared" si="66"/>
        <v>#VALUE!</v>
      </c>
      <c r="T312" s="41" t="e">
        <f t="shared" si="70"/>
        <v>#VALUE!</v>
      </c>
      <c r="U312" s="41" t="e">
        <f t="shared" si="71"/>
        <v>#VALUE!</v>
      </c>
      <c r="V312" s="41" t="e">
        <f t="shared" si="72"/>
        <v>#VALUE!</v>
      </c>
    </row>
    <row r="313" spans="2:22" x14ac:dyDescent="0.25">
      <c r="B313" s="41" t="b">
        <f t="shared" si="73"/>
        <v>0</v>
      </c>
      <c r="C313" s="41" t="e">
        <f t="shared" si="74"/>
        <v>#VALUE!</v>
      </c>
      <c r="E313" s="45">
        <v>310</v>
      </c>
      <c r="G313" s="138"/>
      <c r="H313" s="135">
        <v>1</v>
      </c>
      <c r="I313" s="46" t="e">
        <f t="shared" si="61"/>
        <v>#VALUE!</v>
      </c>
      <c r="J313" s="41" t="e">
        <f t="shared" si="67"/>
        <v>#VALUE!</v>
      </c>
      <c r="K313" s="41" t="e">
        <f t="shared" si="68"/>
        <v>#VALUE!</v>
      </c>
      <c r="L313" s="41" t="e">
        <f t="shared" si="68"/>
        <v>#VALUE!</v>
      </c>
      <c r="M313" s="41" t="e">
        <f t="shared" si="62"/>
        <v>#VALUE!</v>
      </c>
      <c r="N313" s="41" t="e">
        <f t="shared" si="63"/>
        <v>#VALUE!</v>
      </c>
      <c r="O313" s="41">
        <f t="shared" si="64"/>
        <v>0</v>
      </c>
      <c r="Q313" s="44" t="e">
        <f t="shared" si="65"/>
        <v>#VALUE!</v>
      </c>
      <c r="R313" s="44" t="e">
        <f t="shared" si="69"/>
        <v>#VALUE!</v>
      </c>
      <c r="S313" s="44" t="e">
        <f t="shared" si="66"/>
        <v>#VALUE!</v>
      </c>
      <c r="T313" s="41" t="e">
        <f t="shared" si="70"/>
        <v>#VALUE!</v>
      </c>
      <c r="U313" s="41" t="e">
        <f t="shared" si="71"/>
        <v>#VALUE!</v>
      </c>
      <c r="V313" s="41" t="e">
        <f t="shared" si="72"/>
        <v>#VALUE!</v>
      </c>
    </row>
    <row r="314" spans="2:22" x14ac:dyDescent="0.25">
      <c r="B314" s="41" t="b">
        <f t="shared" si="73"/>
        <v>0</v>
      </c>
      <c r="C314" s="41" t="e">
        <f t="shared" si="74"/>
        <v>#VALUE!</v>
      </c>
      <c r="E314" s="45">
        <v>311</v>
      </c>
      <c r="G314" s="138"/>
      <c r="H314" s="135">
        <v>1</v>
      </c>
      <c r="I314" s="46" t="e">
        <f t="shared" si="61"/>
        <v>#VALUE!</v>
      </c>
      <c r="J314" s="41" t="e">
        <f t="shared" si="67"/>
        <v>#VALUE!</v>
      </c>
      <c r="K314" s="41" t="e">
        <f t="shared" si="68"/>
        <v>#VALUE!</v>
      </c>
      <c r="L314" s="41" t="e">
        <f t="shared" si="68"/>
        <v>#VALUE!</v>
      </c>
      <c r="M314" s="41" t="e">
        <f t="shared" si="62"/>
        <v>#VALUE!</v>
      </c>
      <c r="N314" s="41" t="e">
        <f t="shared" si="63"/>
        <v>#VALUE!</v>
      </c>
      <c r="O314" s="41">
        <f t="shared" si="64"/>
        <v>0</v>
      </c>
      <c r="Q314" s="44" t="e">
        <f t="shared" si="65"/>
        <v>#VALUE!</v>
      </c>
      <c r="R314" s="44" t="e">
        <f t="shared" si="69"/>
        <v>#VALUE!</v>
      </c>
      <c r="S314" s="44" t="e">
        <f t="shared" si="66"/>
        <v>#VALUE!</v>
      </c>
      <c r="T314" s="41" t="e">
        <f t="shared" si="70"/>
        <v>#VALUE!</v>
      </c>
      <c r="U314" s="41" t="e">
        <f t="shared" si="71"/>
        <v>#VALUE!</v>
      </c>
      <c r="V314" s="41" t="e">
        <f t="shared" si="72"/>
        <v>#VALUE!</v>
      </c>
    </row>
    <row r="315" spans="2:22" x14ac:dyDescent="0.25">
      <c r="B315" s="41" t="b">
        <f t="shared" si="73"/>
        <v>0</v>
      </c>
      <c r="C315" s="41" t="e">
        <f t="shared" si="74"/>
        <v>#VALUE!</v>
      </c>
      <c r="E315" s="45">
        <v>312</v>
      </c>
      <c r="G315" s="138"/>
      <c r="H315" s="135">
        <v>1</v>
      </c>
      <c r="I315" s="46" t="e">
        <f t="shared" si="61"/>
        <v>#VALUE!</v>
      </c>
      <c r="J315" s="41" t="e">
        <f t="shared" si="67"/>
        <v>#VALUE!</v>
      </c>
      <c r="K315" s="41" t="e">
        <f t="shared" si="68"/>
        <v>#VALUE!</v>
      </c>
      <c r="L315" s="41" t="e">
        <f t="shared" si="68"/>
        <v>#VALUE!</v>
      </c>
      <c r="M315" s="41" t="e">
        <f t="shared" si="62"/>
        <v>#VALUE!</v>
      </c>
      <c r="N315" s="41" t="e">
        <f t="shared" si="63"/>
        <v>#VALUE!</v>
      </c>
      <c r="O315" s="41">
        <f t="shared" si="64"/>
        <v>0</v>
      </c>
      <c r="Q315" s="44" t="e">
        <f t="shared" si="65"/>
        <v>#VALUE!</v>
      </c>
      <c r="R315" s="44" t="e">
        <f t="shared" si="69"/>
        <v>#VALUE!</v>
      </c>
      <c r="S315" s="44" t="e">
        <f t="shared" si="66"/>
        <v>#VALUE!</v>
      </c>
      <c r="T315" s="41" t="e">
        <f t="shared" si="70"/>
        <v>#VALUE!</v>
      </c>
      <c r="U315" s="41" t="e">
        <f t="shared" si="71"/>
        <v>#VALUE!</v>
      </c>
      <c r="V315" s="41" t="e">
        <f t="shared" si="72"/>
        <v>#VALUE!</v>
      </c>
    </row>
    <row r="316" spans="2:22" x14ac:dyDescent="0.25">
      <c r="B316" s="41" t="b">
        <f t="shared" si="73"/>
        <v>0</v>
      </c>
      <c r="C316" s="41" t="e">
        <f t="shared" si="74"/>
        <v>#VALUE!</v>
      </c>
      <c r="E316" s="45">
        <v>313</v>
      </c>
      <c r="G316" s="138"/>
      <c r="H316" s="135">
        <v>1</v>
      </c>
      <c r="I316" s="46" t="e">
        <f t="shared" si="61"/>
        <v>#VALUE!</v>
      </c>
      <c r="J316" s="41" t="e">
        <f t="shared" si="67"/>
        <v>#VALUE!</v>
      </c>
      <c r="K316" s="41" t="e">
        <f t="shared" si="68"/>
        <v>#VALUE!</v>
      </c>
      <c r="L316" s="41" t="e">
        <f t="shared" si="68"/>
        <v>#VALUE!</v>
      </c>
      <c r="M316" s="41" t="e">
        <f t="shared" si="62"/>
        <v>#VALUE!</v>
      </c>
      <c r="N316" s="41" t="e">
        <f t="shared" si="63"/>
        <v>#VALUE!</v>
      </c>
      <c r="O316" s="41">
        <f t="shared" si="64"/>
        <v>0</v>
      </c>
      <c r="Q316" s="44" t="e">
        <f t="shared" si="65"/>
        <v>#VALUE!</v>
      </c>
      <c r="R316" s="44" t="e">
        <f t="shared" si="69"/>
        <v>#VALUE!</v>
      </c>
      <c r="S316" s="44" t="e">
        <f t="shared" si="66"/>
        <v>#VALUE!</v>
      </c>
      <c r="T316" s="41" t="e">
        <f t="shared" si="70"/>
        <v>#VALUE!</v>
      </c>
      <c r="U316" s="41" t="e">
        <f t="shared" si="71"/>
        <v>#VALUE!</v>
      </c>
      <c r="V316" s="41" t="e">
        <f t="shared" si="72"/>
        <v>#VALUE!</v>
      </c>
    </row>
    <row r="317" spans="2:22" x14ac:dyDescent="0.25">
      <c r="B317" s="41" t="b">
        <f t="shared" si="73"/>
        <v>0</v>
      </c>
      <c r="C317" s="41" t="e">
        <f t="shared" si="74"/>
        <v>#VALUE!</v>
      </c>
      <c r="E317" s="45">
        <v>314</v>
      </c>
      <c r="G317" s="138"/>
      <c r="H317" s="135">
        <v>1</v>
      </c>
      <c r="I317" s="46" t="e">
        <f t="shared" si="61"/>
        <v>#VALUE!</v>
      </c>
      <c r="J317" s="41" t="e">
        <f t="shared" si="67"/>
        <v>#VALUE!</v>
      </c>
      <c r="K317" s="41" t="e">
        <f t="shared" si="68"/>
        <v>#VALUE!</v>
      </c>
      <c r="L317" s="41" t="e">
        <f t="shared" si="68"/>
        <v>#VALUE!</v>
      </c>
      <c r="M317" s="41" t="e">
        <f t="shared" si="62"/>
        <v>#VALUE!</v>
      </c>
      <c r="N317" s="41" t="e">
        <f t="shared" si="63"/>
        <v>#VALUE!</v>
      </c>
      <c r="O317" s="41">
        <f t="shared" si="64"/>
        <v>0</v>
      </c>
      <c r="Q317" s="44" t="e">
        <f t="shared" si="65"/>
        <v>#VALUE!</v>
      </c>
      <c r="R317" s="44" t="e">
        <f t="shared" si="69"/>
        <v>#VALUE!</v>
      </c>
      <c r="S317" s="44" t="e">
        <f t="shared" si="66"/>
        <v>#VALUE!</v>
      </c>
      <c r="T317" s="41" t="e">
        <f t="shared" si="70"/>
        <v>#VALUE!</v>
      </c>
      <c r="U317" s="41" t="e">
        <f t="shared" si="71"/>
        <v>#VALUE!</v>
      </c>
      <c r="V317" s="41" t="e">
        <f t="shared" si="72"/>
        <v>#VALUE!</v>
      </c>
    </row>
    <row r="318" spans="2:22" x14ac:dyDescent="0.25">
      <c r="B318" s="41" t="b">
        <f t="shared" si="73"/>
        <v>0</v>
      </c>
      <c r="C318" s="41" t="e">
        <f t="shared" si="74"/>
        <v>#VALUE!</v>
      </c>
      <c r="E318" s="45">
        <v>315</v>
      </c>
      <c r="G318" s="138"/>
      <c r="H318" s="135">
        <v>1</v>
      </c>
      <c r="I318" s="46" t="e">
        <f t="shared" si="61"/>
        <v>#VALUE!</v>
      </c>
      <c r="J318" s="41" t="e">
        <f t="shared" si="67"/>
        <v>#VALUE!</v>
      </c>
      <c r="K318" s="41" t="e">
        <f t="shared" si="68"/>
        <v>#VALUE!</v>
      </c>
      <c r="L318" s="41" t="e">
        <f t="shared" si="68"/>
        <v>#VALUE!</v>
      </c>
      <c r="M318" s="41" t="e">
        <f t="shared" si="62"/>
        <v>#VALUE!</v>
      </c>
      <c r="N318" s="41" t="e">
        <f t="shared" si="63"/>
        <v>#VALUE!</v>
      </c>
      <c r="O318" s="41">
        <f t="shared" si="64"/>
        <v>0</v>
      </c>
      <c r="Q318" s="44" t="e">
        <f t="shared" si="65"/>
        <v>#VALUE!</v>
      </c>
      <c r="R318" s="44" t="e">
        <f t="shared" si="69"/>
        <v>#VALUE!</v>
      </c>
      <c r="S318" s="44" t="e">
        <f t="shared" si="66"/>
        <v>#VALUE!</v>
      </c>
      <c r="T318" s="41" t="e">
        <f t="shared" si="70"/>
        <v>#VALUE!</v>
      </c>
      <c r="U318" s="41" t="e">
        <f t="shared" si="71"/>
        <v>#VALUE!</v>
      </c>
      <c r="V318" s="41" t="e">
        <f t="shared" si="72"/>
        <v>#VALUE!</v>
      </c>
    </row>
    <row r="319" spans="2:22" x14ac:dyDescent="0.25">
      <c r="B319" s="41" t="b">
        <f t="shared" si="73"/>
        <v>0</v>
      </c>
      <c r="C319" s="41" t="e">
        <f t="shared" si="74"/>
        <v>#VALUE!</v>
      </c>
      <c r="E319" s="45">
        <v>316</v>
      </c>
      <c r="G319" s="138"/>
      <c r="H319" s="135">
        <v>1</v>
      </c>
      <c r="I319" s="46" t="e">
        <f t="shared" si="61"/>
        <v>#VALUE!</v>
      </c>
      <c r="J319" s="41" t="e">
        <f t="shared" si="67"/>
        <v>#VALUE!</v>
      </c>
      <c r="K319" s="41" t="e">
        <f t="shared" si="68"/>
        <v>#VALUE!</v>
      </c>
      <c r="L319" s="41" t="e">
        <f t="shared" si="68"/>
        <v>#VALUE!</v>
      </c>
      <c r="M319" s="41" t="e">
        <f t="shared" si="62"/>
        <v>#VALUE!</v>
      </c>
      <c r="N319" s="41" t="e">
        <f t="shared" si="63"/>
        <v>#VALUE!</v>
      </c>
      <c r="O319" s="41">
        <f t="shared" si="64"/>
        <v>0</v>
      </c>
      <c r="Q319" s="44" t="e">
        <f t="shared" si="65"/>
        <v>#VALUE!</v>
      </c>
      <c r="R319" s="44" t="e">
        <f t="shared" si="69"/>
        <v>#VALUE!</v>
      </c>
      <c r="S319" s="44" t="e">
        <f t="shared" si="66"/>
        <v>#VALUE!</v>
      </c>
      <c r="T319" s="41" t="e">
        <f t="shared" si="70"/>
        <v>#VALUE!</v>
      </c>
      <c r="U319" s="41" t="e">
        <f t="shared" si="71"/>
        <v>#VALUE!</v>
      </c>
      <c r="V319" s="41" t="e">
        <f t="shared" si="72"/>
        <v>#VALUE!</v>
      </c>
    </row>
    <row r="320" spans="2:22" x14ac:dyDescent="0.25">
      <c r="B320" s="41" t="b">
        <f t="shared" si="73"/>
        <v>0</v>
      </c>
      <c r="C320" s="41" t="e">
        <f t="shared" si="74"/>
        <v>#VALUE!</v>
      </c>
      <c r="E320" s="45">
        <v>317</v>
      </c>
      <c r="G320" s="138"/>
      <c r="H320" s="135">
        <v>1</v>
      </c>
      <c r="I320" s="46" t="e">
        <f t="shared" si="61"/>
        <v>#VALUE!</v>
      </c>
      <c r="J320" s="41" t="e">
        <f t="shared" si="67"/>
        <v>#VALUE!</v>
      </c>
      <c r="K320" s="41" t="e">
        <f t="shared" si="68"/>
        <v>#VALUE!</v>
      </c>
      <c r="L320" s="41" t="e">
        <f t="shared" si="68"/>
        <v>#VALUE!</v>
      </c>
      <c r="M320" s="41" t="e">
        <f t="shared" si="62"/>
        <v>#VALUE!</v>
      </c>
      <c r="N320" s="41" t="e">
        <f t="shared" si="63"/>
        <v>#VALUE!</v>
      </c>
      <c r="O320" s="41">
        <f t="shared" si="64"/>
        <v>0</v>
      </c>
      <c r="Q320" s="44" t="e">
        <f t="shared" si="65"/>
        <v>#VALUE!</v>
      </c>
      <c r="R320" s="44" t="e">
        <f t="shared" si="69"/>
        <v>#VALUE!</v>
      </c>
      <c r="S320" s="44" t="e">
        <f t="shared" si="66"/>
        <v>#VALUE!</v>
      </c>
      <c r="T320" s="41" t="e">
        <f t="shared" si="70"/>
        <v>#VALUE!</v>
      </c>
      <c r="U320" s="41" t="e">
        <f t="shared" si="71"/>
        <v>#VALUE!</v>
      </c>
      <c r="V320" s="41" t="e">
        <f t="shared" si="72"/>
        <v>#VALUE!</v>
      </c>
    </row>
    <row r="321" spans="2:22" x14ac:dyDescent="0.25">
      <c r="B321" s="41" t="b">
        <f t="shared" si="73"/>
        <v>0</v>
      </c>
      <c r="C321" s="41" t="e">
        <f t="shared" si="74"/>
        <v>#VALUE!</v>
      </c>
      <c r="E321" s="45">
        <v>318</v>
      </c>
      <c r="G321" s="138"/>
      <c r="H321" s="135">
        <v>1</v>
      </c>
      <c r="I321" s="46" t="e">
        <f t="shared" si="61"/>
        <v>#VALUE!</v>
      </c>
      <c r="J321" s="41" t="e">
        <f t="shared" si="67"/>
        <v>#VALUE!</v>
      </c>
      <c r="K321" s="41" t="e">
        <f t="shared" si="68"/>
        <v>#VALUE!</v>
      </c>
      <c r="L321" s="41" t="e">
        <f t="shared" si="68"/>
        <v>#VALUE!</v>
      </c>
      <c r="M321" s="41" t="e">
        <f t="shared" si="62"/>
        <v>#VALUE!</v>
      </c>
      <c r="N321" s="41" t="e">
        <f t="shared" si="63"/>
        <v>#VALUE!</v>
      </c>
      <c r="O321" s="41">
        <f t="shared" si="64"/>
        <v>0</v>
      </c>
      <c r="Q321" s="44" t="e">
        <f t="shared" si="65"/>
        <v>#VALUE!</v>
      </c>
      <c r="R321" s="44" t="e">
        <f t="shared" si="69"/>
        <v>#VALUE!</v>
      </c>
      <c r="S321" s="44" t="e">
        <f t="shared" si="66"/>
        <v>#VALUE!</v>
      </c>
      <c r="T321" s="41" t="e">
        <f t="shared" si="70"/>
        <v>#VALUE!</v>
      </c>
      <c r="U321" s="41" t="e">
        <f t="shared" si="71"/>
        <v>#VALUE!</v>
      </c>
      <c r="V321" s="41" t="e">
        <f t="shared" si="72"/>
        <v>#VALUE!</v>
      </c>
    </row>
    <row r="322" spans="2:22" x14ac:dyDescent="0.25">
      <c r="B322" s="41" t="b">
        <f t="shared" si="73"/>
        <v>0</v>
      </c>
      <c r="C322" s="41" t="e">
        <f t="shared" si="74"/>
        <v>#VALUE!</v>
      </c>
      <c r="E322" s="45">
        <v>319</v>
      </c>
      <c r="G322" s="138"/>
      <c r="H322" s="135">
        <v>1</v>
      </c>
      <c r="I322" s="46" t="e">
        <f t="shared" si="61"/>
        <v>#VALUE!</v>
      </c>
      <c r="J322" s="41" t="e">
        <f t="shared" si="67"/>
        <v>#VALUE!</v>
      </c>
      <c r="K322" s="41" t="e">
        <f t="shared" si="68"/>
        <v>#VALUE!</v>
      </c>
      <c r="L322" s="41" t="e">
        <f t="shared" si="68"/>
        <v>#VALUE!</v>
      </c>
      <c r="M322" s="41" t="e">
        <f t="shared" si="62"/>
        <v>#VALUE!</v>
      </c>
      <c r="N322" s="41" t="e">
        <f t="shared" si="63"/>
        <v>#VALUE!</v>
      </c>
      <c r="O322" s="41">
        <f t="shared" si="64"/>
        <v>0</v>
      </c>
      <c r="Q322" s="44" t="e">
        <f t="shared" si="65"/>
        <v>#VALUE!</v>
      </c>
      <c r="R322" s="44" t="e">
        <f t="shared" si="69"/>
        <v>#VALUE!</v>
      </c>
      <c r="S322" s="44" t="e">
        <f t="shared" si="66"/>
        <v>#VALUE!</v>
      </c>
      <c r="T322" s="41" t="e">
        <f t="shared" si="70"/>
        <v>#VALUE!</v>
      </c>
      <c r="U322" s="41" t="e">
        <f t="shared" si="71"/>
        <v>#VALUE!</v>
      </c>
      <c r="V322" s="41" t="e">
        <f t="shared" si="72"/>
        <v>#VALUE!</v>
      </c>
    </row>
    <row r="323" spans="2:22" x14ac:dyDescent="0.25">
      <c r="B323" s="41" t="b">
        <f t="shared" si="73"/>
        <v>0</v>
      </c>
      <c r="C323" s="41" t="e">
        <f t="shared" si="74"/>
        <v>#VALUE!</v>
      </c>
      <c r="E323" s="45">
        <v>320</v>
      </c>
      <c r="G323" s="138"/>
      <c r="H323" s="135">
        <v>1</v>
      </c>
      <c r="I323" s="46" t="e">
        <f t="shared" si="61"/>
        <v>#VALUE!</v>
      </c>
      <c r="J323" s="41" t="e">
        <f t="shared" si="67"/>
        <v>#VALUE!</v>
      </c>
      <c r="K323" s="41" t="e">
        <f t="shared" si="68"/>
        <v>#VALUE!</v>
      </c>
      <c r="L323" s="41" t="e">
        <f t="shared" si="68"/>
        <v>#VALUE!</v>
      </c>
      <c r="M323" s="41" t="e">
        <f t="shared" si="62"/>
        <v>#VALUE!</v>
      </c>
      <c r="N323" s="41" t="e">
        <f t="shared" si="63"/>
        <v>#VALUE!</v>
      </c>
      <c r="O323" s="41">
        <f t="shared" si="64"/>
        <v>0</v>
      </c>
      <c r="Q323" s="44" t="e">
        <f t="shared" si="65"/>
        <v>#VALUE!</v>
      </c>
      <c r="R323" s="44" t="e">
        <f t="shared" si="69"/>
        <v>#VALUE!</v>
      </c>
      <c r="S323" s="44" t="e">
        <f t="shared" si="66"/>
        <v>#VALUE!</v>
      </c>
      <c r="T323" s="41" t="e">
        <f t="shared" si="70"/>
        <v>#VALUE!</v>
      </c>
      <c r="U323" s="41" t="e">
        <f t="shared" si="71"/>
        <v>#VALUE!</v>
      </c>
      <c r="V323" s="41" t="e">
        <f t="shared" si="72"/>
        <v>#VALUE!</v>
      </c>
    </row>
    <row r="324" spans="2:22" x14ac:dyDescent="0.25">
      <c r="B324" s="41" t="b">
        <f t="shared" si="73"/>
        <v>0</v>
      </c>
      <c r="C324" s="41" t="e">
        <f t="shared" si="74"/>
        <v>#VALUE!</v>
      </c>
      <c r="E324" s="45">
        <v>321</v>
      </c>
      <c r="G324" s="138"/>
      <c r="H324" s="135">
        <v>1</v>
      </c>
      <c r="I324" s="46" t="e">
        <f t="shared" ref="I324:I387" si="75">RIGHT(G324,J324)</f>
        <v>#VALUE!</v>
      </c>
      <c r="J324" s="41" t="e">
        <f t="shared" si="67"/>
        <v>#VALUE!</v>
      </c>
      <c r="K324" s="41" t="e">
        <f t="shared" si="68"/>
        <v>#VALUE!</v>
      </c>
      <c r="L324" s="41" t="e">
        <f t="shared" si="68"/>
        <v>#VALUE!</v>
      </c>
      <c r="M324" s="41" t="e">
        <f t="shared" ref="M324:M387" si="76">SEARCH("-",G324,2)</f>
        <v>#VALUE!</v>
      </c>
      <c r="N324" s="41" t="e">
        <f t="shared" ref="N324:N387" si="77">SEARCH("-",G324,M324+1)</f>
        <v>#VALUE!</v>
      </c>
      <c r="O324" s="41">
        <f t="shared" ref="O324:O387" si="78">LEN(G324)</f>
        <v>0</v>
      </c>
      <c r="Q324" s="44" t="e">
        <f t="shared" ref="Q324:Q387" si="79">LEFT(G324,M324-1)</f>
        <v>#VALUE!</v>
      </c>
      <c r="R324" s="44" t="e">
        <f t="shared" si="69"/>
        <v>#VALUE!</v>
      </c>
      <c r="S324" s="44" t="e">
        <f t="shared" ref="S324:S387" si="80">RIGHT(G324,L324)</f>
        <v>#VALUE!</v>
      </c>
      <c r="T324" s="41" t="e">
        <f t="shared" si="70"/>
        <v>#VALUE!</v>
      </c>
      <c r="U324" s="41" t="e">
        <f t="shared" si="71"/>
        <v>#VALUE!</v>
      </c>
      <c r="V324" s="41" t="e">
        <f t="shared" si="72"/>
        <v>#VALUE!</v>
      </c>
    </row>
    <row r="325" spans="2:22" x14ac:dyDescent="0.25">
      <c r="B325" s="41" t="b">
        <f t="shared" si="73"/>
        <v>0</v>
      </c>
      <c r="C325" s="41" t="e">
        <f t="shared" si="74"/>
        <v>#VALUE!</v>
      </c>
      <c r="E325" s="45">
        <v>322</v>
      </c>
      <c r="G325" s="138"/>
      <c r="H325" s="135">
        <v>1</v>
      </c>
      <c r="I325" s="46" t="e">
        <f t="shared" si="75"/>
        <v>#VALUE!</v>
      </c>
      <c r="J325" s="41" t="e">
        <f t="shared" ref="J325:J388" si="81">O325-M325</f>
        <v>#VALUE!</v>
      </c>
      <c r="K325" s="41" t="e">
        <f t="shared" ref="K325:L388" si="82">N325-M325</f>
        <v>#VALUE!</v>
      </c>
      <c r="L325" s="41" t="e">
        <f t="shared" si="82"/>
        <v>#VALUE!</v>
      </c>
      <c r="M325" s="41" t="e">
        <f t="shared" si="76"/>
        <v>#VALUE!</v>
      </c>
      <c r="N325" s="41" t="e">
        <f t="shared" si="77"/>
        <v>#VALUE!</v>
      </c>
      <c r="O325" s="41">
        <f t="shared" si="78"/>
        <v>0</v>
      </c>
      <c r="Q325" s="44" t="e">
        <f t="shared" si="79"/>
        <v>#VALUE!</v>
      </c>
      <c r="R325" s="44" t="e">
        <f t="shared" ref="R325:R388" si="83">LEFT(I325,K325-1)</f>
        <v>#VALUE!</v>
      </c>
      <c r="S325" s="44" t="e">
        <f t="shared" si="80"/>
        <v>#VALUE!</v>
      </c>
      <c r="T325" s="41" t="e">
        <f t="shared" ref="T325:T388" si="84">Q325*1*H325</f>
        <v>#VALUE!</v>
      </c>
      <c r="U325" s="41" t="e">
        <f t="shared" ref="U325:U388" si="85">R325*1*H325</f>
        <v>#VALUE!</v>
      </c>
      <c r="V325" s="41" t="e">
        <f t="shared" ref="V325:V388" si="86">S325*1*H325</f>
        <v>#VALUE!</v>
      </c>
    </row>
    <row r="326" spans="2:22" x14ac:dyDescent="0.25">
      <c r="B326" s="41" t="b">
        <f t="shared" si="73"/>
        <v>0</v>
      </c>
      <c r="C326" s="41" t="e">
        <f t="shared" si="74"/>
        <v>#VALUE!</v>
      </c>
      <c r="E326" s="45">
        <v>323</v>
      </c>
      <c r="G326" s="138"/>
      <c r="H326" s="135">
        <v>1</v>
      </c>
      <c r="I326" s="46" t="e">
        <f t="shared" si="75"/>
        <v>#VALUE!</v>
      </c>
      <c r="J326" s="41" t="e">
        <f t="shared" si="81"/>
        <v>#VALUE!</v>
      </c>
      <c r="K326" s="41" t="e">
        <f t="shared" si="82"/>
        <v>#VALUE!</v>
      </c>
      <c r="L326" s="41" t="e">
        <f t="shared" si="82"/>
        <v>#VALUE!</v>
      </c>
      <c r="M326" s="41" t="e">
        <f t="shared" si="76"/>
        <v>#VALUE!</v>
      </c>
      <c r="N326" s="41" t="e">
        <f t="shared" si="77"/>
        <v>#VALUE!</v>
      </c>
      <c r="O326" s="41">
        <f t="shared" si="78"/>
        <v>0</v>
      </c>
      <c r="Q326" s="44" t="e">
        <f t="shared" si="79"/>
        <v>#VALUE!</v>
      </c>
      <c r="R326" s="44" t="e">
        <f t="shared" si="83"/>
        <v>#VALUE!</v>
      </c>
      <c r="S326" s="44" t="e">
        <f t="shared" si="80"/>
        <v>#VALUE!</v>
      </c>
      <c r="T326" s="41" t="e">
        <f t="shared" si="84"/>
        <v>#VALUE!</v>
      </c>
      <c r="U326" s="41" t="e">
        <f t="shared" si="85"/>
        <v>#VALUE!</v>
      </c>
      <c r="V326" s="41" t="e">
        <f t="shared" si="86"/>
        <v>#VALUE!</v>
      </c>
    </row>
    <row r="327" spans="2:22" x14ac:dyDescent="0.25">
      <c r="B327" s="41" t="b">
        <f t="shared" si="73"/>
        <v>0</v>
      </c>
      <c r="C327" s="41" t="e">
        <f t="shared" si="74"/>
        <v>#VALUE!</v>
      </c>
      <c r="E327" s="45">
        <v>324</v>
      </c>
      <c r="G327" s="138"/>
      <c r="H327" s="135">
        <v>1</v>
      </c>
      <c r="I327" s="46" t="e">
        <f t="shared" si="75"/>
        <v>#VALUE!</v>
      </c>
      <c r="J327" s="41" t="e">
        <f t="shared" si="81"/>
        <v>#VALUE!</v>
      </c>
      <c r="K327" s="41" t="e">
        <f t="shared" si="82"/>
        <v>#VALUE!</v>
      </c>
      <c r="L327" s="41" t="e">
        <f t="shared" si="82"/>
        <v>#VALUE!</v>
      </c>
      <c r="M327" s="41" t="e">
        <f t="shared" si="76"/>
        <v>#VALUE!</v>
      </c>
      <c r="N327" s="41" t="e">
        <f t="shared" si="77"/>
        <v>#VALUE!</v>
      </c>
      <c r="O327" s="41">
        <f t="shared" si="78"/>
        <v>0</v>
      </c>
      <c r="Q327" s="44" t="e">
        <f t="shared" si="79"/>
        <v>#VALUE!</v>
      </c>
      <c r="R327" s="44" t="e">
        <f t="shared" si="83"/>
        <v>#VALUE!</v>
      </c>
      <c r="S327" s="44" t="e">
        <f t="shared" si="80"/>
        <v>#VALUE!</v>
      </c>
      <c r="T327" s="41" t="e">
        <f t="shared" si="84"/>
        <v>#VALUE!</v>
      </c>
      <c r="U327" s="41" t="e">
        <f t="shared" si="85"/>
        <v>#VALUE!</v>
      </c>
      <c r="V327" s="41" t="e">
        <f t="shared" si="86"/>
        <v>#VALUE!</v>
      </c>
    </row>
    <row r="328" spans="2:22" x14ac:dyDescent="0.25">
      <c r="B328" s="41" t="b">
        <f t="shared" si="73"/>
        <v>0</v>
      </c>
      <c r="C328" s="41" t="e">
        <f t="shared" si="74"/>
        <v>#VALUE!</v>
      </c>
      <c r="E328" s="45">
        <v>325</v>
      </c>
      <c r="G328" s="138"/>
      <c r="H328" s="135">
        <v>1</v>
      </c>
      <c r="I328" s="46" t="e">
        <f t="shared" si="75"/>
        <v>#VALUE!</v>
      </c>
      <c r="J328" s="41" t="e">
        <f t="shared" si="81"/>
        <v>#VALUE!</v>
      </c>
      <c r="K328" s="41" t="e">
        <f t="shared" si="82"/>
        <v>#VALUE!</v>
      </c>
      <c r="L328" s="41" t="e">
        <f t="shared" si="82"/>
        <v>#VALUE!</v>
      </c>
      <c r="M328" s="41" t="e">
        <f t="shared" si="76"/>
        <v>#VALUE!</v>
      </c>
      <c r="N328" s="41" t="e">
        <f t="shared" si="77"/>
        <v>#VALUE!</v>
      </c>
      <c r="O328" s="41">
        <f t="shared" si="78"/>
        <v>0</v>
      </c>
      <c r="Q328" s="44" t="e">
        <f t="shared" si="79"/>
        <v>#VALUE!</v>
      </c>
      <c r="R328" s="44" t="e">
        <f t="shared" si="83"/>
        <v>#VALUE!</v>
      </c>
      <c r="S328" s="44" t="e">
        <f t="shared" si="80"/>
        <v>#VALUE!</v>
      </c>
      <c r="T328" s="41" t="e">
        <f t="shared" si="84"/>
        <v>#VALUE!</v>
      </c>
      <c r="U328" s="41" t="e">
        <f t="shared" si="85"/>
        <v>#VALUE!</v>
      </c>
      <c r="V328" s="41" t="e">
        <f t="shared" si="86"/>
        <v>#VALUE!</v>
      </c>
    </row>
    <row r="329" spans="2:22" x14ac:dyDescent="0.25">
      <c r="B329" s="41" t="b">
        <f t="shared" si="73"/>
        <v>0</v>
      </c>
      <c r="C329" s="41" t="e">
        <f t="shared" si="74"/>
        <v>#VALUE!</v>
      </c>
      <c r="E329" s="45">
        <v>326</v>
      </c>
      <c r="G329" s="138"/>
      <c r="H329" s="135">
        <v>1</v>
      </c>
      <c r="I329" s="46" t="e">
        <f t="shared" si="75"/>
        <v>#VALUE!</v>
      </c>
      <c r="J329" s="41" t="e">
        <f t="shared" si="81"/>
        <v>#VALUE!</v>
      </c>
      <c r="K329" s="41" t="e">
        <f t="shared" si="82"/>
        <v>#VALUE!</v>
      </c>
      <c r="L329" s="41" t="e">
        <f t="shared" si="82"/>
        <v>#VALUE!</v>
      </c>
      <c r="M329" s="41" t="e">
        <f t="shared" si="76"/>
        <v>#VALUE!</v>
      </c>
      <c r="N329" s="41" t="e">
        <f t="shared" si="77"/>
        <v>#VALUE!</v>
      </c>
      <c r="O329" s="41">
        <f t="shared" si="78"/>
        <v>0</v>
      </c>
      <c r="Q329" s="44" t="e">
        <f t="shared" si="79"/>
        <v>#VALUE!</v>
      </c>
      <c r="R329" s="44" t="e">
        <f t="shared" si="83"/>
        <v>#VALUE!</v>
      </c>
      <c r="S329" s="44" t="e">
        <f t="shared" si="80"/>
        <v>#VALUE!</v>
      </c>
      <c r="T329" s="41" t="e">
        <f t="shared" si="84"/>
        <v>#VALUE!</v>
      </c>
      <c r="U329" s="41" t="e">
        <f t="shared" si="85"/>
        <v>#VALUE!</v>
      </c>
      <c r="V329" s="41" t="e">
        <f t="shared" si="86"/>
        <v>#VALUE!</v>
      </c>
    </row>
    <row r="330" spans="2:22" x14ac:dyDescent="0.25">
      <c r="B330" s="41" t="b">
        <f t="shared" si="73"/>
        <v>0</v>
      </c>
      <c r="C330" s="41" t="e">
        <f t="shared" si="74"/>
        <v>#VALUE!</v>
      </c>
      <c r="E330" s="45">
        <v>327</v>
      </c>
      <c r="G330" s="138"/>
      <c r="H330" s="135">
        <v>1</v>
      </c>
      <c r="I330" s="46" t="e">
        <f t="shared" si="75"/>
        <v>#VALUE!</v>
      </c>
      <c r="J330" s="41" t="e">
        <f t="shared" si="81"/>
        <v>#VALUE!</v>
      </c>
      <c r="K330" s="41" t="e">
        <f t="shared" si="82"/>
        <v>#VALUE!</v>
      </c>
      <c r="L330" s="41" t="e">
        <f t="shared" si="82"/>
        <v>#VALUE!</v>
      </c>
      <c r="M330" s="41" t="e">
        <f t="shared" si="76"/>
        <v>#VALUE!</v>
      </c>
      <c r="N330" s="41" t="e">
        <f t="shared" si="77"/>
        <v>#VALUE!</v>
      </c>
      <c r="O330" s="41">
        <f t="shared" si="78"/>
        <v>0</v>
      </c>
      <c r="Q330" s="44" t="e">
        <f t="shared" si="79"/>
        <v>#VALUE!</v>
      </c>
      <c r="R330" s="44" t="e">
        <f t="shared" si="83"/>
        <v>#VALUE!</v>
      </c>
      <c r="S330" s="44" t="e">
        <f t="shared" si="80"/>
        <v>#VALUE!</v>
      </c>
      <c r="T330" s="41" t="e">
        <f t="shared" si="84"/>
        <v>#VALUE!</v>
      </c>
      <c r="U330" s="41" t="e">
        <f t="shared" si="85"/>
        <v>#VALUE!</v>
      </c>
      <c r="V330" s="41" t="e">
        <f t="shared" si="86"/>
        <v>#VALUE!</v>
      </c>
    </row>
    <row r="331" spans="2:22" x14ac:dyDescent="0.25">
      <c r="B331" s="41" t="b">
        <f t="shared" si="73"/>
        <v>0</v>
      </c>
      <c r="C331" s="41" t="e">
        <f t="shared" si="74"/>
        <v>#VALUE!</v>
      </c>
      <c r="E331" s="45">
        <v>328</v>
      </c>
      <c r="G331" s="138"/>
      <c r="H331" s="135">
        <v>1</v>
      </c>
      <c r="I331" s="46" t="e">
        <f t="shared" si="75"/>
        <v>#VALUE!</v>
      </c>
      <c r="J331" s="41" t="e">
        <f t="shared" si="81"/>
        <v>#VALUE!</v>
      </c>
      <c r="K331" s="41" t="e">
        <f t="shared" si="82"/>
        <v>#VALUE!</v>
      </c>
      <c r="L331" s="41" t="e">
        <f t="shared" si="82"/>
        <v>#VALUE!</v>
      </c>
      <c r="M331" s="41" t="e">
        <f t="shared" si="76"/>
        <v>#VALUE!</v>
      </c>
      <c r="N331" s="41" t="e">
        <f t="shared" si="77"/>
        <v>#VALUE!</v>
      </c>
      <c r="O331" s="41">
        <f t="shared" si="78"/>
        <v>0</v>
      </c>
      <c r="Q331" s="44" t="e">
        <f t="shared" si="79"/>
        <v>#VALUE!</v>
      </c>
      <c r="R331" s="44" t="e">
        <f t="shared" si="83"/>
        <v>#VALUE!</v>
      </c>
      <c r="S331" s="44" t="e">
        <f t="shared" si="80"/>
        <v>#VALUE!</v>
      </c>
      <c r="T331" s="41" t="e">
        <f t="shared" si="84"/>
        <v>#VALUE!</v>
      </c>
      <c r="U331" s="41" t="e">
        <f t="shared" si="85"/>
        <v>#VALUE!</v>
      </c>
      <c r="V331" s="41" t="e">
        <f t="shared" si="86"/>
        <v>#VALUE!</v>
      </c>
    </row>
    <row r="332" spans="2:22" x14ac:dyDescent="0.25">
      <c r="B332" s="41" t="b">
        <f t="shared" si="73"/>
        <v>0</v>
      </c>
      <c r="C332" s="41" t="e">
        <f t="shared" si="74"/>
        <v>#VALUE!</v>
      </c>
      <c r="E332" s="45">
        <v>328</v>
      </c>
      <c r="G332" s="138"/>
      <c r="H332" s="135">
        <v>1</v>
      </c>
      <c r="I332" s="46" t="e">
        <f t="shared" si="75"/>
        <v>#VALUE!</v>
      </c>
      <c r="J332" s="41" t="e">
        <f t="shared" si="81"/>
        <v>#VALUE!</v>
      </c>
      <c r="K332" s="41" t="e">
        <f t="shared" si="82"/>
        <v>#VALUE!</v>
      </c>
      <c r="L332" s="41" t="e">
        <f t="shared" si="82"/>
        <v>#VALUE!</v>
      </c>
      <c r="M332" s="41" t="e">
        <f t="shared" si="76"/>
        <v>#VALUE!</v>
      </c>
      <c r="N332" s="41" t="e">
        <f t="shared" si="77"/>
        <v>#VALUE!</v>
      </c>
      <c r="O332" s="41">
        <f t="shared" si="78"/>
        <v>0</v>
      </c>
      <c r="Q332" s="44" t="e">
        <f t="shared" si="79"/>
        <v>#VALUE!</v>
      </c>
      <c r="R332" s="44" t="e">
        <f t="shared" si="83"/>
        <v>#VALUE!</v>
      </c>
      <c r="S332" s="44" t="e">
        <f t="shared" si="80"/>
        <v>#VALUE!</v>
      </c>
      <c r="T332" s="41" t="e">
        <f t="shared" si="84"/>
        <v>#VALUE!</v>
      </c>
      <c r="U332" s="41" t="e">
        <f t="shared" si="85"/>
        <v>#VALUE!</v>
      </c>
      <c r="V332" s="41" t="e">
        <f t="shared" si="86"/>
        <v>#VALUE!</v>
      </c>
    </row>
    <row r="333" spans="2:22" x14ac:dyDescent="0.25">
      <c r="B333" s="41" t="b">
        <f t="shared" si="73"/>
        <v>0</v>
      </c>
      <c r="C333" s="41" t="e">
        <f t="shared" si="74"/>
        <v>#VALUE!</v>
      </c>
      <c r="E333" s="45">
        <v>329</v>
      </c>
      <c r="G333" s="138"/>
      <c r="H333" s="135">
        <v>1</v>
      </c>
      <c r="I333" s="46" t="e">
        <f t="shared" si="75"/>
        <v>#VALUE!</v>
      </c>
      <c r="J333" s="41" t="e">
        <f t="shared" si="81"/>
        <v>#VALUE!</v>
      </c>
      <c r="K333" s="41" t="e">
        <f t="shared" si="82"/>
        <v>#VALUE!</v>
      </c>
      <c r="L333" s="41" t="e">
        <f t="shared" si="82"/>
        <v>#VALUE!</v>
      </c>
      <c r="M333" s="41" t="e">
        <f t="shared" si="76"/>
        <v>#VALUE!</v>
      </c>
      <c r="N333" s="41" t="e">
        <f t="shared" si="77"/>
        <v>#VALUE!</v>
      </c>
      <c r="O333" s="41">
        <f t="shared" si="78"/>
        <v>0</v>
      </c>
      <c r="Q333" s="44" t="e">
        <f t="shared" si="79"/>
        <v>#VALUE!</v>
      </c>
      <c r="R333" s="44" t="e">
        <f t="shared" si="83"/>
        <v>#VALUE!</v>
      </c>
      <c r="S333" s="44" t="e">
        <f t="shared" si="80"/>
        <v>#VALUE!</v>
      </c>
      <c r="T333" s="41" t="e">
        <f t="shared" si="84"/>
        <v>#VALUE!</v>
      </c>
      <c r="U333" s="41" t="e">
        <f t="shared" si="85"/>
        <v>#VALUE!</v>
      </c>
      <c r="V333" s="41" t="e">
        <f t="shared" si="86"/>
        <v>#VALUE!</v>
      </c>
    </row>
    <row r="334" spans="2:22" x14ac:dyDescent="0.25">
      <c r="B334" s="41" t="b">
        <f t="shared" ref="B334:B397" si="87">ISNUMBER(C334)</f>
        <v>0</v>
      </c>
      <c r="C334" s="41" t="e">
        <f t="shared" si="74"/>
        <v>#VALUE!</v>
      </c>
      <c r="E334" s="45">
        <v>330</v>
      </c>
      <c r="G334" s="138"/>
      <c r="H334" s="135">
        <v>1</v>
      </c>
      <c r="I334" s="46" t="e">
        <f t="shared" si="75"/>
        <v>#VALUE!</v>
      </c>
      <c r="J334" s="41" t="e">
        <f t="shared" si="81"/>
        <v>#VALUE!</v>
      </c>
      <c r="K334" s="41" t="e">
        <f t="shared" si="82"/>
        <v>#VALUE!</v>
      </c>
      <c r="L334" s="41" t="e">
        <f t="shared" si="82"/>
        <v>#VALUE!</v>
      </c>
      <c r="M334" s="41" t="e">
        <f t="shared" si="76"/>
        <v>#VALUE!</v>
      </c>
      <c r="N334" s="41" t="e">
        <f t="shared" si="77"/>
        <v>#VALUE!</v>
      </c>
      <c r="O334" s="41">
        <f t="shared" si="78"/>
        <v>0</v>
      </c>
      <c r="Q334" s="44" t="e">
        <f t="shared" si="79"/>
        <v>#VALUE!</v>
      </c>
      <c r="R334" s="44" t="e">
        <f t="shared" si="83"/>
        <v>#VALUE!</v>
      </c>
      <c r="S334" s="44" t="e">
        <f t="shared" si="80"/>
        <v>#VALUE!</v>
      </c>
      <c r="T334" s="41" t="e">
        <f t="shared" si="84"/>
        <v>#VALUE!</v>
      </c>
      <c r="U334" s="41" t="e">
        <f t="shared" si="85"/>
        <v>#VALUE!</v>
      </c>
      <c r="V334" s="41" t="e">
        <f t="shared" si="86"/>
        <v>#VALUE!</v>
      </c>
    </row>
    <row r="335" spans="2:22" x14ac:dyDescent="0.25">
      <c r="B335" s="41" t="b">
        <f t="shared" si="87"/>
        <v>0</v>
      </c>
      <c r="C335" s="41" t="e">
        <f t="shared" si="74"/>
        <v>#VALUE!</v>
      </c>
      <c r="E335" s="45">
        <v>331</v>
      </c>
      <c r="G335" s="138"/>
      <c r="H335" s="135">
        <v>1</v>
      </c>
      <c r="I335" s="46" t="e">
        <f t="shared" si="75"/>
        <v>#VALUE!</v>
      </c>
      <c r="J335" s="41" t="e">
        <f t="shared" si="81"/>
        <v>#VALUE!</v>
      </c>
      <c r="K335" s="41" t="e">
        <f t="shared" si="82"/>
        <v>#VALUE!</v>
      </c>
      <c r="L335" s="41" t="e">
        <f t="shared" si="82"/>
        <v>#VALUE!</v>
      </c>
      <c r="M335" s="41" t="e">
        <f t="shared" si="76"/>
        <v>#VALUE!</v>
      </c>
      <c r="N335" s="41" t="e">
        <f t="shared" si="77"/>
        <v>#VALUE!</v>
      </c>
      <c r="O335" s="41">
        <f t="shared" si="78"/>
        <v>0</v>
      </c>
      <c r="Q335" s="44" t="e">
        <f t="shared" si="79"/>
        <v>#VALUE!</v>
      </c>
      <c r="R335" s="44" t="e">
        <f t="shared" si="83"/>
        <v>#VALUE!</v>
      </c>
      <c r="S335" s="44" t="e">
        <f t="shared" si="80"/>
        <v>#VALUE!</v>
      </c>
      <c r="T335" s="41" t="e">
        <f t="shared" si="84"/>
        <v>#VALUE!</v>
      </c>
      <c r="U335" s="41" t="e">
        <f t="shared" si="85"/>
        <v>#VALUE!</v>
      </c>
      <c r="V335" s="41" t="e">
        <f t="shared" si="86"/>
        <v>#VALUE!</v>
      </c>
    </row>
    <row r="336" spans="2:22" x14ac:dyDescent="0.25">
      <c r="B336" s="41" t="b">
        <f t="shared" si="87"/>
        <v>0</v>
      </c>
      <c r="C336" s="41" t="e">
        <f t="shared" si="74"/>
        <v>#VALUE!</v>
      </c>
      <c r="E336" s="45">
        <v>332</v>
      </c>
      <c r="G336" s="138"/>
      <c r="H336" s="135">
        <v>1</v>
      </c>
      <c r="I336" s="46" t="e">
        <f t="shared" si="75"/>
        <v>#VALUE!</v>
      </c>
      <c r="J336" s="41" t="e">
        <f t="shared" si="81"/>
        <v>#VALUE!</v>
      </c>
      <c r="K336" s="41" t="e">
        <f t="shared" si="82"/>
        <v>#VALUE!</v>
      </c>
      <c r="L336" s="41" t="e">
        <f t="shared" si="82"/>
        <v>#VALUE!</v>
      </c>
      <c r="M336" s="41" t="e">
        <f t="shared" si="76"/>
        <v>#VALUE!</v>
      </c>
      <c r="N336" s="41" t="e">
        <f t="shared" si="77"/>
        <v>#VALUE!</v>
      </c>
      <c r="O336" s="41">
        <f t="shared" si="78"/>
        <v>0</v>
      </c>
      <c r="Q336" s="44" t="e">
        <f t="shared" si="79"/>
        <v>#VALUE!</v>
      </c>
      <c r="R336" s="44" t="e">
        <f t="shared" si="83"/>
        <v>#VALUE!</v>
      </c>
      <c r="S336" s="44" t="e">
        <f t="shared" si="80"/>
        <v>#VALUE!</v>
      </c>
      <c r="T336" s="41" t="e">
        <f t="shared" si="84"/>
        <v>#VALUE!</v>
      </c>
      <c r="U336" s="41" t="e">
        <f t="shared" si="85"/>
        <v>#VALUE!</v>
      </c>
      <c r="V336" s="41" t="e">
        <f t="shared" si="86"/>
        <v>#VALUE!</v>
      </c>
    </row>
    <row r="337" spans="2:22" x14ac:dyDescent="0.25">
      <c r="B337" s="41" t="b">
        <f t="shared" si="87"/>
        <v>0</v>
      </c>
      <c r="C337" s="41" t="e">
        <f t="shared" si="74"/>
        <v>#VALUE!</v>
      </c>
      <c r="E337" s="45">
        <v>333</v>
      </c>
      <c r="G337" s="138"/>
      <c r="H337" s="135">
        <v>1</v>
      </c>
      <c r="I337" s="46" t="e">
        <f t="shared" si="75"/>
        <v>#VALUE!</v>
      </c>
      <c r="J337" s="41" t="e">
        <f t="shared" si="81"/>
        <v>#VALUE!</v>
      </c>
      <c r="K337" s="41" t="e">
        <f t="shared" si="82"/>
        <v>#VALUE!</v>
      </c>
      <c r="L337" s="41" t="e">
        <f t="shared" si="82"/>
        <v>#VALUE!</v>
      </c>
      <c r="M337" s="41" t="e">
        <f t="shared" si="76"/>
        <v>#VALUE!</v>
      </c>
      <c r="N337" s="41" t="e">
        <f t="shared" si="77"/>
        <v>#VALUE!</v>
      </c>
      <c r="O337" s="41">
        <f t="shared" si="78"/>
        <v>0</v>
      </c>
      <c r="Q337" s="44" t="e">
        <f t="shared" si="79"/>
        <v>#VALUE!</v>
      </c>
      <c r="R337" s="44" t="e">
        <f t="shared" si="83"/>
        <v>#VALUE!</v>
      </c>
      <c r="S337" s="44" t="e">
        <f t="shared" si="80"/>
        <v>#VALUE!</v>
      </c>
      <c r="T337" s="41" t="e">
        <f t="shared" si="84"/>
        <v>#VALUE!</v>
      </c>
      <c r="U337" s="41" t="e">
        <f t="shared" si="85"/>
        <v>#VALUE!</v>
      </c>
      <c r="V337" s="41" t="e">
        <f t="shared" si="86"/>
        <v>#VALUE!</v>
      </c>
    </row>
    <row r="338" spans="2:22" x14ac:dyDescent="0.25">
      <c r="B338" s="41" t="b">
        <f t="shared" si="87"/>
        <v>0</v>
      </c>
      <c r="C338" s="41" t="e">
        <f t="shared" si="74"/>
        <v>#VALUE!</v>
      </c>
      <c r="E338" s="45">
        <v>334</v>
      </c>
      <c r="G338" s="138"/>
      <c r="H338" s="135">
        <v>1</v>
      </c>
      <c r="I338" s="46" t="e">
        <f t="shared" si="75"/>
        <v>#VALUE!</v>
      </c>
      <c r="J338" s="41" t="e">
        <f t="shared" si="81"/>
        <v>#VALUE!</v>
      </c>
      <c r="K338" s="41" t="e">
        <f t="shared" si="82"/>
        <v>#VALUE!</v>
      </c>
      <c r="L338" s="41" t="e">
        <f t="shared" si="82"/>
        <v>#VALUE!</v>
      </c>
      <c r="M338" s="41" t="e">
        <f t="shared" si="76"/>
        <v>#VALUE!</v>
      </c>
      <c r="N338" s="41" t="e">
        <f t="shared" si="77"/>
        <v>#VALUE!</v>
      </c>
      <c r="O338" s="41">
        <f t="shared" si="78"/>
        <v>0</v>
      </c>
      <c r="Q338" s="44" t="e">
        <f t="shared" si="79"/>
        <v>#VALUE!</v>
      </c>
      <c r="R338" s="44" t="e">
        <f t="shared" si="83"/>
        <v>#VALUE!</v>
      </c>
      <c r="S338" s="44" t="e">
        <f t="shared" si="80"/>
        <v>#VALUE!</v>
      </c>
      <c r="T338" s="41" t="e">
        <f t="shared" si="84"/>
        <v>#VALUE!</v>
      </c>
      <c r="U338" s="41" t="e">
        <f t="shared" si="85"/>
        <v>#VALUE!</v>
      </c>
      <c r="V338" s="41" t="e">
        <f t="shared" si="86"/>
        <v>#VALUE!</v>
      </c>
    </row>
    <row r="339" spans="2:22" x14ac:dyDescent="0.25">
      <c r="B339" s="41" t="b">
        <f t="shared" si="87"/>
        <v>0</v>
      </c>
      <c r="C339" s="41" t="e">
        <f t="shared" si="74"/>
        <v>#VALUE!</v>
      </c>
      <c r="E339" s="45">
        <v>335</v>
      </c>
      <c r="G339" s="138"/>
      <c r="H339" s="135">
        <v>1</v>
      </c>
      <c r="I339" s="46" t="e">
        <f t="shared" si="75"/>
        <v>#VALUE!</v>
      </c>
      <c r="J339" s="41" t="e">
        <f t="shared" si="81"/>
        <v>#VALUE!</v>
      </c>
      <c r="K339" s="41" t="e">
        <f t="shared" si="82"/>
        <v>#VALUE!</v>
      </c>
      <c r="L339" s="41" t="e">
        <f t="shared" si="82"/>
        <v>#VALUE!</v>
      </c>
      <c r="M339" s="41" t="e">
        <f t="shared" si="76"/>
        <v>#VALUE!</v>
      </c>
      <c r="N339" s="41" t="e">
        <f t="shared" si="77"/>
        <v>#VALUE!</v>
      </c>
      <c r="O339" s="41">
        <f t="shared" si="78"/>
        <v>0</v>
      </c>
      <c r="Q339" s="44" t="e">
        <f t="shared" si="79"/>
        <v>#VALUE!</v>
      </c>
      <c r="R339" s="44" t="e">
        <f t="shared" si="83"/>
        <v>#VALUE!</v>
      </c>
      <c r="S339" s="44" t="e">
        <f t="shared" si="80"/>
        <v>#VALUE!</v>
      </c>
      <c r="T339" s="41" t="e">
        <f t="shared" si="84"/>
        <v>#VALUE!</v>
      </c>
      <c r="U339" s="41" t="e">
        <f t="shared" si="85"/>
        <v>#VALUE!</v>
      </c>
      <c r="V339" s="41" t="e">
        <f t="shared" si="86"/>
        <v>#VALUE!</v>
      </c>
    </row>
    <row r="340" spans="2:22" x14ac:dyDescent="0.25">
      <c r="B340" s="41" t="b">
        <f t="shared" si="87"/>
        <v>0</v>
      </c>
      <c r="C340" s="41" t="e">
        <f t="shared" si="74"/>
        <v>#VALUE!</v>
      </c>
      <c r="E340" s="45">
        <v>336</v>
      </c>
      <c r="G340" s="138"/>
      <c r="H340" s="135">
        <v>1</v>
      </c>
      <c r="I340" s="46" t="e">
        <f t="shared" si="75"/>
        <v>#VALUE!</v>
      </c>
      <c r="J340" s="41" t="e">
        <f t="shared" si="81"/>
        <v>#VALUE!</v>
      </c>
      <c r="K340" s="41" t="e">
        <f t="shared" si="82"/>
        <v>#VALUE!</v>
      </c>
      <c r="L340" s="41" t="e">
        <f t="shared" si="82"/>
        <v>#VALUE!</v>
      </c>
      <c r="M340" s="41" t="e">
        <f t="shared" si="76"/>
        <v>#VALUE!</v>
      </c>
      <c r="N340" s="41" t="e">
        <f t="shared" si="77"/>
        <v>#VALUE!</v>
      </c>
      <c r="O340" s="41">
        <f t="shared" si="78"/>
        <v>0</v>
      </c>
      <c r="Q340" s="44" t="e">
        <f t="shared" si="79"/>
        <v>#VALUE!</v>
      </c>
      <c r="R340" s="44" t="e">
        <f t="shared" si="83"/>
        <v>#VALUE!</v>
      </c>
      <c r="S340" s="44" t="e">
        <f t="shared" si="80"/>
        <v>#VALUE!</v>
      </c>
      <c r="T340" s="41" t="e">
        <f t="shared" si="84"/>
        <v>#VALUE!</v>
      </c>
      <c r="U340" s="41" t="e">
        <f t="shared" si="85"/>
        <v>#VALUE!</v>
      </c>
      <c r="V340" s="41" t="e">
        <f t="shared" si="86"/>
        <v>#VALUE!</v>
      </c>
    </row>
    <row r="341" spans="2:22" x14ac:dyDescent="0.25">
      <c r="B341" s="41" t="b">
        <f t="shared" si="87"/>
        <v>0</v>
      </c>
      <c r="C341" s="41" t="e">
        <f t="shared" si="74"/>
        <v>#VALUE!</v>
      </c>
      <c r="E341" s="45">
        <v>337</v>
      </c>
      <c r="G341" s="138"/>
      <c r="H341" s="135">
        <v>1</v>
      </c>
      <c r="I341" s="46" t="e">
        <f t="shared" si="75"/>
        <v>#VALUE!</v>
      </c>
      <c r="J341" s="41" t="e">
        <f t="shared" si="81"/>
        <v>#VALUE!</v>
      </c>
      <c r="K341" s="41" t="e">
        <f t="shared" si="82"/>
        <v>#VALUE!</v>
      </c>
      <c r="L341" s="41" t="e">
        <f t="shared" si="82"/>
        <v>#VALUE!</v>
      </c>
      <c r="M341" s="41" t="e">
        <f t="shared" si="76"/>
        <v>#VALUE!</v>
      </c>
      <c r="N341" s="41" t="e">
        <f t="shared" si="77"/>
        <v>#VALUE!</v>
      </c>
      <c r="O341" s="41">
        <f t="shared" si="78"/>
        <v>0</v>
      </c>
      <c r="Q341" s="44" t="e">
        <f t="shared" si="79"/>
        <v>#VALUE!</v>
      </c>
      <c r="R341" s="44" t="e">
        <f t="shared" si="83"/>
        <v>#VALUE!</v>
      </c>
      <c r="S341" s="44" t="e">
        <f t="shared" si="80"/>
        <v>#VALUE!</v>
      </c>
      <c r="T341" s="41" t="e">
        <f t="shared" si="84"/>
        <v>#VALUE!</v>
      </c>
      <c r="U341" s="41" t="e">
        <f t="shared" si="85"/>
        <v>#VALUE!</v>
      </c>
      <c r="V341" s="41" t="e">
        <f t="shared" si="86"/>
        <v>#VALUE!</v>
      </c>
    </row>
    <row r="342" spans="2:22" x14ac:dyDescent="0.25">
      <c r="B342" s="41" t="b">
        <f t="shared" si="87"/>
        <v>0</v>
      </c>
      <c r="C342" s="41" t="e">
        <f t="shared" si="74"/>
        <v>#VALUE!</v>
      </c>
      <c r="E342" s="45">
        <v>338</v>
      </c>
      <c r="G342" s="138"/>
      <c r="H342" s="135">
        <v>1</v>
      </c>
      <c r="I342" s="46" t="e">
        <f t="shared" si="75"/>
        <v>#VALUE!</v>
      </c>
      <c r="J342" s="41" t="e">
        <f t="shared" si="81"/>
        <v>#VALUE!</v>
      </c>
      <c r="K342" s="41" t="e">
        <f t="shared" si="82"/>
        <v>#VALUE!</v>
      </c>
      <c r="L342" s="41" t="e">
        <f t="shared" si="82"/>
        <v>#VALUE!</v>
      </c>
      <c r="M342" s="41" t="e">
        <f t="shared" si="76"/>
        <v>#VALUE!</v>
      </c>
      <c r="N342" s="41" t="e">
        <f t="shared" si="77"/>
        <v>#VALUE!</v>
      </c>
      <c r="O342" s="41">
        <f t="shared" si="78"/>
        <v>0</v>
      </c>
      <c r="Q342" s="44" t="e">
        <f t="shared" si="79"/>
        <v>#VALUE!</v>
      </c>
      <c r="R342" s="44" t="e">
        <f t="shared" si="83"/>
        <v>#VALUE!</v>
      </c>
      <c r="S342" s="44" t="e">
        <f t="shared" si="80"/>
        <v>#VALUE!</v>
      </c>
      <c r="T342" s="41" t="e">
        <f t="shared" si="84"/>
        <v>#VALUE!</v>
      </c>
      <c r="U342" s="41" t="e">
        <f t="shared" si="85"/>
        <v>#VALUE!</v>
      </c>
      <c r="V342" s="41" t="e">
        <f t="shared" si="86"/>
        <v>#VALUE!</v>
      </c>
    </row>
    <row r="343" spans="2:22" x14ac:dyDescent="0.25">
      <c r="B343" s="41" t="b">
        <f t="shared" si="87"/>
        <v>0</v>
      </c>
      <c r="C343" s="41" t="e">
        <f t="shared" si="74"/>
        <v>#VALUE!</v>
      </c>
      <c r="E343" s="45">
        <v>339</v>
      </c>
      <c r="G343" s="138"/>
      <c r="H343" s="135">
        <v>1</v>
      </c>
      <c r="I343" s="46" t="e">
        <f t="shared" si="75"/>
        <v>#VALUE!</v>
      </c>
      <c r="J343" s="41" t="e">
        <f t="shared" si="81"/>
        <v>#VALUE!</v>
      </c>
      <c r="K343" s="41" t="e">
        <f t="shared" si="82"/>
        <v>#VALUE!</v>
      </c>
      <c r="L343" s="41" t="e">
        <f t="shared" si="82"/>
        <v>#VALUE!</v>
      </c>
      <c r="M343" s="41" t="e">
        <f t="shared" si="76"/>
        <v>#VALUE!</v>
      </c>
      <c r="N343" s="41" t="e">
        <f t="shared" si="77"/>
        <v>#VALUE!</v>
      </c>
      <c r="O343" s="41">
        <f t="shared" si="78"/>
        <v>0</v>
      </c>
      <c r="Q343" s="44" t="e">
        <f t="shared" si="79"/>
        <v>#VALUE!</v>
      </c>
      <c r="R343" s="44" t="e">
        <f t="shared" si="83"/>
        <v>#VALUE!</v>
      </c>
      <c r="S343" s="44" t="e">
        <f t="shared" si="80"/>
        <v>#VALUE!</v>
      </c>
      <c r="T343" s="41" t="e">
        <f t="shared" si="84"/>
        <v>#VALUE!</v>
      </c>
      <c r="U343" s="41" t="e">
        <f t="shared" si="85"/>
        <v>#VALUE!</v>
      </c>
      <c r="V343" s="41" t="e">
        <f t="shared" si="86"/>
        <v>#VALUE!</v>
      </c>
    </row>
    <row r="344" spans="2:22" x14ac:dyDescent="0.25">
      <c r="B344" s="41" t="b">
        <f t="shared" si="87"/>
        <v>0</v>
      </c>
      <c r="C344" s="41" t="e">
        <f t="shared" si="74"/>
        <v>#VALUE!</v>
      </c>
      <c r="E344" s="45">
        <v>340</v>
      </c>
      <c r="G344" s="138"/>
      <c r="H344" s="135">
        <v>1</v>
      </c>
      <c r="I344" s="46" t="e">
        <f t="shared" si="75"/>
        <v>#VALUE!</v>
      </c>
      <c r="J344" s="41" t="e">
        <f t="shared" si="81"/>
        <v>#VALUE!</v>
      </c>
      <c r="K344" s="41" t="e">
        <f t="shared" si="82"/>
        <v>#VALUE!</v>
      </c>
      <c r="L344" s="41" t="e">
        <f t="shared" si="82"/>
        <v>#VALUE!</v>
      </c>
      <c r="M344" s="41" t="e">
        <f t="shared" si="76"/>
        <v>#VALUE!</v>
      </c>
      <c r="N344" s="41" t="e">
        <f t="shared" si="77"/>
        <v>#VALUE!</v>
      </c>
      <c r="O344" s="41">
        <f t="shared" si="78"/>
        <v>0</v>
      </c>
      <c r="Q344" s="44" t="e">
        <f t="shared" si="79"/>
        <v>#VALUE!</v>
      </c>
      <c r="R344" s="44" t="e">
        <f t="shared" si="83"/>
        <v>#VALUE!</v>
      </c>
      <c r="S344" s="44" t="e">
        <f t="shared" si="80"/>
        <v>#VALUE!</v>
      </c>
      <c r="T344" s="41" t="e">
        <f t="shared" si="84"/>
        <v>#VALUE!</v>
      </c>
      <c r="U344" s="41" t="e">
        <f t="shared" si="85"/>
        <v>#VALUE!</v>
      </c>
      <c r="V344" s="41" t="e">
        <f t="shared" si="86"/>
        <v>#VALUE!</v>
      </c>
    </row>
    <row r="345" spans="2:22" x14ac:dyDescent="0.25">
      <c r="B345" s="41" t="b">
        <f t="shared" si="87"/>
        <v>0</v>
      </c>
      <c r="C345" s="41" t="e">
        <f t="shared" si="74"/>
        <v>#VALUE!</v>
      </c>
      <c r="E345" s="45">
        <v>341</v>
      </c>
      <c r="G345" s="138"/>
      <c r="H345" s="135">
        <v>1</v>
      </c>
      <c r="I345" s="46" t="e">
        <f t="shared" si="75"/>
        <v>#VALUE!</v>
      </c>
      <c r="J345" s="41" t="e">
        <f t="shared" si="81"/>
        <v>#VALUE!</v>
      </c>
      <c r="K345" s="41" t="e">
        <f t="shared" si="82"/>
        <v>#VALUE!</v>
      </c>
      <c r="L345" s="41" t="e">
        <f t="shared" si="82"/>
        <v>#VALUE!</v>
      </c>
      <c r="M345" s="41" t="e">
        <f t="shared" si="76"/>
        <v>#VALUE!</v>
      </c>
      <c r="N345" s="41" t="e">
        <f t="shared" si="77"/>
        <v>#VALUE!</v>
      </c>
      <c r="O345" s="41">
        <f t="shared" si="78"/>
        <v>0</v>
      </c>
      <c r="Q345" s="44" t="e">
        <f t="shared" si="79"/>
        <v>#VALUE!</v>
      </c>
      <c r="R345" s="44" t="e">
        <f t="shared" si="83"/>
        <v>#VALUE!</v>
      </c>
      <c r="S345" s="44" t="e">
        <f t="shared" si="80"/>
        <v>#VALUE!</v>
      </c>
      <c r="T345" s="41" t="e">
        <f t="shared" si="84"/>
        <v>#VALUE!</v>
      </c>
      <c r="U345" s="41" t="e">
        <f t="shared" si="85"/>
        <v>#VALUE!</v>
      </c>
      <c r="V345" s="41" t="e">
        <f t="shared" si="86"/>
        <v>#VALUE!</v>
      </c>
    </row>
    <row r="346" spans="2:22" x14ac:dyDescent="0.25">
      <c r="B346" s="41" t="b">
        <f t="shared" si="87"/>
        <v>0</v>
      </c>
      <c r="C346" s="41" t="e">
        <f t="shared" si="74"/>
        <v>#VALUE!</v>
      </c>
      <c r="E346" s="45">
        <v>342</v>
      </c>
      <c r="G346" s="138"/>
      <c r="H346" s="135">
        <v>1</v>
      </c>
      <c r="I346" s="46" t="e">
        <f t="shared" si="75"/>
        <v>#VALUE!</v>
      </c>
      <c r="J346" s="41" t="e">
        <f t="shared" si="81"/>
        <v>#VALUE!</v>
      </c>
      <c r="K346" s="41" t="e">
        <f t="shared" si="82"/>
        <v>#VALUE!</v>
      </c>
      <c r="L346" s="41" t="e">
        <f t="shared" si="82"/>
        <v>#VALUE!</v>
      </c>
      <c r="M346" s="41" t="e">
        <f t="shared" si="76"/>
        <v>#VALUE!</v>
      </c>
      <c r="N346" s="41" t="e">
        <f t="shared" si="77"/>
        <v>#VALUE!</v>
      </c>
      <c r="O346" s="41">
        <f t="shared" si="78"/>
        <v>0</v>
      </c>
      <c r="Q346" s="44" t="e">
        <f t="shared" si="79"/>
        <v>#VALUE!</v>
      </c>
      <c r="R346" s="44" t="e">
        <f t="shared" si="83"/>
        <v>#VALUE!</v>
      </c>
      <c r="S346" s="44" t="e">
        <f t="shared" si="80"/>
        <v>#VALUE!</v>
      </c>
      <c r="T346" s="41" t="e">
        <f t="shared" si="84"/>
        <v>#VALUE!</v>
      </c>
      <c r="U346" s="41" t="e">
        <f t="shared" si="85"/>
        <v>#VALUE!</v>
      </c>
      <c r="V346" s="41" t="e">
        <f t="shared" si="86"/>
        <v>#VALUE!</v>
      </c>
    </row>
    <row r="347" spans="2:22" x14ac:dyDescent="0.25">
      <c r="B347" s="41" t="b">
        <f t="shared" si="87"/>
        <v>0</v>
      </c>
      <c r="C347" s="41" t="e">
        <f t="shared" si="74"/>
        <v>#VALUE!</v>
      </c>
      <c r="E347" s="45">
        <v>343</v>
      </c>
      <c r="G347" s="138"/>
      <c r="H347" s="135">
        <v>1</v>
      </c>
      <c r="I347" s="46" t="e">
        <f t="shared" si="75"/>
        <v>#VALUE!</v>
      </c>
      <c r="J347" s="41" t="e">
        <f t="shared" si="81"/>
        <v>#VALUE!</v>
      </c>
      <c r="K347" s="41" t="e">
        <f t="shared" si="82"/>
        <v>#VALUE!</v>
      </c>
      <c r="L347" s="41" t="e">
        <f t="shared" si="82"/>
        <v>#VALUE!</v>
      </c>
      <c r="M347" s="41" t="e">
        <f t="shared" si="76"/>
        <v>#VALUE!</v>
      </c>
      <c r="N347" s="41" t="e">
        <f t="shared" si="77"/>
        <v>#VALUE!</v>
      </c>
      <c r="O347" s="41">
        <f t="shared" si="78"/>
        <v>0</v>
      </c>
      <c r="Q347" s="44" t="e">
        <f t="shared" si="79"/>
        <v>#VALUE!</v>
      </c>
      <c r="R347" s="44" t="e">
        <f t="shared" si="83"/>
        <v>#VALUE!</v>
      </c>
      <c r="S347" s="44" t="e">
        <f t="shared" si="80"/>
        <v>#VALUE!</v>
      </c>
      <c r="T347" s="41" t="e">
        <f t="shared" si="84"/>
        <v>#VALUE!</v>
      </c>
      <c r="U347" s="41" t="e">
        <f t="shared" si="85"/>
        <v>#VALUE!</v>
      </c>
      <c r="V347" s="41" t="e">
        <f t="shared" si="86"/>
        <v>#VALUE!</v>
      </c>
    </row>
    <row r="348" spans="2:22" x14ac:dyDescent="0.25">
      <c r="B348" s="41" t="b">
        <f t="shared" si="87"/>
        <v>0</v>
      </c>
      <c r="C348" s="41" t="e">
        <f t="shared" si="74"/>
        <v>#VALUE!</v>
      </c>
      <c r="E348" s="45">
        <v>344</v>
      </c>
      <c r="G348" s="138"/>
      <c r="H348" s="135">
        <v>1</v>
      </c>
      <c r="I348" s="46" t="e">
        <f t="shared" si="75"/>
        <v>#VALUE!</v>
      </c>
      <c r="J348" s="41" t="e">
        <f t="shared" si="81"/>
        <v>#VALUE!</v>
      </c>
      <c r="K348" s="41" t="e">
        <f t="shared" si="82"/>
        <v>#VALUE!</v>
      </c>
      <c r="L348" s="41" t="e">
        <f t="shared" si="82"/>
        <v>#VALUE!</v>
      </c>
      <c r="M348" s="41" t="e">
        <f t="shared" si="76"/>
        <v>#VALUE!</v>
      </c>
      <c r="N348" s="41" t="e">
        <f t="shared" si="77"/>
        <v>#VALUE!</v>
      </c>
      <c r="O348" s="41">
        <f t="shared" si="78"/>
        <v>0</v>
      </c>
      <c r="Q348" s="44" t="e">
        <f t="shared" si="79"/>
        <v>#VALUE!</v>
      </c>
      <c r="R348" s="44" t="e">
        <f t="shared" si="83"/>
        <v>#VALUE!</v>
      </c>
      <c r="S348" s="44" t="e">
        <f t="shared" si="80"/>
        <v>#VALUE!</v>
      </c>
      <c r="T348" s="41" t="e">
        <f t="shared" si="84"/>
        <v>#VALUE!</v>
      </c>
      <c r="U348" s="41" t="e">
        <f t="shared" si="85"/>
        <v>#VALUE!</v>
      </c>
      <c r="V348" s="41" t="e">
        <f t="shared" si="86"/>
        <v>#VALUE!</v>
      </c>
    </row>
    <row r="349" spans="2:22" x14ac:dyDescent="0.25">
      <c r="B349" s="41" t="b">
        <f t="shared" si="87"/>
        <v>0</v>
      </c>
      <c r="C349" s="41" t="e">
        <f t="shared" si="74"/>
        <v>#VALUE!</v>
      </c>
      <c r="E349" s="45">
        <v>345</v>
      </c>
      <c r="G349" s="138"/>
      <c r="H349" s="135">
        <v>1</v>
      </c>
      <c r="I349" s="46" t="e">
        <f t="shared" si="75"/>
        <v>#VALUE!</v>
      </c>
      <c r="J349" s="41" t="e">
        <f t="shared" si="81"/>
        <v>#VALUE!</v>
      </c>
      <c r="K349" s="41" t="e">
        <f t="shared" si="82"/>
        <v>#VALUE!</v>
      </c>
      <c r="L349" s="41" t="e">
        <f t="shared" si="82"/>
        <v>#VALUE!</v>
      </c>
      <c r="M349" s="41" t="e">
        <f t="shared" si="76"/>
        <v>#VALUE!</v>
      </c>
      <c r="N349" s="41" t="e">
        <f t="shared" si="77"/>
        <v>#VALUE!</v>
      </c>
      <c r="O349" s="41">
        <f t="shared" si="78"/>
        <v>0</v>
      </c>
      <c r="Q349" s="44" t="e">
        <f t="shared" si="79"/>
        <v>#VALUE!</v>
      </c>
      <c r="R349" s="44" t="e">
        <f t="shared" si="83"/>
        <v>#VALUE!</v>
      </c>
      <c r="S349" s="44" t="e">
        <f t="shared" si="80"/>
        <v>#VALUE!</v>
      </c>
      <c r="T349" s="41" t="e">
        <f t="shared" si="84"/>
        <v>#VALUE!</v>
      </c>
      <c r="U349" s="41" t="e">
        <f t="shared" si="85"/>
        <v>#VALUE!</v>
      </c>
      <c r="V349" s="41" t="e">
        <f t="shared" si="86"/>
        <v>#VALUE!</v>
      </c>
    </row>
    <row r="350" spans="2:22" x14ac:dyDescent="0.25">
      <c r="B350" s="41" t="b">
        <f t="shared" si="87"/>
        <v>0</v>
      </c>
      <c r="C350" s="41" t="e">
        <f t="shared" si="74"/>
        <v>#VALUE!</v>
      </c>
      <c r="E350" s="45">
        <v>346</v>
      </c>
      <c r="G350" s="138"/>
      <c r="H350" s="135">
        <v>1</v>
      </c>
      <c r="I350" s="46" t="e">
        <f t="shared" si="75"/>
        <v>#VALUE!</v>
      </c>
      <c r="J350" s="41" t="e">
        <f t="shared" si="81"/>
        <v>#VALUE!</v>
      </c>
      <c r="K350" s="41" t="e">
        <f t="shared" si="82"/>
        <v>#VALUE!</v>
      </c>
      <c r="L350" s="41" t="e">
        <f t="shared" si="82"/>
        <v>#VALUE!</v>
      </c>
      <c r="M350" s="41" t="e">
        <f t="shared" si="76"/>
        <v>#VALUE!</v>
      </c>
      <c r="N350" s="41" t="e">
        <f t="shared" si="77"/>
        <v>#VALUE!</v>
      </c>
      <c r="O350" s="41">
        <f t="shared" si="78"/>
        <v>0</v>
      </c>
      <c r="Q350" s="44" t="e">
        <f t="shared" si="79"/>
        <v>#VALUE!</v>
      </c>
      <c r="R350" s="44" t="e">
        <f t="shared" si="83"/>
        <v>#VALUE!</v>
      </c>
      <c r="S350" s="44" t="e">
        <f t="shared" si="80"/>
        <v>#VALUE!</v>
      </c>
      <c r="T350" s="41" t="e">
        <f t="shared" si="84"/>
        <v>#VALUE!</v>
      </c>
      <c r="U350" s="41" t="e">
        <f t="shared" si="85"/>
        <v>#VALUE!</v>
      </c>
      <c r="V350" s="41" t="e">
        <f t="shared" si="86"/>
        <v>#VALUE!</v>
      </c>
    </row>
    <row r="351" spans="2:22" x14ac:dyDescent="0.25">
      <c r="B351" s="41" t="b">
        <f t="shared" si="87"/>
        <v>0</v>
      </c>
      <c r="C351" s="41" t="e">
        <f t="shared" si="74"/>
        <v>#VALUE!</v>
      </c>
      <c r="E351" s="45">
        <v>347</v>
      </c>
      <c r="G351" s="138"/>
      <c r="H351" s="135">
        <v>1</v>
      </c>
      <c r="I351" s="46" t="e">
        <f t="shared" si="75"/>
        <v>#VALUE!</v>
      </c>
      <c r="J351" s="41" t="e">
        <f t="shared" si="81"/>
        <v>#VALUE!</v>
      </c>
      <c r="K351" s="41" t="e">
        <f t="shared" si="82"/>
        <v>#VALUE!</v>
      </c>
      <c r="L351" s="41" t="e">
        <f t="shared" si="82"/>
        <v>#VALUE!</v>
      </c>
      <c r="M351" s="41" t="e">
        <f t="shared" si="76"/>
        <v>#VALUE!</v>
      </c>
      <c r="N351" s="41" t="e">
        <f t="shared" si="77"/>
        <v>#VALUE!</v>
      </c>
      <c r="O351" s="41">
        <f t="shared" si="78"/>
        <v>0</v>
      </c>
      <c r="Q351" s="44" t="e">
        <f t="shared" si="79"/>
        <v>#VALUE!</v>
      </c>
      <c r="R351" s="44" t="e">
        <f t="shared" si="83"/>
        <v>#VALUE!</v>
      </c>
      <c r="S351" s="44" t="e">
        <f t="shared" si="80"/>
        <v>#VALUE!</v>
      </c>
      <c r="T351" s="41" t="e">
        <f t="shared" si="84"/>
        <v>#VALUE!</v>
      </c>
      <c r="U351" s="41" t="e">
        <f t="shared" si="85"/>
        <v>#VALUE!</v>
      </c>
      <c r="V351" s="41" t="e">
        <f t="shared" si="86"/>
        <v>#VALUE!</v>
      </c>
    </row>
    <row r="352" spans="2:22" x14ac:dyDescent="0.25">
      <c r="B352" s="41" t="b">
        <f t="shared" si="87"/>
        <v>0</v>
      </c>
      <c r="C352" s="41" t="e">
        <f t="shared" si="74"/>
        <v>#VALUE!</v>
      </c>
      <c r="E352" s="45">
        <v>348</v>
      </c>
      <c r="G352" s="138"/>
      <c r="H352" s="135">
        <v>1</v>
      </c>
      <c r="I352" s="46" t="e">
        <f t="shared" si="75"/>
        <v>#VALUE!</v>
      </c>
      <c r="J352" s="41" t="e">
        <f t="shared" si="81"/>
        <v>#VALUE!</v>
      </c>
      <c r="K352" s="41" t="e">
        <f t="shared" si="82"/>
        <v>#VALUE!</v>
      </c>
      <c r="L352" s="41" t="e">
        <f t="shared" si="82"/>
        <v>#VALUE!</v>
      </c>
      <c r="M352" s="41" t="e">
        <f t="shared" si="76"/>
        <v>#VALUE!</v>
      </c>
      <c r="N352" s="41" t="e">
        <f t="shared" si="77"/>
        <v>#VALUE!</v>
      </c>
      <c r="O352" s="41">
        <f t="shared" si="78"/>
        <v>0</v>
      </c>
      <c r="Q352" s="44" t="e">
        <f t="shared" si="79"/>
        <v>#VALUE!</v>
      </c>
      <c r="R352" s="44" t="e">
        <f t="shared" si="83"/>
        <v>#VALUE!</v>
      </c>
      <c r="S352" s="44" t="e">
        <f t="shared" si="80"/>
        <v>#VALUE!</v>
      </c>
      <c r="T352" s="41" t="e">
        <f t="shared" si="84"/>
        <v>#VALUE!</v>
      </c>
      <c r="U352" s="41" t="e">
        <f t="shared" si="85"/>
        <v>#VALUE!</v>
      </c>
      <c r="V352" s="41" t="e">
        <f t="shared" si="86"/>
        <v>#VALUE!</v>
      </c>
    </row>
    <row r="353" spans="2:22" x14ac:dyDescent="0.25">
      <c r="B353" s="41" t="b">
        <f t="shared" si="87"/>
        <v>0</v>
      </c>
      <c r="C353" s="41" t="e">
        <f t="shared" si="74"/>
        <v>#VALUE!</v>
      </c>
      <c r="E353" s="45">
        <v>349</v>
      </c>
      <c r="G353" s="138"/>
      <c r="H353" s="135">
        <v>1</v>
      </c>
      <c r="I353" s="46" t="e">
        <f t="shared" si="75"/>
        <v>#VALUE!</v>
      </c>
      <c r="J353" s="41" t="e">
        <f t="shared" si="81"/>
        <v>#VALUE!</v>
      </c>
      <c r="K353" s="41" t="e">
        <f t="shared" si="82"/>
        <v>#VALUE!</v>
      </c>
      <c r="L353" s="41" t="e">
        <f t="shared" si="82"/>
        <v>#VALUE!</v>
      </c>
      <c r="M353" s="41" t="e">
        <f t="shared" si="76"/>
        <v>#VALUE!</v>
      </c>
      <c r="N353" s="41" t="e">
        <f t="shared" si="77"/>
        <v>#VALUE!</v>
      </c>
      <c r="O353" s="41">
        <f t="shared" si="78"/>
        <v>0</v>
      </c>
      <c r="Q353" s="44" t="e">
        <f t="shared" si="79"/>
        <v>#VALUE!</v>
      </c>
      <c r="R353" s="44" t="e">
        <f t="shared" si="83"/>
        <v>#VALUE!</v>
      </c>
      <c r="S353" s="44" t="e">
        <f t="shared" si="80"/>
        <v>#VALUE!</v>
      </c>
      <c r="T353" s="41" t="e">
        <f t="shared" si="84"/>
        <v>#VALUE!</v>
      </c>
      <c r="U353" s="41" t="e">
        <f t="shared" si="85"/>
        <v>#VALUE!</v>
      </c>
      <c r="V353" s="41" t="e">
        <f t="shared" si="86"/>
        <v>#VALUE!</v>
      </c>
    </row>
    <row r="354" spans="2:22" x14ac:dyDescent="0.25">
      <c r="B354" s="41" t="b">
        <f t="shared" si="87"/>
        <v>0</v>
      </c>
      <c r="C354" s="41" t="e">
        <f t="shared" si="74"/>
        <v>#VALUE!</v>
      </c>
      <c r="E354" s="45">
        <v>350</v>
      </c>
      <c r="G354" s="138"/>
      <c r="H354" s="135">
        <v>1</v>
      </c>
      <c r="I354" s="46" t="e">
        <f t="shared" si="75"/>
        <v>#VALUE!</v>
      </c>
      <c r="J354" s="41" t="e">
        <f t="shared" si="81"/>
        <v>#VALUE!</v>
      </c>
      <c r="K354" s="41" t="e">
        <f t="shared" si="82"/>
        <v>#VALUE!</v>
      </c>
      <c r="L354" s="41" t="e">
        <f t="shared" si="82"/>
        <v>#VALUE!</v>
      </c>
      <c r="M354" s="41" t="e">
        <f t="shared" si="76"/>
        <v>#VALUE!</v>
      </c>
      <c r="N354" s="41" t="e">
        <f t="shared" si="77"/>
        <v>#VALUE!</v>
      </c>
      <c r="O354" s="41">
        <f t="shared" si="78"/>
        <v>0</v>
      </c>
      <c r="Q354" s="44" t="e">
        <f t="shared" si="79"/>
        <v>#VALUE!</v>
      </c>
      <c r="R354" s="44" t="e">
        <f t="shared" si="83"/>
        <v>#VALUE!</v>
      </c>
      <c r="S354" s="44" t="e">
        <f t="shared" si="80"/>
        <v>#VALUE!</v>
      </c>
      <c r="T354" s="41" t="e">
        <f t="shared" si="84"/>
        <v>#VALUE!</v>
      </c>
      <c r="U354" s="41" t="e">
        <f t="shared" si="85"/>
        <v>#VALUE!</v>
      </c>
      <c r="V354" s="41" t="e">
        <f t="shared" si="86"/>
        <v>#VALUE!</v>
      </c>
    </row>
    <row r="355" spans="2:22" x14ac:dyDescent="0.25">
      <c r="B355" s="41" t="b">
        <f t="shared" si="87"/>
        <v>0</v>
      </c>
      <c r="C355" s="41" t="e">
        <f t="shared" si="74"/>
        <v>#VALUE!</v>
      </c>
      <c r="E355" s="45">
        <v>351</v>
      </c>
      <c r="G355" s="138"/>
      <c r="H355" s="135">
        <v>1</v>
      </c>
      <c r="I355" s="46" t="e">
        <f t="shared" si="75"/>
        <v>#VALUE!</v>
      </c>
      <c r="J355" s="41" t="e">
        <f t="shared" si="81"/>
        <v>#VALUE!</v>
      </c>
      <c r="K355" s="41" t="e">
        <f t="shared" si="82"/>
        <v>#VALUE!</v>
      </c>
      <c r="L355" s="41" t="e">
        <f t="shared" si="82"/>
        <v>#VALUE!</v>
      </c>
      <c r="M355" s="41" t="e">
        <f t="shared" si="76"/>
        <v>#VALUE!</v>
      </c>
      <c r="N355" s="41" t="e">
        <f t="shared" si="77"/>
        <v>#VALUE!</v>
      </c>
      <c r="O355" s="41">
        <f t="shared" si="78"/>
        <v>0</v>
      </c>
      <c r="Q355" s="44" t="e">
        <f t="shared" si="79"/>
        <v>#VALUE!</v>
      </c>
      <c r="R355" s="44" t="e">
        <f t="shared" si="83"/>
        <v>#VALUE!</v>
      </c>
      <c r="S355" s="44" t="e">
        <f t="shared" si="80"/>
        <v>#VALUE!</v>
      </c>
      <c r="T355" s="41" t="e">
        <f t="shared" si="84"/>
        <v>#VALUE!</v>
      </c>
      <c r="U355" s="41" t="e">
        <f t="shared" si="85"/>
        <v>#VALUE!</v>
      </c>
      <c r="V355" s="41" t="e">
        <f t="shared" si="86"/>
        <v>#VALUE!</v>
      </c>
    </row>
    <row r="356" spans="2:22" x14ac:dyDescent="0.25">
      <c r="B356" s="41" t="b">
        <f t="shared" si="87"/>
        <v>0</v>
      </c>
      <c r="C356" s="41" t="e">
        <f t="shared" si="74"/>
        <v>#VALUE!</v>
      </c>
      <c r="E356" s="45">
        <v>352</v>
      </c>
      <c r="G356" s="138"/>
      <c r="H356" s="135">
        <v>1</v>
      </c>
      <c r="I356" s="46" t="e">
        <f t="shared" si="75"/>
        <v>#VALUE!</v>
      </c>
      <c r="J356" s="41" t="e">
        <f t="shared" si="81"/>
        <v>#VALUE!</v>
      </c>
      <c r="K356" s="41" t="e">
        <f t="shared" si="82"/>
        <v>#VALUE!</v>
      </c>
      <c r="L356" s="41" t="e">
        <f t="shared" si="82"/>
        <v>#VALUE!</v>
      </c>
      <c r="M356" s="41" t="e">
        <f t="shared" si="76"/>
        <v>#VALUE!</v>
      </c>
      <c r="N356" s="41" t="e">
        <f t="shared" si="77"/>
        <v>#VALUE!</v>
      </c>
      <c r="O356" s="41">
        <f t="shared" si="78"/>
        <v>0</v>
      </c>
      <c r="Q356" s="44" t="e">
        <f t="shared" si="79"/>
        <v>#VALUE!</v>
      </c>
      <c r="R356" s="44" t="e">
        <f t="shared" si="83"/>
        <v>#VALUE!</v>
      </c>
      <c r="S356" s="44" t="e">
        <f t="shared" si="80"/>
        <v>#VALUE!</v>
      </c>
      <c r="T356" s="41" t="e">
        <f t="shared" si="84"/>
        <v>#VALUE!</v>
      </c>
      <c r="U356" s="41" t="e">
        <f t="shared" si="85"/>
        <v>#VALUE!</v>
      </c>
      <c r="V356" s="41" t="e">
        <f t="shared" si="86"/>
        <v>#VALUE!</v>
      </c>
    </row>
    <row r="357" spans="2:22" x14ac:dyDescent="0.25">
      <c r="B357" s="41" t="b">
        <f t="shared" si="87"/>
        <v>0</v>
      </c>
      <c r="C357" s="41" t="e">
        <f t="shared" si="74"/>
        <v>#VALUE!</v>
      </c>
      <c r="E357" s="45">
        <v>353</v>
      </c>
      <c r="G357" s="138"/>
      <c r="H357" s="135">
        <v>1</v>
      </c>
      <c r="I357" s="46" t="e">
        <f t="shared" si="75"/>
        <v>#VALUE!</v>
      </c>
      <c r="J357" s="41" t="e">
        <f t="shared" si="81"/>
        <v>#VALUE!</v>
      </c>
      <c r="K357" s="41" t="e">
        <f t="shared" si="82"/>
        <v>#VALUE!</v>
      </c>
      <c r="L357" s="41" t="e">
        <f t="shared" si="82"/>
        <v>#VALUE!</v>
      </c>
      <c r="M357" s="41" t="e">
        <f t="shared" si="76"/>
        <v>#VALUE!</v>
      </c>
      <c r="N357" s="41" t="e">
        <f t="shared" si="77"/>
        <v>#VALUE!</v>
      </c>
      <c r="O357" s="41">
        <f t="shared" si="78"/>
        <v>0</v>
      </c>
      <c r="Q357" s="44" t="e">
        <f t="shared" si="79"/>
        <v>#VALUE!</v>
      </c>
      <c r="R357" s="44" t="e">
        <f t="shared" si="83"/>
        <v>#VALUE!</v>
      </c>
      <c r="S357" s="44" t="e">
        <f t="shared" si="80"/>
        <v>#VALUE!</v>
      </c>
      <c r="T357" s="41" t="e">
        <f t="shared" si="84"/>
        <v>#VALUE!</v>
      </c>
      <c r="U357" s="41" t="e">
        <f t="shared" si="85"/>
        <v>#VALUE!</v>
      </c>
      <c r="V357" s="41" t="e">
        <f t="shared" si="86"/>
        <v>#VALUE!</v>
      </c>
    </row>
    <row r="358" spans="2:22" x14ac:dyDescent="0.25">
      <c r="B358" s="41" t="b">
        <f t="shared" si="87"/>
        <v>0</v>
      </c>
      <c r="C358" s="41" t="e">
        <f t="shared" si="74"/>
        <v>#VALUE!</v>
      </c>
      <c r="E358" s="45">
        <v>354</v>
      </c>
      <c r="G358" s="138"/>
      <c r="H358" s="135">
        <v>1</v>
      </c>
      <c r="I358" s="46" t="e">
        <f t="shared" si="75"/>
        <v>#VALUE!</v>
      </c>
      <c r="J358" s="41" t="e">
        <f t="shared" si="81"/>
        <v>#VALUE!</v>
      </c>
      <c r="K358" s="41" t="e">
        <f t="shared" si="82"/>
        <v>#VALUE!</v>
      </c>
      <c r="L358" s="41" t="e">
        <f t="shared" si="82"/>
        <v>#VALUE!</v>
      </c>
      <c r="M358" s="41" t="e">
        <f t="shared" si="76"/>
        <v>#VALUE!</v>
      </c>
      <c r="N358" s="41" t="e">
        <f t="shared" si="77"/>
        <v>#VALUE!</v>
      </c>
      <c r="O358" s="41">
        <f t="shared" si="78"/>
        <v>0</v>
      </c>
      <c r="Q358" s="44" t="e">
        <f t="shared" si="79"/>
        <v>#VALUE!</v>
      </c>
      <c r="R358" s="44" t="e">
        <f t="shared" si="83"/>
        <v>#VALUE!</v>
      </c>
      <c r="S358" s="44" t="e">
        <f t="shared" si="80"/>
        <v>#VALUE!</v>
      </c>
      <c r="T358" s="41" t="e">
        <f t="shared" si="84"/>
        <v>#VALUE!</v>
      </c>
      <c r="U358" s="41" t="e">
        <f t="shared" si="85"/>
        <v>#VALUE!</v>
      </c>
      <c r="V358" s="41" t="e">
        <f t="shared" si="86"/>
        <v>#VALUE!</v>
      </c>
    </row>
    <row r="359" spans="2:22" x14ac:dyDescent="0.25">
      <c r="B359" s="41" t="b">
        <f t="shared" si="87"/>
        <v>0</v>
      </c>
      <c r="C359" s="41" t="e">
        <f t="shared" si="74"/>
        <v>#VALUE!</v>
      </c>
      <c r="E359" s="45">
        <v>355</v>
      </c>
      <c r="G359" s="138"/>
      <c r="H359" s="135">
        <v>1</v>
      </c>
      <c r="I359" s="46" t="e">
        <f t="shared" si="75"/>
        <v>#VALUE!</v>
      </c>
      <c r="J359" s="41" t="e">
        <f t="shared" si="81"/>
        <v>#VALUE!</v>
      </c>
      <c r="K359" s="41" t="e">
        <f t="shared" si="82"/>
        <v>#VALUE!</v>
      </c>
      <c r="L359" s="41" t="e">
        <f t="shared" si="82"/>
        <v>#VALUE!</v>
      </c>
      <c r="M359" s="41" t="e">
        <f t="shared" si="76"/>
        <v>#VALUE!</v>
      </c>
      <c r="N359" s="41" t="e">
        <f t="shared" si="77"/>
        <v>#VALUE!</v>
      </c>
      <c r="O359" s="41">
        <f t="shared" si="78"/>
        <v>0</v>
      </c>
      <c r="Q359" s="44" t="e">
        <f t="shared" si="79"/>
        <v>#VALUE!</v>
      </c>
      <c r="R359" s="44" t="e">
        <f t="shared" si="83"/>
        <v>#VALUE!</v>
      </c>
      <c r="S359" s="44" t="e">
        <f t="shared" si="80"/>
        <v>#VALUE!</v>
      </c>
      <c r="T359" s="41" t="e">
        <f t="shared" si="84"/>
        <v>#VALUE!</v>
      </c>
      <c r="U359" s="41" t="e">
        <f t="shared" si="85"/>
        <v>#VALUE!</v>
      </c>
      <c r="V359" s="41" t="e">
        <f t="shared" si="86"/>
        <v>#VALUE!</v>
      </c>
    </row>
    <row r="360" spans="2:22" x14ac:dyDescent="0.25">
      <c r="B360" s="41" t="b">
        <f t="shared" si="87"/>
        <v>0</v>
      </c>
      <c r="C360" s="41" t="e">
        <f t="shared" si="74"/>
        <v>#VALUE!</v>
      </c>
      <c r="E360" s="45">
        <v>356</v>
      </c>
      <c r="G360" s="138"/>
      <c r="H360" s="135">
        <v>1</v>
      </c>
      <c r="I360" s="46" t="e">
        <f t="shared" si="75"/>
        <v>#VALUE!</v>
      </c>
      <c r="J360" s="41" t="e">
        <f t="shared" si="81"/>
        <v>#VALUE!</v>
      </c>
      <c r="K360" s="41" t="e">
        <f t="shared" si="82"/>
        <v>#VALUE!</v>
      </c>
      <c r="L360" s="41" t="e">
        <f t="shared" si="82"/>
        <v>#VALUE!</v>
      </c>
      <c r="M360" s="41" t="e">
        <f t="shared" si="76"/>
        <v>#VALUE!</v>
      </c>
      <c r="N360" s="41" t="e">
        <f t="shared" si="77"/>
        <v>#VALUE!</v>
      </c>
      <c r="O360" s="41">
        <f t="shared" si="78"/>
        <v>0</v>
      </c>
      <c r="Q360" s="44" t="e">
        <f t="shared" si="79"/>
        <v>#VALUE!</v>
      </c>
      <c r="R360" s="44" t="e">
        <f t="shared" si="83"/>
        <v>#VALUE!</v>
      </c>
      <c r="S360" s="44" t="e">
        <f t="shared" si="80"/>
        <v>#VALUE!</v>
      </c>
      <c r="T360" s="41" t="e">
        <f t="shared" si="84"/>
        <v>#VALUE!</v>
      </c>
      <c r="U360" s="41" t="e">
        <f t="shared" si="85"/>
        <v>#VALUE!</v>
      </c>
      <c r="V360" s="41" t="e">
        <f t="shared" si="86"/>
        <v>#VALUE!</v>
      </c>
    </row>
    <row r="361" spans="2:22" x14ac:dyDescent="0.25">
      <c r="B361" s="41" t="b">
        <f t="shared" si="87"/>
        <v>0</v>
      </c>
      <c r="C361" s="41" t="e">
        <f t="shared" si="74"/>
        <v>#VALUE!</v>
      </c>
      <c r="E361" s="45">
        <v>357</v>
      </c>
      <c r="G361" s="138"/>
      <c r="H361" s="135">
        <v>1</v>
      </c>
      <c r="I361" s="46" t="e">
        <f t="shared" si="75"/>
        <v>#VALUE!</v>
      </c>
      <c r="J361" s="41" t="e">
        <f t="shared" si="81"/>
        <v>#VALUE!</v>
      </c>
      <c r="K361" s="41" t="e">
        <f t="shared" si="82"/>
        <v>#VALUE!</v>
      </c>
      <c r="L361" s="41" t="e">
        <f t="shared" si="82"/>
        <v>#VALUE!</v>
      </c>
      <c r="M361" s="41" t="e">
        <f t="shared" si="76"/>
        <v>#VALUE!</v>
      </c>
      <c r="N361" s="41" t="e">
        <f t="shared" si="77"/>
        <v>#VALUE!</v>
      </c>
      <c r="O361" s="41">
        <f t="shared" si="78"/>
        <v>0</v>
      </c>
      <c r="Q361" s="44" t="e">
        <f t="shared" si="79"/>
        <v>#VALUE!</v>
      </c>
      <c r="R361" s="44" t="e">
        <f t="shared" si="83"/>
        <v>#VALUE!</v>
      </c>
      <c r="S361" s="44" t="e">
        <f t="shared" si="80"/>
        <v>#VALUE!</v>
      </c>
      <c r="T361" s="41" t="e">
        <f t="shared" si="84"/>
        <v>#VALUE!</v>
      </c>
      <c r="U361" s="41" t="e">
        <f t="shared" si="85"/>
        <v>#VALUE!</v>
      </c>
      <c r="V361" s="41" t="e">
        <f t="shared" si="86"/>
        <v>#VALUE!</v>
      </c>
    </row>
    <row r="362" spans="2:22" x14ac:dyDescent="0.25">
      <c r="B362" s="41" t="b">
        <f t="shared" si="87"/>
        <v>0</v>
      </c>
      <c r="C362" s="41" t="e">
        <f t="shared" si="74"/>
        <v>#VALUE!</v>
      </c>
      <c r="E362" s="45">
        <v>358</v>
      </c>
      <c r="G362" s="138"/>
      <c r="H362" s="135">
        <v>1</v>
      </c>
      <c r="I362" s="46" t="e">
        <f t="shared" si="75"/>
        <v>#VALUE!</v>
      </c>
      <c r="J362" s="41" t="e">
        <f t="shared" si="81"/>
        <v>#VALUE!</v>
      </c>
      <c r="K362" s="41" t="e">
        <f t="shared" si="82"/>
        <v>#VALUE!</v>
      </c>
      <c r="L362" s="41" t="e">
        <f t="shared" si="82"/>
        <v>#VALUE!</v>
      </c>
      <c r="M362" s="41" t="e">
        <f t="shared" si="76"/>
        <v>#VALUE!</v>
      </c>
      <c r="N362" s="41" t="e">
        <f t="shared" si="77"/>
        <v>#VALUE!</v>
      </c>
      <c r="O362" s="41">
        <f t="shared" si="78"/>
        <v>0</v>
      </c>
      <c r="Q362" s="44" t="e">
        <f t="shared" si="79"/>
        <v>#VALUE!</v>
      </c>
      <c r="R362" s="44" t="e">
        <f t="shared" si="83"/>
        <v>#VALUE!</v>
      </c>
      <c r="S362" s="44" t="e">
        <f t="shared" si="80"/>
        <v>#VALUE!</v>
      </c>
      <c r="T362" s="41" t="e">
        <f t="shared" si="84"/>
        <v>#VALUE!</v>
      </c>
      <c r="U362" s="41" t="e">
        <f t="shared" si="85"/>
        <v>#VALUE!</v>
      </c>
      <c r="V362" s="41" t="e">
        <f t="shared" si="86"/>
        <v>#VALUE!</v>
      </c>
    </row>
    <row r="363" spans="2:22" x14ac:dyDescent="0.25">
      <c r="B363" s="41" t="b">
        <f t="shared" si="87"/>
        <v>0</v>
      </c>
      <c r="C363" s="41" t="e">
        <f t="shared" si="74"/>
        <v>#VALUE!</v>
      </c>
      <c r="E363" s="45">
        <v>359</v>
      </c>
      <c r="G363" s="138"/>
      <c r="H363" s="135">
        <v>1</v>
      </c>
      <c r="I363" s="46" t="e">
        <f t="shared" si="75"/>
        <v>#VALUE!</v>
      </c>
      <c r="J363" s="41" t="e">
        <f t="shared" si="81"/>
        <v>#VALUE!</v>
      </c>
      <c r="K363" s="41" t="e">
        <f t="shared" si="82"/>
        <v>#VALUE!</v>
      </c>
      <c r="L363" s="41" t="e">
        <f t="shared" si="82"/>
        <v>#VALUE!</v>
      </c>
      <c r="M363" s="41" t="e">
        <f t="shared" si="76"/>
        <v>#VALUE!</v>
      </c>
      <c r="N363" s="41" t="e">
        <f t="shared" si="77"/>
        <v>#VALUE!</v>
      </c>
      <c r="O363" s="41">
        <f t="shared" si="78"/>
        <v>0</v>
      </c>
      <c r="Q363" s="44" t="e">
        <f t="shared" si="79"/>
        <v>#VALUE!</v>
      </c>
      <c r="R363" s="44" t="e">
        <f t="shared" si="83"/>
        <v>#VALUE!</v>
      </c>
      <c r="S363" s="44" t="e">
        <f t="shared" si="80"/>
        <v>#VALUE!</v>
      </c>
      <c r="T363" s="41" t="e">
        <f t="shared" si="84"/>
        <v>#VALUE!</v>
      </c>
      <c r="U363" s="41" t="e">
        <f t="shared" si="85"/>
        <v>#VALUE!</v>
      </c>
      <c r="V363" s="41" t="e">
        <f t="shared" si="86"/>
        <v>#VALUE!</v>
      </c>
    </row>
    <row r="364" spans="2:22" x14ac:dyDescent="0.25">
      <c r="B364" s="41" t="b">
        <f t="shared" si="87"/>
        <v>0</v>
      </c>
      <c r="C364" s="41" t="e">
        <f t="shared" si="74"/>
        <v>#VALUE!</v>
      </c>
      <c r="E364" s="45">
        <v>360</v>
      </c>
      <c r="G364" s="138"/>
      <c r="H364" s="135">
        <v>1</v>
      </c>
      <c r="I364" s="46" t="e">
        <f t="shared" si="75"/>
        <v>#VALUE!</v>
      </c>
      <c r="J364" s="41" t="e">
        <f t="shared" si="81"/>
        <v>#VALUE!</v>
      </c>
      <c r="K364" s="41" t="e">
        <f t="shared" si="82"/>
        <v>#VALUE!</v>
      </c>
      <c r="L364" s="41" t="e">
        <f t="shared" si="82"/>
        <v>#VALUE!</v>
      </c>
      <c r="M364" s="41" t="e">
        <f t="shared" si="76"/>
        <v>#VALUE!</v>
      </c>
      <c r="N364" s="41" t="e">
        <f t="shared" si="77"/>
        <v>#VALUE!</v>
      </c>
      <c r="O364" s="41">
        <f t="shared" si="78"/>
        <v>0</v>
      </c>
      <c r="Q364" s="44" t="e">
        <f t="shared" si="79"/>
        <v>#VALUE!</v>
      </c>
      <c r="R364" s="44" t="e">
        <f t="shared" si="83"/>
        <v>#VALUE!</v>
      </c>
      <c r="S364" s="44" t="e">
        <f t="shared" si="80"/>
        <v>#VALUE!</v>
      </c>
      <c r="T364" s="41" t="e">
        <f t="shared" si="84"/>
        <v>#VALUE!</v>
      </c>
      <c r="U364" s="41" t="e">
        <f t="shared" si="85"/>
        <v>#VALUE!</v>
      </c>
      <c r="V364" s="41" t="e">
        <f t="shared" si="86"/>
        <v>#VALUE!</v>
      </c>
    </row>
    <row r="365" spans="2:22" x14ac:dyDescent="0.25">
      <c r="B365" s="41" t="b">
        <f t="shared" si="87"/>
        <v>0</v>
      </c>
      <c r="C365" s="41" t="e">
        <f t="shared" si="74"/>
        <v>#VALUE!</v>
      </c>
      <c r="E365" s="45">
        <v>361</v>
      </c>
      <c r="G365" s="138"/>
      <c r="H365" s="135">
        <v>1</v>
      </c>
      <c r="I365" s="46" t="e">
        <f t="shared" si="75"/>
        <v>#VALUE!</v>
      </c>
      <c r="J365" s="41" t="e">
        <f t="shared" si="81"/>
        <v>#VALUE!</v>
      </c>
      <c r="K365" s="41" t="e">
        <f t="shared" si="82"/>
        <v>#VALUE!</v>
      </c>
      <c r="L365" s="41" t="e">
        <f t="shared" si="82"/>
        <v>#VALUE!</v>
      </c>
      <c r="M365" s="41" t="e">
        <f t="shared" si="76"/>
        <v>#VALUE!</v>
      </c>
      <c r="N365" s="41" t="e">
        <f t="shared" si="77"/>
        <v>#VALUE!</v>
      </c>
      <c r="O365" s="41">
        <f t="shared" si="78"/>
        <v>0</v>
      </c>
      <c r="Q365" s="44" t="e">
        <f t="shared" si="79"/>
        <v>#VALUE!</v>
      </c>
      <c r="R365" s="44" t="e">
        <f t="shared" si="83"/>
        <v>#VALUE!</v>
      </c>
      <c r="S365" s="44" t="e">
        <f t="shared" si="80"/>
        <v>#VALUE!</v>
      </c>
      <c r="T365" s="41" t="e">
        <f t="shared" si="84"/>
        <v>#VALUE!</v>
      </c>
      <c r="U365" s="41" t="e">
        <f t="shared" si="85"/>
        <v>#VALUE!</v>
      </c>
      <c r="V365" s="41" t="e">
        <f t="shared" si="86"/>
        <v>#VALUE!</v>
      </c>
    </row>
    <row r="366" spans="2:22" x14ac:dyDescent="0.25">
      <c r="B366" s="41" t="b">
        <f t="shared" si="87"/>
        <v>0</v>
      </c>
      <c r="C366" s="41" t="e">
        <f t="shared" si="74"/>
        <v>#VALUE!</v>
      </c>
      <c r="E366" s="45">
        <v>362</v>
      </c>
      <c r="G366" s="138"/>
      <c r="H366" s="135">
        <v>1</v>
      </c>
      <c r="I366" s="46" t="e">
        <f t="shared" si="75"/>
        <v>#VALUE!</v>
      </c>
      <c r="J366" s="41" t="e">
        <f t="shared" si="81"/>
        <v>#VALUE!</v>
      </c>
      <c r="K366" s="41" t="e">
        <f t="shared" si="82"/>
        <v>#VALUE!</v>
      </c>
      <c r="L366" s="41" t="e">
        <f t="shared" si="82"/>
        <v>#VALUE!</v>
      </c>
      <c r="M366" s="41" t="e">
        <f t="shared" si="76"/>
        <v>#VALUE!</v>
      </c>
      <c r="N366" s="41" t="e">
        <f t="shared" si="77"/>
        <v>#VALUE!</v>
      </c>
      <c r="O366" s="41">
        <f t="shared" si="78"/>
        <v>0</v>
      </c>
      <c r="Q366" s="44" t="e">
        <f t="shared" si="79"/>
        <v>#VALUE!</v>
      </c>
      <c r="R366" s="44" t="e">
        <f t="shared" si="83"/>
        <v>#VALUE!</v>
      </c>
      <c r="S366" s="44" t="e">
        <f t="shared" si="80"/>
        <v>#VALUE!</v>
      </c>
      <c r="T366" s="41" t="e">
        <f t="shared" si="84"/>
        <v>#VALUE!</v>
      </c>
      <c r="U366" s="41" t="e">
        <f t="shared" si="85"/>
        <v>#VALUE!</v>
      </c>
      <c r="V366" s="41" t="e">
        <f t="shared" si="86"/>
        <v>#VALUE!</v>
      </c>
    </row>
    <row r="367" spans="2:22" x14ac:dyDescent="0.25">
      <c r="B367" s="41" t="b">
        <f t="shared" si="87"/>
        <v>0</v>
      </c>
      <c r="C367" s="41" t="e">
        <f t="shared" si="74"/>
        <v>#VALUE!</v>
      </c>
      <c r="E367" s="45">
        <v>363</v>
      </c>
      <c r="G367" s="138"/>
      <c r="H367" s="135">
        <v>1</v>
      </c>
      <c r="I367" s="46" t="e">
        <f t="shared" si="75"/>
        <v>#VALUE!</v>
      </c>
      <c r="J367" s="41" t="e">
        <f t="shared" si="81"/>
        <v>#VALUE!</v>
      </c>
      <c r="K367" s="41" t="e">
        <f t="shared" si="82"/>
        <v>#VALUE!</v>
      </c>
      <c r="L367" s="41" t="e">
        <f t="shared" si="82"/>
        <v>#VALUE!</v>
      </c>
      <c r="M367" s="41" t="e">
        <f t="shared" si="76"/>
        <v>#VALUE!</v>
      </c>
      <c r="N367" s="41" t="e">
        <f t="shared" si="77"/>
        <v>#VALUE!</v>
      </c>
      <c r="O367" s="41">
        <f t="shared" si="78"/>
        <v>0</v>
      </c>
      <c r="Q367" s="44" t="e">
        <f t="shared" si="79"/>
        <v>#VALUE!</v>
      </c>
      <c r="R367" s="44" t="e">
        <f t="shared" si="83"/>
        <v>#VALUE!</v>
      </c>
      <c r="S367" s="44" t="e">
        <f t="shared" si="80"/>
        <v>#VALUE!</v>
      </c>
      <c r="T367" s="41" t="e">
        <f t="shared" si="84"/>
        <v>#VALUE!</v>
      </c>
      <c r="U367" s="41" t="e">
        <f t="shared" si="85"/>
        <v>#VALUE!</v>
      </c>
      <c r="V367" s="41" t="e">
        <f t="shared" si="86"/>
        <v>#VALUE!</v>
      </c>
    </row>
    <row r="368" spans="2:22" x14ac:dyDescent="0.25">
      <c r="B368" s="41" t="b">
        <f t="shared" si="87"/>
        <v>0</v>
      </c>
      <c r="C368" s="41" t="e">
        <f t="shared" si="74"/>
        <v>#VALUE!</v>
      </c>
      <c r="E368" s="45">
        <v>364</v>
      </c>
      <c r="G368" s="138"/>
      <c r="H368" s="135">
        <v>1</v>
      </c>
      <c r="I368" s="46" t="e">
        <f t="shared" si="75"/>
        <v>#VALUE!</v>
      </c>
      <c r="J368" s="41" t="e">
        <f t="shared" si="81"/>
        <v>#VALUE!</v>
      </c>
      <c r="K368" s="41" t="e">
        <f t="shared" si="82"/>
        <v>#VALUE!</v>
      </c>
      <c r="L368" s="41" t="e">
        <f t="shared" si="82"/>
        <v>#VALUE!</v>
      </c>
      <c r="M368" s="41" t="e">
        <f t="shared" si="76"/>
        <v>#VALUE!</v>
      </c>
      <c r="N368" s="41" t="e">
        <f t="shared" si="77"/>
        <v>#VALUE!</v>
      </c>
      <c r="O368" s="41">
        <f t="shared" si="78"/>
        <v>0</v>
      </c>
      <c r="Q368" s="44" t="e">
        <f t="shared" si="79"/>
        <v>#VALUE!</v>
      </c>
      <c r="R368" s="44" t="e">
        <f t="shared" si="83"/>
        <v>#VALUE!</v>
      </c>
      <c r="S368" s="44" t="e">
        <f t="shared" si="80"/>
        <v>#VALUE!</v>
      </c>
      <c r="T368" s="41" t="e">
        <f t="shared" si="84"/>
        <v>#VALUE!</v>
      </c>
      <c r="U368" s="41" t="e">
        <f t="shared" si="85"/>
        <v>#VALUE!</v>
      </c>
      <c r="V368" s="41" t="e">
        <f t="shared" si="86"/>
        <v>#VALUE!</v>
      </c>
    </row>
    <row r="369" spans="2:22" x14ac:dyDescent="0.25">
      <c r="B369" s="41" t="b">
        <f t="shared" si="87"/>
        <v>0</v>
      </c>
      <c r="C369" s="41" t="e">
        <f t="shared" si="74"/>
        <v>#VALUE!</v>
      </c>
      <c r="E369" s="45">
        <v>365</v>
      </c>
      <c r="G369" s="138"/>
      <c r="H369" s="135">
        <v>1</v>
      </c>
      <c r="I369" s="46" t="e">
        <f t="shared" si="75"/>
        <v>#VALUE!</v>
      </c>
      <c r="J369" s="41" t="e">
        <f t="shared" si="81"/>
        <v>#VALUE!</v>
      </c>
      <c r="K369" s="41" t="e">
        <f t="shared" si="82"/>
        <v>#VALUE!</v>
      </c>
      <c r="L369" s="41" t="e">
        <f t="shared" si="82"/>
        <v>#VALUE!</v>
      </c>
      <c r="M369" s="41" t="e">
        <f t="shared" si="76"/>
        <v>#VALUE!</v>
      </c>
      <c r="N369" s="41" t="e">
        <f t="shared" si="77"/>
        <v>#VALUE!</v>
      </c>
      <c r="O369" s="41">
        <f t="shared" si="78"/>
        <v>0</v>
      </c>
      <c r="Q369" s="44" t="e">
        <f t="shared" si="79"/>
        <v>#VALUE!</v>
      </c>
      <c r="R369" s="44" t="e">
        <f t="shared" si="83"/>
        <v>#VALUE!</v>
      </c>
      <c r="S369" s="44" t="e">
        <f t="shared" si="80"/>
        <v>#VALUE!</v>
      </c>
      <c r="T369" s="41" t="e">
        <f t="shared" si="84"/>
        <v>#VALUE!</v>
      </c>
      <c r="U369" s="41" t="e">
        <f t="shared" si="85"/>
        <v>#VALUE!</v>
      </c>
      <c r="V369" s="41" t="e">
        <f t="shared" si="86"/>
        <v>#VALUE!</v>
      </c>
    </row>
    <row r="370" spans="2:22" x14ac:dyDescent="0.25">
      <c r="B370" s="41" t="b">
        <f t="shared" si="87"/>
        <v>0</v>
      </c>
      <c r="C370" s="41" t="e">
        <f t="shared" si="74"/>
        <v>#VALUE!</v>
      </c>
      <c r="E370" s="45">
        <v>366</v>
      </c>
      <c r="G370" s="138"/>
      <c r="H370" s="135">
        <v>1</v>
      </c>
      <c r="I370" s="46" t="e">
        <f t="shared" si="75"/>
        <v>#VALUE!</v>
      </c>
      <c r="J370" s="41" t="e">
        <f t="shared" si="81"/>
        <v>#VALUE!</v>
      </c>
      <c r="K370" s="41" t="e">
        <f t="shared" si="82"/>
        <v>#VALUE!</v>
      </c>
      <c r="L370" s="41" t="e">
        <f t="shared" si="82"/>
        <v>#VALUE!</v>
      </c>
      <c r="M370" s="41" t="e">
        <f t="shared" si="76"/>
        <v>#VALUE!</v>
      </c>
      <c r="N370" s="41" t="e">
        <f t="shared" si="77"/>
        <v>#VALUE!</v>
      </c>
      <c r="O370" s="41">
        <f t="shared" si="78"/>
        <v>0</v>
      </c>
      <c r="Q370" s="44" t="e">
        <f t="shared" si="79"/>
        <v>#VALUE!</v>
      </c>
      <c r="R370" s="44" t="e">
        <f t="shared" si="83"/>
        <v>#VALUE!</v>
      </c>
      <c r="S370" s="44" t="e">
        <f t="shared" si="80"/>
        <v>#VALUE!</v>
      </c>
      <c r="T370" s="41" t="e">
        <f t="shared" si="84"/>
        <v>#VALUE!</v>
      </c>
      <c r="U370" s="41" t="e">
        <f t="shared" si="85"/>
        <v>#VALUE!</v>
      </c>
      <c r="V370" s="41" t="e">
        <f t="shared" si="86"/>
        <v>#VALUE!</v>
      </c>
    </row>
    <row r="371" spans="2:22" x14ac:dyDescent="0.25">
      <c r="B371" s="41" t="b">
        <f t="shared" si="87"/>
        <v>0</v>
      </c>
      <c r="C371" s="41" t="e">
        <f t="shared" si="74"/>
        <v>#VALUE!</v>
      </c>
      <c r="E371" s="45">
        <v>367</v>
      </c>
      <c r="G371" s="138"/>
      <c r="H371" s="135">
        <v>1</v>
      </c>
      <c r="I371" s="46" t="e">
        <f t="shared" si="75"/>
        <v>#VALUE!</v>
      </c>
      <c r="J371" s="41" t="e">
        <f t="shared" si="81"/>
        <v>#VALUE!</v>
      </c>
      <c r="K371" s="41" t="e">
        <f t="shared" si="82"/>
        <v>#VALUE!</v>
      </c>
      <c r="L371" s="41" t="e">
        <f t="shared" si="82"/>
        <v>#VALUE!</v>
      </c>
      <c r="M371" s="41" t="e">
        <f t="shared" si="76"/>
        <v>#VALUE!</v>
      </c>
      <c r="N371" s="41" t="e">
        <f t="shared" si="77"/>
        <v>#VALUE!</v>
      </c>
      <c r="O371" s="41">
        <f t="shared" si="78"/>
        <v>0</v>
      </c>
      <c r="Q371" s="44" t="e">
        <f t="shared" si="79"/>
        <v>#VALUE!</v>
      </c>
      <c r="R371" s="44" t="e">
        <f t="shared" si="83"/>
        <v>#VALUE!</v>
      </c>
      <c r="S371" s="44" t="e">
        <f t="shared" si="80"/>
        <v>#VALUE!</v>
      </c>
      <c r="T371" s="41" t="e">
        <f t="shared" si="84"/>
        <v>#VALUE!</v>
      </c>
      <c r="U371" s="41" t="e">
        <f t="shared" si="85"/>
        <v>#VALUE!</v>
      </c>
      <c r="V371" s="41" t="e">
        <f t="shared" si="86"/>
        <v>#VALUE!</v>
      </c>
    </row>
    <row r="372" spans="2:22" x14ac:dyDescent="0.25">
      <c r="B372" s="41" t="b">
        <f t="shared" si="87"/>
        <v>0</v>
      </c>
      <c r="C372" s="41" t="e">
        <f t="shared" si="74"/>
        <v>#VALUE!</v>
      </c>
      <c r="E372" s="45">
        <v>368</v>
      </c>
      <c r="G372" s="138"/>
      <c r="H372" s="135">
        <v>1</v>
      </c>
      <c r="I372" s="46" t="e">
        <f t="shared" si="75"/>
        <v>#VALUE!</v>
      </c>
      <c r="J372" s="41" t="e">
        <f t="shared" si="81"/>
        <v>#VALUE!</v>
      </c>
      <c r="K372" s="41" t="e">
        <f t="shared" si="82"/>
        <v>#VALUE!</v>
      </c>
      <c r="L372" s="41" t="e">
        <f t="shared" si="82"/>
        <v>#VALUE!</v>
      </c>
      <c r="M372" s="41" t="e">
        <f t="shared" si="76"/>
        <v>#VALUE!</v>
      </c>
      <c r="N372" s="41" t="e">
        <f t="shared" si="77"/>
        <v>#VALUE!</v>
      </c>
      <c r="O372" s="41">
        <f t="shared" si="78"/>
        <v>0</v>
      </c>
      <c r="Q372" s="44" t="e">
        <f t="shared" si="79"/>
        <v>#VALUE!</v>
      </c>
      <c r="R372" s="44" t="e">
        <f t="shared" si="83"/>
        <v>#VALUE!</v>
      </c>
      <c r="S372" s="44" t="e">
        <f t="shared" si="80"/>
        <v>#VALUE!</v>
      </c>
      <c r="T372" s="41" t="e">
        <f t="shared" si="84"/>
        <v>#VALUE!</v>
      </c>
      <c r="U372" s="41" t="e">
        <f t="shared" si="85"/>
        <v>#VALUE!</v>
      </c>
      <c r="V372" s="41" t="e">
        <f t="shared" si="86"/>
        <v>#VALUE!</v>
      </c>
    </row>
    <row r="373" spans="2:22" x14ac:dyDescent="0.25">
      <c r="B373" s="41" t="b">
        <f t="shared" si="87"/>
        <v>0</v>
      </c>
      <c r="C373" s="41" t="e">
        <f t="shared" si="74"/>
        <v>#VALUE!</v>
      </c>
      <c r="E373" s="45">
        <v>369</v>
      </c>
      <c r="G373" s="138"/>
      <c r="H373" s="135">
        <v>1</v>
      </c>
      <c r="I373" s="46" t="e">
        <f t="shared" si="75"/>
        <v>#VALUE!</v>
      </c>
      <c r="J373" s="41" t="e">
        <f t="shared" si="81"/>
        <v>#VALUE!</v>
      </c>
      <c r="K373" s="41" t="e">
        <f t="shared" si="82"/>
        <v>#VALUE!</v>
      </c>
      <c r="L373" s="41" t="e">
        <f t="shared" si="82"/>
        <v>#VALUE!</v>
      </c>
      <c r="M373" s="41" t="e">
        <f t="shared" si="76"/>
        <v>#VALUE!</v>
      </c>
      <c r="N373" s="41" t="e">
        <f t="shared" si="77"/>
        <v>#VALUE!</v>
      </c>
      <c r="O373" s="41">
        <f t="shared" si="78"/>
        <v>0</v>
      </c>
      <c r="Q373" s="44" t="e">
        <f t="shared" si="79"/>
        <v>#VALUE!</v>
      </c>
      <c r="R373" s="44" t="e">
        <f t="shared" si="83"/>
        <v>#VALUE!</v>
      </c>
      <c r="S373" s="44" t="e">
        <f t="shared" si="80"/>
        <v>#VALUE!</v>
      </c>
      <c r="T373" s="41" t="e">
        <f t="shared" si="84"/>
        <v>#VALUE!</v>
      </c>
      <c r="U373" s="41" t="e">
        <f t="shared" si="85"/>
        <v>#VALUE!</v>
      </c>
      <c r="V373" s="41" t="e">
        <f t="shared" si="86"/>
        <v>#VALUE!</v>
      </c>
    </row>
    <row r="374" spans="2:22" x14ac:dyDescent="0.25">
      <c r="B374" s="41" t="b">
        <f t="shared" si="87"/>
        <v>0</v>
      </c>
      <c r="C374" s="41" t="e">
        <f t="shared" ref="C374:C437" si="88">SUM(T374:V374)</f>
        <v>#VALUE!</v>
      </c>
      <c r="E374" s="45">
        <v>370</v>
      </c>
      <c r="G374" s="138"/>
      <c r="H374" s="135">
        <v>1</v>
      </c>
      <c r="I374" s="46" t="e">
        <f t="shared" si="75"/>
        <v>#VALUE!</v>
      </c>
      <c r="J374" s="41" t="e">
        <f t="shared" si="81"/>
        <v>#VALUE!</v>
      </c>
      <c r="K374" s="41" t="e">
        <f t="shared" si="82"/>
        <v>#VALUE!</v>
      </c>
      <c r="L374" s="41" t="e">
        <f t="shared" si="82"/>
        <v>#VALUE!</v>
      </c>
      <c r="M374" s="41" t="e">
        <f t="shared" si="76"/>
        <v>#VALUE!</v>
      </c>
      <c r="N374" s="41" t="e">
        <f t="shared" si="77"/>
        <v>#VALUE!</v>
      </c>
      <c r="O374" s="41">
        <f t="shared" si="78"/>
        <v>0</v>
      </c>
      <c r="Q374" s="44" t="e">
        <f t="shared" si="79"/>
        <v>#VALUE!</v>
      </c>
      <c r="R374" s="44" t="e">
        <f t="shared" si="83"/>
        <v>#VALUE!</v>
      </c>
      <c r="S374" s="44" t="e">
        <f t="shared" si="80"/>
        <v>#VALUE!</v>
      </c>
      <c r="T374" s="41" t="e">
        <f t="shared" si="84"/>
        <v>#VALUE!</v>
      </c>
      <c r="U374" s="41" t="e">
        <f t="shared" si="85"/>
        <v>#VALUE!</v>
      </c>
      <c r="V374" s="41" t="e">
        <f t="shared" si="86"/>
        <v>#VALUE!</v>
      </c>
    </row>
    <row r="375" spans="2:22" x14ac:dyDescent="0.25">
      <c r="B375" s="41" t="b">
        <f t="shared" si="87"/>
        <v>0</v>
      </c>
      <c r="C375" s="41" t="e">
        <f t="shared" si="88"/>
        <v>#VALUE!</v>
      </c>
      <c r="E375" s="45">
        <v>371</v>
      </c>
      <c r="G375" s="138"/>
      <c r="H375" s="135">
        <v>1</v>
      </c>
      <c r="I375" s="46" t="e">
        <f t="shared" si="75"/>
        <v>#VALUE!</v>
      </c>
      <c r="J375" s="41" t="e">
        <f t="shared" si="81"/>
        <v>#VALUE!</v>
      </c>
      <c r="K375" s="41" t="e">
        <f t="shared" si="82"/>
        <v>#VALUE!</v>
      </c>
      <c r="L375" s="41" t="e">
        <f t="shared" si="82"/>
        <v>#VALUE!</v>
      </c>
      <c r="M375" s="41" t="e">
        <f t="shared" si="76"/>
        <v>#VALUE!</v>
      </c>
      <c r="N375" s="41" t="e">
        <f t="shared" si="77"/>
        <v>#VALUE!</v>
      </c>
      <c r="O375" s="41">
        <f t="shared" si="78"/>
        <v>0</v>
      </c>
      <c r="Q375" s="44" t="e">
        <f t="shared" si="79"/>
        <v>#VALUE!</v>
      </c>
      <c r="R375" s="44" t="e">
        <f t="shared" si="83"/>
        <v>#VALUE!</v>
      </c>
      <c r="S375" s="44" t="e">
        <f t="shared" si="80"/>
        <v>#VALUE!</v>
      </c>
      <c r="T375" s="41" t="e">
        <f t="shared" si="84"/>
        <v>#VALUE!</v>
      </c>
      <c r="U375" s="41" t="e">
        <f t="shared" si="85"/>
        <v>#VALUE!</v>
      </c>
      <c r="V375" s="41" t="e">
        <f t="shared" si="86"/>
        <v>#VALUE!</v>
      </c>
    </row>
    <row r="376" spans="2:22" x14ac:dyDescent="0.25">
      <c r="B376" s="41" t="b">
        <f t="shared" si="87"/>
        <v>0</v>
      </c>
      <c r="C376" s="41" t="e">
        <f t="shared" si="88"/>
        <v>#VALUE!</v>
      </c>
      <c r="E376" s="45">
        <v>372</v>
      </c>
      <c r="G376" s="138"/>
      <c r="H376" s="135">
        <v>1</v>
      </c>
      <c r="I376" s="46" t="e">
        <f t="shared" si="75"/>
        <v>#VALUE!</v>
      </c>
      <c r="J376" s="41" t="e">
        <f t="shared" si="81"/>
        <v>#VALUE!</v>
      </c>
      <c r="K376" s="41" t="e">
        <f t="shared" si="82"/>
        <v>#VALUE!</v>
      </c>
      <c r="L376" s="41" t="e">
        <f t="shared" si="82"/>
        <v>#VALUE!</v>
      </c>
      <c r="M376" s="41" t="e">
        <f t="shared" si="76"/>
        <v>#VALUE!</v>
      </c>
      <c r="N376" s="41" t="e">
        <f t="shared" si="77"/>
        <v>#VALUE!</v>
      </c>
      <c r="O376" s="41">
        <f t="shared" si="78"/>
        <v>0</v>
      </c>
      <c r="Q376" s="44" t="e">
        <f t="shared" si="79"/>
        <v>#VALUE!</v>
      </c>
      <c r="R376" s="44" t="e">
        <f t="shared" si="83"/>
        <v>#VALUE!</v>
      </c>
      <c r="S376" s="44" t="e">
        <f t="shared" si="80"/>
        <v>#VALUE!</v>
      </c>
      <c r="T376" s="41" t="e">
        <f t="shared" si="84"/>
        <v>#VALUE!</v>
      </c>
      <c r="U376" s="41" t="e">
        <f t="shared" si="85"/>
        <v>#VALUE!</v>
      </c>
      <c r="V376" s="41" t="e">
        <f t="shared" si="86"/>
        <v>#VALUE!</v>
      </c>
    </row>
    <row r="377" spans="2:22" x14ac:dyDescent="0.25">
      <c r="B377" s="41" t="b">
        <f t="shared" si="87"/>
        <v>0</v>
      </c>
      <c r="C377" s="41" t="e">
        <f t="shared" si="88"/>
        <v>#VALUE!</v>
      </c>
      <c r="E377" s="45">
        <v>373</v>
      </c>
      <c r="G377" s="138"/>
      <c r="H377" s="135">
        <v>1</v>
      </c>
      <c r="I377" s="46" t="e">
        <f t="shared" si="75"/>
        <v>#VALUE!</v>
      </c>
      <c r="J377" s="41" t="e">
        <f t="shared" si="81"/>
        <v>#VALUE!</v>
      </c>
      <c r="K377" s="41" t="e">
        <f t="shared" si="82"/>
        <v>#VALUE!</v>
      </c>
      <c r="L377" s="41" t="e">
        <f t="shared" si="82"/>
        <v>#VALUE!</v>
      </c>
      <c r="M377" s="41" t="e">
        <f t="shared" si="76"/>
        <v>#VALUE!</v>
      </c>
      <c r="N377" s="41" t="e">
        <f t="shared" si="77"/>
        <v>#VALUE!</v>
      </c>
      <c r="O377" s="41">
        <f t="shared" si="78"/>
        <v>0</v>
      </c>
      <c r="Q377" s="44" t="e">
        <f t="shared" si="79"/>
        <v>#VALUE!</v>
      </c>
      <c r="R377" s="44" t="e">
        <f t="shared" si="83"/>
        <v>#VALUE!</v>
      </c>
      <c r="S377" s="44" t="e">
        <f t="shared" si="80"/>
        <v>#VALUE!</v>
      </c>
      <c r="T377" s="41" t="e">
        <f t="shared" si="84"/>
        <v>#VALUE!</v>
      </c>
      <c r="U377" s="41" t="e">
        <f t="shared" si="85"/>
        <v>#VALUE!</v>
      </c>
      <c r="V377" s="41" t="e">
        <f t="shared" si="86"/>
        <v>#VALUE!</v>
      </c>
    </row>
    <row r="378" spans="2:22" x14ac:dyDescent="0.25">
      <c r="B378" s="41" t="b">
        <f t="shared" si="87"/>
        <v>0</v>
      </c>
      <c r="C378" s="41" t="e">
        <f t="shared" si="88"/>
        <v>#VALUE!</v>
      </c>
      <c r="E378" s="45">
        <v>374</v>
      </c>
      <c r="G378" s="138"/>
      <c r="H378" s="135">
        <v>1</v>
      </c>
      <c r="I378" s="46" t="e">
        <f t="shared" si="75"/>
        <v>#VALUE!</v>
      </c>
      <c r="J378" s="41" t="e">
        <f t="shared" si="81"/>
        <v>#VALUE!</v>
      </c>
      <c r="K378" s="41" t="e">
        <f t="shared" si="82"/>
        <v>#VALUE!</v>
      </c>
      <c r="L378" s="41" t="e">
        <f t="shared" si="82"/>
        <v>#VALUE!</v>
      </c>
      <c r="M378" s="41" t="e">
        <f t="shared" si="76"/>
        <v>#VALUE!</v>
      </c>
      <c r="N378" s="41" t="e">
        <f t="shared" si="77"/>
        <v>#VALUE!</v>
      </c>
      <c r="O378" s="41">
        <f t="shared" si="78"/>
        <v>0</v>
      </c>
      <c r="Q378" s="44" t="e">
        <f t="shared" si="79"/>
        <v>#VALUE!</v>
      </c>
      <c r="R378" s="44" t="e">
        <f t="shared" si="83"/>
        <v>#VALUE!</v>
      </c>
      <c r="S378" s="44" t="e">
        <f t="shared" si="80"/>
        <v>#VALUE!</v>
      </c>
      <c r="T378" s="41" t="e">
        <f t="shared" si="84"/>
        <v>#VALUE!</v>
      </c>
      <c r="U378" s="41" t="e">
        <f t="shared" si="85"/>
        <v>#VALUE!</v>
      </c>
      <c r="V378" s="41" t="e">
        <f t="shared" si="86"/>
        <v>#VALUE!</v>
      </c>
    </row>
    <row r="379" spans="2:22" x14ac:dyDescent="0.25">
      <c r="B379" s="41" t="b">
        <f t="shared" si="87"/>
        <v>0</v>
      </c>
      <c r="C379" s="41" t="e">
        <f t="shared" si="88"/>
        <v>#VALUE!</v>
      </c>
      <c r="E379" s="45">
        <v>375</v>
      </c>
      <c r="G379" s="138"/>
      <c r="H379" s="135">
        <v>1</v>
      </c>
      <c r="I379" s="46" t="e">
        <f t="shared" si="75"/>
        <v>#VALUE!</v>
      </c>
      <c r="J379" s="41" t="e">
        <f t="shared" si="81"/>
        <v>#VALUE!</v>
      </c>
      <c r="K379" s="41" t="e">
        <f t="shared" si="82"/>
        <v>#VALUE!</v>
      </c>
      <c r="L379" s="41" t="e">
        <f t="shared" si="82"/>
        <v>#VALUE!</v>
      </c>
      <c r="M379" s="41" t="e">
        <f t="shared" si="76"/>
        <v>#VALUE!</v>
      </c>
      <c r="N379" s="41" t="e">
        <f t="shared" si="77"/>
        <v>#VALUE!</v>
      </c>
      <c r="O379" s="41">
        <f t="shared" si="78"/>
        <v>0</v>
      </c>
      <c r="Q379" s="44" t="e">
        <f t="shared" si="79"/>
        <v>#VALUE!</v>
      </c>
      <c r="R379" s="44" t="e">
        <f t="shared" si="83"/>
        <v>#VALUE!</v>
      </c>
      <c r="S379" s="44" t="e">
        <f t="shared" si="80"/>
        <v>#VALUE!</v>
      </c>
      <c r="T379" s="41" t="e">
        <f t="shared" si="84"/>
        <v>#VALUE!</v>
      </c>
      <c r="U379" s="41" t="e">
        <f t="shared" si="85"/>
        <v>#VALUE!</v>
      </c>
      <c r="V379" s="41" t="e">
        <f t="shared" si="86"/>
        <v>#VALUE!</v>
      </c>
    </row>
    <row r="380" spans="2:22" x14ac:dyDescent="0.25">
      <c r="B380" s="41" t="b">
        <f t="shared" si="87"/>
        <v>0</v>
      </c>
      <c r="C380" s="41" t="e">
        <f t="shared" si="88"/>
        <v>#VALUE!</v>
      </c>
      <c r="E380" s="45">
        <v>376</v>
      </c>
      <c r="G380" s="138"/>
      <c r="H380" s="135">
        <v>1</v>
      </c>
      <c r="I380" s="46" t="e">
        <f t="shared" si="75"/>
        <v>#VALUE!</v>
      </c>
      <c r="J380" s="41" t="e">
        <f t="shared" si="81"/>
        <v>#VALUE!</v>
      </c>
      <c r="K380" s="41" t="e">
        <f t="shared" si="82"/>
        <v>#VALUE!</v>
      </c>
      <c r="L380" s="41" t="e">
        <f t="shared" si="82"/>
        <v>#VALUE!</v>
      </c>
      <c r="M380" s="41" t="e">
        <f t="shared" si="76"/>
        <v>#VALUE!</v>
      </c>
      <c r="N380" s="41" t="e">
        <f t="shared" si="77"/>
        <v>#VALUE!</v>
      </c>
      <c r="O380" s="41">
        <f t="shared" si="78"/>
        <v>0</v>
      </c>
      <c r="Q380" s="44" t="e">
        <f t="shared" si="79"/>
        <v>#VALUE!</v>
      </c>
      <c r="R380" s="44" t="e">
        <f t="shared" si="83"/>
        <v>#VALUE!</v>
      </c>
      <c r="S380" s="44" t="e">
        <f t="shared" si="80"/>
        <v>#VALUE!</v>
      </c>
      <c r="T380" s="41" t="e">
        <f t="shared" si="84"/>
        <v>#VALUE!</v>
      </c>
      <c r="U380" s="41" t="e">
        <f t="shared" si="85"/>
        <v>#VALUE!</v>
      </c>
      <c r="V380" s="41" t="e">
        <f t="shared" si="86"/>
        <v>#VALUE!</v>
      </c>
    </row>
    <row r="381" spans="2:22" x14ac:dyDescent="0.25">
      <c r="B381" s="41" t="b">
        <f t="shared" si="87"/>
        <v>0</v>
      </c>
      <c r="C381" s="41" t="e">
        <f t="shared" si="88"/>
        <v>#VALUE!</v>
      </c>
      <c r="E381" s="45">
        <v>377</v>
      </c>
      <c r="G381" s="138"/>
      <c r="H381" s="135">
        <v>1</v>
      </c>
      <c r="I381" s="46" t="e">
        <f t="shared" si="75"/>
        <v>#VALUE!</v>
      </c>
      <c r="J381" s="41" t="e">
        <f t="shared" si="81"/>
        <v>#VALUE!</v>
      </c>
      <c r="K381" s="41" t="e">
        <f t="shared" si="82"/>
        <v>#VALUE!</v>
      </c>
      <c r="L381" s="41" t="e">
        <f t="shared" si="82"/>
        <v>#VALUE!</v>
      </c>
      <c r="M381" s="41" t="e">
        <f t="shared" si="76"/>
        <v>#VALUE!</v>
      </c>
      <c r="N381" s="41" t="e">
        <f t="shared" si="77"/>
        <v>#VALUE!</v>
      </c>
      <c r="O381" s="41">
        <f t="shared" si="78"/>
        <v>0</v>
      </c>
      <c r="Q381" s="44" t="e">
        <f t="shared" si="79"/>
        <v>#VALUE!</v>
      </c>
      <c r="R381" s="44" t="e">
        <f t="shared" si="83"/>
        <v>#VALUE!</v>
      </c>
      <c r="S381" s="44" t="e">
        <f t="shared" si="80"/>
        <v>#VALUE!</v>
      </c>
      <c r="T381" s="41" t="e">
        <f t="shared" si="84"/>
        <v>#VALUE!</v>
      </c>
      <c r="U381" s="41" t="e">
        <f t="shared" si="85"/>
        <v>#VALUE!</v>
      </c>
      <c r="V381" s="41" t="e">
        <f t="shared" si="86"/>
        <v>#VALUE!</v>
      </c>
    </row>
    <row r="382" spans="2:22" x14ac:dyDescent="0.25">
      <c r="B382" s="41" t="b">
        <f t="shared" si="87"/>
        <v>0</v>
      </c>
      <c r="C382" s="41" t="e">
        <f t="shared" si="88"/>
        <v>#VALUE!</v>
      </c>
      <c r="E382" s="45">
        <v>378</v>
      </c>
      <c r="G382" s="138"/>
      <c r="H382" s="135">
        <v>1</v>
      </c>
      <c r="I382" s="46" t="e">
        <f t="shared" si="75"/>
        <v>#VALUE!</v>
      </c>
      <c r="J382" s="41" t="e">
        <f t="shared" si="81"/>
        <v>#VALUE!</v>
      </c>
      <c r="K382" s="41" t="e">
        <f t="shared" si="82"/>
        <v>#VALUE!</v>
      </c>
      <c r="L382" s="41" t="e">
        <f t="shared" si="82"/>
        <v>#VALUE!</v>
      </c>
      <c r="M382" s="41" t="e">
        <f t="shared" si="76"/>
        <v>#VALUE!</v>
      </c>
      <c r="N382" s="41" t="e">
        <f t="shared" si="77"/>
        <v>#VALUE!</v>
      </c>
      <c r="O382" s="41">
        <f t="shared" si="78"/>
        <v>0</v>
      </c>
      <c r="Q382" s="44" t="e">
        <f t="shared" si="79"/>
        <v>#VALUE!</v>
      </c>
      <c r="R382" s="44" t="e">
        <f t="shared" si="83"/>
        <v>#VALUE!</v>
      </c>
      <c r="S382" s="44" t="e">
        <f t="shared" si="80"/>
        <v>#VALUE!</v>
      </c>
      <c r="T382" s="41" t="e">
        <f t="shared" si="84"/>
        <v>#VALUE!</v>
      </c>
      <c r="U382" s="41" t="e">
        <f t="shared" si="85"/>
        <v>#VALUE!</v>
      </c>
      <c r="V382" s="41" t="e">
        <f t="shared" si="86"/>
        <v>#VALUE!</v>
      </c>
    </row>
    <row r="383" spans="2:22" x14ac:dyDescent="0.25">
      <c r="B383" s="41" t="b">
        <f t="shared" si="87"/>
        <v>0</v>
      </c>
      <c r="C383" s="41" t="e">
        <f t="shared" si="88"/>
        <v>#VALUE!</v>
      </c>
      <c r="E383" s="45">
        <v>379</v>
      </c>
      <c r="G383" s="138"/>
      <c r="H383" s="135">
        <v>1</v>
      </c>
      <c r="I383" s="46" t="e">
        <f t="shared" si="75"/>
        <v>#VALUE!</v>
      </c>
      <c r="J383" s="41" t="e">
        <f t="shared" si="81"/>
        <v>#VALUE!</v>
      </c>
      <c r="K383" s="41" t="e">
        <f t="shared" si="82"/>
        <v>#VALUE!</v>
      </c>
      <c r="L383" s="41" t="e">
        <f t="shared" si="82"/>
        <v>#VALUE!</v>
      </c>
      <c r="M383" s="41" t="e">
        <f t="shared" si="76"/>
        <v>#VALUE!</v>
      </c>
      <c r="N383" s="41" t="e">
        <f t="shared" si="77"/>
        <v>#VALUE!</v>
      </c>
      <c r="O383" s="41">
        <f t="shared" si="78"/>
        <v>0</v>
      </c>
      <c r="Q383" s="44" t="e">
        <f t="shared" si="79"/>
        <v>#VALUE!</v>
      </c>
      <c r="R383" s="44" t="e">
        <f t="shared" si="83"/>
        <v>#VALUE!</v>
      </c>
      <c r="S383" s="44" t="e">
        <f t="shared" si="80"/>
        <v>#VALUE!</v>
      </c>
      <c r="T383" s="41" t="e">
        <f t="shared" si="84"/>
        <v>#VALUE!</v>
      </c>
      <c r="U383" s="41" t="e">
        <f t="shared" si="85"/>
        <v>#VALUE!</v>
      </c>
      <c r="V383" s="41" t="e">
        <f t="shared" si="86"/>
        <v>#VALUE!</v>
      </c>
    </row>
    <row r="384" spans="2:22" x14ac:dyDescent="0.25">
      <c r="B384" s="41" t="b">
        <f t="shared" si="87"/>
        <v>0</v>
      </c>
      <c r="C384" s="41" t="e">
        <f t="shared" si="88"/>
        <v>#VALUE!</v>
      </c>
      <c r="E384" s="45">
        <v>380</v>
      </c>
      <c r="G384" s="138"/>
      <c r="H384" s="135">
        <v>1</v>
      </c>
      <c r="I384" s="46" t="e">
        <f t="shared" si="75"/>
        <v>#VALUE!</v>
      </c>
      <c r="J384" s="41" t="e">
        <f t="shared" si="81"/>
        <v>#VALUE!</v>
      </c>
      <c r="K384" s="41" t="e">
        <f t="shared" si="82"/>
        <v>#VALUE!</v>
      </c>
      <c r="L384" s="41" t="e">
        <f t="shared" si="82"/>
        <v>#VALUE!</v>
      </c>
      <c r="M384" s="41" t="e">
        <f t="shared" si="76"/>
        <v>#VALUE!</v>
      </c>
      <c r="N384" s="41" t="e">
        <f t="shared" si="77"/>
        <v>#VALUE!</v>
      </c>
      <c r="O384" s="41">
        <f t="shared" si="78"/>
        <v>0</v>
      </c>
      <c r="Q384" s="44" t="e">
        <f t="shared" si="79"/>
        <v>#VALUE!</v>
      </c>
      <c r="R384" s="44" t="e">
        <f t="shared" si="83"/>
        <v>#VALUE!</v>
      </c>
      <c r="S384" s="44" t="e">
        <f t="shared" si="80"/>
        <v>#VALUE!</v>
      </c>
      <c r="T384" s="41" t="e">
        <f t="shared" si="84"/>
        <v>#VALUE!</v>
      </c>
      <c r="U384" s="41" t="e">
        <f t="shared" si="85"/>
        <v>#VALUE!</v>
      </c>
      <c r="V384" s="41" t="e">
        <f t="shared" si="86"/>
        <v>#VALUE!</v>
      </c>
    </row>
    <row r="385" spans="2:22" x14ac:dyDescent="0.25">
      <c r="B385" s="41" t="b">
        <f t="shared" si="87"/>
        <v>0</v>
      </c>
      <c r="C385" s="41" t="e">
        <f t="shared" si="88"/>
        <v>#VALUE!</v>
      </c>
      <c r="E385" s="45">
        <v>381</v>
      </c>
      <c r="G385" s="138"/>
      <c r="H385" s="135">
        <v>1</v>
      </c>
      <c r="I385" s="46" t="e">
        <f t="shared" si="75"/>
        <v>#VALUE!</v>
      </c>
      <c r="J385" s="41" t="e">
        <f t="shared" si="81"/>
        <v>#VALUE!</v>
      </c>
      <c r="K385" s="41" t="e">
        <f t="shared" si="82"/>
        <v>#VALUE!</v>
      </c>
      <c r="L385" s="41" t="e">
        <f t="shared" si="82"/>
        <v>#VALUE!</v>
      </c>
      <c r="M385" s="41" t="e">
        <f t="shared" si="76"/>
        <v>#VALUE!</v>
      </c>
      <c r="N385" s="41" t="e">
        <f t="shared" si="77"/>
        <v>#VALUE!</v>
      </c>
      <c r="O385" s="41">
        <f t="shared" si="78"/>
        <v>0</v>
      </c>
      <c r="Q385" s="44" t="e">
        <f t="shared" si="79"/>
        <v>#VALUE!</v>
      </c>
      <c r="R385" s="44" t="e">
        <f t="shared" si="83"/>
        <v>#VALUE!</v>
      </c>
      <c r="S385" s="44" t="e">
        <f t="shared" si="80"/>
        <v>#VALUE!</v>
      </c>
      <c r="T385" s="41" t="e">
        <f t="shared" si="84"/>
        <v>#VALUE!</v>
      </c>
      <c r="U385" s="41" t="e">
        <f t="shared" si="85"/>
        <v>#VALUE!</v>
      </c>
      <c r="V385" s="41" t="e">
        <f t="shared" si="86"/>
        <v>#VALUE!</v>
      </c>
    </row>
    <row r="386" spans="2:22" x14ac:dyDescent="0.25">
      <c r="B386" s="41" t="b">
        <f t="shared" si="87"/>
        <v>0</v>
      </c>
      <c r="C386" s="41" t="e">
        <f t="shared" si="88"/>
        <v>#VALUE!</v>
      </c>
      <c r="E386" s="45">
        <v>382</v>
      </c>
      <c r="G386" s="138"/>
      <c r="H386" s="135">
        <v>1</v>
      </c>
      <c r="I386" s="46" t="e">
        <f t="shared" si="75"/>
        <v>#VALUE!</v>
      </c>
      <c r="J386" s="41" t="e">
        <f t="shared" si="81"/>
        <v>#VALUE!</v>
      </c>
      <c r="K386" s="41" t="e">
        <f t="shared" si="82"/>
        <v>#VALUE!</v>
      </c>
      <c r="L386" s="41" t="e">
        <f t="shared" si="82"/>
        <v>#VALUE!</v>
      </c>
      <c r="M386" s="41" t="e">
        <f t="shared" si="76"/>
        <v>#VALUE!</v>
      </c>
      <c r="N386" s="41" t="e">
        <f t="shared" si="77"/>
        <v>#VALUE!</v>
      </c>
      <c r="O386" s="41">
        <f t="shared" si="78"/>
        <v>0</v>
      </c>
      <c r="Q386" s="44" t="e">
        <f t="shared" si="79"/>
        <v>#VALUE!</v>
      </c>
      <c r="R386" s="44" t="e">
        <f t="shared" si="83"/>
        <v>#VALUE!</v>
      </c>
      <c r="S386" s="44" t="e">
        <f t="shared" si="80"/>
        <v>#VALUE!</v>
      </c>
      <c r="T386" s="41" t="e">
        <f t="shared" si="84"/>
        <v>#VALUE!</v>
      </c>
      <c r="U386" s="41" t="e">
        <f t="shared" si="85"/>
        <v>#VALUE!</v>
      </c>
      <c r="V386" s="41" t="e">
        <f t="shared" si="86"/>
        <v>#VALUE!</v>
      </c>
    </row>
    <row r="387" spans="2:22" x14ac:dyDescent="0.25">
      <c r="B387" s="41" t="b">
        <f t="shared" si="87"/>
        <v>0</v>
      </c>
      <c r="C387" s="41" t="e">
        <f t="shared" si="88"/>
        <v>#VALUE!</v>
      </c>
      <c r="E387" s="45">
        <v>383</v>
      </c>
      <c r="G387" s="138"/>
      <c r="H387" s="135">
        <v>1</v>
      </c>
      <c r="I387" s="46" t="e">
        <f t="shared" si="75"/>
        <v>#VALUE!</v>
      </c>
      <c r="J387" s="41" t="e">
        <f t="shared" si="81"/>
        <v>#VALUE!</v>
      </c>
      <c r="K387" s="41" t="e">
        <f t="shared" si="82"/>
        <v>#VALUE!</v>
      </c>
      <c r="L387" s="41" t="e">
        <f t="shared" si="82"/>
        <v>#VALUE!</v>
      </c>
      <c r="M387" s="41" t="e">
        <f t="shared" si="76"/>
        <v>#VALUE!</v>
      </c>
      <c r="N387" s="41" t="e">
        <f t="shared" si="77"/>
        <v>#VALUE!</v>
      </c>
      <c r="O387" s="41">
        <f t="shared" si="78"/>
        <v>0</v>
      </c>
      <c r="Q387" s="44" t="e">
        <f t="shared" si="79"/>
        <v>#VALUE!</v>
      </c>
      <c r="R387" s="44" t="e">
        <f t="shared" si="83"/>
        <v>#VALUE!</v>
      </c>
      <c r="S387" s="44" t="e">
        <f t="shared" si="80"/>
        <v>#VALUE!</v>
      </c>
      <c r="T387" s="41" t="e">
        <f t="shared" si="84"/>
        <v>#VALUE!</v>
      </c>
      <c r="U387" s="41" t="e">
        <f t="shared" si="85"/>
        <v>#VALUE!</v>
      </c>
      <c r="V387" s="41" t="e">
        <f t="shared" si="86"/>
        <v>#VALUE!</v>
      </c>
    </row>
    <row r="388" spans="2:22" x14ac:dyDescent="0.25">
      <c r="B388" s="41" t="b">
        <f t="shared" si="87"/>
        <v>0</v>
      </c>
      <c r="C388" s="41" t="e">
        <f t="shared" si="88"/>
        <v>#VALUE!</v>
      </c>
      <c r="E388" s="45">
        <v>384</v>
      </c>
      <c r="G388" s="138"/>
      <c r="H388" s="135">
        <v>1</v>
      </c>
      <c r="I388" s="46" t="e">
        <f t="shared" ref="I388:I451" si="89">RIGHT(G388,J388)</f>
        <v>#VALUE!</v>
      </c>
      <c r="J388" s="41" t="e">
        <f t="shared" si="81"/>
        <v>#VALUE!</v>
      </c>
      <c r="K388" s="41" t="e">
        <f t="shared" si="82"/>
        <v>#VALUE!</v>
      </c>
      <c r="L388" s="41" t="e">
        <f t="shared" si="82"/>
        <v>#VALUE!</v>
      </c>
      <c r="M388" s="41" t="e">
        <f t="shared" ref="M388:M451" si="90">SEARCH("-",G388,2)</f>
        <v>#VALUE!</v>
      </c>
      <c r="N388" s="41" t="e">
        <f t="shared" ref="N388:N451" si="91">SEARCH("-",G388,M388+1)</f>
        <v>#VALUE!</v>
      </c>
      <c r="O388" s="41">
        <f t="shared" ref="O388:O451" si="92">LEN(G388)</f>
        <v>0</v>
      </c>
      <c r="Q388" s="44" t="e">
        <f t="shared" ref="Q388:Q451" si="93">LEFT(G388,M388-1)</f>
        <v>#VALUE!</v>
      </c>
      <c r="R388" s="44" t="e">
        <f t="shared" si="83"/>
        <v>#VALUE!</v>
      </c>
      <c r="S388" s="44" t="e">
        <f t="shared" ref="S388:S451" si="94">RIGHT(G388,L388)</f>
        <v>#VALUE!</v>
      </c>
      <c r="T388" s="41" t="e">
        <f t="shared" si="84"/>
        <v>#VALUE!</v>
      </c>
      <c r="U388" s="41" t="e">
        <f t="shared" si="85"/>
        <v>#VALUE!</v>
      </c>
      <c r="V388" s="41" t="e">
        <f t="shared" si="86"/>
        <v>#VALUE!</v>
      </c>
    </row>
    <row r="389" spans="2:22" x14ac:dyDescent="0.25">
      <c r="B389" s="41" t="b">
        <f t="shared" si="87"/>
        <v>0</v>
      </c>
      <c r="C389" s="41" t="e">
        <f t="shared" si="88"/>
        <v>#VALUE!</v>
      </c>
      <c r="E389" s="45">
        <v>385</v>
      </c>
      <c r="G389" s="138"/>
      <c r="H389" s="135">
        <v>1</v>
      </c>
      <c r="I389" s="46" t="e">
        <f t="shared" si="89"/>
        <v>#VALUE!</v>
      </c>
      <c r="J389" s="41" t="e">
        <f t="shared" ref="J389:J452" si="95">O389-M389</f>
        <v>#VALUE!</v>
      </c>
      <c r="K389" s="41" t="e">
        <f t="shared" ref="K389:L452" si="96">N389-M389</f>
        <v>#VALUE!</v>
      </c>
      <c r="L389" s="41" t="e">
        <f t="shared" si="96"/>
        <v>#VALUE!</v>
      </c>
      <c r="M389" s="41" t="e">
        <f t="shared" si="90"/>
        <v>#VALUE!</v>
      </c>
      <c r="N389" s="41" t="e">
        <f t="shared" si="91"/>
        <v>#VALUE!</v>
      </c>
      <c r="O389" s="41">
        <f t="shared" si="92"/>
        <v>0</v>
      </c>
      <c r="Q389" s="44" t="e">
        <f t="shared" si="93"/>
        <v>#VALUE!</v>
      </c>
      <c r="R389" s="44" t="e">
        <f t="shared" ref="R389:R452" si="97">LEFT(I389,K389-1)</f>
        <v>#VALUE!</v>
      </c>
      <c r="S389" s="44" t="e">
        <f t="shared" si="94"/>
        <v>#VALUE!</v>
      </c>
      <c r="T389" s="41" t="e">
        <f t="shared" ref="T389:T452" si="98">Q389*1*H389</f>
        <v>#VALUE!</v>
      </c>
      <c r="U389" s="41" t="e">
        <f t="shared" ref="U389:U452" si="99">R389*1*H389</f>
        <v>#VALUE!</v>
      </c>
      <c r="V389" s="41" t="e">
        <f t="shared" ref="V389:V452" si="100">S389*1*H389</f>
        <v>#VALUE!</v>
      </c>
    </row>
    <row r="390" spans="2:22" x14ac:dyDescent="0.25">
      <c r="B390" s="41" t="b">
        <f t="shared" si="87"/>
        <v>0</v>
      </c>
      <c r="C390" s="41" t="e">
        <f t="shared" si="88"/>
        <v>#VALUE!</v>
      </c>
      <c r="E390" s="45">
        <v>386</v>
      </c>
      <c r="G390" s="138"/>
      <c r="H390" s="135">
        <v>1</v>
      </c>
      <c r="I390" s="46" t="e">
        <f t="shared" si="89"/>
        <v>#VALUE!</v>
      </c>
      <c r="J390" s="41" t="e">
        <f t="shared" si="95"/>
        <v>#VALUE!</v>
      </c>
      <c r="K390" s="41" t="e">
        <f t="shared" si="96"/>
        <v>#VALUE!</v>
      </c>
      <c r="L390" s="41" t="e">
        <f t="shared" si="96"/>
        <v>#VALUE!</v>
      </c>
      <c r="M390" s="41" t="e">
        <f t="shared" si="90"/>
        <v>#VALUE!</v>
      </c>
      <c r="N390" s="41" t="e">
        <f t="shared" si="91"/>
        <v>#VALUE!</v>
      </c>
      <c r="O390" s="41">
        <f t="shared" si="92"/>
        <v>0</v>
      </c>
      <c r="Q390" s="44" t="e">
        <f t="shared" si="93"/>
        <v>#VALUE!</v>
      </c>
      <c r="R390" s="44" t="e">
        <f t="shared" si="97"/>
        <v>#VALUE!</v>
      </c>
      <c r="S390" s="44" t="e">
        <f t="shared" si="94"/>
        <v>#VALUE!</v>
      </c>
      <c r="T390" s="41" t="e">
        <f t="shared" si="98"/>
        <v>#VALUE!</v>
      </c>
      <c r="U390" s="41" t="e">
        <f t="shared" si="99"/>
        <v>#VALUE!</v>
      </c>
      <c r="V390" s="41" t="e">
        <f t="shared" si="100"/>
        <v>#VALUE!</v>
      </c>
    </row>
    <row r="391" spans="2:22" x14ac:dyDescent="0.25">
      <c r="B391" s="41" t="b">
        <f t="shared" si="87"/>
        <v>0</v>
      </c>
      <c r="C391" s="41" t="e">
        <f t="shared" si="88"/>
        <v>#VALUE!</v>
      </c>
      <c r="E391" s="45">
        <v>387</v>
      </c>
      <c r="G391" s="138"/>
      <c r="H391" s="135">
        <v>1</v>
      </c>
      <c r="I391" s="46" t="e">
        <f t="shared" si="89"/>
        <v>#VALUE!</v>
      </c>
      <c r="J391" s="41" t="e">
        <f t="shared" si="95"/>
        <v>#VALUE!</v>
      </c>
      <c r="K391" s="41" t="e">
        <f t="shared" si="96"/>
        <v>#VALUE!</v>
      </c>
      <c r="L391" s="41" t="e">
        <f t="shared" si="96"/>
        <v>#VALUE!</v>
      </c>
      <c r="M391" s="41" t="e">
        <f t="shared" si="90"/>
        <v>#VALUE!</v>
      </c>
      <c r="N391" s="41" t="e">
        <f t="shared" si="91"/>
        <v>#VALUE!</v>
      </c>
      <c r="O391" s="41">
        <f t="shared" si="92"/>
        <v>0</v>
      </c>
      <c r="Q391" s="44" t="e">
        <f t="shared" si="93"/>
        <v>#VALUE!</v>
      </c>
      <c r="R391" s="44" t="e">
        <f t="shared" si="97"/>
        <v>#VALUE!</v>
      </c>
      <c r="S391" s="44" t="e">
        <f t="shared" si="94"/>
        <v>#VALUE!</v>
      </c>
      <c r="T391" s="41" t="e">
        <f t="shared" si="98"/>
        <v>#VALUE!</v>
      </c>
      <c r="U391" s="41" t="e">
        <f t="shared" si="99"/>
        <v>#VALUE!</v>
      </c>
      <c r="V391" s="41" t="e">
        <f t="shared" si="100"/>
        <v>#VALUE!</v>
      </c>
    </row>
    <row r="392" spans="2:22" x14ac:dyDescent="0.25">
      <c r="B392" s="41" t="b">
        <f t="shared" si="87"/>
        <v>0</v>
      </c>
      <c r="C392" s="41" t="e">
        <f t="shared" si="88"/>
        <v>#VALUE!</v>
      </c>
      <c r="E392" s="45">
        <v>388</v>
      </c>
      <c r="G392" s="138"/>
      <c r="H392" s="135">
        <v>1</v>
      </c>
      <c r="I392" s="46" t="e">
        <f t="shared" si="89"/>
        <v>#VALUE!</v>
      </c>
      <c r="J392" s="41" t="e">
        <f t="shared" si="95"/>
        <v>#VALUE!</v>
      </c>
      <c r="K392" s="41" t="e">
        <f t="shared" si="96"/>
        <v>#VALUE!</v>
      </c>
      <c r="L392" s="41" t="e">
        <f t="shared" si="96"/>
        <v>#VALUE!</v>
      </c>
      <c r="M392" s="41" t="e">
        <f t="shared" si="90"/>
        <v>#VALUE!</v>
      </c>
      <c r="N392" s="41" t="e">
        <f t="shared" si="91"/>
        <v>#VALUE!</v>
      </c>
      <c r="O392" s="41">
        <f t="shared" si="92"/>
        <v>0</v>
      </c>
      <c r="Q392" s="44" t="e">
        <f t="shared" si="93"/>
        <v>#VALUE!</v>
      </c>
      <c r="R392" s="44" t="e">
        <f t="shared" si="97"/>
        <v>#VALUE!</v>
      </c>
      <c r="S392" s="44" t="e">
        <f t="shared" si="94"/>
        <v>#VALUE!</v>
      </c>
      <c r="T392" s="41" t="e">
        <f t="shared" si="98"/>
        <v>#VALUE!</v>
      </c>
      <c r="U392" s="41" t="e">
        <f t="shared" si="99"/>
        <v>#VALUE!</v>
      </c>
      <c r="V392" s="41" t="e">
        <f t="shared" si="100"/>
        <v>#VALUE!</v>
      </c>
    </row>
    <row r="393" spans="2:22" x14ac:dyDescent="0.25">
      <c r="B393" s="41" t="b">
        <f t="shared" si="87"/>
        <v>0</v>
      </c>
      <c r="C393" s="41" t="e">
        <f t="shared" si="88"/>
        <v>#VALUE!</v>
      </c>
      <c r="E393" s="45">
        <v>389</v>
      </c>
      <c r="G393" s="138"/>
      <c r="H393" s="135">
        <v>1</v>
      </c>
      <c r="I393" s="46" t="e">
        <f t="shared" si="89"/>
        <v>#VALUE!</v>
      </c>
      <c r="J393" s="41" t="e">
        <f t="shared" si="95"/>
        <v>#VALUE!</v>
      </c>
      <c r="K393" s="41" t="e">
        <f t="shared" si="96"/>
        <v>#VALUE!</v>
      </c>
      <c r="L393" s="41" t="e">
        <f t="shared" si="96"/>
        <v>#VALUE!</v>
      </c>
      <c r="M393" s="41" t="e">
        <f t="shared" si="90"/>
        <v>#VALUE!</v>
      </c>
      <c r="N393" s="41" t="e">
        <f t="shared" si="91"/>
        <v>#VALUE!</v>
      </c>
      <c r="O393" s="41">
        <f t="shared" si="92"/>
        <v>0</v>
      </c>
      <c r="Q393" s="44" t="e">
        <f t="shared" si="93"/>
        <v>#VALUE!</v>
      </c>
      <c r="R393" s="44" t="e">
        <f t="shared" si="97"/>
        <v>#VALUE!</v>
      </c>
      <c r="S393" s="44" t="e">
        <f t="shared" si="94"/>
        <v>#VALUE!</v>
      </c>
      <c r="T393" s="41" t="e">
        <f t="shared" si="98"/>
        <v>#VALUE!</v>
      </c>
      <c r="U393" s="41" t="e">
        <f t="shared" si="99"/>
        <v>#VALUE!</v>
      </c>
      <c r="V393" s="41" t="e">
        <f t="shared" si="100"/>
        <v>#VALUE!</v>
      </c>
    </row>
    <row r="394" spans="2:22" x14ac:dyDescent="0.25">
      <c r="B394" s="41" t="b">
        <f t="shared" si="87"/>
        <v>0</v>
      </c>
      <c r="C394" s="41" t="e">
        <f t="shared" si="88"/>
        <v>#VALUE!</v>
      </c>
      <c r="E394" s="45">
        <v>390</v>
      </c>
      <c r="G394" s="138"/>
      <c r="H394" s="135">
        <v>1</v>
      </c>
      <c r="I394" s="46" t="e">
        <f t="shared" si="89"/>
        <v>#VALUE!</v>
      </c>
      <c r="J394" s="41" t="e">
        <f t="shared" si="95"/>
        <v>#VALUE!</v>
      </c>
      <c r="K394" s="41" t="e">
        <f t="shared" si="96"/>
        <v>#VALUE!</v>
      </c>
      <c r="L394" s="41" t="e">
        <f t="shared" si="96"/>
        <v>#VALUE!</v>
      </c>
      <c r="M394" s="41" t="e">
        <f t="shared" si="90"/>
        <v>#VALUE!</v>
      </c>
      <c r="N394" s="41" t="e">
        <f t="shared" si="91"/>
        <v>#VALUE!</v>
      </c>
      <c r="O394" s="41">
        <f t="shared" si="92"/>
        <v>0</v>
      </c>
      <c r="Q394" s="44" t="e">
        <f t="shared" si="93"/>
        <v>#VALUE!</v>
      </c>
      <c r="R394" s="44" t="e">
        <f t="shared" si="97"/>
        <v>#VALUE!</v>
      </c>
      <c r="S394" s="44" t="e">
        <f t="shared" si="94"/>
        <v>#VALUE!</v>
      </c>
      <c r="T394" s="41" t="e">
        <f t="shared" si="98"/>
        <v>#VALUE!</v>
      </c>
      <c r="U394" s="41" t="e">
        <f t="shared" si="99"/>
        <v>#VALUE!</v>
      </c>
      <c r="V394" s="41" t="e">
        <f t="shared" si="100"/>
        <v>#VALUE!</v>
      </c>
    </row>
    <row r="395" spans="2:22" x14ac:dyDescent="0.25">
      <c r="B395" s="41" t="b">
        <f t="shared" si="87"/>
        <v>0</v>
      </c>
      <c r="C395" s="41" t="e">
        <f t="shared" si="88"/>
        <v>#VALUE!</v>
      </c>
      <c r="E395" s="45">
        <v>391</v>
      </c>
      <c r="G395" s="138"/>
      <c r="H395" s="135">
        <v>1</v>
      </c>
      <c r="I395" s="46" t="e">
        <f t="shared" si="89"/>
        <v>#VALUE!</v>
      </c>
      <c r="J395" s="41" t="e">
        <f t="shared" si="95"/>
        <v>#VALUE!</v>
      </c>
      <c r="K395" s="41" t="e">
        <f t="shared" si="96"/>
        <v>#VALUE!</v>
      </c>
      <c r="L395" s="41" t="e">
        <f t="shared" si="96"/>
        <v>#VALUE!</v>
      </c>
      <c r="M395" s="41" t="e">
        <f t="shared" si="90"/>
        <v>#VALUE!</v>
      </c>
      <c r="N395" s="41" t="e">
        <f t="shared" si="91"/>
        <v>#VALUE!</v>
      </c>
      <c r="O395" s="41">
        <f t="shared" si="92"/>
        <v>0</v>
      </c>
      <c r="Q395" s="44" t="e">
        <f t="shared" si="93"/>
        <v>#VALUE!</v>
      </c>
      <c r="R395" s="44" t="e">
        <f t="shared" si="97"/>
        <v>#VALUE!</v>
      </c>
      <c r="S395" s="44" t="e">
        <f t="shared" si="94"/>
        <v>#VALUE!</v>
      </c>
      <c r="T395" s="41" t="e">
        <f t="shared" si="98"/>
        <v>#VALUE!</v>
      </c>
      <c r="U395" s="41" t="e">
        <f t="shared" si="99"/>
        <v>#VALUE!</v>
      </c>
      <c r="V395" s="41" t="e">
        <f t="shared" si="100"/>
        <v>#VALUE!</v>
      </c>
    </row>
    <row r="396" spans="2:22" x14ac:dyDescent="0.25">
      <c r="B396" s="41" t="b">
        <f t="shared" si="87"/>
        <v>0</v>
      </c>
      <c r="C396" s="41" t="e">
        <f t="shared" si="88"/>
        <v>#VALUE!</v>
      </c>
      <c r="E396" s="45">
        <v>392</v>
      </c>
      <c r="G396" s="138"/>
      <c r="H396" s="135">
        <v>1</v>
      </c>
      <c r="I396" s="46" t="e">
        <f t="shared" si="89"/>
        <v>#VALUE!</v>
      </c>
      <c r="J396" s="41" t="e">
        <f t="shared" si="95"/>
        <v>#VALUE!</v>
      </c>
      <c r="K396" s="41" t="e">
        <f t="shared" si="96"/>
        <v>#VALUE!</v>
      </c>
      <c r="L396" s="41" t="e">
        <f t="shared" si="96"/>
        <v>#VALUE!</v>
      </c>
      <c r="M396" s="41" t="e">
        <f t="shared" si="90"/>
        <v>#VALUE!</v>
      </c>
      <c r="N396" s="41" t="e">
        <f t="shared" si="91"/>
        <v>#VALUE!</v>
      </c>
      <c r="O396" s="41">
        <f t="shared" si="92"/>
        <v>0</v>
      </c>
      <c r="Q396" s="44" t="e">
        <f t="shared" si="93"/>
        <v>#VALUE!</v>
      </c>
      <c r="R396" s="44" t="e">
        <f t="shared" si="97"/>
        <v>#VALUE!</v>
      </c>
      <c r="S396" s="44" t="e">
        <f t="shared" si="94"/>
        <v>#VALUE!</v>
      </c>
      <c r="T396" s="41" t="e">
        <f t="shared" si="98"/>
        <v>#VALUE!</v>
      </c>
      <c r="U396" s="41" t="e">
        <f t="shared" si="99"/>
        <v>#VALUE!</v>
      </c>
      <c r="V396" s="41" t="e">
        <f t="shared" si="100"/>
        <v>#VALUE!</v>
      </c>
    </row>
    <row r="397" spans="2:22" x14ac:dyDescent="0.25">
      <c r="B397" s="41" t="b">
        <f t="shared" si="87"/>
        <v>0</v>
      </c>
      <c r="C397" s="41" t="e">
        <f t="shared" si="88"/>
        <v>#VALUE!</v>
      </c>
      <c r="E397" s="45">
        <v>393</v>
      </c>
      <c r="G397" s="138"/>
      <c r="H397" s="135">
        <v>1</v>
      </c>
      <c r="I397" s="46" t="e">
        <f t="shared" si="89"/>
        <v>#VALUE!</v>
      </c>
      <c r="J397" s="41" t="e">
        <f t="shared" si="95"/>
        <v>#VALUE!</v>
      </c>
      <c r="K397" s="41" t="e">
        <f t="shared" si="96"/>
        <v>#VALUE!</v>
      </c>
      <c r="L397" s="41" t="e">
        <f t="shared" si="96"/>
        <v>#VALUE!</v>
      </c>
      <c r="M397" s="41" t="e">
        <f t="shared" si="90"/>
        <v>#VALUE!</v>
      </c>
      <c r="N397" s="41" t="e">
        <f t="shared" si="91"/>
        <v>#VALUE!</v>
      </c>
      <c r="O397" s="41">
        <f t="shared" si="92"/>
        <v>0</v>
      </c>
      <c r="Q397" s="44" t="e">
        <f t="shared" si="93"/>
        <v>#VALUE!</v>
      </c>
      <c r="R397" s="44" t="e">
        <f t="shared" si="97"/>
        <v>#VALUE!</v>
      </c>
      <c r="S397" s="44" t="e">
        <f t="shared" si="94"/>
        <v>#VALUE!</v>
      </c>
      <c r="T397" s="41" t="e">
        <f t="shared" si="98"/>
        <v>#VALUE!</v>
      </c>
      <c r="U397" s="41" t="e">
        <f t="shared" si="99"/>
        <v>#VALUE!</v>
      </c>
      <c r="V397" s="41" t="e">
        <f t="shared" si="100"/>
        <v>#VALUE!</v>
      </c>
    </row>
    <row r="398" spans="2:22" x14ac:dyDescent="0.25">
      <c r="B398" s="41" t="b">
        <f t="shared" ref="B398:B461" si="101">ISNUMBER(C398)</f>
        <v>0</v>
      </c>
      <c r="C398" s="41" t="e">
        <f t="shared" si="88"/>
        <v>#VALUE!</v>
      </c>
      <c r="E398" s="45">
        <v>394</v>
      </c>
      <c r="G398" s="138"/>
      <c r="H398" s="135">
        <v>1</v>
      </c>
      <c r="I398" s="46" t="e">
        <f t="shared" si="89"/>
        <v>#VALUE!</v>
      </c>
      <c r="J398" s="41" t="e">
        <f t="shared" si="95"/>
        <v>#VALUE!</v>
      </c>
      <c r="K398" s="41" t="e">
        <f t="shared" si="96"/>
        <v>#VALUE!</v>
      </c>
      <c r="L398" s="41" t="e">
        <f t="shared" si="96"/>
        <v>#VALUE!</v>
      </c>
      <c r="M398" s="41" t="e">
        <f t="shared" si="90"/>
        <v>#VALUE!</v>
      </c>
      <c r="N398" s="41" t="e">
        <f t="shared" si="91"/>
        <v>#VALUE!</v>
      </c>
      <c r="O398" s="41">
        <f t="shared" si="92"/>
        <v>0</v>
      </c>
      <c r="Q398" s="44" t="e">
        <f t="shared" si="93"/>
        <v>#VALUE!</v>
      </c>
      <c r="R398" s="44" t="e">
        <f t="shared" si="97"/>
        <v>#VALUE!</v>
      </c>
      <c r="S398" s="44" t="e">
        <f t="shared" si="94"/>
        <v>#VALUE!</v>
      </c>
      <c r="T398" s="41" t="e">
        <f t="shared" si="98"/>
        <v>#VALUE!</v>
      </c>
      <c r="U398" s="41" t="e">
        <f t="shared" si="99"/>
        <v>#VALUE!</v>
      </c>
      <c r="V398" s="41" t="e">
        <f t="shared" si="100"/>
        <v>#VALUE!</v>
      </c>
    </row>
    <row r="399" spans="2:22" x14ac:dyDescent="0.25">
      <c r="B399" s="41" t="b">
        <f t="shared" si="101"/>
        <v>0</v>
      </c>
      <c r="C399" s="41" t="e">
        <f t="shared" si="88"/>
        <v>#VALUE!</v>
      </c>
      <c r="E399" s="45">
        <v>395</v>
      </c>
      <c r="G399" s="138"/>
      <c r="H399" s="135">
        <v>1</v>
      </c>
      <c r="I399" s="46" t="e">
        <f t="shared" si="89"/>
        <v>#VALUE!</v>
      </c>
      <c r="J399" s="41" t="e">
        <f t="shared" si="95"/>
        <v>#VALUE!</v>
      </c>
      <c r="K399" s="41" t="e">
        <f t="shared" si="96"/>
        <v>#VALUE!</v>
      </c>
      <c r="L399" s="41" t="e">
        <f t="shared" si="96"/>
        <v>#VALUE!</v>
      </c>
      <c r="M399" s="41" t="e">
        <f t="shared" si="90"/>
        <v>#VALUE!</v>
      </c>
      <c r="N399" s="41" t="e">
        <f t="shared" si="91"/>
        <v>#VALUE!</v>
      </c>
      <c r="O399" s="41">
        <f t="shared" si="92"/>
        <v>0</v>
      </c>
      <c r="Q399" s="44" t="e">
        <f t="shared" si="93"/>
        <v>#VALUE!</v>
      </c>
      <c r="R399" s="44" t="e">
        <f t="shared" si="97"/>
        <v>#VALUE!</v>
      </c>
      <c r="S399" s="44" t="e">
        <f t="shared" si="94"/>
        <v>#VALUE!</v>
      </c>
      <c r="T399" s="41" t="e">
        <f t="shared" si="98"/>
        <v>#VALUE!</v>
      </c>
      <c r="U399" s="41" t="e">
        <f t="shared" si="99"/>
        <v>#VALUE!</v>
      </c>
      <c r="V399" s="41" t="e">
        <f t="shared" si="100"/>
        <v>#VALUE!</v>
      </c>
    </row>
    <row r="400" spans="2:22" x14ac:dyDescent="0.25">
      <c r="B400" s="41" t="b">
        <f t="shared" si="101"/>
        <v>0</v>
      </c>
      <c r="C400" s="41" t="e">
        <f t="shared" si="88"/>
        <v>#VALUE!</v>
      </c>
      <c r="E400" s="45">
        <v>396</v>
      </c>
      <c r="G400" s="138"/>
      <c r="H400" s="135">
        <v>1</v>
      </c>
      <c r="I400" s="46" t="e">
        <f t="shared" si="89"/>
        <v>#VALUE!</v>
      </c>
      <c r="J400" s="41" t="e">
        <f t="shared" si="95"/>
        <v>#VALUE!</v>
      </c>
      <c r="K400" s="41" t="e">
        <f t="shared" si="96"/>
        <v>#VALUE!</v>
      </c>
      <c r="L400" s="41" t="e">
        <f t="shared" si="96"/>
        <v>#VALUE!</v>
      </c>
      <c r="M400" s="41" t="e">
        <f t="shared" si="90"/>
        <v>#VALUE!</v>
      </c>
      <c r="N400" s="41" t="e">
        <f t="shared" si="91"/>
        <v>#VALUE!</v>
      </c>
      <c r="O400" s="41">
        <f t="shared" si="92"/>
        <v>0</v>
      </c>
      <c r="Q400" s="44" t="e">
        <f t="shared" si="93"/>
        <v>#VALUE!</v>
      </c>
      <c r="R400" s="44" t="e">
        <f t="shared" si="97"/>
        <v>#VALUE!</v>
      </c>
      <c r="S400" s="44" t="e">
        <f t="shared" si="94"/>
        <v>#VALUE!</v>
      </c>
      <c r="T400" s="41" t="e">
        <f t="shared" si="98"/>
        <v>#VALUE!</v>
      </c>
      <c r="U400" s="41" t="e">
        <f t="shared" si="99"/>
        <v>#VALUE!</v>
      </c>
      <c r="V400" s="41" t="e">
        <f t="shared" si="100"/>
        <v>#VALUE!</v>
      </c>
    </row>
    <row r="401" spans="2:22" x14ac:dyDescent="0.25">
      <c r="B401" s="41" t="b">
        <f t="shared" si="101"/>
        <v>0</v>
      </c>
      <c r="C401" s="41" t="e">
        <f t="shared" si="88"/>
        <v>#VALUE!</v>
      </c>
      <c r="E401" s="45">
        <v>397</v>
      </c>
      <c r="G401" s="138"/>
      <c r="H401" s="135">
        <v>1</v>
      </c>
      <c r="I401" s="46" t="e">
        <f t="shared" si="89"/>
        <v>#VALUE!</v>
      </c>
      <c r="J401" s="41" t="e">
        <f t="shared" si="95"/>
        <v>#VALUE!</v>
      </c>
      <c r="K401" s="41" t="e">
        <f t="shared" si="96"/>
        <v>#VALUE!</v>
      </c>
      <c r="L401" s="41" t="e">
        <f t="shared" si="96"/>
        <v>#VALUE!</v>
      </c>
      <c r="M401" s="41" t="e">
        <f t="shared" si="90"/>
        <v>#VALUE!</v>
      </c>
      <c r="N401" s="41" t="e">
        <f t="shared" si="91"/>
        <v>#VALUE!</v>
      </c>
      <c r="O401" s="41">
        <f t="shared" si="92"/>
        <v>0</v>
      </c>
      <c r="Q401" s="44" t="e">
        <f t="shared" si="93"/>
        <v>#VALUE!</v>
      </c>
      <c r="R401" s="44" t="e">
        <f t="shared" si="97"/>
        <v>#VALUE!</v>
      </c>
      <c r="S401" s="44" t="e">
        <f t="shared" si="94"/>
        <v>#VALUE!</v>
      </c>
      <c r="T401" s="41" t="e">
        <f t="shared" si="98"/>
        <v>#VALUE!</v>
      </c>
      <c r="U401" s="41" t="e">
        <f t="shared" si="99"/>
        <v>#VALUE!</v>
      </c>
      <c r="V401" s="41" t="e">
        <f t="shared" si="100"/>
        <v>#VALUE!</v>
      </c>
    </row>
    <row r="402" spans="2:22" x14ac:dyDescent="0.25">
      <c r="B402" s="41" t="b">
        <f t="shared" si="101"/>
        <v>0</v>
      </c>
      <c r="C402" s="41" t="e">
        <f t="shared" si="88"/>
        <v>#VALUE!</v>
      </c>
      <c r="E402" s="45">
        <v>398</v>
      </c>
      <c r="G402" s="138"/>
      <c r="H402" s="135">
        <v>1</v>
      </c>
      <c r="I402" s="46" t="e">
        <f t="shared" si="89"/>
        <v>#VALUE!</v>
      </c>
      <c r="J402" s="41" t="e">
        <f t="shared" si="95"/>
        <v>#VALUE!</v>
      </c>
      <c r="K402" s="41" t="e">
        <f t="shared" si="96"/>
        <v>#VALUE!</v>
      </c>
      <c r="L402" s="41" t="e">
        <f t="shared" si="96"/>
        <v>#VALUE!</v>
      </c>
      <c r="M402" s="41" t="e">
        <f t="shared" si="90"/>
        <v>#VALUE!</v>
      </c>
      <c r="N402" s="41" t="e">
        <f t="shared" si="91"/>
        <v>#VALUE!</v>
      </c>
      <c r="O402" s="41">
        <f t="shared" si="92"/>
        <v>0</v>
      </c>
      <c r="Q402" s="44" t="e">
        <f t="shared" si="93"/>
        <v>#VALUE!</v>
      </c>
      <c r="R402" s="44" t="e">
        <f t="shared" si="97"/>
        <v>#VALUE!</v>
      </c>
      <c r="S402" s="44" t="e">
        <f t="shared" si="94"/>
        <v>#VALUE!</v>
      </c>
      <c r="T402" s="41" t="e">
        <f t="shared" si="98"/>
        <v>#VALUE!</v>
      </c>
      <c r="U402" s="41" t="e">
        <f t="shared" si="99"/>
        <v>#VALUE!</v>
      </c>
      <c r="V402" s="41" t="e">
        <f t="shared" si="100"/>
        <v>#VALUE!</v>
      </c>
    </row>
    <row r="403" spans="2:22" x14ac:dyDescent="0.25">
      <c r="B403" s="41" t="b">
        <f t="shared" si="101"/>
        <v>0</v>
      </c>
      <c r="C403" s="41" t="e">
        <f t="shared" si="88"/>
        <v>#VALUE!</v>
      </c>
      <c r="E403" s="45">
        <v>399</v>
      </c>
      <c r="G403" s="138"/>
      <c r="H403" s="135">
        <v>1</v>
      </c>
      <c r="I403" s="46" t="e">
        <f t="shared" si="89"/>
        <v>#VALUE!</v>
      </c>
      <c r="J403" s="41" t="e">
        <f t="shared" si="95"/>
        <v>#VALUE!</v>
      </c>
      <c r="K403" s="41" t="e">
        <f t="shared" si="96"/>
        <v>#VALUE!</v>
      </c>
      <c r="L403" s="41" t="e">
        <f t="shared" si="96"/>
        <v>#VALUE!</v>
      </c>
      <c r="M403" s="41" t="e">
        <f t="shared" si="90"/>
        <v>#VALUE!</v>
      </c>
      <c r="N403" s="41" t="e">
        <f t="shared" si="91"/>
        <v>#VALUE!</v>
      </c>
      <c r="O403" s="41">
        <f t="shared" si="92"/>
        <v>0</v>
      </c>
      <c r="Q403" s="44" t="e">
        <f t="shared" si="93"/>
        <v>#VALUE!</v>
      </c>
      <c r="R403" s="44" t="e">
        <f t="shared" si="97"/>
        <v>#VALUE!</v>
      </c>
      <c r="S403" s="44" t="e">
        <f t="shared" si="94"/>
        <v>#VALUE!</v>
      </c>
      <c r="T403" s="41" t="e">
        <f t="shared" si="98"/>
        <v>#VALUE!</v>
      </c>
      <c r="U403" s="41" t="e">
        <f t="shared" si="99"/>
        <v>#VALUE!</v>
      </c>
      <c r="V403" s="41" t="e">
        <f t="shared" si="100"/>
        <v>#VALUE!</v>
      </c>
    </row>
    <row r="404" spans="2:22" x14ac:dyDescent="0.25">
      <c r="B404" s="41" t="b">
        <f t="shared" si="101"/>
        <v>0</v>
      </c>
      <c r="C404" s="41" t="e">
        <f t="shared" si="88"/>
        <v>#VALUE!</v>
      </c>
      <c r="E404" s="45">
        <v>400</v>
      </c>
      <c r="G404" s="138"/>
      <c r="H404" s="135">
        <v>1</v>
      </c>
      <c r="I404" s="46" t="e">
        <f t="shared" si="89"/>
        <v>#VALUE!</v>
      </c>
      <c r="J404" s="41" t="e">
        <f t="shared" si="95"/>
        <v>#VALUE!</v>
      </c>
      <c r="K404" s="41" t="e">
        <f t="shared" si="96"/>
        <v>#VALUE!</v>
      </c>
      <c r="L404" s="41" t="e">
        <f t="shared" si="96"/>
        <v>#VALUE!</v>
      </c>
      <c r="M404" s="41" t="e">
        <f t="shared" si="90"/>
        <v>#VALUE!</v>
      </c>
      <c r="N404" s="41" t="e">
        <f t="shared" si="91"/>
        <v>#VALUE!</v>
      </c>
      <c r="O404" s="41">
        <f t="shared" si="92"/>
        <v>0</v>
      </c>
      <c r="Q404" s="44" t="e">
        <f t="shared" si="93"/>
        <v>#VALUE!</v>
      </c>
      <c r="R404" s="44" t="e">
        <f t="shared" si="97"/>
        <v>#VALUE!</v>
      </c>
      <c r="S404" s="44" t="e">
        <f t="shared" si="94"/>
        <v>#VALUE!</v>
      </c>
      <c r="T404" s="41" t="e">
        <f t="shared" si="98"/>
        <v>#VALUE!</v>
      </c>
      <c r="U404" s="41" t="e">
        <f t="shared" si="99"/>
        <v>#VALUE!</v>
      </c>
      <c r="V404" s="41" t="e">
        <f t="shared" si="100"/>
        <v>#VALUE!</v>
      </c>
    </row>
    <row r="405" spans="2:22" x14ac:dyDescent="0.25">
      <c r="B405" s="41" t="b">
        <f t="shared" si="101"/>
        <v>0</v>
      </c>
      <c r="C405" s="41" t="e">
        <f t="shared" si="88"/>
        <v>#VALUE!</v>
      </c>
      <c r="E405" s="45">
        <v>401</v>
      </c>
      <c r="G405" s="138"/>
      <c r="H405" s="135">
        <v>1</v>
      </c>
      <c r="I405" s="46" t="e">
        <f t="shared" si="89"/>
        <v>#VALUE!</v>
      </c>
      <c r="J405" s="41" t="e">
        <f t="shared" si="95"/>
        <v>#VALUE!</v>
      </c>
      <c r="K405" s="41" t="e">
        <f t="shared" si="96"/>
        <v>#VALUE!</v>
      </c>
      <c r="L405" s="41" t="e">
        <f t="shared" si="96"/>
        <v>#VALUE!</v>
      </c>
      <c r="M405" s="41" t="e">
        <f t="shared" si="90"/>
        <v>#VALUE!</v>
      </c>
      <c r="N405" s="41" t="e">
        <f t="shared" si="91"/>
        <v>#VALUE!</v>
      </c>
      <c r="O405" s="41">
        <f t="shared" si="92"/>
        <v>0</v>
      </c>
      <c r="Q405" s="44" t="e">
        <f t="shared" si="93"/>
        <v>#VALUE!</v>
      </c>
      <c r="R405" s="44" t="e">
        <f t="shared" si="97"/>
        <v>#VALUE!</v>
      </c>
      <c r="S405" s="44" t="e">
        <f t="shared" si="94"/>
        <v>#VALUE!</v>
      </c>
      <c r="T405" s="41" t="e">
        <f t="shared" si="98"/>
        <v>#VALUE!</v>
      </c>
      <c r="U405" s="41" t="e">
        <f t="shared" si="99"/>
        <v>#VALUE!</v>
      </c>
      <c r="V405" s="41" t="e">
        <f t="shared" si="100"/>
        <v>#VALUE!</v>
      </c>
    </row>
    <row r="406" spans="2:22" x14ac:dyDescent="0.25">
      <c r="B406" s="41" t="b">
        <f t="shared" si="101"/>
        <v>0</v>
      </c>
      <c r="C406" s="41" t="e">
        <f t="shared" si="88"/>
        <v>#VALUE!</v>
      </c>
      <c r="E406" s="45">
        <v>402</v>
      </c>
      <c r="G406" s="138"/>
      <c r="H406" s="135">
        <v>1</v>
      </c>
      <c r="I406" s="46" t="e">
        <f t="shared" si="89"/>
        <v>#VALUE!</v>
      </c>
      <c r="J406" s="41" t="e">
        <f t="shared" si="95"/>
        <v>#VALUE!</v>
      </c>
      <c r="K406" s="41" t="e">
        <f t="shared" si="96"/>
        <v>#VALUE!</v>
      </c>
      <c r="L406" s="41" t="e">
        <f t="shared" si="96"/>
        <v>#VALUE!</v>
      </c>
      <c r="M406" s="41" t="e">
        <f t="shared" si="90"/>
        <v>#VALUE!</v>
      </c>
      <c r="N406" s="41" t="e">
        <f t="shared" si="91"/>
        <v>#VALUE!</v>
      </c>
      <c r="O406" s="41">
        <f t="shared" si="92"/>
        <v>0</v>
      </c>
      <c r="Q406" s="44" t="e">
        <f t="shared" si="93"/>
        <v>#VALUE!</v>
      </c>
      <c r="R406" s="44" t="e">
        <f t="shared" si="97"/>
        <v>#VALUE!</v>
      </c>
      <c r="S406" s="44" t="e">
        <f t="shared" si="94"/>
        <v>#VALUE!</v>
      </c>
      <c r="T406" s="41" t="e">
        <f t="shared" si="98"/>
        <v>#VALUE!</v>
      </c>
      <c r="U406" s="41" t="e">
        <f t="shared" si="99"/>
        <v>#VALUE!</v>
      </c>
      <c r="V406" s="41" t="e">
        <f t="shared" si="100"/>
        <v>#VALUE!</v>
      </c>
    </row>
    <row r="407" spans="2:22" x14ac:dyDescent="0.25">
      <c r="B407" s="41" t="b">
        <f t="shared" si="101"/>
        <v>0</v>
      </c>
      <c r="C407" s="41" t="e">
        <f t="shared" si="88"/>
        <v>#VALUE!</v>
      </c>
      <c r="E407" s="45">
        <v>403</v>
      </c>
      <c r="G407" s="138"/>
      <c r="H407" s="135">
        <v>1</v>
      </c>
      <c r="I407" s="46" t="e">
        <f t="shared" si="89"/>
        <v>#VALUE!</v>
      </c>
      <c r="J407" s="41" t="e">
        <f t="shared" si="95"/>
        <v>#VALUE!</v>
      </c>
      <c r="K407" s="41" t="e">
        <f t="shared" si="96"/>
        <v>#VALUE!</v>
      </c>
      <c r="L407" s="41" t="e">
        <f t="shared" si="96"/>
        <v>#VALUE!</v>
      </c>
      <c r="M407" s="41" t="e">
        <f t="shared" si="90"/>
        <v>#VALUE!</v>
      </c>
      <c r="N407" s="41" t="e">
        <f t="shared" si="91"/>
        <v>#VALUE!</v>
      </c>
      <c r="O407" s="41">
        <f t="shared" si="92"/>
        <v>0</v>
      </c>
      <c r="Q407" s="44" t="e">
        <f t="shared" si="93"/>
        <v>#VALUE!</v>
      </c>
      <c r="R407" s="44" t="e">
        <f t="shared" si="97"/>
        <v>#VALUE!</v>
      </c>
      <c r="S407" s="44" t="e">
        <f t="shared" si="94"/>
        <v>#VALUE!</v>
      </c>
      <c r="T407" s="41" t="e">
        <f t="shared" si="98"/>
        <v>#VALUE!</v>
      </c>
      <c r="U407" s="41" t="e">
        <f t="shared" si="99"/>
        <v>#VALUE!</v>
      </c>
      <c r="V407" s="41" t="e">
        <f t="shared" si="100"/>
        <v>#VALUE!</v>
      </c>
    </row>
    <row r="408" spans="2:22" x14ac:dyDescent="0.25">
      <c r="B408" s="41" t="b">
        <f t="shared" si="101"/>
        <v>0</v>
      </c>
      <c r="C408" s="41" t="e">
        <f t="shared" si="88"/>
        <v>#VALUE!</v>
      </c>
      <c r="E408" s="45">
        <v>404</v>
      </c>
      <c r="G408" s="138"/>
      <c r="H408" s="135">
        <v>1</v>
      </c>
      <c r="I408" s="46" t="e">
        <f t="shared" si="89"/>
        <v>#VALUE!</v>
      </c>
      <c r="J408" s="41" t="e">
        <f t="shared" si="95"/>
        <v>#VALUE!</v>
      </c>
      <c r="K408" s="41" t="e">
        <f t="shared" si="96"/>
        <v>#VALUE!</v>
      </c>
      <c r="L408" s="41" t="e">
        <f t="shared" si="96"/>
        <v>#VALUE!</v>
      </c>
      <c r="M408" s="41" t="e">
        <f t="shared" si="90"/>
        <v>#VALUE!</v>
      </c>
      <c r="N408" s="41" t="e">
        <f t="shared" si="91"/>
        <v>#VALUE!</v>
      </c>
      <c r="O408" s="41">
        <f t="shared" si="92"/>
        <v>0</v>
      </c>
      <c r="Q408" s="44" t="e">
        <f t="shared" si="93"/>
        <v>#VALUE!</v>
      </c>
      <c r="R408" s="44" t="e">
        <f t="shared" si="97"/>
        <v>#VALUE!</v>
      </c>
      <c r="S408" s="44" t="e">
        <f t="shared" si="94"/>
        <v>#VALUE!</v>
      </c>
      <c r="T408" s="41" t="e">
        <f t="shared" si="98"/>
        <v>#VALUE!</v>
      </c>
      <c r="U408" s="41" t="e">
        <f t="shared" si="99"/>
        <v>#VALUE!</v>
      </c>
      <c r="V408" s="41" t="e">
        <f t="shared" si="100"/>
        <v>#VALUE!</v>
      </c>
    </row>
    <row r="409" spans="2:22" x14ac:dyDescent="0.25">
      <c r="B409" s="41" t="b">
        <f t="shared" si="101"/>
        <v>0</v>
      </c>
      <c r="C409" s="41" t="e">
        <f t="shared" si="88"/>
        <v>#VALUE!</v>
      </c>
      <c r="E409" s="45">
        <v>405</v>
      </c>
      <c r="G409" s="138"/>
      <c r="H409" s="135">
        <v>1</v>
      </c>
      <c r="I409" s="46" t="e">
        <f t="shared" si="89"/>
        <v>#VALUE!</v>
      </c>
      <c r="J409" s="41" t="e">
        <f t="shared" si="95"/>
        <v>#VALUE!</v>
      </c>
      <c r="K409" s="41" t="e">
        <f t="shared" si="96"/>
        <v>#VALUE!</v>
      </c>
      <c r="L409" s="41" t="e">
        <f t="shared" si="96"/>
        <v>#VALUE!</v>
      </c>
      <c r="M409" s="41" t="e">
        <f t="shared" si="90"/>
        <v>#VALUE!</v>
      </c>
      <c r="N409" s="41" t="e">
        <f t="shared" si="91"/>
        <v>#VALUE!</v>
      </c>
      <c r="O409" s="41">
        <f t="shared" si="92"/>
        <v>0</v>
      </c>
      <c r="Q409" s="44" t="e">
        <f t="shared" si="93"/>
        <v>#VALUE!</v>
      </c>
      <c r="R409" s="44" t="e">
        <f t="shared" si="97"/>
        <v>#VALUE!</v>
      </c>
      <c r="S409" s="44" t="e">
        <f t="shared" si="94"/>
        <v>#VALUE!</v>
      </c>
      <c r="T409" s="41" t="e">
        <f t="shared" si="98"/>
        <v>#VALUE!</v>
      </c>
      <c r="U409" s="41" t="e">
        <f t="shared" si="99"/>
        <v>#VALUE!</v>
      </c>
      <c r="V409" s="41" t="e">
        <f t="shared" si="100"/>
        <v>#VALUE!</v>
      </c>
    </row>
    <row r="410" spans="2:22" x14ac:dyDescent="0.25">
      <c r="B410" s="41" t="b">
        <f t="shared" si="101"/>
        <v>0</v>
      </c>
      <c r="C410" s="41" t="e">
        <f t="shared" si="88"/>
        <v>#VALUE!</v>
      </c>
      <c r="E410" s="45">
        <v>406</v>
      </c>
      <c r="G410" s="138"/>
      <c r="H410" s="135">
        <v>1</v>
      </c>
      <c r="I410" s="46" t="e">
        <f t="shared" si="89"/>
        <v>#VALUE!</v>
      </c>
      <c r="J410" s="41" t="e">
        <f t="shared" si="95"/>
        <v>#VALUE!</v>
      </c>
      <c r="K410" s="41" t="e">
        <f t="shared" si="96"/>
        <v>#VALUE!</v>
      </c>
      <c r="L410" s="41" t="e">
        <f t="shared" si="96"/>
        <v>#VALUE!</v>
      </c>
      <c r="M410" s="41" t="e">
        <f t="shared" si="90"/>
        <v>#VALUE!</v>
      </c>
      <c r="N410" s="41" t="e">
        <f t="shared" si="91"/>
        <v>#VALUE!</v>
      </c>
      <c r="O410" s="41">
        <f t="shared" si="92"/>
        <v>0</v>
      </c>
      <c r="Q410" s="44" t="e">
        <f t="shared" si="93"/>
        <v>#VALUE!</v>
      </c>
      <c r="R410" s="44" t="e">
        <f t="shared" si="97"/>
        <v>#VALUE!</v>
      </c>
      <c r="S410" s="44" t="e">
        <f t="shared" si="94"/>
        <v>#VALUE!</v>
      </c>
      <c r="T410" s="41" t="e">
        <f t="shared" si="98"/>
        <v>#VALUE!</v>
      </c>
      <c r="U410" s="41" t="e">
        <f t="shared" si="99"/>
        <v>#VALUE!</v>
      </c>
      <c r="V410" s="41" t="e">
        <f t="shared" si="100"/>
        <v>#VALUE!</v>
      </c>
    </row>
    <row r="411" spans="2:22" x14ac:dyDescent="0.25">
      <c r="B411" s="41" t="b">
        <f t="shared" si="101"/>
        <v>0</v>
      </c>
      <c r="C411" s="41" t="e">
        <f t="shared" si="88"/>
        <v>#VALUE!</v>
      </c>
      <c r="E411" s="45">
        <v>407</v>
      </c>
      <c r="G411" s="138"/>
      <c r="H411" s="135">
        <v>1</v>
      </c>
      <c r="I411" s="46" t="e">
        <f t="shared" si="89"/>
        <v>#VALUE!</v>
      </c>
      <c r="J411" s="41" t="e">
        <f t="shared" si="95"/>
        <v>#VALUE!</v>
      </c>
      <c r="K411" s="41" t="e">
        <f t="shared" si="96"/>
        <v>#VALUE!</v>
      </c>
      <c r="L411" s="41" t="e">
        <f t="shared" si="96"/>
        <v>#VALUE!</v>
      </c>
      <c r="M411" s="41" t="e">
        <f t="shared" si="90"/>
        <v>#VALUE!</v>
      </c>
      <c r="N411" s="41" t="e">
        <f t="shared" si="91"/>
        <v>#VALUE!</v>
      </c>
      <c r="O411" s="41">
        <f t="shared" si="92"/>
        <v>0</v>
      </c>
      <c r="Q411" s="44" t="e">
        <f t="shared" si="93"/>
        <v>#VALUE!</v>
      </c>
      <c r="R411" s="44" t="e">
        <f t="shared" si="97"/>
        <v>#VALUE!</v>
      </c>
      <c r="S411" s="44" t="e">
        <f t="shared" si="94"/>
        <v>#VALUE!</v>
      </c>
      <c r="T411" s="41" t="e">
        <f t="shared" si="98"/>
        <v>#VALUE!</v>
      </c>
      <c r="U411" s="41" t="e">
        <f t="shared" si="99"/>
        <v>#VALUE!</v>
      </c>
      <c r="V411" s="41" t="e">
        <f t="shared" si="100"/>
        <v>#VALUE!</v>
      </c>
    </row>
    <row r="412" spans="2:22" x14ac:dyDescent="0.25">
      <c r="B412" s="41" t="b">
        <f t="shared" si="101"/>
        <v>0</v>
      </c>
      <c r="C412" s="41" t="e">
        <f t="shared" si="88"/>
        <v>#VALUE!</v>
      </c>
      <c r="E412" s="45">
        <v>408</v>
      </c>
      <c r="G412" s="138"/>
      <c r="H412" s="135">
        <v>1</v>
      </c>
      <c r="I412" s="46" t="e">
        <f t="shared" si="89"/>
        <v>#VALUE!</v>
      </c>
      <c r="J412" s="41" t="e">
        <f t="shared" si="95"/>
        <v>#VALUE!</v>
      </c>
      <c r="K412" s="41" t="e">
        <f t="shared" si="96"/>
        <v>#VALUE!</v>
      </c>
      <c r="L412" s="41" t="e">
        <f t="shared" si="96"/>
        <v>#VALUE!</v>
      </c>
      <c r="M412" s="41" t="e">
        <f t="shared" si="90"/>
        <v>#VALUE!</v>
      </c>
      <c r="N412" s="41" t="e">
        <f t="shared" si="91"/>
        <v>#VALUE!</v>
      </c>
      <c r="O412" s="41">
        <f t="shared" si="92"/>
        <v>0</v>
      </c>
      <c r="Q412" s="44" t="e">
        <f t="shared" si="93"/>
        <v>#VALUE!</v>
      </c>
      <c r="R412" s="44" t="e">
        <f t="shared" si="97"/>
        <v>#VALUE!</v>
      </c>
      <c r="S412" s="44" t="e">
        <f t="shared" si="94"/>
        <v>#VALUE!</v>
      </c>
      <c r="T412" s="41" t="e">
        <f t="shared" si="98"/>
        <v>#VALUE!</v>
      </c>
      <c r="U412" s="41" t="e">
        <f t="shared" si="99"/>
        <v>#VALUE!</v>
      </c>
      <c r="V412" s="41" t="e">
        <f t="shared" si="100"/>
        <v>#VALUE!</v>
      </c>
    </row>
    <row r="413" spans="2:22" x14ac:dyDescent="0.25">
      <c r="B413" s="41" t="b">
        <f t="shared" si="101"/>
        <v>0</v>
      </c>
      <c r="C413" s="41" t="e">
        <f t="shared" si="88"/>
        <v>#VALUE!</v>
      </c>
      <c r="E413" s="45">
        <v>409</v>
      </c>
      <c r="G413" s="138"/>
      <c r="H413" s="135">
        <v>1</v>
      </c>
      <c r="I413" s="46" t="e">
        <f t="shared" si="89"/>
        <v>#VALUE!</v>
      </c>
      <c r="J413" s="41" t="e">
        <f t="shared" si="95"/>
        <v>#VALUE!</v>
      </c>
      <c r="K413" s="41" t="e">
        <f t="shared" si="96"/>
        <v>#VALUE!</v>
      </c>
      <c r="L413" s="41" t="e">
        <f t="shared" si="96"/>
        <v>#VALUE!</v>
      </c>
      <c r="M413" s="41" t="e">
        <f t="shared" si="90"/>
        <v>#VALUE!</v>
      </c>
      <c r="N413" s="41" t="e">
        <f t="shared" si="91"/>
        <v>#VALUE!</v>
      </c>
      <c r="O413" s="41">
        <f t="shared" si="92"/>
        <v>0</v>
      </c>
      <c r="Q413" s="44" t="e">
        <f t="shared" si="93"/>
        <v>#VALUE!</v>
      </c>
      <c r="R413" s="44" t="e">
        <f t="shared" si="97"/>
        <v>#VALUE!</v>
      </c>
      <c r="S413" s="44" t="e">
        <f t="shared" si="94"/>
        <v>#VALUE!</v>
      </c>
      <c r="T413" s="41" t="e">
        <f t="shared" si="98"/>
        <v>#VALUE!</v>
      </c>
      <c r="U413" s="41" t="e">
        <f t="shared" si="99"/>
        <v>#VALUE!</v>
      </c>
      <c r="V413" s="41" t="e">
        <f t="shared" si="100"/>
        <v>#VALUE!</v>
      </c>
    </row>
    <row r="414" spans="2:22" x14ac:dyDescent="0.25">
      <c r="B414" s="41" t="b">
        <f t="shared" si="101"/>
        <v>0</v>
      </c>
      <c r="C414" s="41" t="e">
        <f t="shared" si="88"/>
        <v>#VALUE!</v>
      </c>
      <c r="E414" s="45">
        <v>410</v>
      </c>
      <c r="G414" s="138"/>
      <c r="H414" s="135">
        <v>1</v>
      </c>
      <c r="I414" s="46" t="e">
        <f t="shared" si="89"/>
        <v>#VALUE!</v>
      </c>
      <c r="J414" s="41" t="e">
        <f t="shared" si="95"/>
        <v>#VALUE!</v>
      </c>
      <c r="K414" s="41" t="e">
        <f t="shared" si="96"/>
        <v>#VALUE!</v>
      </c>
      <c r="L414" s="41" t="e">
        <f t="shared" si="96"/>
        <v>#VALUE!</v>
      </c>
      <c r="M414" s="41" t="e">
        <f t="shared" si="90"/>
        <v>#VALUE!</v>
      </c>
      <c r="N414" s="41" t="e">
        <f t="shared" si="91"/>
        <v>#VALUE!</v>
      </c>
      <c r="O414" s="41">
        <f t="shared" si="92"/>
        <v>0</v>
      </c>
      <c r="Q414" s="44" t="e">
        <f t="shared" si="93"/>
        <v>#VALUE!</v>
      </c>
      <c r="R414" s="44" t="e">
        <f t="shared" si="97"/>
        <v>#VALUE!</v>
      </c>
      <c r="S414" s="44" t="e">
        <f t="shared" si="94"/>
        <v>#VALUE!</v>
      </c>
      <c r="T414" s="41" t="e">
        <f t="shared" si="98"/>
        <v>#VALUE!</v>
      </c>
      <c r="U414" s="41" t="e">
        <f t="shared" si="99"/>
        <v>#VALUE!</v>
      </c>
      <c r="V414" s="41" t="e">
        <f t="shared" si="100"/>
        <v>#VALUE!</v>
      </c>
    </row>
    <row r="415" spans="2:22" x14ac:dyDescent="0.25">
      <c r="B415" s="41" t="b">
        <f t="shared" si="101"/>
        <v>0</v>
      </c>
      <c r="C415" s="41" t="e">
        <f t="shared" si="88"/>
        <v>#VALUE!</v>
      </c>
      <c r="E415" s="45">
        <v>411</v>
      </c>
      <c r="G415" s="138"/>
      <c r="H415" s="135">
        <v>1</v>
      </c>
      <c r="I415" s="46" t="e">
        <f t="shared" si="89"/>
        <v>#VALUE!</v>
      </c>
      <c r="J415" s="41" t="e">
        <f t="shared" si="95"/>
        <v>#VALUE!</v>
      </c>
      <c r="K415" s="41" t="e">
        <f t="shared" si="96"/>
        <v>#VALUE!</v>
      </c>
      <c r="L415" s="41" t="e">
        <f t="shared" si="96"/>
        <v>#VALUE!</v>
      </c>
      <c r="M415" s="41" t="e">
        <f t="shared" si="90"/>
        <v>#VALUE!</v>
      </c>
      <c r="N415" s="41" t="e">
        <f t="shared" si="91"/>
        <v>#VALUE!</v>
      </c>
      <c r="O415" s="41">
        <f t="shared" si="92"/>
        <v>0</v>
      </c>
      <c r="Q415" s="44" t="e">
        <f t="shared" si="93"/>
        <v>#VALUE!</v>
      </c>
      <c r="R415" s="44" t="e">
        <f t="shared" si="97"/>
        <v>#VALUE!</v>
      </c>
      <c r="S415" s="44" t="e">
        <f t="shared" si="94"/>
        <v>#VALUE!</v>
      </c>
      <c r="T415" s="41" t="e">
        <f t="shared" si="98"/>
        <v>#VALUE!</v>
      </c>
      <c r="U415" s="41" t="e">
        <f t="shared" si="99"/>
        <v>#VALUE!</v>
      </c>
      <c r="V415" s="41" t="e">
        <f t="shared" si="100"/>
        <v>#VALUE!</v>
      </c>
    </row>
    <row r="416" spans="2:22" x14ac:dyDescent="0.25">
      <c r="B416" s="41" t="b">
        <f t="shared" si="101"/>
        <v>0</v>
      </c>
      <c r="C416" s="41" t="e">
        <f t="shared" si="88"/>
        <v>#VALUE!</v>
      </c>
      <c r="E416" s="45">
        <v>412</v>
      </c>
      <c r="G416" s="138"/>
      <c r="H416" s="135">
        <v>1</v>
      </c>
      <c r="I416" s="46" t="e">
        <f t="shared" si="89"/>
        <v>#VALUE!</v>
      </c>
      <c r="J416" s="41" t="e">
        <f t="shared" si="95"/>
        <v>#VALUE!</v>
      </c>
      <c r="K416" s="41" t="e">
        <f t="shared" si="96"/>
        <v>#VALUE!</v>
      </c>
      <c r="L416" s="41" t="e">
        <f t="shared" si="96"/>
        <v>#VALUE!</v>
      </c>
      <c r="M416" s="41" t="e">
        <f t="shared" si="90"/>
        <v>#VALUE!</v>
      </c>
      <c r="N416" s="41" t="e">
        <f t="shared" si="91"/>
        <v>#VALUE!</v>
      </c>
      <c r="O416" s="41">
        <f t="shared" si="92"/>
        <v>0</v>
      </c>
      <c r="Q416" s="44" t="e">
        <f t="shared" si="93"/>
        <v>#VALUE!</v>
      </c>
      <c r="R416" s="44" t="e">
        <f t="shared" si="97"/>
        <v>#VALUE!</v>
      </c>
      <c r="S416" s="44" t="e">
        <f t="shared" si="94"/>
        <v>#VALUE!</v>
      </c>
      <c r="T416" s="41" t="e">
        <f t="shared" si="98"/>
        <v>#VALUE!</v>
      </c>
      <c r="U416" s="41" t="e">
        <f t="shared" si="99"/>
        <v>#VALUE!</v>
      </c>
      <c r="V416" s="41" t="e">
        <f t="shared" si="100"/>
        <v>#VALUE!</v>
      </c>
    </row>
    <row r="417" spans="2:22" x14ac:dyDescent="0.25">
      <c r="B417" s="41" t="b">
        <f t="shared" si="101"/>
        <v>0</v>
      </c>
      <c r="C417" s="41" t="e">
        <f t="shared" si="88"/>
        <v>#VALUE!</v>
      </c>
      <c r="E417" s="45">
        <v>413</v>
      </c>
      <c r="G417" s="138"/>
      <c r="H417" s="135">
        <v>1</v>
      </c>
      <c r="I417" s="46" t="e">
        <f t="shared" si="89"/>
        <v>#VALUE!</v>
      </c>
      <c r="J417" s="41" t="e">
        <f t="shared" si="95"/>
        <v>#VALUE!</v>
      </c>
      <c r="K417" s="41" t="e">
        <f t="shared" si="96"/>
        <v>#VALUE!</v>
      </c>
      <c r="L417" s="41" t="e">
        <f t="shared" si="96"/>
        <v>#VALUE!</v>
      </c>
      <c r="M417" s="41" t="e">
        <f t="shared" si="90"/>
        <v>#VALUE!</v>
      </c>
      <c r="N417" s="41" t="e">
        <f t="shared" si="91"/>
        <v>#VALUE!</v>
      </c>
      <c r="O417" s="41">
        <f t="shared" si="92"/>
        <v>0</v>
      </c>
      <c r="Q417" s="44" t="e">
        <f t="shared" si="93"/>
        <v>#VALUE!</v>
      </c>
      <c r="R417" s="44" t="e">
        <f t="shared" si="97"/>
        <v>#VALUE!</v>
      </c>
      <c r="S417" s="44" t="e">
        <f t="shared" si="94"/>
        <v>#VALUE!</v>
      </c>
      <c r="T417" s="41" t="e">
        <f t="shared" si="98"/>
        <v>#VALUE!</v>
      </c>
      <c r="U417" s="41" t="e">
        <f t="shared" si="99"/>
        <v>#VALUE!</v>
      </c>
      <c r="V417" s="41" t="e">
        <f t="shared" si="100"/>
        <v>#VALUE!</v>
      </c>
    </row>
    <row r="418" spans="2:22" x14ac:dyDescent="0.25">
      <c r="B418" s="41" t="b">
        <f t="shared" si="101"/>
        <v>0</v>
      </c>
      <c r="C418" s="41" t="e">
        <f t="shared" si="88"/>
        <v>#VALUE!</v>
      </c>
      <c r="E418" s="45">
        <v>414</v>
      </c>
      <c r="G418" s="138"/>
      <c r="H418" s="135">
        <v>1</v>
      </c>
      <c r="I418" s="46" t="e">
        <f t="shared" si="89"/>
        <v>#VALUE!</v>
      </c>
      <c r="J418" s="41" t="e">
        <f t="shared" si="95"/>
        <v>#VALUE!</v>
      </c>
      <c r="K418" s="41" t="e">
        <f t="shared" si="96"/>
        <v>#VALUE!</v>
      </c>
      <c r="L418" s="41" t="e">
        <f t="shared" si="96"/>
        <v>#VALUE!</v>
      </c>
      <c r="M418" s="41" t="e">
        <f t="shared" si="90"/>
        <v>#VALUE!</v>
      </c>
      <c r="N418" s="41" t="e">
        <f t="shared" si="91"/>
        <v>#VALUE!</v>
      </c>
      <c r="O418" s="41">
        <f t="shared" si="92"/>
        <v>0</v>
      </c>
      <c r="Q418" s="44" t="e">
        <f t="shared" si="93"/>
        <v>#VALUE!</v>
      </c>
      <c r="R418" s="44" t="e">
        <f t="shared" si="97"/>
        <v>#VALUE!</v>
      </c>
      <c r="S418" s="44" t="e">
        <f t="shared" si="94"/>
        <v>#VALUE!</v>
      </c>
      <c r="T418" s="41" t="e">
        <f t="shared" si="98"/>
        <v>#VALUE!</v>
      </c>
      <c r="U418" s="41" t="e">
        <f t="shared" si="99"/>
        <v>#VALUE!</v>
      </c>
      <c r="V418" s="41" t="e">
        <f t="shared" si="100"/>
        <v>#VALUE!</v>
      </c>
    </row>
    <row r="419" spans="2:22" x14ac:dyDescent="0.25">
      <c r="B419" s="41" t="b">
        <f t="shared" si="101"/>
        <v>0</v>
      </c>
      <c r="C419" s="41" t="e">
        <f t="shared" si="88"/>
        <v>#VALUE!</v>
      </c>
      <c r="E419" s="45">
        <v>415</v>
      </c>
      <c r="G419" s="138"/>
      <c r="H419" s="135">
        <v>1</v>
      </c>
      <c r="I419" s="46" t="e">
        <f t="shared" si="89"/>
        <v>#VALUE!</v>
      </c>
      <c r="J419" s="41" t="e">
        <f t="shared" si="95"/>
        <v>#VALUE!</v>
      </c>
      <c r="K419" s="41" t="e">
        <f t="shared" si="96"/>
        <v>#VALUE!</v>
      </c>
      <c r="L419" s="41" t="e">
        <f t="shared" si="96"/>
        <v>#VALUE!</v>
      </c>
      <c r="M419" s="41" t="e">
        <f t="shared" si="90"/>
        <v>#VALUE!</v>
      </c>
      <c r="N419" s="41" t="e">
        <f t="shared" si="91"/>
        <v>#VALUE!</v>
      </c>
      <c r="O419" s="41">
        <f t="shared" si="92"/>
        <v>0</v>
      </c>
      <c r="Q419" s="44" t="e">
        <f t="shared" si="93"/>
        <v>#VALUE!</v>
      </c>
      <c r="R419" s="44" t="e">
        <f t="shared" si="97"/>
        <v>#VALUE!</v>
      </c>
      <c r="S419" s="44" t="e">
        <f t="shared" si="94"/>
        <v>#VALUE!</v>
      </c>
      <c r="T419" s="41" t="e">
        <f t="shared" si="98"/>
        <v>#VALUE!</v>
      </c>
      <c r="U419" s="41" t="e">
        <f t="shared" si="99"/>
        <v>#VALUE!</v>
      </c>
      <c r="V419" s="41" t="e">
        <f t="shared" si="100"/>
        <v>#VALUE!</v>
      </c>
    </row>
    <row r="420" spans="2:22" x14ac:dyDescent="0.25">
      <c r="B420" s="41" t="b">
        <f t="shared" si="101"/>
        <v>0</v>
      </c>
      <c r="C420" s="41" t="e">
        <f t="shared" si="88"/>
        <v>#VALUE!</v>
      </c>
      <c r="E420" s="45">
        <v>416</v>
      </c>
      <c r="G420" s="138"/>
      <c r="H420" s="135">
        <v>1</v>
      </c>
      <c r="I420" s="46" t="e">
        <f t="shared" si="89"/>
        <v>#VALUE!</v>
      </c>
      <c r="J420" s="41" t="e">
        <f t="shared" si="95"/>
        <v>#VALUE!</v>
      </c>
      <c r="K420" s="41" t="e">
        <f t="shared" si="96"/>
        <v>#VALUE!</v>
      </c>
      <c r="L420" s="41" t="e">
        <f t="shared" si="96"/>
        <v>#VALUE!</v>
      </c>
      <c r="M420" s="41" t="e">
        <f t="shared" si="90"/>
        <v>#VALUE!</v>
      </c>
      <c r="N420" s="41" t="e">
        <f t="shared" si="91"/>
        <v>#VALUE!</v>
      </c>
      <c r="O420" s="41">
        <f t="shared" si="92"/>
        <v>0</v>
      </c>
      <c r="Q420" s="44" t="e">
        <f t="shared" si="93"/>
        <v>#VALUE!</v>
      </c>
      <c r="R420" s="44" t="e">
        <f t="shared" si="97"/>
        <v>#VALUE!</v>
      </c>
      <c r="S420" s="44" t="e">
        <f t="shared" si="94"/>
        <v>#VALUE!</v>
      </c>
      <c r="T420" s="41" t="e">
        <f t="shared" si="98"/>
        <v>#VALUE!</v>
      </c>
      <c r="U420" s="41" t="e">
        <f t="shared" si="99"/>
        <v>#VALUE!</v>
      </c>
      <c r="V420" s="41" t="e">
        <f t="shared" si="100"/>
        <v>#VALUE!</v>
      </c>
    </row>
    <row r="421" spans="2:22" x14ac:dyDescent="0.25">
      <c r="B421" s="41" t="b">
        <f t="shared" si="101"/>
        <v>0</v>
      </c>
      <c r="C421" s="41" t="e">
        <f t="shared" si="88"/>
        <v>#VALUE!</v>
      </c>
      <c r="E421" s="45">
        <v>417</v>
      </c>
      <c r="G421" s="138"/>
      <c r="H421" s="135">
        <v>1</v>
      </c>
      <c r="I421" s="46" t="e">
        <f t="shared" si="89"/>
        <v>#VALUE!</v>
      </c>
      <c r="J421" s="41" t="e">
        <f t="shared" si="95"/>
        <v>#VALUE!</v>
      </c>
      <c r="K421" s="41" t="e">
        <f t="shared" si="96"/>
        <v>#VALUE!</v>
      </c>
      <c r="L421" s="41" t="e">
        <f t="shared" si="96"/>
        <v>#VALUE!</v>
      </c>
      <c r="M421" s="41" t="e">
        <f t="shared" si="90"/>
        <v>#VALUE!</v>
      </c>
      <c r="N421" s="41" t="e">
        <f t="shared" si="91"/>
        <v>#VALUE!</v>
      </c>
      <c r="O421" s="41">
        <f t="shared" si="92"/>
        <v>0</v>
      </c>
      <c r="Q421" s="44" t="e">
        <f t="shared" si="93"/>
        <v>#VALUE!</v>
      </c>
      <c r="R421" s="44" t="e">
        <f t="shared" si="97"/>
        <v>#VALUE!</v>
      </c>
      <c r="S421" s="44" t="e">
        <f t="shared" si="94"/>
        <v>#VALUE!</v>
      </c>
      <c r="T421" s="41" t="e">
        <f t="shared" si="98"/>
        <v>#VALUE!</v>
      </c>
      <c r="U421" s="41" t="e">
        <f t="shared" si="99"/>
        <v>#VALUE!</v>
      </c>
      <c r="V421" s="41" t="e">
        <f t="shared" si="100"/>
        <v>#VALUE!</v>
      </c>
    </row>
    <row r="422" spans="2:22" x14ac:dyDescent="0.25">
      <c r="B422" s="41" t="b">
        <f t="shared" si="101"/>
        <v>0</v>
      </c>
      <c r="C422" s="41" t="e">
        <f t="shared" si="88"/>
        <v>#VALUE!</v>
      </c>
      <c r="E422" s="45">
        <v>418</v>
      </c>
      <c r="G422" s="138"/>
      <c r="H422" s="135">
        <v>1</v>
      </c>
      <c r="I422" s="46" t="e">
        <f t="shared" si="89"/>
        <v>#VALUE!</v>
      </c>
      <c r="J422" s="41" t="e">
        <f t="shared" si="95"/>
        <v>#VALUE!</v>
      </c>
      <c r="K422" s="41" t="e">
        <f t="shared" si="96"/>
        <v>#VALUE!</v>
      </c>
      <c r="L422" s="41" t="e">
        <f t="shared" si="96"/>
        <v>#VALUE!</v>
      </c>
      <c r="M422" s="41" t="e">
        <f t="shared" si="90"/>
        <v>#VALUE!</v>
      </c>
      <c r="N422" s="41" t="e">
        <f t="shared" si="91"/>
        <v>#VALUE!</v>
      </c>
      <c r="O422" s="41">
        <f t="shared" si="92"/>
        <v>0</v>
      </c>
      <c r="Q422" s="44" t="e">
        <f t="shared" si="93"/>
        <v>#VALUE!</v>
      </c>
      <c r="R422" s="44" t="e">
        <f t="shared" si="97"/>
        <v>#VALUE!</v>
      </c>
      <c r="S422" s="44" t="e">
        <f t="shared" si="94"/>
        <v>#VALUE!</v>
      </c>
      <c r="T422" s="41" t="e">
        <f t="shared" si="98"/>
        <v>#VALUE!</v>
      </c>
      <c r="U422" s="41" t="e">
        <f t="shared" si="99"/>
        <v>#VALUE!</v>
      </c>
      <c r="V422" s="41" t="e">
        <f t="shared" si="100"/>
        <v>#VALUE!</v>
      </c>
    </row>
    <row r="423" spans="2:22" x14ac:dyDescent="0.25">
      <c r="B423" s="41" t="b">
        <f t="shared" si="101"/>
        <v>0</v>
      </c>
      <c r="C423" s="41" t="e">
        <f t="shared" si="88"/>
        <v>#VALUE!</v>
      </c>
      <c r="E423" s="45">
        <v>419</v>
      </c>
      <c r="G423" s="138"/>
      <c r="H423" s="135">
        <v>1</v>
      </c>
      <c r="I423" s="46" t="e">
        <f t="shared" si="89"/>
        <v>#VALUE!</v>
      </c>
      <c r="J423" s="41" t="e">
        <f t="shared" si="95"/>
        <v>#VALUE!</v>
      </c>
      <c r="K423" s="41" t="e">
        <f t="shared" si="96"/>
        <v>#VALUE!</v>
      </c>
      <c r="L423" s="41" t="e">
        <f t="shared" si="96"/>
        <v>#VALUE!</v>
      </c>
      <c r="M423" s="41" t="e">
        <f t="shared" si="90"/>
        <v>#VALUE!</v>
      </c>
      <c r="N423" s="41" t="e">
        <f t="shared" si="91"/>
        <v>#VALUE!</v>
      </c>
      <c r="O423" s="41">
        <f t="shared" si="92"/>
        <v>0</v>
      </c>
      <c r="Q423" s="44" t="e">
        <f t="shared" si="93"/>
        <v>#VALUE!</v>
      </c>
      <c r="R423" s="44" t="e">
        <f t="shared" si="97"/>
        <v>#VALUE!</v>
      </c>
      <c r="S423" s="44" t="e">
        <f t="shared" si="94"/>
        <v>#VALUE!</v>
      </c>
      <c r="T423" s="41" t="e">
        <f t="shared" si="98"/>
        <v>#VALUE!</v>
      </c>
      <c r="U423" s="41" t="e">
        <f t="shared" si="99"/>
        <v>#VALUE!</v>
      </c>
      <c r="V423" s="41" t="e">
        <f t="shared" si="100"/>
        <v>#VALUE!</v>
      </c>
    </row>
    <row r="424" spans="2:22" x14ac:dyDescent="0.25">
      <c r="B424" s="41" t="b">
        <f t="shared" si="101"/>
        <v>0</v>
      </c>
      <c r="C424" s="41" t="e">
        <f t="shared" si="88"/>
        <v>#VALUE!</v>
      </c>
      <c r="E424" s="45">
        <v>420</v>
      </c>
      <c r="G424" s="138"/>
      <c r="H424" s="135">
        <v>1</v>
      </c>
      <c r="I424" s="46" t="e">
        <f t="shared" si="89"/>
        <v>#VALUE!</v>
      </c>
      <c r="J424" s="41" t="e">
        <f t="shared" si="95"/>
        <v>#VALUE!</v>
      </c>
      <c r="K424" s="41" t="e">
        <f t="shared" si="96"/>
        <v>#VALUE!</v>
      </c>
      <c r="L424" s="41" t="e">
        <f t="shared" si="96"/>
        <v>#VALUE!</v>
      </c>
      <c r="M424" s="41" t="e">
        <f t="shared" si="90"/>
        <v>#VALUE!</v>
      </c>
      <c r="N424" s="41" t="e">
        <f t="shared" si="91"/>
        <v>#VALUE!</v>
      </c>
      <c r="O424" s="41">
        <f t="shared" si="92"/>
        <v>0</v>
      </c>
      <c r="Q424" s="44" t="e">
        <f t="shared" si="93"/>
        <v>#VALUE!</v>
      </c>
      <c r="R424" s="44" t="e">
        <f t="shared" si="97"/>
        <v>#VALUE!</v>
      </c>
      <c r="S424" s="44" t="e">
        <f t="shared" si="94"/>
        <v>#VALUE!</v>
      </c>
      <c r="T424" s="41" t="e">
        <f t="shared" si="98"/>
        <v>#VALUE!</v>
      </c>
      <c r="U424" s="41" t="e">
        <f t="shared" si="99"/>
        <v>#VALUE!</v>
      </c>
      <c r="V424" s="41" t="e">
        <f t="shared" si="100"/>
        <v>#VALUE!</v>
      </c>
    </row>
    <row r="425" spans="2:22" x14ac:dyDescent="0.25">
      <c r="B425" s="41" t="b">
        <f t="shared" si="101"/>
        <v>0</v>
      </c>
      <c r="C425" s="41" t="e">
        <f t="shared" si="88"/>
        <v>#VALUE!</v>
      </c>
      <c r="E425" s="45">
        <v>421</v>
      </c>
      <c r="G425" s="138"/>
      <c r="H425" s="135">
        <v>1</v>
      </c>
      <c r="I425" s="46" t="e">
        <f t="shared" si="89"/>
        <v>#VALUE!</v>
      </c>
      <c r="J425" s="41" t="e">
        <f t="shared" si="95"/>
        <v>#VALUE!</v>
      </c>
      <c r="K425" s="41" t="e">
        <f t="shared" si="96"/>
        <v>#VALUE!</v>
      </c>
      <c r="L425" s="41" t="e">
        <f t="shared" si="96"/>
        <v>#VALUE!</v>
      </c>
      <c r="M425" s="41" t="e">
        <f t="shared" si="90"/>
        <v>#VALUE!</v>
      </c>
      <c r="N425" s="41" t="e">
        <f t="shared" si="91"/>
        <v>#VALUE!</v>
      </c>
      <c r="O425" s="41">
        <f t="shared" si="92"/>
        <v>0</v>
      </c>
      <c r="Q425" s="44" t="e">
        <f t="shared" si="93"/>
        <v>#VALUE!</v>
      </c>
      <c r="R425" s="44" t="e">
        <f t="shared" si="97"/>
        <v>#VALUE!</v>
      </c>
      <c r="S425" s="44" t="e">
        <f t="shared" si="94"/>
        <v>#VALUE!</v>
      </c>
      <c r="T425" s="41" t="e">
        <f t="shared" si="98"/>
        <v>#VALUE!</v>
      </c>
      <c r="U425" s="41" t="e">
        <f t="shared" si="99"/>
        <v>#VALUE!</v>
      </c>
      <c r="V425" s="41" t="e">
        <f t="shared" si="100"/>
        <v>#VALUE!</v>
      </c>
    </row>
    <row r="426" spans="2:22" x14ac:dyDescent="0.25">
      <c r="B426" s="41" t="b">
        <f t="shared" si="101"/>
        <v>0</v>
      </c>
      <c r="C426" s="41" t="e">
        <f t="shared" si="88"/>
        <v>#VALUE!</v>
      </c>
      <c r="E426" s="45">
        <v>422</v>
      </c>
      <c r="G426" s="138"/>
      <c r="H426" s="135">
        <v>1</v>
      </c>
      <c r="I426" s="46" t="e">
        <f t="shared" si="89"/>
        <v>#VALUE!</v>
      </c>
      <c r="J426" s="41" t="e">
        <f t="shared" si="95"/>
        <v>#VALUE!</v>
      </c>
      <c r="K426" s="41" t="e">
        <f t="shared" si="96"/>
        <v>#VALUE!</v>
      </c>
      <c r="L426" s="41" t="e">
        <f t="shared" si="96"/>
        <v>#VALUE!</v>
      </c>
      <c r="M426" s="41" t="e">
        <f t="shared" si="90"/>
        <v>#VALUE!</v>
      </c>
      <c r="N426" s="41" t="e">
        <f t="shared" si="91"/>
        <v>#VALUE!</v>
      </c>
      <c r="O426" s="41">
        <f t="shared" si="92"/>
        <v>0</v>
      </c>
      <c r="Q426" s="44" t="e">
        <f t="shared" si="93"/>
        <v>#VALUE!</v>
      </c>
      <c r="R426" s="44" t="e">
        <f t="shared" si="97"/>
        <v>#VALUE!</v>
      </c>
      <c r="S426" s="44" t="e">
        <f t="shared" si="94"/>
        <v>#VALUE!</v>
      </c>
      <c r="T426" s="41" t="e">
        <f t="shared" si="98"/>
        <v>#VALUE!</v>
      </c>
      <c r="U426" s="41" t="e">
        <f t="shared" si="99"/>
        <v>#VALUE!</v>
      </c>
      <c r="V426" s="41" t="e">
        <f t="shared" si="100"/>
        <v>#VALUE!</v>
      </c>
    </row>
    <row r="427" spans="2:22" x14ac:dyDescent="0.25">
      <c r="B427" s="41" t="b">
        <f t="shared" si="101"/>
        <v>0</v>
      </c>
      <c r="C427" s="41" t="e">
        <f t="shared" si="88"/>
        <v>#VALUE!</v>
      </c>
      <c r="E427" s="45">
        <v>423</v>
      </c>
      <c r="G427" s="138"/>
      <c r="H427" s="135">
        <v>1</v>
      </c>
      <c r="I427" s="46" t="e">
        <f t="shared" si="89"/>
        <v>#VALUE!</v>
      </c>
      <c r="J427" s="41" t="e">
        <f t="shared" si="95"/>
        <v>#VALUE!</v>
      </c>
      <c r="K427" s="41" t="e">
        <f t="shared" si="96"/>
        <v>#VALUE!</v>
      </c>
      <c r="L427" s="41" t="e">
        <f t="shared" si="96"/>
        <v>#VALUE!</v>
      </c>
      <c r="M427" s="41" t="e">
        <f t="shared" si="90"/>
        <v>#VALUE!</v>
      </c>
      <c r="N427" s="41" t="e">
        <f t="shared" si="91"/>
        <v>#VALUE!</v>
      </c>
      <c r="O427" s="41">
        <f t="shared" si="92"/>
        <v>0</v>
      </c>
      <c r="Q427" s="44" t="e">
        <f t="shared" si="93"/>
        <v>#VALUE!</v>
      </c>
      <c r="R427" s="44" t="e">
        <f t="shared" si="97"/>
        <v>#VALUE!</v>
      </c>
      <c r="S427" s="44" t="e">
        <f t="shared" si="94"/>
        <v>#VALUE!</v>
      </c>
      <c r="T427" s="41" t="e">
        <f t="shared" si="98"/>
        <v>#VALUE!</v>
      </c>
      <c r="U427" s="41" t="e">
        <f t="shared" si="99"/>
        <v>#VALUE!</v>
      </c>
      <c r="V427" s="41" t="e">
        <f t="shared" si="100"/>
        <v>#VALUE!</v>
      </c>
    </row>
    <row r="428" spans="2:22" x14ac:dyDescent="0.25">
      <c r="B428" s="41" t="b">
        <f t="shared" si="101"/>
        <v>0</v>
      </c>
      <c r="C428" s="41" t="e">
        <f t="shared" si="88"/>
        <v>#VALUE!</v>
      </c>
      <c r="E428" s="45">
        <v>424</v>
      </c>
      <c r="G428" s="138"/>
      <c r="H428" s="135">
        <v>1</v>
      </c>
      <c r="I428" s="46" t="e">
        <f t="shared" si="89"/>
        <v>#VALUE!</v>
      </c>
      <c r="J428" s="41" t="e">
        <f t="shared" si="95"/>
        <v>#VALUE!</v>
      </c>
      <c r="K428" s="41" t="e">
        <f t="shared" si="96"/>
        <v>#VALUE!</v>
      </c>
      <c r="L428" s="41" t="e">
        <f t="shared" si="96"/>
        <v>#VALUE!</v>
      </c>
      <c r="M428" s="41" t="e">
        <f t="shared" si="90"/>
        <v>#VALUE!</v>
      </c>
      <c r="N428" s="41" t="e">
        <f t="shared" si="91"/>
        <v>#VALUE!</v>
      </c>
      <c r="O428" s="41">
        <f t="shared" si="92"/>
        <v>0</v>
      </c>
      <c r="Q428" s="44" t="e">
        <f t="shared" si="93"/>
        <v>#VALUE!</v>
      </c>
      <c r="R428" s="44" t="e">
        <f t="shared" si="97"/>
        <v>#VALUE!</v>
      </c>
      <c r="S428" s="44" t="e">
        <f t="shared" si="94"/>
        <v>#VALUE!</v>
      </c>
      <c r="T428" s="41" t="e">
        <f t="shared" si="98"/>
        <v>#VALUE!</v>
      </c>
      <c r="U428" s="41" t="e">
        <f t="shared" si="99"/>
        <v>#VALUE!</v>
      </c>
      <c r="V428" s="41" t="e">
        <f t="shared" si="100"/>
        <v>#VALUE!</v>
      </c>
    </row>
    <row r="429" spans="2:22" x14ac:dyDescent="0.25">
      <c r="B429" s="41" t="b">
        <f t="shared" si="101"/>
        <v>0</v>
      </c>
      <c r="C429" s="41" t="e">
        <f t="shared" si="88"/>
        <v>#VALUE!</v>
      </c>
      <c r="E429" s="45">
        <v>425</v>
      </c>
      <c r="G429" s="138"/>
      <c r="H429" s="135">
        <v>1</v>
      </c>
      <c r="I429" s="46" t="e">
        <f t="shared" si="89"/>
        <v>#VALUE!</v>
      </c>
      <c r="J429" s="41" t="e">
        <f t="shared" si="95"/>
        <v>#VALUE!</v>
      </c>
      <c r="K429" s="41" t="e">
        <f t="shared" si="96"/>
        <v>#VALUE!</v>
      </c>
      <c r="L429" s="41" t="e">
        <f t="shared" si="96"/>
        <v>#VALUE!</v>
      </c>
      <c r="M429" s="41" t="e">
        <f t="shared" si="90"/>
        <v>#VALUE!</v>
      </c>
      <c r="N429" s="41" t="e">
        <f t="shared" si="91"/>
        <v>#VALUE!</v>
      </c>
      <c r="O429" s="41">
        <f t="shared" si="92"/>
        <v>0</v>
      </c>
      <c r="Q429" s="44" t="e">
        <f t="shared" si="93"/>
        <v>#VALUE!</v>
      </c>
      <c r="R429" s="44" t="e">
        <f t="shared" si="97"/>
        <v>#VALUE!</v>
      </c>
      <c r="S429" s="44" t="e">
        <f t="shared" si="94"/>
        <v>#VALUE!</v>
      </c>
      <c r="T429" s="41" t="e">
        <f t="shared" si="98"/>
        <v>#VALUE!</v>
      </c>
      <c r="U429" s="41" t="e">
        <f t="shared" si="99"/>
        <v>#VALUE!</v>
      </c>
      <c r="V429" s="41" t="e">
        <f t="shared" si="100"/>
        <v>#VALUE!</v>
      </c>
    </row>
    <row r="430" spans="2:22" x14ac:dyDescent="0.25">
      <c r="B430" s="41" t="b">
        <f t="shared" si="101"/>
        <v>0</v>
      </c>
      <c r="C430" s="41" t="e">
        <f t="shared" si="88"/>
        <v>#VALUE!</v>
      </c>
      <c r="E430" s="45">
        <v>426</v>
      </c>
      <c r="G430" s="138"/>
      <c r="H430" s="135">
        <v>1</v>
      </c>
      <c r="I430" s="46" t="e">
        <f t="shared" si="89"/>
        <v>#VALUE!</v>
      </c>
      <c r="J430" s="41" t="e">
        <f t="shared" si="95"/>
        <v>#VALUE!</v>
      </c>
      <c r="K430" s="41" t="e">
        <f t="shared" si="96"/>
        <v>#VALUE!</v>
      </c>
      <c r="L430" s="41" t="e">
        <f t="shared" si="96"/>
        <v>#VALUE!</v>
      </c>
      <c r="M430" s="41" t="e">
        <f t="shared" si="90"/>
        <v>#VALUE!</v>
      </c>
      <c r="N430" s="41" t="e">
        <f t="shared" si="91"/>
        <v>#VALUE!</v>
      </c>
      <c r="O430" s="41">
        <f t="shared" si="92"/>
        <v>0</v>
      </c>
      <c r="Q430" s="44" t="e">
        <f t="shared" si="93"/>
        <v>#VALUE!</v>
      </c>
      <c r="R430" s="44" t="e">
        <f t="shared" si="97"/>
        <v>#VALUE!</v>
      </c>
      <c r="S430" s="44" t="e">
        <f t="shared" si="94"/>
        <v>#VALUE!</v>
      </c>
      <c r="T430" s="41" t="e">
        <f t="shared" si="98"/>
        <v>#VALUE!</v>
      </c>
      <c r="U430" s="41" t="e">
        <f t="shared" si="99"/>
        <v>#VALUE!</v>
      </c>
      <c r="V430" s="41" t="e">
        <f t="shared" si="100"/>
        <v>#VALUE!</v>
      </c>
    </row>
    <row r="431" spans="2:22" x14ac:dyDescent="0.25">
      <c r="B431" s="41" t="b">
        <f t="shared" si="101"/>
        <v>0</v>
      </c>
      <c r="C431" s="41" t="e">
        <f t="shared" si="88"/>
        <v>#VALUE!</v>
      </c>
      <c r="E431" s="45">
        <v>427</v>
      </c>
      <c r="G431" s="138"/>
      <c r="H431" s="135">
        <v>1</v>
      </c>
      <c r="I431" s="46" t="e">
        <f t="shared" si="89"/>
        <v>#VALUE!</v>
      </c>
      <c r="J431" s="41" t="e">
        <f t="shared" si="95"/>
        <v>#VALUE!</v>
      </c>
      <c r="K431" s="41" t="e">
        <f t="shared" si="96"/>
        <v>#VALUE!</v>
      </c>
      <c r="L431" s="41" t="e">
        <f t="shared" si="96"/>
        <v>#VALUE!</v>
      </c>
      <c r="M431" s="41" t="e">
        <f t="shared" si="90"/>
        <v>#VALUE!</v>
      </c>
      <c r="N431" s="41" t="e">
        <f t="shared" si="91"/>
        <v>#VALUE!</v>
      </c>
      <c r="O431" s="41">
        <f t="shared" si="92"/>
        <v>0</v>
      </c>
      <c r="Q431" s="44" t="e">
        <f t="shared" si="93"/>
        <v>#VALUE!</v>
      </c>
      <c r="R431" s="44" t="e">
        <f t="shared" si="97"/>
        <v>#VALUE!</v>
      </c>
      <c r="S431" s="44" t="e">
        <f t="shared" si="94"/>
        <v>#VALUE!</v>
      </c>
      <c r="T431" s="41" t="e">
        <f t="shared" si="98"/>
        <v>#VALUE!</v>
      </c>
      <c r="U431" s="41" t="e">
        <f t="shared" si="99"/>
        <v>#VALUE!</v>
      </c>
      <c r="V431" s="41" t="e">
        <f t="shared" si="100"/>
        <v>#VALUE!</v>
      </c>
    </row>
    <row r="432" spans="2:22" x14ac:dyDescent="0.25">
      <c r="B432" s="41" t="b">
        <f t="shared" si="101"/>
        <v>0</v>
      </c>
      <c r="C432" s="41" t="e">
        <f t="shared" si="88"/>
        <v>#VALUE!</v>
      </c>
      <c r="E432" s="45">
        <v>428</v>
      </c>
      <c r="G432" s="138"/>
      <c r="H432" s="135">
        <v>1</v>
      </c>
      <c r="I432" s="46" t="e">
        <f t="shared" si="89"/>
        <v>#VALUE!</v>
      </c>
      <c r="J432" s="41" t="e">
        <f t="shared" si="95"/>
        <v>#VALUE!</v>
      </c>
      <c r="K432" s="41" t="e">
        <f t="shared" si="96"/>
        <v>#VALUE!</v>
      </c>
      <c r="L432" s="41" t="e">
        <f t="shared" si="96"/>
        <v>#VALUE!</v>
      </c>
      <c r="M432" s="41" t="e">
        <f t="shared" si="90"/>
        <v>#VALUE!</v>
      </c>
      <c r="N432" s="41" t="e">
        <f t="shared" si="91"/>
        <v>#VALUE!</v>
      </c>
      <c r="O432" s="41">
        <f t="shared" si="92"/>
        <v>0</v>
      </c>
      <c r="Q432" s="44" t="e">
        <f t="shared" si="93"/>
        <v>#VALUE!</v>
      </c>
      <c r="R432" s="44" t="e">
        <f t="shared" si="97"/>
        <v>#VALUE!</v>
      </c>
      <c r="S432" s="44" t="e">
        <f t="shared" si="94"/>
        <v>#VALUE!</v>
      </c>
      <c r="T432" s="41" t="e">
        <f t="shared" si="98"/>
        <v>#VALUE!</v>
      </c>
      <c r="U432" s="41" t="e">
        <f t="shared" si="99"/>
        <v>#VALUE!</v>
      </c>
      <c r="V432" s="41" t="e">
        <f t="shared" si="100"/>
        <v>#VALUE!</v>
      </c>
    </row>
    <row r="433" spans="2:22" x14ac:dyDescent="0.25">
      <c r="B433" s="41" t="b">
        <f t="shared" si="101"/>
        <v>0</v>
      </c>
      <c r="C433" s="41" t="e">
        <f t="shared" si="88"/>
        <v>#VALUE!</v>
      </c>
      <c r="E433" s="45">
        <v>429</v>
      </c>
      <c r="G433" s="138"/>
      <c r="H433" s="135">
        <v>1</v>
      </c>
      <c r="I433" s="46" t="e">
        <f t="shared" si="89"/>
        <v>#VALUE!</v>
      </c>
      <c r="J433" s="41" t="e">
        <f t="shared" si="95"/>
        <v>#VALUE!</v>
      </c>
      <c r="K433" s="41" t="e">
        <f t="shared" si="96"/>
        <v>#VALUE!</v>
      </c>
      <c r="L433" s="41" t="e">
        <f t="shared" si="96"/>
        <v>#VALUE!</v>
      </c>
      <c r="M433" s="41" t="e">
        <f t="shared" si="90"/>
        <v>#VALUE!</v>
      </c>
      <c r="N433" s="41" t="e">
        <f t="shared" si="91"/>
        <v>#VALUE!</v>
      </c>
      <c r="O433" s="41">
        <f t="shared" si="92"/>
        <v>0</v>
      </c>
      <c r="Q433" s="44" t="e">
        <f t="shared" si="93"/>
        <v>#VALUE!</v>
      </c>
      <c r="R433" s="44" t="e">
        <f t="shared" si="97"/>
        <v>#VALUE!</v>
      </c>
      <c r="S433" s="44" t="e">
        <f t="shared" si="94"/>
        <v>#VALUE!</v>
      </c>
      <c r="T433" s="41" t="e">
        <f t="shared" si="98"/>
        <v>#VALUE!</v>
      </c>
      <c r="U433" s="41" t="e">
        <f t="shared" si="99"/>
        <v>#VALUE!</v>
      </c>
      <c r="V433" s="41" t="e">
        <f t="shared" si="100"/>
        <v>#VALUE!</v>
      </c>
    </row>
    <row r="434" spans="2:22" x14ac:dyDescent="0.25">
      <c r="B434" s="41" t="b">
        <f t="shared" si="101"/>
        <v>0</v>
      </c>
      <c r="C434" s="41" t="e">
        <f t="shared" si="88"/>
        <v>#VALUE!</v>
      </c>
      <c r="E434" s="45">
        <v>430</v>
      </c>
      <c r="G434" s="138"/>
      <c r="H434" s="135">
        <v>1</v>
      </c>
      <c r="I434" s="46" t="e">
        <f t="shared" si="89"/>
        <v>#VALUE!</v>
      </c>
      <c r="J434" s="41" t="e">
        <f t="shared" si="95"/>
        <v>#VALUE!</v>
      </c>
      <c r="K434" s="41" t="e">
        <f t="shared" si="96"/>
        <v>#VALUE!</v>
      </c>
      <c r="L434" s="41" t="e">
        <f t="shared" si="96"/>
        <v>#VALUE!</v>
      </c>
      <c r="M434" s="41" t="e">
        <f t="shared" si="90"/>
        <v>#VALUE!</v>
      </c>
      <c r="N434" s="41" t="e">
        <f t="shared" si="91"/>
        <v>#VALUE!</v>
      </c>
      <c r="O434" s="41">
        <f t="shared" si="92"/>
        <v>0</v>
      </c>
      <c r="Q434" s="44" t="e">
        <f t="shared" si="93"/>
        <v>#VALUE!</v>
      </c>
      <c r="R434" s="44" t="e">
        <f t="shared" si="97"/>
        <v>#VALUE!</v>
      </c>
      <c r="S434" s="44" t="e">
        <f t="shared" si="94"/>
        <v>#VALUE!</v>
      </c>
      <c r="T434" s="41" t="e">
        <f t="shared" si="98"/>
        <v>#VALUE!</v>
      </c>
      <c r="U434" s="41" t="e">
        <f t="shared" si="99"/>
        <v>#VALUE!</v>
      </c>
      <c r="V434" s="41" t="e">
        <f t="shared" si="100"/>
        <v>#VALUE!</v>
      </c>
    </row>
    <row r="435" spans="2:22" x14ac:dyDescent="0.25">
      <c r="B435" s="41" t="b">
        <f t="shared" si="101"/>
        <v>0</v>
      </c>
      <c r="C435" s="41" t="e">
        <f t="shared" si="88"/>
        <v>#VALUE!</v>
      </c>
      <c r="E435" s="45">
        <v>431</v>
      </c>
      <c r="G435" s="138"/>
      <c r="H435" s="135">
        <v>1</v>
      </c>
      <c r="I435" s="46" t="e">
        <f t="shared" si="89"/>
        <v>#VALUE!</v>
      </c>
      <c r="J435" s="41" t="e">
        <f t="shared" si="95"/>
        <v>#VALUE!</v>
      </c>
      <c r="K435" s="41" t="e">
        <f t="shared" si="96"/>
        <v>#VALUE!</v>
      </c>
      <c r="L435" s="41" t="e">
        <f t="shared" si="96"/>
        <v>#VALUE!</v>
      </c>
      <c r="M435" s="41" t="e">
        <f t="shared" si="90"/>
        <v>#VALUE!</v>
      </c>
      <c r="N435" s="41" t="e">
        <f t="shared" si="91"/>
        <v>#VALUE!</v>
      </c>
      <c r="O435" s="41">
        <f t="shared" si="92"/>
        <v>0</v>
      </c>
      <c r="Q435" s="44" t="e">
        <f t="shared" si="93"/>
        <v>#VALUE!</v>
      </c>
      <c r="R435" s="44" t="e">
        <f t="shared" si="97"/>
        <v>#VALUE!</v>
      </c>
      <c r="S435" s="44" t="e">
        <f t="shared" si="94"/>
        <v>#VALUE!</v>
      </c>
      <c r="T435" s="41" t="e">
        <f t="shared" si="98"/>
        <v>#VALUE!</v>
      </c>
      <c r="U435" s="41" t="e">
        <f t="shared" si="99"/>
        <v>#VALUE!</v>
      </c>
      <c r="V435" s="41" t="e">
        <f t="shared" si="100"/>
        <v>#VALUE!</v>
      </c>
    </row>
    <row r="436" spans="2:22" x14ac:dyDescent="0.25">
      <c r="B436" s="41" t="b">
        <f t="shared" si="101"/>
        <v>0</v>
      </c>
      <c r="C436" s="41" t="e">
        <f t="shared" si="88"/>
        <v>#VALUE!</v>
      </c>
      <c r="E436" s="45">
        <v>432</v>
      </c>
      <c r="G436" s="138"/>
      <c r="H436" s="135">
        <v>1</v>
      </c>
      <c r="I436" s="46" t="e">
        <f t="shared" si="89"/>
        <v>#VALUE!</v>
      </c>
      <c r="J436" s="41" t="e">
        <f t="shared" si="95"/>
        <v>#VALUE!</v>
      </c>
      <c r="K436" s="41" t="e">
        <f t="shared" si="96"/>
        <v>#VALUE!</v>
      </c>
      <c r="L436" s="41" t="e">
        <f t="shared" si="96"/>
        <v>#VALUE!</v>
      </c>
      <c r="M436" s="41" t="e">
        <f t="shared" si="90"/>
        <v>#VALUE!</v>
      </c>
      <c r="N436" s="41" t="e">
        <f t="shared" si="91"/>
        <v>#VALUE!</v>
      </c>
      <c r="O436" s="41">
        <f t="shared" si="92"/>
        <v>0</v>
      </c>
      <c r="Q436" s="44" t="e">
        <f t="shared" si="93"/>
        <v>#VALUE!</v>
      </c>
      <c r="R436" s="44" t="e">
        <f t="shared" si="97"/>
        <v>#VALUE!</v>
      </c>
      <c r="S436" s="44" t="e">
        <f t="shared" si="94"/>
        <v>#VALUE!</v>
      </c>
      <c r="T436" s="41" t="e">
        <f t="shared" si="98"/>
        <v>#VALUE!</v>
      </c>
      <c r="U436" s="41" t="e">
        <f t="shared" si="99"/>
        <v>#VALUE!</v>
      </c>
      <c r="V436" s="41" t="e">
        <f t="shared" si="100"/>
        <v>#VALUE!</v>
      </c>
    </row>
    <row r="437" spans="2:22" x14ac:dyDescent="0.25">
      <c r="B437" s="41" t="b">
        <f t="shared" si="101"/>
        <v>0</v>
      </c>
      <c r="C437" s="41" t="e">
        <f t="shared" si="88"/>
        <v>#VALUE!</v>
      </c>
      <c r="E437" s="45">
        <v>433</v>
      </c>
      <c r="G437" s="138"/>
      <c r="H437" s="135">
        <v>1</v>
      </c>
      <c r="I437" s="46" t="e">
        <f t="shared" si="89"/>
        <v>#VALUE!</v>
      </c>
      <c r="J437" s="41" t="e">
        <f t="shared" si="95"/>
        <v>#VALUE!</v>
      </c>
      <c r="K437" s="41" t="e">
        <f t="shared" si="96"/>
        <v>#VALUE!</v>
      </c>
      <c r="L437" s="41" t="e">
        <f t="shared" si="96"/>
        <v>#VALUE!</v>
      </c>
      <c r="M437" s="41" t="e">
        <f t="shared" si="90"/>
        <v>#VALUE!</v>
      </c>
      <c r="N437" s="41" t="e">
        <f t="shared" si="91"/>
        <v>#VALUE!</v>
      </c>
      <c r="O437" s="41">
        <f t="shared" si="92"/>
        <v>0</v>
      </c>
      <c r="Q437" s="44" t="e">
        <f t="shared" si="93"/>
        <v>#VALUE!</v>
      </c>
      <c r="R437" s="44" t="e">
        <f t="shared" si="97"/>
        <v>#VALUE!</v>
      </c>
      <c r="S437" s="44" t="e">
        <f t="shared" si="94"/>
        <v>#VALUE!</v>
      </c>
      <c r="T437" s="41" t="e">
        <f t="shared" si="98"/>
        <v>#VALUE!</v>
      </c>
      <c r="U437" s="41" t="e">
        <f t="shared" si="99"/>
        <v>#VALUE!</v>
      </c>
      <c r="V437" s="41" t="e">
        <f t="shared" si="100"/>
        <v>#VALUE!</v>
      </c>
    </row>
    <row r="438" spans="2:22" x14ac:dyDescent="0.25">
      <c r="B438" s="41" t="b">
        <f t="shared" si="101"/>
        <v>0</v>
      </c>
      <c r="C438" s="41" t="e">
        <f t="shared" ref="C438:C501" si="102">SUM(T438:V438)</f>
        <v>#VALUE!</v>
      </c>
      <c r="E438" s="45">
        <v>434</v>
      </c>
      <c r="G438" s="138"/>
      <c r="H438" s="135">
        <v>1</v>
      </c>
      <c r="I438" s="46" t="e">
        <f t="shared" si="89"/>
        <v>#VALUE!</v>
      </c>
      <c r="J438" s="41" t="e">
        <f t="shared" si="95"/>
        <v>#VALUE!</v>
      </c>
      <c r="K438" s="41" t="e">
        <f t="shared" si="96"/>
        <v>#VALUE!</v>
      </c>
      <c r="L438" s="41" t="e">
        <f t="shared" si="96"/>
        <v>#VALUE!</v>
      </c>
      <c r="M438" s="41" t="e">
        <f t="shared" si="90"/>
        <v>#VALUE!</v>
      </c>
      <c r="N438" s="41" t="e">
        <f t="shared" si="91"/>
        <v>#VALUE!</v>
      </c>
      <c r="O438" s="41">
        <f t="shared" si="92"/>
        <v>0</v>
      </c>
      <c r="Q438" s="44" t="e">
        <f t="shared" si="93"/>
        <v>#VALUE!</v>
      </c>
      <c r="R438" s="44" t="e">
        <f t="shared" si="97"/>
        <v>#VALUE!</v>
      </c>
      <c r="S438" s="44" t="e">
        <f t="shared" si="94"/>
        <v>#VALUE!</v>
      </c>
      <c r="T438" s="41" t="e">
        <f t="shared" si="98"/>
        <v>#VALUE!</v>
      </c>
      <c r="U438" s="41" t="e">
        <f t="shared" si="99"/>
        <v>#VALUE!</v>
      </c>
      <c r="V438" s="41" t="e">
        <f t="shared" si="100"/>
        <v>#VALUE!</v>
      </c>
    </row>
    <row r="439" spans="2:22" x14ac:dyDescent="0.25">
      <c r="B439" s="41" t="b">
        <f t="shared" si="101"/>
        <v>0</v>
      </c>
      <c r="C439" s="41" t="e">
        <f t="shared" si="102"/>
        <v>#VALUE!</v>
      </c>
      <c r="E439" s="45">
        <v>435</v>
      </c>
      <c r="G439" s="138"/>
      <c r="H439" s="135">
        <v>1</v>
      </c>
      <c r="I439" s="46" t="e">
        <f t="shared" si="89"/>
        <v>#VALUE!</v>
      </c>
      <c r="J439" s="41" t="e">
        <f t="shared" si="95"/>
        <v>#VALUE!</v>
      </c>
      <c r="K439" s="41" t="e">
        <f t="shared" si="96"/>
        <v>#VALUE!</v>
      </c>
      <c r="L439" s="41" t="e">
        <f t="shared" si="96"/>
        <v>#VALUE!</v>
      </c>
      <c r="M439" s="41" t="e">
        <f t="shared" si="90"/>
        <v>#VALUE!</v>
      </c>
      <c r="N439" s="41" t="e">
        <f t="shared" si="91"/>
        <v>#VALUE!</v>
      </c>
      <c r="O439" s="41">
        <f t="shared" si="92"/>
        <v>0</v>
      </c>
      <c r="Q439" s="44" t="e">
        <f t="shared" si="93"/>
        <v>#VALUE!</v>
      </c>
      <c r="R439" s="44" t="e">
        <f t="shared" si="97"/>
        <v>#VALUE!</v>
      </c>
      <c r="S439" s="44" t="e">
        <f t="shared" si="94"/>
        <v>#VALUE!</v>
      </c>
      <c r="T439" s="41" t="e">
        <f t="shared" si="98"/>
        <v>#VALUE!</v>
      </c>
      <c r="U439" s="41" t="e">
        <f t="shared" si="99"/>
        <v>#VALUE!</v>
      </c>
      <c r="V439" s="41" t="e">
        <f t="shared" si="100"/>
        <v>#VALUE!</v>
      </c>
    </row>
    <row r="440" spans="2:22" x14ac:dyDescent="0.25">
      <c r="B440" s="41" t="b">
        <f t="shared" si="101"/>
        <v>0</v>
      </c>
      <c r="C440" s="41" t="e">
        <f t="shared" si="102"/>
        <v>#VALUE!</v>
      </c>
      <c r="E440" s="45">
        <v>436</v>
      </c>
      <c r="G440" s="138"/>
      <c r="H440" s="135">
        <v>1</v>
      </c>
      <c r="I440" s="46" t="e">
        <f t="shared" si="89"/>
        <v>#VALUE!</v>
      </c>
      <c r="J440" s="41" t="e">
        <f t="shared" si="95"/>
        <v>#VALUE!</v>
      </c>
      <c r="K440" s="41" t="e">
        <f t="shared" si="96"/>
        <v>#VALUE!</v>
      </c>
      <c r="L440" s="41" t="e">
        <f t="shared" si="96"/>
        <v>#VALUE!</v>
      </c>
      <c r="M440" s="41" t="e">
        <f t="shared" si="90"/>
        <v>#VALUE!</v>
      </c>
      <c r="N440" s="41" t="e">
        <f t="shared" si="91"/>
        <v>#VALUE!</v>
      </c>
      <c r="O440" s="41">
        <f t="shared" si="92"/>
        <v>0</v>
      </c>
      <c r="Q440" s="44" t="e">
        <f t="shared" si="93"/>
        <v>#VALUE!</v>
      </c>
      <c r="R440" s="44" t="e">
        <f t="shared" si="97"/>
        <v>#VALUE!</v>
      </c>
      <c r="S440" s="44" t="e">
        <f t="shared" si="94"/>
        <v>#VALUE!</v>
      </c>
      <c r="T440" s="41" t="e">
        <f t="shared" si="98"/>
        <v>#VALUE!</v>
      </c>
      <c r="U440" s="41" t="e">
        <f t="shared" si="99"/>
        <v>#VALUE!</v>
      </c>
      <c r="V440" s="41" t="e">
        <f t="shared" si="100"/>
        <v>#VALUE!</v>
      </c>
    </row>
    <row r="441" spans="2:22" x14ac:dyDescent="0.25">
      <c r="B441" s="41" t="b">
        <f t="shared" si="101"/>
        <v>0</v>
      </c>
      <c r="C441" s="41" t="e">
        <f t="shared" si="102"/>
        <v>#VALUE!</v>
      </c>
      <c r="E441" s="45">
        <v>437</v>
      </c>
      <c r="G441" s="138"/>
      <c r="H441" s="135">
        <v>1</v>
      </c>
      <c r="I441" s="46" t="e">
        <f t="shared" si="89"/>
        <v>#VALUE!</v>
      </c>
      <c r="J441" s="41" t="e">
        <f t="shared" si="95"/>
        <v>#VALUE!</v>
      </c>
      <c r="K441" s="41" t="e">
        <f t="shared" si="96"/>
        <v>#VALUE!</v>
      </c>
      <c r="L441" s="41" t="e">
        <f t="shared" si="96"/>
        <v>#VALUE!</v>
      </c>
      <c r="M441" s="41" t="e">
        <f t="shared" si="90"/>
        <v>#VALUE!</v>
      </c>
      <c r="N441" s="41" t="e">
        <f t="shared" si="91"/>
        <v>#VALUE!</v>
      </c>
      <c r="O441" s="41">
        <f t="shared" si="92"/>
        <v>0</v>
      </c>
      <c r="Q441" s="44" t="e">
        <f t="shared" si="93"/>
        <v>#VALUE!</v>
      </c>
      <c r="R441" s="44" t="e">
        <f t="shared" si="97"/>
        <v>#VALUE!</v>
      </c>
      <c r="S441" s="44" t="e">
        <f t="shared" si="94"/>
        <v>#VALUE!</v>
      </c>
      <c r="T441" s="41" t="e">
        <f t="shared" si="98"/>
        <v>#VALUE!</v>
      </c>
      <c r="U441" s="41" t="e">
        <f t="shared" si="99"/>
        <v>#VALUE!</v>
      </c>
      <c r="V441" s="41" t="e">
        <f t="shared" si="100"/>
        <v>#VALUE!</v>
      </c>
    </row>
    <row r="442" spans="2:22" x14ac:dyDescent="0.25">
      <c r="B442" s="41" t="b">
        <f t="shared" si="101"/>
        <v>0</v>
      </c>
      <c r="C442" s="41" t="e">
        <f t="shared" si="102"/>
        <v>#VALUE!</v>
      </c>
      <c r="E442" s="45">
        <v>438</v>
      </c>
      <c r="G442" s="138"/>
      <c r="H442" s="135">
        <v>1</v>
      </c>
      <c r="I442" s="46" t="e">
        <f t="shared" si="89"/>
        <v>#VALUE!</v>
      </c>
      <c r="J442" s="41" t="e">
        <f t="shared" si="95"/>
        <v>#VALUE!</v>
      </c>
      <c r="K442" s="41" t="e">
        <f t="shared" si="96"/>
        <v>#VALUE!</v>
      </c>
      <c r="L442" s="41" t="e">
        <f t="shared" si="96"/>
        <v>#VALUE!</v>
      </c>
      <c r="M442" s="41" t="e">
        <f t="shared" si="90"/>
        <v>#VALUE!</v>
      </c>
      <c r="N442" s="41" t="e">
        <f t="shared" si="91"/>
        <v>#VALUE!</v>
      </c>
      <c r="O442" s="41">
        <f t="shared" si="92"/>
        <v>0</v>
      </c>
      <c r="Q442" s="44" t="e">
        <f t="shared" si="93"/>
        <v>#VALUE!</v>
      </c>
      <c r="R442" s="44" t="e">
        <f t="shared" si="97"/>
        <v>#VALUE!</v>
      </c>
      <c r="S442" s="44" t="e">
        <f t="shared" si="94"/>
        <v>#VALUE!</v>
      </c>
      <c r="T442" s="41" t="e">
        <f t="shared" si="98"/>
        <v>#VALUE!</v>
      </c>
      <c r="U442" s="41" t="e">
        <f t="shared" si="99"/>
        <v>#VALUE!</v>
      </c>
      <c r="V442" s="41" t="e">
        <f t="shared" si="100"/>
        <v>#VALUE!</v>
      </c>
    </row>
    <row r="443" spans="2:22" x14ac:dyDescent="0.25">
      <c r="B443" s="41" t="b">
        <f t="shared" si="101"/>
        <v>0</v>
      </c>
      <c r="C443" s="41" t="e">
        <f t="shared" si="102"/>
        <v>#VALUE!</v>
      </c>
      <c r="E443" s="45">
        <v>439</v>
      </c>
      <c r="G443" s="138"/>
      <c r="H443" s="135">
        <v>1</v>
      </c>
      <c r="I443" s="46" t="e">
        <f t="shared" si="89"/>
        <v>#VALUE!</v>
      </c>
      <c r="J443" s="41" t="e">
        <f t="shared" si="95"/>
        <v>#VALUE!</v>
      </c>
      <c r="K443" s="41" t="e">
        <f t="shared" si="96"/>
        <v>#VALUE!</v>
      </c>
      <c r="L443" s="41" t="e">
        <f t="shared" si="96"/>
        <v>#VALUE!</v>
      </c>
      <c r="M443" s="41" t="e">
        <f t="shared" si="90"/>
        <v>#VALUE!</v>
      </c>
      <c r="N443" s="41" t="e">
        <f t="shared" si="91"/>
        <v>#VALUE!</v>
      </c>
      <c r="O443" s="41">
        <f t="shared" si="92"/>
        <v>0</v>
      </c>
      <c r="Q443" s="44" t="e">
        <f t="shared" si="93"/>
        <v>#VALUE!</v>
      </c>
      <c r="R443" s="44" t="e">
        <f t="shared" si="97"/>
        <v>#VALUE!</v>
      </c>
      <c r="S443" s="44" t="e">
        <f t="shared" si="94"/>
        <v>#VALUE!</v>
      </c>
      <c r="T443" s="41" t="e">
        <f t="shared" si="98"/>
        <v>#VALUE!</v>
      </c>
      <c r="U443" s="41" t="e">
        <f t="shared" si="99"/>
        <v>#VALUE!</v>
      </c>
      <c r="V443" s="41" t="e">
        <f t="shared" si="100"/>
        <v>#VALUE!</v>
      </c>
    </row>
    <row r="444" spans="2:22" x14ac:dyDescent="0.25">
      <c r="B444" s="41" t="b">
        <f t="shared" si="101"/>
        <v>0</v>
      </c>
      <c r="C444" s="41" t="e">
        <f t="shared" si="102"/>
        <v>#VALUE!</v>
      </c>
      <c r="E444" s="45">
        <v>440</v>
      </c>
      <c r="G444" s="138"/>
      <c r="H444" s="135">
        <v>1</v>
      </c>
      <c r="I444" s="46" t="e">
        <f t="shared" si="89"/>
        <v>#VALUE!</v>
      </c>
      <c r="J444" s="41" t="e">
        <f t="shared" si="95"/>
        <v>#VALUE!</v>
      </c>
      <c r="K444" s="41" t="e">
        <f t="shared" si="96"/>
        <v>#VALUE!</v>
      </c>
      <c r="L444" s="41" t="e">
        <f t="shared" si="96"/>
        <v>#VALUE!</v>
      </c>
      <c r="M444" s="41" t="e">
        <f t="shared" si="90"/>
        <v>#VALUE!</v>
      </c>
      <c r="N444" s="41" t="e">
        <f t="shared" si="91"/>
        <v>#VALUE!</v>
      </c>
      <c r="O444" s="41">
        <f t="shared" si="92"/>
        <v>0</v>
      </c>
      <c r="Q444" s="44" t="e">
        <f t="shared" si="93"/>
        <v>#VALUE!</v>
      </c>
      <c r="R444" s="44" t="e">
        <f t="shared" si="97"/>
        <v>#VALUE!</v>
      </c>
      <c r="S444" s="44" t="e">
        <f t="shared" si="94"/>
        <v>#VALUE!</v>
      </c>
      <c r="T444" s="41" t="e">
        <f t="shared" si="98"/>
        <v>#VALUE!</v>
      </c>
      <c r="U444" s="41" t="e">
        <f t="shared" si="99"/>
        <v>#VALUE!</v>
      </c>
      <c r="V444" s="41" t="e">
        <f t="shared" si="100"/>
        <v>#VALUE!</v>
      </c>
    </row>
    <row r="445" spans="2:22" x14ac:dyDescent="0.25">
      <c r="B445" s="41" t="b">
        <f t="shared" si="101"/>
        <v>0</v>
      </c>
      <c r="C445" s="41" t="e">
        <f t="shared" si="102"/>
        <v>#VALUE!</v>
      </c>
      <c r="E445" s="45">
        <v>441</v>
      </c>
      <c r="G445" s="138"/>
      <c r="H445" s="135">
        <v>1</v>
      </c>
      <c r="I445" s="46" t="e">
        <f t="shared" si="89"/>
        <v>#VALUE!</v>
      </c>
      <c r="J445" s="41" t="e">
        <f t="shared" si="95"/>
        <v>#VALUE!</v>
      </c>
      <c r="K445" s="41" t="e">
        <f t="shared" si="96"/>
        <v>#VALUE!</v>
      </c>
      <c r="L445" s="41" t="e">
        <f t="shared" si="96"/>
        <v>#VALUE!</v>
      </c>
      <c r="M445" s="41" t="e">
        <f t="shared" si="90"/>
        <v>#VALUE!</v>
      </c>
      <c r="N445" s="41" t="e">
        <f t="shared" si="91"/>
        <v>#VALUE!</v>
      </c>
      <c r="O445" s="41">
        <f t="shared" si="92"/>
        <v>0</v>
      </c>
      <c r="Q445" s="44" t="e">
        <f t="shared" si="93"/>
        <v>#VALUE!</v>
      </c>
      <c r="R445" s="44" t="e">
        <f t="shared" si="97"/>
        <v>#VALUE!</v>
      </c>
      <c r="S445" s="44" t="e">
        <f t="shared" si="94"/>
        <v>#VALUE!</v>
      </c>
      <c r="T445" s="41" t="e">
        <f t="shared" si="98"/>
        <v>#VALUE!</v>
      </c>
      <c r="U445" s="41" t="e">
        <f t="shared" si="99"/>
        <v>#VALUE!</v>
      </c>
      <c r="V445" s="41" t="e">
        <f t="shared" si="100"/>
        <v>#VALUE!</v>
      </c>
    </row>
    <row r="446" spans="2:22" x14ac:dyDescent="0.25">
      <c r="B446" s="41" t="b">
        <f t="shared" si="101"/>
        <v>0</v>
      </c>
      <c r="C446" s="41" t="e">
        <f t="shared" si="102"/>
        <v>#VALUE!</v>
      </c>
      <c r="E446" s="45">
        <v>442</v>
      </c>
      <c r="G446" s="138"/>
      <c r="H446" s="135">
        <v>1</v>
      </c>
      <c r="I446" s="46" t="e">
        <f t="shared" si="89"/>
        <v>#VALUE!</v>
      </c>
      <c r="J446" s="41" t="e">
        <f t="shared" si="95"/>
        <v>#VALUE!</v>
      </c>
      <c r="K446" s="41" t="e">
        <f t="shared" si="96"/>
        <v>#VALUE!</v>
      </c>
      <c r="L446" s="41" t="e">
        <f t="shared" si="96"/>
        <v>#VALUE!</v>
      </c>
      <c r="M446" s="41" t="e">
        <f t="shared" si="90"/>
        <v>#VALUE!</v>
      </c>
      <c r="N446" s="41" t="e">
        <f t="shared" si="91"/>
        <v>#VALUE!</v>
      </c>
      <c r="O446" s="41">
        <f t="shared" si="92"/>
        <v>0</v>
      </c>
      <c r="Q446" s="44" t="e">
        <f t="shared" si="93"/>
        <v>#VALUE!</v>
      </c>
      <c r="R446" s="44" t="e">
        <f t="shared" si="97"/>
        <v>#VALUE!</v>
      </c>
      <c r="S446" s="44" t="e">
        <f t="shared" si="94"/>
        <v>#VALUE!</v>
      </c>
      <c r="T446" s="41" t="e">
        <f t="shared" si="98"/>
        <v>#VALUE!</v>
      </c>
      <c r="U446" s="41" t="e">
        <f t="shared" si="99"/>
        <v>#VALUE!</v>
      </c>
      <c r="V446" s="41" t="e">
        <f t="shared" si="100"/>
        <v>#VALUE!</v>
      </c>
    </row>
    <row r="447" spans="2:22" x14ac:dyDescent="0.25">
      <c r="B447" s="41" t="b">
        <f t="shared" si="101"/>
        <v>0</v>
      </c>
      <c r="C447" s="41" t="e">
        <f t="shared" si="102"/>
        <v>#VALUE!</v>
      </c>
      <c r="E447" s="45">
        <v>443</v>
      </c>
      <c r="G447" s="138"/>
      <c r="H447" s="135">
        <v>1</v>
      </c>
      <c r="I447" s="46" t="e">
        <f t="shared" si="89"/>
        <v>#VALUE!</v>
      </c>
      <c r="J447" s="41" t="e">
        <f t="shared" si="95"/>
        <v>#VALUE!</v>
      </c>
      <c r="K447" s="41" t="e">
        <f t="shared" si="96"/>
        <v>#VALUE!</v>
      </c>
      <c r="L447" s="41" t="e">
        <f t="shared" si="96"/>
        <v>#VALUE!</v>
      </c>
      <c r="M447" s="41" t="e">
        <f t="shared" si="90"/>
        <v>#VALUE!</v>
      </c>
      <c r="N447" s="41" t="e">
        <f t="shared" si="91"/>
        <v>#VALUE!</v>
      </c>
      <c r="O447" s="41">
        <f t="shared" si="92"/>
        <v>0</v>
      </c>
      <c r="Q447" s="44" t="e">
        <f t="shared" si="93"/>
        <v>#VALUE!</v>
      </c>
      <c r="R447" s="44" t="e">
        <f t="shared" si="97"/>
        <v>#VALUE!</v>
      </c>
      <c r="S447" s="44" t="e">
        <f t="shared" si="94"/>
        <v>#VALUE!</v>
      </c>
      <c r="T447" s="41" t="e">
        <f t="shared" si="98"/>
        <v>#VALUE!</v>
      </c>
      <c r="U447" s="41" t="e">
        <f t="shared" si="99"/>
        <v>#VALUE!</v>
      </c>
      <c r="V447" s="41" t="e">
        <f t="shared" si="100"/>
        <v>#VALUE!</v>
      </c>
    </row>
    <row r="448" spans="2:22" x14ac:dyDescent="0.25">
      <c r="B448" s="41" t="b">
        <f t="shared" si="101"/>
        <v>0</v>
      </c>
      <c r="C448" s="41" t="e">
        <f t="shared" si="102"/>
        <v>#VALUE!</v>
      </c>
      <c r="E448" s="45">
        <v>444</v>
      </c>
      <c r="G448" s="138"/>
      <c r="H448" s="135">
        <v>1</v>
      </c>
      <c r="I448" s="46" t="e">
        <f t="shared" si="89"/>
        <v>#VALUE!</v>
      </c>
      <c r="J448" s="41" t="e">
        <f t="shared" si="95"/>
        <v>#VALUE!</v>
      </c>
      <c r="K448" s="41" t="e">
        <f t="shared" si="96"/>
        <v>#VALUE!</v>
      </c>
      <c r="L448" s="41" t="e">
        <f t="shared" si="96"/>
        <v>#VALUE!</v>
      </c>
      <c r="M448" s="41" t="e">
        <f t="shared" si="90"/>
        <v>#VALUE!</v>
      </c>
      <c r="N448" s="41" t="e">
        <f t="shared" si="91"/>
        <v>#VALUE!</v>
      </c>
      <c r="O448" s="41">
        <f t="shared" si="92"/>
        <v>0</v>
      </c>
      <c r="Q448" s="44" t="e">
        <f t="shared" si="93"/>
        <v>#VALUE!</v>
      </c>
      <c r="R448" s="44" t="e">
        <f t="shared" si="97"/>
        <v>#VALUE!</v>
      </c>
      <c r="S448" s="44" t="e">
        <f t="shared" si="94"/>
        <v>#VALUE!</v>
      </c>
      <c r="T448" s="41" t="e">
        <f t="shared" si="98"/>
        <v>#VALUE!</v>
      </c>
      <c r="U448" s="41" t="e">
        <f t="shared" si="99"/>
        <v>#VALUE!</v>
      </c>
      <c r="V448" s="41" t="e">
        <f t="shared" si="100"/>
        <v>#VALUE!</v>
      </c>
    </row>
    <row r="449" spans="2:22" x14ac:dyDescent="0.25">
      <c r="B449" s="41" t="b">
        <f t="shared" si="101"/>
        <v>0</v>
      </c>
      <c r="C449" s="41" t="e">
        <f t="shared" si="102"/>
        <v>#VALUE!</v>
      </c>
      <c r="E449" s="45">
        <v>445</v>
      </c>
      <c r="G449" s="138"/>
      <c r="H449" s="135">
        <v>1</v>
      </c>
      <c r="I449" s="46" t="e">
        <f t="shared" si="89"/>
        <v>#VALUE!</v>
      </c>
      <c r="J449" s="41" t="e">
        <f t="shared" si="95"/>
        <v>#VALUE!</v>
      </c>
      <c r="K449" s="41" t="e">
        <f t="shared" si="96"/>
        <v>#VALUE!</v>
      </c>
      <c r="L449" s="41" t="e">
        <f t="shared" si="96"/>
        <v>#VALUE!</v>
      </c>
      <c r="M449" s="41" t="e">
        <f t="shared" si="90"/>
        <v>#VALUE!</v>
      </c>
      <c r="N449" s="41" t="e">
        <f t="shared" si="91"/>
        <v>#VALUE!</v>
      </c>
      <c r="O449" s="41">
        <f t="shared" si="92"/>
        <v>0</v>
      </c>
      <c r="Q449" s="44" t="e">
        <f t="shared" si="93"/>
        <v>#VALUE!</v>
      </c>
      <c r="R449" s="44" t="e">
        <f t="shared" si="97"/>
        <v>#VALUE!</v>
      </c>
      <c r="S449" s="44" t="e">
        <f t="shared" si="94"/>
        <v>#VALUE!</v>
      </c>
      <c r="T449" s="41" t="e">
        <f t="shared" si="98"/>
        <v>#VALUE!</v>
      </c>
      <c r="U449" s="41" t="e">
        <f t="shared" si="99"/>
        <v>#VALUE!</v>
      </c>
      <c r="V449" s="41" t="e">
        <f t="shared" si="100"/>
        <v>#VALUE!</v>
      </c>
    </row>
    <row r="450" spans="2:22" x14ac:dyDescent="0.25">
      <c r="B450" s="41" t="b">
        <f t="shared" si="101"/>
        <v>0</v>
      </c>
      <c r="C450" s="41" t="e">
        <f t="shared" si="102"/>
        <v>#VALUE!</v>
      </c>
      <c r="E450" s="45">
        <v>446</v>
      </c>
      <c r="G450" s="138"/>
      <c r="H450" s="135">
        <v>1</v>
      </c>
      <c r="I450" s="46" t="e">
        <f t="shared" si="89"/>
        <v>#VALUE!</v>
      </c>
      <c r="J450" s="41" t="e">
        <f t="shared" si="95"/>
        <v>#VALUE!</v>
      </c>
      <c r="K450" s="41" t="e">
        <f t="shared" si="96"/>
        <v>#VALUE!</v>
      </c>
      <c r="L450" s="41" t="e">
        <f t="shared" si="96"/>
        <v>#VALUE!</v>
      </c>
      <c r="M450" s="41" t="e">
        <f t="shared" si="90"/>
        <v>#VALUE!</v>
      </c>
      <c r="N450" s="41" t="e">
        <f t="shared" si="91"/>
        <v>#VALUE!</v>
      </c>
      <c r="O450" s="41">
        <f t="shared" si="92"/>
        <v>0</v>
      </c>
      <c r="Q450" s="44" t="e">
        <f t="shared" si="93"/>
        <v>#VALUE!</v>
      </c>
      <c r="R450" s="44" t="e">
        <f t="shared" si="97"/>
        <v>#VALUE!</v>
      </c>
      <c r="S450" s="44" t="e">
        <f t="shared" si="94"/>
        <v>#VALUE!</v>
      </c>
      <c r="T450" s="41" t="e">
        <f t="shared" si="98"/>
        <v>#VALUE!</v>
      </c>
      <c r="U450" s="41" t="e">
        <f t="shared" si="99"/>
        <v>#VALUE!</v>
      </c>
      <c r="V450" s="41" t="e">
        <f t="shared" si="100"/>
        <v>#VALUE!</v>
      </c>
    </row>
    <row r="451" spans="2:22" x14ac:dyDescent="0.25">
      <c r="B451" s="41" t="b">
        <f t="shared" si="101"/>
        <v>0</v>
      </c>
      <c r="C451" s="41" t="e">
        <f t="shared" si="102"/>
        <v>#VALUE!</v>
      </c>
      <c r="E451" s="45">
        <v>447</v>
      </c>
      <c r="G451" s="138"/>
      <c r="H451" s="135">
        <v>1</v>
      </c>
      <c r="I451" s="46" t="e">
        <f t="shared" si="89"/>
        <v>#VALUE!</v>
      </c>
      <c r="J451" s="41" t="e">
        <f t="shared" si="95"/>
        <v>#VALUE!</v>
      </c>
      <c r="K451" s="41" t="e">
        <f t="shared" si="96"/>
        <v>#VALUE!</v>
      </c>
      <c r="L451" s="41" t="e">
        <f t="shared" si="96"/>
        <v>#VALUE!</v>
      </c>
      <c r="M451" s="41" t="e">
        <f t="shared" si="90"/>
        <v>#VALUE!</v>
      </c>
      <c r="N451" s="41" t="e">
        <f t="shared" si="91"/>
        <v>#VALUE!</v>
      </c>
      <c r="O451" s="41">
        <f t="shared" si="92"/>
        <v>0</v>
      </c>
      <c r="Q451" s="44" t="e">
        <f t="shared" si="93"/>
        <v>#VALUE!</v>
      </c>
      <c r="R451" s="44" t="e">
        <f t="shared" si="97"/>
        <v>#VALUE!</v>
      </c>
      <c r="S451" s="44" t="e">
        <f t="shared" si="94"/>
        <v>#VALUE!</v>
      </c>
      <c r="T451" s="41" t="e">
        <f t="shared" si="98"/>
        <v>#VALUE!</v>
      </c>
      <c r="U451" s="41" t="e">
        <f t="shared" si="99"/>
        <v>#VALUE!</v>
      </c>
      <c r="V451" s="41" t="e">
        <f t="shared" si="100"/>
        <v>#VALUE!</v>
      </c>
    </row>
    <row r="452" spans="2:22" x14ac:dyDescent="0.25">
      <c r="B452" s="41" t="b">
        <f t="shared" si="101"/>
        <v>0</v>
      </c>
      <c r="C452" s="41" t="e">
        <f t="shared" si="102"/>
        <v>#VALUE!</v>
      </c>
      <c r="E452" s="45">
        <v>448</v>
      </c>
      <c r="G452" s="138"/>
      <c r="H452" s="135">
        <v>1</v>
      </c>
      <c r="I452" s="46" t="e">
        <f t="shared" ref="I452:I515" si="103">RIGHT(G452,J452)</f>
        <v>#VALUE!</v>
      </c>
      <c r="J452" s="41" t="e">
        <f t="shared" si="95"/>
        <v>#VALUE!</v>
      </c>
      <c r="K452" s="41" t="e">
        <f t="shared" si="96"/>
        <v>#VALUE!</v>
      </c>
      <c r="L452" s="41" t="e">
        <f t="shared" si="96"/>
        <v>#VALUE!</v>
      </c>
      <c r="M452" s="41" t="e">
        <f t="shared" ref="M452:M515" si="104">SEARCH("-",G452,2)</f>
        <v>#VALUE!</v>
      </c>
      <c r="N452" s="41" t="e">
        <f t="shared" ref="N452:N515" si="105">SEARCH("-",G452,M452+1)</f>
        <v>#VALUE!</v>
      </c>
      <c r="O452" s="41">
        <f t="shared" ref="O452:O515" si="106">LEN(G452)</f>
        <v>0</v>
      </c>
      <c r="Q452" s="44" t="e">
        <f t="shared" ref="Q452:Q515" si="107">LEFT(G452,M452-1)</f>
        <v>#VALUE!</v>
      </c>
      <c r="R452" s="44" t="e">
        <f t="shared" si="97"/>
        <v>#VALUE!</v>
      </c>
      <c r="S452" s="44" t="e">
        <f t="shared" ref="S452:S515" si="108">RIGHT(G452,L452)</f>
        <v>#VALUE!</v>
      </c>
      <c r="T452" s="41" t="e">
        <f t="shared" si="98"/>
        <v>#VALUE!</v>
      </c>
      <c r="U452" s="41" t="e">
        <f t="shared" si="99"/>
        <v>#VALUE!</v>
      </c>
      <c r="V452" s="41" t="e">
        <f t="shared" si="100"/>
        <v>#VALUE!</v>
      </c>
    </row>
    <row r="453" spans="2:22" x14ac:dyDescent="0.25">
      <c r="B453" s="41" t="b">
        <f t="shared" si="101"/>
        <v>0</v>
      </c>
      <c r="C453" s="41" t="e">
        <f t="shared" si="102"/>
        <v>#VALUE!</v>
      </c>
      <c r="E453" s="45">
        <v>449</v>
      </c>
      <c r="G453" s="138"/>
      <c r="H453" s="135">
        <v>1</v>
      </c>
      <c r="I453" s="46" t="e">
        <f t="shared" si="103"/>
        <v>#VALUE!</v>
      </c>
      <c r="J453" s="41" t="e">
        <f t="shared" ref="J453:J516" si="109">O453-M453</f>
        <v>#VALUE!</v>
      </c>
      <c r="K453" s="41" t="e">
        <f t="shared" ref="K453:L516" si="110">N453-M453</f>
        <v>#VALUE!</v>
      </c>
      <c r="L453" s="41" t="e">
        <f t="shared" si="110"/>
        <v>#VALUE!</v>
      </c>
      <c r="M453" s="41" t="e">
        <f t="shared" si="104"/>
        <v>#VALUE!</v>
      </c>
      <c r="N453" s="41" t="e">
        <f t="shared" si="105"/>
        <v>#VALUE!</v>
      </c>
      <c r="O453" s="41">
        <f t="shared" si="106"/>
        <v>0</v>
      </c>
      <c r="Q453" s="44" t="e">
        <f t="shared" si="107"/>
        <v>#VALUE!</v>
      </c>
      <c r="R453" s="44" t="e">
        <f t="shared" ref="R453:R516" si="111">LEFT(I453,K453-1)</f>
        <v>#VALUE!</v>
      </c>
      <c r="S453" s="44" t="e">
        <f t="shared" si="108"/>
        <v>#VALUE!</v>
      </c>
      <c r="T453" s="41" t="e">
        <f t="shared" ref="T453:T516" si="112">Q453*1*H453</f>
        <v>#VALUE!</v>
      </c>
      <c r="U453" s="41" t="e">
        <f t="shared" ref="U453:U516" si="113">R453*1*H453</f>
        <v>#VALUE!</v>
      </c>
      <c r="V453" s="41" t="e">
        <f t="shared" ref="V453:V516" si="114">S453*1*H453</f>
        <v>#VALUE!</v>
      </c>
    </row>
    <row r="454" spans="2:22" x14ac:dyDescent="0.25">
      <c r="B454" s="41" t="b">
        <f t="shared" si="101"/>
        <v>0</v>
      </c>
      <c r="C454" s="41" t="e">
        <f t="shared" si="102"/>
        <v>#VALUE!</v>
      </c>
      <c r="E454" s="45">
        <v>450</v>
      </c>
      <c r="G454" s="138"/>
      <c r="H454" s="135">
        <v>1</v>
      </c>
      <c r="I454" s="46" t="e">
        <f t="shared" si="103"/>
        <v>#VALUE!</v>
      </c>
      <c r="J454" s="41" t="e">
        <f t="shared" si="109"/>
        <v>#VALUE!</v>
      </c>
      <c r="K454" s="41" t="e">
        <f t="shared" si="110"/>
        <v>#VALUE!</v>
      </c>
      <c r="L454" s="41" t="e">
        <f t="shared" si="110"/>
        <v>#VALUE!</v>
      </c>
      <c r="M454" s="41" t="e">
        <f t="shared" si="104"/>
        <v>#VALUE!</v>
      </c>
      <c r="N454" s="41" t="e">
        <f t="shared" si="105"/>
        <v>#VALUE!</v>
      </c>
      <c r="O454" s="41">
        <f t="shared" si="106"/>
        <v>0</v>
      </c>
      <c r="Q454" s="44" t="e">
        <f t="shared" si="107"/>
        <v>#VALUE!</v>
      </c>
      <c r="R454" s="44" t="e">
        <f t="shared" si="111"/>
        <v>#VALUE!</v>
      </c>
      <c r="S454" s="44" t="e">
        <f t="shared" si="108"/>
        <v>#VALUE!</v>
      </c>
      <c r="T454" s="41" t="e">
        <f t="shared" si="112"/>
        <v>#VALUE!</v>
      </c>
      <c r="U454" s="41" t="e">
        <f t="shared" si="113"/>
        <v>#VALUE!</v>
      </c>
      <c r="V454" s="41" t="e">
        <f t="shared" si="114"/>
        <v>#VALUE!</v>
      </c>
    </row>
    <row r="455" spans="2:22" x14ac:dyDescent="0.25">
      <c r="B455" s="41" t="b">
        <f t="shared" si="101"/>
        <v>0</v>
      </c>
      <c r="C455" s="41" t="e">
        <f t="shared" si="102"/>
        <v>#VALUE!</v>
      </c>
      <c r="E455" s="45">
        <v>451</v>
      </c>
      <c r="G455" s="138"/>
      <c r="H455" s="135">
        <v>1</v>
      </c>
      <c r="I455" s="46" t="e">
        <f t="shared" si="103"/>
        <v>#VALUE!</v>
      </c>
      <c r="J455" s="41" t="e">
        <f t="shared" si="109"/>
        <v>#VALUE!</v>
      </c>
      <c r="K455" s="41" t="e">
        <f t="shared" si="110"/>
        <v>#VALUE!</v>
      </c>
      <c r="L455" s="41" t="e">
        <f t="shared" si="110"/>
        <v>#VALUE!</v>
      </c>
      <c r="M455" s="41" t="e">
        <f t="shared" si="104"/>
        <v>#VALUE!</v>
      </c>
      <c r="N455" s="41" t="e">
        <f t="shared" si="105"/>
        <v>#VALUE!</v>
      </c>
      <c r="O455" s="41">
        <f t="shared" si="106"/>
        <v>0</v>
      </c>
      <c r="Q455" s="44" t="e">
        <f t="shared" si="107"/>
        <v>#VALUE!</v>
      </c>
      <c r="R455" s="44" t="e">
        <f t="shared" si="111"/>
        <v>#VALUE!</v>
      </c>
      <c r="S455" s="44" t="e">
        <f t="shared" si="108"/>
        <v>#VALUE!</v>
      </c>
      <c r="T455" s="41" t="e">
        <f t="shared" si="112"/>
        <v>#VALUE!</v>
      </c>
      <c r="U455" s="41" t="e">
        <f t="shared" si="113"/>
        <v>#VALUE!</v>
      </c>
      <c r="V455" s="41" t="e">
        <f t="shared" si="114"/>
        <v>#VALUE!</v>
      </c>
    </row>
    <row r="456" spans="2:22" x14ac:dyDescent="0.25">
      <c r="B456" s="41" t="b">
        <f t="shared" si="101"/>
        <v>0</v>
      </c>
      <c r="C456" s="41" t="e">
        <f t="shared" si="102"/>
        <v>#VALUE!</v>
      </c>
      <c r="E456" s="45">
        <v>452</v>
      </c>
      <c r="G456" s="138"/>
      <c r="H456" s="135">
        <v>1</v>
      </c>
      <c r="I456" s="46" t="e">
        <f t="shared" si="103"/>
        <v>#VALUE!</v>
      </c>
      <c r="J456" s="41" t="e">
        <f t="shared" si="109"/>
        <v>#VALUE!</v>
      </c>
      <c r="K456" s="41" t="e">
        <f t="shared" si="110"/>
        <v>#VALUE!</v>
      </c>
      <c r="L456" s="41" t="e">
        <f t="shared" si="110"/>
        <v>#VALUE!</v>
      </c>
      <c r="M456" s="41" t="e">
        <f t="shared" si="104"/>
        <v>#VALUE!</v>
      </c>
      <c r="N456" s="41" t="e">
        <f t="shared" si="105"/>
        <v>#VALUE!</v>
      </c>
      <c r="O456" s="41">
        <f t="shared" si="106"/>
        <v>0</v>
      </c>
      <c r="Q456" s="44" t="e">
        <f t="shared" si="107"/>
        <v>#VALUE!</v>
      </c>
      <c r="R456" s="44" t="e">
        <f t="shared" si="111"/>
        <v>#VALUE!</v>
      </c>
      <c r="S456" s="44" t="e">
        <f t="shared" si="108"/>
        <v>#VALUE!</v>
      </c>
      <c r="T456" s="41" t="e">
        <f t="shared" si="112"/>
        <v>#VALUE!</v>
      </c>
      <c r="U456" s="41" t="e">
        <f t="shared" si="113"/>
        <v>#VALUE!</v>
      </c>
      <c r="V456" s="41" t="e">
        <f t="shared" si="114"/>
        <v>#VALUE!</v>
      </c>
    </row>
    <row r="457" spans="2:22" x14ac:dyDescent="0.25">
      <c r="B457" s="41" t="b">
        <f t="shared" si="101"/>
        <v>0</v>
      </c>
      <c r="C457" s="41" t="e">
        <f t="shared" si="102"/>
        <v>#VALUE!</v>
      </c>
      <c r="E457" s="45">
        <v>453</v>
      </c>
      <c r="G457" s="138"/>
      <c r="H457" s="135">
        <v>1</v>
      </c>
      <c r="I457" s="46" t="e">
        <f t="shared" si="103"/>
        <v>#VALUE!</v>
      </c>
      <c r="J457" s="41" t="e">
        <f t="shared" si="109"/>
        <v>#VALUE!</v>
      </c>
      <c r="K457" s="41" t="e">
        <f t="shared" si="110"/>
        <v>#VALUE!</v>
      </c>
      <c r="L457" s="41" t="e">
        <f t="shared" si="110"/>
        <v>#VALUE!</v>
      </c>
      <c r="M457" s="41" t="e">
        <f t="shared" si="104"/>
        <v>#VALUE!</v>
      </c>
      <c r="N457" s="41" t="e">
        <f t="shared" si="105"/>
        <v>#VALUE!</v>
      </c>
      <c r="O457" s="41">
        <f t="shared" si="106"/>
        <v>0</v>
      </c>
      <c r="Q457" s="44" t="e">
        <f t="shared" si="107"/>
        <v>#VALUE!</v>
      </c>
      <c r="R457" s="44" t="e">
        <f t="shared" si="111"/>
        <v>#VALUE!</v>
      </c>
      <c r="S457" s="44" t="e">
        <f t="shared" si="108"/>
        <v>#VALUE!</v>
      </c>
      <c r="T457" s="41" t="e">
        <f t="shared" si="112"/>
        <v>#VALUE!</v>
      </c>
      <c r="U457" s="41" t="e">
        <f t="shared" si="113"/>
        <v>#VALUE!</v>
      </c>
      <c r="V457" s="41" t="e">
        <f t="shared" si="114"/>
        <v>#VALUE!</v>
      </c>
    </row>
    <row r="458" spans="2:22" x14ac:dyDescent="0.25">
      <c r="B458" s="41" t="b">
        <f t="shared" si="101"/>
        <v>0</v>
      </c>
      <c r="C458" s="41" t="e">
        <f t="shared" si="102"/>
        <v>#VALUE!</v>
      </c>
      <c r="E458" s="45">
        <v>454</v>
      </c>
      <c r="G458" s="138"/>
      <c r="H458" s="135">
        <v>1</v>
      </c>
      <c r="I458" s="46" t="e">
        <f t="shared" si="103"/>
        <v>#VALUE!</v>
      </c>
      <c r="J458" s="41" t="e">
        <f t="shared" si="109"/>
        <v>#VALUE!</v>
      </c>
      <c r="K458" s="41" t="e">
        <f t="shared" si="110"/>
        <v>#VALUE!</v>
      </c>
      <c r="L458" s="41" t="e">
        <f t="shared" si="110"/>
        <v>#VALUE!</v>
      </c>
      <c r="M458" s="41" t="e">
        <f t="shared" si="104"/>
        <v>#VALUE!</v>
      </c>
      <c r="N458" s="41" t="e">
        <f t="shared" si="105"/>
        <v>#VALUE!</v>
      </c>
      <c r="O458" s="41">
        <f t="shared" si="106"/>
        <v>0</v>
      </c>
      <c r="Q458" s="44" t="e">
        <f t="shared" si="107"/>
        <v>#VALUE!</v>
      </c>
      <c r="R458" s="44" t="e">
        <f t="shared" si="111"/>
        <v>#VALUE!</v>
      </c>
      <c r="S458" s="44" t="e">
        <f t="shared" si="108"/>
        <v>#VALUE!</v>
      </c>
      <c r="T458" s="41" t="e">
        <f t="shared" si="112"/>
        <v>#VALUE!</v>
      </c>
      <c r="U458" s="41" t="e">
        <f t="shared" si="113"/>
        <v>#VALUE!</v>
      </c>
      <c r="V458" s="41" t="e">
        <f t="shared" si="114"/>
        <v>#VALUE!</v>
      </c>
    </row>
    <row r="459" spans="2:22" x14ac:dyDescent="0.25">
      <c r="B459" s="41" t="b">
        <f t="shared" si="101"/>
        <v>0</v>
      </c>
      <c r="C459" s="41" t="e">
        <f t="shared" si="102"/>
        <v>#VALUE!</v>
      </c>
      <c r="E459" s="45">
        <v>455</v>
      </c>
      <c r="G459" s="138"/>
      <c r="H459" s="135">
        <v>1</v>
      </c>
      <c r="I459" s="46" t="e">
        <f t="shared" si="103"/>
        <v>#VALUE!</v>
      </c>
      <c r="J459" s="41" t="e">
        <f t="shared" si="109"/>
        <v>#VALUE!</v>
      </c>
      <c r="K459" s="41" t="e">
        <f t="shared" si="110"/>
        <v>#VALUE!</v>
      </c>
      <c r="L459" s="41" t="e">
        <f t="shared" si="110"/>
        <v>#VALUE!</v>
      </c>
      <c r="M459" s="41" t="e">
        <f t="shared" si="104"/>
        <v>#VALUE!</v>
      </c>
      <c r="N459" s="41" t="e">
        <f t="shared" si="105"/>
        <v>#VALUE!</v>
      </c>
      <c r="O459" s="41">
        <f t="shared" si="106"/>
        <v>0</v>
      </c>
      <c r="Q459" s="44" t="e">
        <f t="shared" si="107"/>
        <v>#VALUE!</v>
      </c>
      <c r="R459" s="44" t="e">
        <f t="shared" si="111"/>
        <v>#VALUE!</v>
      </c>
      <c r="S459" s="44" t="e">
        <f t="shared" si="108"/>
        <v>#VALUE!</v>
      </c>
      <c r="T459" s="41" t="e">
        <f t="shared" si="112"/>
        <v>#VALUE!</v>
      </c>
      <c r="U459" s="41" t="e">
        <f t="shared" si="113"/>
        <v>#VALUE!</v>
      </c>
      <c r="V459" s="41" t="e">
        <f t="shared" si="114"/>
        <v>#VALUE!</v>
      </c>
    </row>
    <row r="460" spans="2:22" x14ac:dyDescent="0.25">
      <c r="B460" s="41" t="b">
        <f t="shared" si="101"/>
        <v>0</v>
      </c>
      <c r="C460" s="41" t="e">
        <f t="shared" si="102"/>
        <v>#VALUE!</v>
      </c>
      <c r="E460" s="45">
        <v>456</v>
      </c>
      <c r="G460" s="138"/>
      <c r="H460" s="135">
        <v>1</v>
      </c>
      <c r="I460" s="46" t="e">
        <f t="shared" si="103"/>
        <v>#VALUE!</v>
      </c>
      <c r="J460" s="41" t="e">
        <f t="shared" si="109"/>
        <v>#VALUE!</v>
      </c>
      <c r="K460" s="41" t="e">
        <f t="shared" si="110"/>
        <v>#VALUE!</v>
      </c>
      <c r="L460" s="41" t="e">
        <f t="shared" si="110"/>
        <v>#VALUE!</v>
      </c>
      <c r="M460" s="41" t="e">
        <f t="shared" si="104"/>
        <v>#VALUE!</v>
      </c>
      <c r="N460" s="41" t="e">
        <f t="shared" si="105"/>
        <v>#VALUE!</v>
      </c>
      <c r="O460" s="41">
        <f t="shared" si="106"/>
        <v>0</v>
      </c>
      <c r="Q460" s="44" t="e">
        <f t="shared" si="107"/>
        <v>#VALUE!</v>
      </c>
      <c r="R460" s="44" t="e">
        <f t="shared" si="111"/>
        <v>#VALUE!</v>
      </c>
      <c r="S460" s="44" t="e">
        <f t="shared" si="108"/>
        <v>#VALUE!</v>
      </c>
      <c r="T460" s="41" t="e">
        <f t="shared" si="112"/>
        <v>#VALUE!</v>
      </c>
      <c r="U460" s="41" t="e">
        <f t="shared" si="113"/>
        <v>#VALUE!</v>
      </c>
      <c r="V460" s="41" t="e">
        <f t="shared" si="114"/>
        <v>#VALUE!</v>
      </c>
    </row>
    <row r="461" spans="2:22" x14ac:dyDescent="0.25">
      <c r="B461" s="41" t="b">
        <f t="shared" si="101"/>
        <v>0</v>
      </c>
      <c r="C461" s="41" t="e">
        <f t="shared" si="102"/>
        <v>#VALUE!</v>
      </c>
      <c r="E461" s="45">
        <v>457</v>
      </c>
      <c r="G461" s="138"/>
      <c r="H461" s="135">
        <v>1</v>
      </c>
      <c r="I461" s="46" t="e">
        <f t="shared" si="103"/>
        <v>#VALUE!</v>
      </c>
      <c r="J461" s="41" t="e">
        <f t="shared" si="109"/>
        <v>#VALUE!</v>
      </c>
      <c r="K461" s="41" t="e">
        <f t="shared" si="110"/>
        <v>#VALUE!</v>
      </c>
      <c r="L461" s="41" t="e">
        <f t="shared" si="110"/>
        <v>#VALUE!</v>
      </c>
      <c r="M461" s="41" t="e">
        <f t="shared" si="104"/>
        <v>#VALUE!</v>
      </c>
      <c r="N461" s="41" t="e">
        <f t="shared" si="105"/>
        <v>#VALUE!</v>
      </c>
      <c r="O461" s="41">
        <f t="shared" si="106"/>
        <v>0</v>
      </c>
      <c r="Q461" s="44" t="e">
        <f t="shared" si="107"/>
        <v>#VALUE!</v>
      </c>
      <c r="R461" s="44" t="e">
        <f t="shared" si="111"/>
        <v>#VALUE!</v>
      </c>
      <c r="S461" s="44" t="e">
        <f t="shared" si="108"/>
        <v>#VALUE!</v>
      </c>
      <c r="T461" s="41" t="e">
        <f t="shared" si="112"/>
        <v>#VALUE!</v>
      </c>
      <c r="U461" s="41" t="e">
        <f t="shared" si="113"/>
        <v>#VALUE!</v>
      </c>
      <c r="V461" s="41" t="e">
        <f t="shared" si="114"/>
        <v>#VALUE!</v>
      </c>
    </row>
    <row r="462" spans="2:22" x14ac:dyDescent="0.25">
      <c r="B462" s="41" t="b">
        <f t="shared" ref="B462:B525" si="115">ISNUMBER(C462)</f>
        <v>0</v>
      </c>
      <c r="C462" s="41" t="e">
        <f t="shared" si="102"/>
        <v>#VALUE!</v>
      </c>
      <c r="E462" s="45">
        <v>458</v>
      </c>
      <c r="G462" s="138"/>
      <c r="H462" s="135">
        <v>1</v>
      </c>
      <c r="I462" s="46" t="e">
        <f t="shared" si="103"/>
        <v>#VALUE!</v>
      </c>
      <c r="J462" s="41" t="e">
        <f t="shared" si="109"/>
        <v>#VALUE!</v>
      </c>
      <c r="K462" s="41" t="e">
        <f t="shared" si="110"/>
        <v>#VALUE!</v>
      </c>
      <c r="L462" s="41" t="e">
        <f t="shared" si="110"/>
        <v>#VALUE!</v>
      </c>
      <c r="M462" s="41" t="e">
        <f t="shared" si="104"/>
        <v>#VALUE!</v>
      </c>
      <c r="N462" s="41" t="e">
        <f t="shared" si="105"/>
        <v>#VALUE!</v>
      </c>
      <c r="O462" s="41">
        <f t="shared" si="106"/>
        <v>0</v>
      </c>
      <c r="Q462" s="44" t="e">
        <f t="shared" si="107"/>
        <v>#VALUE!</v>
      </c>
      <c r="R462" s="44" t="e">
        <f t="shared" si="111"/>
        <v>#VALUE!</v>
      </c>
      <c r="S462" s="44" t="e">
        <f t="shared" si="108"/>
        <v>#VALUE!</v>
      </c>
      <c r="T462" s="41" t="e">
        <f t="shared" si="112"/>
        <v>#VALUE!</v>
      </c>
      <c r="U462" s="41" t="e">
        <f t="shared" si="113"/>
        <v>#VALUE!</v>
      </c>
      <c r="V462" s="41" t="e">
        <f t="shared" si="114"/>
        <v>#VALUE!</v>
      </c>
    </row>
    <row r="463" spans="2:22" x14ac:dyDescent="0.25">
      <c r="B463" s="41" t="b">
        <f t="shared" si="115"/>
        <v>0</v>
      </c>
      <c r="C463" s="41" t="e">
        <f t="shared" si="102"/>
        <v>#VALUE!</v>
      </c>
      <c r="E463" s="45">
        <v>459</v>
      </c>
      <c r="G463" s="138"/>
      <c r="H463" s="135">
        <v>1</v>
      </c>
      <c r="I463" s="46" t="e">
        <f t="shared" si="103"/>
        <v>#VALUE!</v>
      </c>
      <c r="J463" s="41" t="e">
        <f t="shared" si="109"/>
        <v>#VALUE!</v>
      </c>
      <c r="K463" s="41" t="e">
        <f t="shared" si="110"/>
        <v>#VALUE!</v>
      </c>
      <c r="L463" s="41" t="e">
        <f t="shared" si="110"/>
        <v>#VALUE!</v>
      </c>
      <c r="M463" s="41" t="e">
        <f t="shared" si="104"/>
        <v>#VALUE!</v>
      </c>
      <c r="N463" s="41" t="e">
        <f t="shared" si="105"/>
        <v>#VALUE!</v>
      </c>
      <c r="O463" s="41">
        <f t="shared" si="106"/>
        <v>0</v>
      </c>
      <c r="Q463" s="44" t="e">
        <f t="shared" si="107"/>
        <v>#VALUE!</v>
      </c>
      <c r="R463" s="44" t="e">
        <f t="shared" si="111"/>
        <v>#VALUE!</v>
      </c>
      <c r="S463" s="44" t="e">
        <f t="shared" si="108"/>
        <v>#VALUE!</v>
      </c>
      <c r="T463" s="41" t="e">
        <f t="shared" si="112"/>
        <v>#VALUE!</v>
      </c>
      <c r="U463" s="41" t="e">
        <f t="shared" si="113"/>
        <v>#VALUE!</v>
      </c>
      <c r="V463" s="41" t="e">
        <f t="shared" si="114"/>
        <v>#VALUE!</v>
      </c>
    </row>
    <row r="464" spans="2:22" x14ac:dyDescent="0.25">
      <c r="B464" s="41" t="b">
        <f t="shared" si="115"/>
        <v>0</v>
      </c>
      <c r="C464" s="41" t="e">
        <f t="shared" si="102"/>
        <v>#VALUE!</v>
      </c>
      <c r="E464" s="45">
        <v>460</v>
      </c>
      <c r="G464" s="138"/>
      <c r="H464" s="135">
        <v>1</v>
      </c>
      <c r="I464" s="46" t="e">
        <f t="shared" si="103"/>
        <v>#VALUE!</v>
      </c>
      <c r="J464" s="41" t="e">
        <f t="shared" si="109"/>
        <v>#VALUE!</v>
      </c>
      <c r="K464" s="41" t="e">
        <f t="shared" si="110"/>
        <v>#VALUE!</v>
      </c>
      <c r="L464" s="41" t="e">
        <f t="shared" si="110"/>
        <v>#VALUE!</v>
      </c>
      <c r="M464" s="41" t="e">
        <f t="shared" si="104"/>
        <v>#VALUE!</v>
      </c>
      <c r="N464" s="41" t="e">
        <f t="shared" si="105"/>
        <v>#VALUE!</v>
      </c>
      <c r="O464" s="41">
        <f t="shared" si="106"/>
        <v>0</v>
      </c>
      <c r="Q464" s="44" t="e">
        <f t="shared" si="107"/>
        <v>#VALUE!</v>
      </c>
      <c r="R464" s="44" t="e">
        <f t="shared" si="111"/>
        <v>#VALUE!</v>
      </c>
      <c r="S464" s="44" t="e">
        <f t="shared" si="108"/>
        <v>#VALUE!</v>
      </c>
      <c r="T464" s="41" t="e">
        <f t="shared" si="112"/>
        <v>#VALUE!</v>
      </c>
      <c r="U464" s="41" t="e">
        <f t="shared" si="113"/>
        <v>#VALUE!</v>
      </c>
      <c r="V464" s="41" t="e">
        <f t="shared" si="114"/>
        <v>#VALUE!</v>
      </c>
    </row>
    <row r="465" spans="2:22" x14ac:dyDescent="0.25">
      <c r="B465" s="41" t="b">
        <f t="shared" si="115"/>
        <v>0</v>
      </c>
      <c r="C465" s="41" t="e">
        <f t="shared" si="102"/>
        <v>#VALUE!</v>
      </c>
      <c r="E465" s="45">
        <v>461</v>
      </c>
      <c r="G465" s="138"/>
      <c r="H465" s="135">
        <v>1</v>
      </c>
      <c r="I465" s="46" t="e">
        <f t="shared" si="103"/>
        <v>#VALUE!</v>
      </c>
      <c r="J465" s="41" t="e">
        <f t="shared" si="109"/>
        <v>#VALUE!</v>
      </c>
      <c r="K465" s="41" t="e">
        <f t="shared" si="110"/>
        <v>#VALUE!</v>
      </c>
      <c r="L465" s="41" t="e">
        <f t="shared" si="110"/>
        <v>#VALUE!</v>
      </c>
      <c r="M465" s="41" t="e">
        <f t="shared" si="104"/>
        <v>#VALUE!</v>
      </c>
      <c r="N465" s="41" t="e">
        <f t="shared" si="105"/>
        <v>#VALUE!</v>
      </c>
      <c r="O465" s="41">
        <f t="shared" si="106"/>
        <v>0</v>
      </c>
      <c r="Q465" s="44" t="e">
        <f t="shared" si="107"/>
        <v>#VALUE!</v>
      </c>
      <c r="R465" s="44" t="e">
        <f t="shared" si="111"/>
        <v>#VALUE!</v>
      </c>
      <c r="S465" s="44" t="e">
        <f t="shared" si="108"/>
        <v>#VALUE!</v>
      </c>
      <c r="T465" s="41" t="e">
        <f t="shared" si="112"/>
        <v>#VALUE!</v>
      </c>
      <c r="U465" s="41" t="e">
        <f t="shared" si="113"/>
        <v>#VALUE!</v>
      </c>
      <c r="V465" s="41" t="e">
        <f t="shared" si="114"/>
        <v>#VALUE!</v>
      </c>
    </row>
    <row r="466" spans="2:22" x14ac:dyDescent="0.25">
      <c r="B466" s="41" t="b">
        <f t="shared" si="115"/>
        <v>0</v>
      </c>
      <c r="C466" s="41" t="e">
        <f t="shared" si="102"/>
        <v>#VALUE!</v>
      </c>
      <c r="E466" s="45">
        <v>462</v>
      </c>
      <c r="G466" s="138"/>
      <c r="H466" s="135">
        <v>1</v>
      </c>
      <c r="I466" s="46" t="e">
        <f t="shared" si="103"/>
        <v>#VALUE!</v>
      </c>
      <c r="J466" s="41" t="e">
        <f t="shared" si="109"/>
        <v>#VALUE!</v>
      </c>
      <c r="K466" s="41" t="e">
        <f t="shared" si="110"/>
        <v>#VALUE!</v>
      </c>
      <c r="L466" s="41" t="e">
        <f t="shared" si="110"/>
        <v>#VALUE!</v>
      </c>
      <c r="M466" s="41" t="e">
        <f t="shared" si="104"/>
        <v>#VALUE!</v>
      </c>
      <c r="N466" s="41" t="e">
        <f t="shared" si="105"/>
        <v>#VALUE!</v>
      </c>
      <c r="O466" s="41">
        <f t="shared" si="106"/>
        <v>0</v>
      </c>
      <c r="Q466" s="44" t="e">
        <f t="shared" si="107"/>
        <v>#VALUE!</v>
      </c>
      <c r="R466" s="44" t="e">
        <f t="shared" si="111"/>
        <v>#VALUE!</v>
      </c>
      <c r="S466" s="44" t="e">
        <f t="shared" si="108"/>
        <v>#VALUE!</v>
      </c>
      <c r="T466" s="41" t="e">
        <f t="shared" si="112"/>
        <v>#VALUE!</v>
      </c>
      <c r="U466" s="41" t="e">
        <f t="shared" si="113"/>
        <v>#VALUE!</v>
      </c>
      <c r="V466" s="41" t="e">
        <f t="shared" si="114"/>
        <v>#VALUE!</v>
      </c>
    </row>
    <row r="467" spans="2:22" x14ac:dyDescent="0.25">
      <c r="B467" s="41" t="b">
        <f t="shared" si="115"/>
        <v>0</v>
      </c>
      <c r="C467" s="41" t="e">
        <f t="shared" si="102"/>
        <v>#VALUE!</v>
      </c>
      <c r="E467" s="45">
        <v>463</v>
      </c>
      <c r="G467" s="138"/>
      <c r="H467" s="135">
        <v>1</v>
      </c>
      <c r="I467" s="46" t="e">
        <f t="shared" si="103"/>
        <v>#VALUE!</v>
      </c>
      <c r="J467" s="41" t="e">
        <f t="shared" si="109"/>
        <v>#VALUE!</v>
      </c>
      <c r="K467" s="41" t="e">
        <f t="shared" si="110"/>
        <v>#VALUE!</v>
      </c>
      <c r="L467" s="41" t="e">
        <f t="shared" si="110"/>
        <v>#VALUE!</v>
      </c>
      <c r="M467" s="41" t="e">
        <f t="shared" si="104"/>
        <v>#VALUE!</v>
      </c>
      <c r="N467" s="41" t="e">
        <f t="shared" si="105"/>
        <v>#VALUE!</v>
      </c>
      <c r="O467" s="41">
        <f t="shared" si="106"/>
        <v>0</v>
      </c>
      <c r="Q467" s="44" t="e">
        <f t="shared" si="107"/>
        <v>#VALUE!</v>
      </c>
      <c r="R467" s="44" t="e">
        <f t="shared" si="111"/>
        <v>#VALUE!</v>
      </c>
      <c r="S467" s="44" t="e">
        <f t="shared" si="108"/>
        <v>#VALUE!</v>
      </c>
      <c r="T467" s="41" t="e">
        <f t="shared" si="112"/>
        <v>#VALUE!</v>
      </c>
      <c r="U467" s="41" t="e">
        <f t="shared" si="113"/>
        <v>#VALUE!</v>
      </c>
      <c r="V467" s="41" t="e">
        <f t="shared" si="114"/>
        <v>#VALUE!</v>
      </c>
    </row>
    <row r="468" spans="2:22" x14ac:dyDescent="0.25">
      <c r="B468" s="41" t="b">
        <f t="shared" si="115"/>
        <v>0</v>
      </c>
      <c r="C468" s="41" t="e">
        <f t="shared" si="102"/>
        <v>#VALUE!</v>
      </c>
      <c r="E468" s="45">
        <v>464</v>
      </c>
      <c r="G468" s="138"/>
      <c r="H468" s="135">
        <v>1</v>
      </c>
      <c r="I468" s="46" t="e">
        <f t="shared" si="103"/>
        <v>#VALUE!</v>
      </c>
      <c r="J468" s="41" t="e">
        <f t="shared" si="109"/>
        <v>#VALUE!</v>
      </c>
      <c r="K468" s="41" t="e">
        <f t="shared" si="110"/>
        <v>#VALUE!</v>
      </c>
      <c r="L468" s="41" t="e">
        <f t="shared" si="110"/>
        <v>#VALUE!</v>
      </c>
      <c r="M468" s="41" t="e">
        <f t="shared" si="104"/>
        <v>#VALUE!</v>
      </c>
      <c r="N468" s="41" t="e">
        <f t="shared" si="105"/>
        <v>#VALUE!</v>
      </c>
      <c r="O468" s="41">
        <f t="shared" si="106"/>
        <v>0</v>
      </c>
      <c r="Q468" s="44" t="e">
        <f t="shared" si="107"/>
        <v>#VALUE!</v>
      </c>
      <c r="R468" s="44" t="e">
        <f t="shared" si="111"/>
        <v>#VALUE!</v>
      </c>
      <c r="S468" s="44" t="e">
        <f t="shared" si="108"/>
        <v>#VALUE!</v>
      </c>
      <c r="T468" s="41" t="e">
        <f t="shared" si="112"/>
        <v>#VALUE!</v>
      </c>
      <c r="U468" s="41" t="e">
        <f t="shared" si="113"/>
        <v>#VALUE!</v>
      </c>
      <c r="V468" s="41" t="e">
        <f t="shared" si="114"/>
        <v>#VALUE!</v>
      </c>
    </row>
    <row r="469" spans="2:22" x14ac:dyDescent="0.25">
      <c r="B469" s="41" t="b">
        <f t="shared" si="115"/>
        <v>0</v>
      </c>
      <c r="C469" s="41" t="e">
        <f t="shared" si="102"/>
        <v>#VALUE!</v>
      </c>
      <c r="E469" s="45">
        <v>465</v>
      </c>
      <c r="G469" s="138"/>
      <c r="H469" s="135">
        <v>1</v>
      </c>
      <c r="I469" s="46" t="e">
        <f t="shared" si="103"/>
        <v>#VALUE!</v>
      </c>
      <c r="J469" s="41" t="e">
        <f t="shared" si="109"/>
        <v>#VALUE!</v>
      </c>
      <c r="K469" s="41" t="e">
        <f t="shared" si="110"/>
        <v>#VALUE!</v>
      </c>
      <c r="L469" s="41" t="e">
        <f t="shared" si="110"/>
        <v>#VALUE!</v>
      </c>
      <c r="M469" s="41" t="e">
        <f t="shared" si="104"/>
        <v>#VALUE!</v>
      </c>
      <c r="N469" s="41" t="e">
        <f t="shared" si="105"/>
        <v>#VALUE!</v>
      </c>
      <c r="O469" s="41">
        <f t="shared" si="106"/>
        <v>0</v>
      </c>
      <c r="Q469" s="44" t="e">
        <f t="shared" si="107"/>
        <v>#VALUE!</v>
      </c>
      <c r="R469" s="44" t="e">
        <f t="shared" si="111"/>
        <v>#VALUE!</v>
      </c>
      <c r="S469" s="44" t="e">
        <f t="shared" si="108"/>
        <v>#VALUE!</v>
      </c>
      <c r="T469" s="41" t="e">
        <f t="shared" si="112"/>
        <v>#VALUE!</v>
      </c>
      <c r="U469" s="41" t="e">
        <f t="shared" si="113"/>
        <v>#VALUE!</v>
      </c>
      <c r="V469" s="41" t="e">
        <f t="shared" si="114"/>
        <v>#VALUE!</v>
      </c>
    </row>
    <row r="470" spans="2:22" x14ac:dyDescent="0.25">
      <c r="B470" s="41" t="b">
        <f t="shared" si="115"/>
        <v>0</v>
      </c>
      <c r="C470" s="41" t="e">
        <f t="shared" si="102"/>
        <v>#VALUE!</v>
      </c>
      <c r="E470" s="45">
        <v>466</v>
      </c>
      <c r="G470" s="138"/>
      <c r="H470" s="135">
        <v>1</v>
      </c>
      <c r="I470" s="46" t="e">
        <f t="shared" si="103"/>
        <v>#VALUE!</v>
      </c>
      <c r="J470" s="41" t="e">
        <f t="shared" si="109"/>
        <v>#VALUE!</v>
      </c>
      <c r="K470" s="41" t="e">
        <f t="shared" si="110"/>
        <v>#VALUE!</v>
      </c>
      <c r="L470" s="41" t="e">
        <f t="shared" si="110"/>
        <v>#VALUE!</v>
      </c>
      <c r="M470" s="41" t="e">
        <f t="shared" si="104"/>
        <v>#VALUE!</v>
      </c>
      <c r="N470" s="41" t="e">
        <f t="shared" si="105"/>
        <v>#VALUE!</v>
      </c>
      <c r="O470" s="41">
        <f t="shared" si="106"/>
        <v>0</v>
      </c>
      <c r="Q470" s="44" t="e">
        <f t="shared" si="107"/>
        <v>#VALUE!</v>
      </c>
      <c r="R470" s="44" t="e">
        <f t="shared" si="111"/>
        <v>#VALUE!</v>
      </c>
      <c r="S470" s="44" t="e">
        <f t="shared" si="108"/>
        <v>#VALUE!</v>
      </c>
      <c r="T470" s="41" t="e">
        <f t="shared" si="112"/>
        <v>#VALUE!</v>
      </c>
      <c r="U470" s="41" t="e">
        <f t="shared" si="113"/>
        <v>#VALUE!</v>
      </c>
      <c r="V470" s="41" t="e">
        <f t="shared" si="114"/>
        <v>#VALUE!</v>
      </c>
    </row>
    <row r="471" spans="2:22" x14ac:dyDescent="0.25">
      <c r="B471" s="41" t="b">
        <f t="shared" si="115"/>
        <v>0</v>
      </c>
      <c r="C471" s="41" t="e">
        <f t="shared" si="102"/>
        <v>#VALUE!</v>
      </c>
      <c r="E471" s="45">
        <v>467</v>
      </c>
      <c r="G471" s="138"/>
      <c r="H471" s="135">
        <v>1</v>
      </c>
      <c r="I471" s="46" t="e">
        <f t="shared" si="103"/>
        <v>#VALUE!</v>
      </c>
      <c r="J471" s="41" t="e">
        <f t="shared" si="109"/>
        <v>#VALUE!</v>
      </c>
      <c r="K471" s="41" t="e">
        <f t="shared" si="110"/>
        <v>#VALUE!</v>
      </c>
      <c r="L471" s="41" t="e">
        <f t="shared" si="110"/>
        <v>#VALUE!</v>
      </c>
      <c r="M471" s="41" t="e">
        <f t="shared" si="104"/>
        <v>#VALUE!</v>
      </c>
      <c r="N471" s="41" t="e">
        <f t="shared" si="105"/>
        <v>#VALUE!</v>
      </c>
      <c r="O471" s="41">
        <f t="shared" si="106"/>
        <v>0</v>
      </c>
      <c r="Q471" s="44" t="e">
        <f t="shared" si="107"/>
        <v>#VALUE!</v>
      </c>
      <c r="R471" s="44" t="e">
        <f t="shared" si="111"/>
        <v>#VALUE!</v>
      </c>
      <c r="S471" s="44" t="e">
        <f t="shared" si="108"/>
        <v>#VALUE!</v>
      </c>
      <c r="T471" s="41" t="e">
        <f t="shared" si="112"/>
        <v>#VALUE!</v>
      </c>
      <c r="U471" s="41" t="e">
        <f t="shared" si="113"/>
        <v>#VALUE!</v>
      </c>
      <c r="V471" s="41" t="e">
        <f t="shared" si="114"/>
        <v>#VALUE!</v>
      </c>
    </row>
    <row r="472" spans="2:22" x14ac:dyDescent="0.25">
      <c r="B472" s="41" t="b">
        <f t="shared" si="115"/>
        <v>0</v>
      </c>
      <c r="C472" s="41" t="e">
        <f t="shared" si="102"/>
        <v>#VALUE!</v>
      </c>
      <c r="E472" s="45">
        <v>468</v>
      </c>
      <c r="G472" s="138"/>
      <c r="H472" s="135">
        <v>1</v>
      </c>
      <c r="I472" s="46" t="e">
        <f t="shared" si="103"/>
        <v>#VALUE!</v>
      </c>
      <c r="J472" s="41" t="e">
        <f t="shared" si="109"/>
        <v>#VALUE!</v>
      </c>
      <c r="K472" s="41" t="e">
        <f t="shared" si="110"/>
        <v>#VALUE!</v>
      </c>
      <c r="L472" s="41" t="e">
        <f t="shared" si="110"/>
        <v>#VALUE!</v>
      </c>
      <c r="M472" s="41" t="e">
        <f t="shared" si="104"/>
        <v>#VALUE!</v>
      </c>
      <c r="N472" s="41" t="e">
        <f t="shared" si="105"/>
        <v>#VALUE!</v>
      </c>
      <c r="O472" s="41">
        <f t="shared" si="106"/>
        <v>0</v>
      </c>
      <c r="Q472" s="44" t="e">
        <f t="shared" si="107"/>
        <v>#VALUE!</v>
      </c>
      <c r="R472" s="44" t="e">
        <f t="shared" si="111"/>
        <v>#VALUE!</v>
      </c>
      <c r="S472" s="44" t="e">
        <f t="shared" si="108"/>
        <v>#VALUE!</v>
      </c>
      <c r="T472" s="41" t="e">
        <f t="shared" si="112"/>
        <v>#VALUE!</v>
      </c>
      <c r="U472" s="41" t="e">
        <f t="shared" si="113"/>
        <v>#VALUE!</v>
      </c>
      <c r="V472" s="41" t="e">
        <f t="shared" si="114"/>
        <v>#VALUE!</v>
      </c>
    </row>
    <row r="473" spans="2:22" x14ac:dyDescent="0.25">
      <c r="B473" s="41" t="b">
        <f t="shared" si="115"/>
        <v>0</v>
      </c>
      <c r="C473" s="41" t="e">
        <f t="shared" si="102"/>
        <v>#VALUE!</v>
      </c>
      <c r="E473" s="45">
        <v>469</v>
      </c>
      <c r="G473" s="138"/>
      <c r="H473" s="135">
        <v>1</v>
      </c>
      <c r="I473" s="46" t="e">
        <f t="shared" si="103"/>
        <v>#VALUE!</v>
      </c>
      <c r="J473" s="41" t="e">
        <f t="shared" si="109"/>
        <v>#VALUE!</v>
      </c>
      <c r="K473" s="41" t="e">
        <f t="shared" si="110"/>
        <v>#VALUE!</v>
      </c>
      <c r="L473" s="41" t="e">
        <f t="shared" si="110"/>
        <v>#VALUE!</v>
      </c>
      <c r="M473" s="41" t="e">
        <f t="shared" si="104"/>
        <v>#VALUE!</v>
      </c>
      <c r="N473" s="41" t="e">
        <f t="shared" si="105"/>
        <v>#VALUE!</v>
      </c>
      <c r="O473" s="41">
        <f t="shared" si="106"/>
        <v>0</v>
      </c>
      <c r="Q473" s="44" t="e">
        <f t="shared" si="107"/>
        <v>#VALUE!</v>
      </c>
      <c r="R473" s="44" t="e">
        <f t="shared" si="111"/>
        <v>#VALUE!</v>
      </c>
      <c r="S473" s="44" t="e">
        <f t="shared" si="108"/>
        <v>#VALUE!</v>
      </c>
      <c r="T473" s="41" t="e">
        <f t="shared" si="112"/>
        <v>#VALUE!</v>
      </c>
      <c r="U473" s="41" t="e">
        <f t="shared" si="113"/>
        <v>#VALUE!</v>
      </c>
      <c r="V473" s="41" t="e">
        <f t="shared" si="114"/>
        <v>#VALUE!</v>
      </c>
    </row>
    <row r="474" spans="2:22" x14ac:dyDescent="0.25">
      <c r="B474" s="41" t="b">
        <f t="shared" si="115"/>
        <v>0</v>
      </c>
      <c r="C474" s="41" t="e">
        <f t="shared" si="102"/>
        <v>#VALUE!</v>
      </c>
      <c r="E474" s="45">
        <v>470</v>
      </c>
      <c r="G474" s="138"/>
      <c r="H474" s="135">
        <v>1</v>
      </c>
      <c r="I474" s="46" t="e">
        <f t="shared" si="103"/>
        <v>#VALUE!</v>
      </c>
      <c r="J474" s="41" t="e">
        <f t="shared" si="109"/>
        <v>#VALUE!</v>
      </c>
      <c r="K474" s="41" t="e">
        <f t="shared" si="110"/>
        <v>#VALUE!</v>
      </c>
      <c r="L474" s="41" t="e">
        <f t="shared" si="110"/>
        <v>#VALUE!</v>
      </c>
      <c r="M474" s="41" t="e">
        <f t="shared" si="104"/>
        <v>#VALUE!</v>
      </c>
      <c r="N474" s="41" t="e">
        <f t="shared" si="105"/>
        <v>#VALUE!</v>
      </c>
      <c r="O474" s="41">
        <f t="shared" si="106"/>
        <v>0</v>
      </c>
      <c r="Q474" s="44" t="e">
        <f t="shared" si="107"/>
        <v>#VALUE!</v>
      </c>
      <c r="R474" s="44" t="e">
        <f t="shared" si="111"/>
        <v>#VALUE!</v>
      </c>
      <c r="S474" s="44" t="e">
        <f t="shared" si="108"/>
        <v>#VALUE!</v>
      </c>
      <c r="T474" s="41" t="e">
        <f t="shared" si="112"/>
        <v>#VALUE!</v>
      </c>
      <c r="U474" s="41" t="e">
        <f t="shared" si="113"/>
        <v>#VALUE!</v>
      </c>
      <c r="V474" s="41" t="e">
        <f t="shared" si="114"/>
        <v>#VALUE!</v>
      </c>
    </row>
    <row r="475" spans="2:22" x14ac:dyDescent="0.25">
      <c r="B475" s="41" t="b">
        <f t="shared" si="115"/>
        <v>0</v>
      </c>
      <c r="C475" s="41" t="e">
        <f t="shared" si="102"/>
        <v>#VALUE!</v>
      </c>
      <c r="E475" s="45">
        <v>471</v>
      </c>
      <c r="G475" s="138"/>
      <c r="H475" s="135">
        <v>1</v>
      </c>
      <c r="I475" s="46" t="e">
        <f t="shared" si="103"/>
        <v>#VALUE!</v>
      </c>
      <c r="J475" s="41" t="e">
        <f t="shared" si="109"/>
        <v>#VALUE!</v>
      </c>
      <c r="K475" s="41" t="e">
        <f t="shared" si="110"/>
        <v>#VALUE!</v>
      </c>
      <c r="L475" s="41" t="e">
        <f t="shared" si="110"/>
        <v>#VALUE!</v>
      </c>
      <c r="M475" s="41" t="e">
        <f t="shared" si="104"/>
        <v>#VALUE!</v>
      </c>
      <c r="N475" s="41" t="e">
        <f t="shared" si="105"/>
        <v>#VALUE!</v>
      </c>
      <c r="O475" s="41">
        <f t="shared" si="106"/>
        <v>0</v>
      </c>
      <c r="Q475" s="44" t="e">
        <f t="shared" si="107"/>
        <v>#VALUE!</v>
      </c>
      <c r="R475" s="44" t="e">
        <f t="shared" si="111"/>
        <v>#VALUE!</v>
      </c>
      <c r="S475" s="44" t="e">
        <f t="shared" si="108"/>
        <v>#VALUE!</v>
      </c>
      <c r="T475" s="41" t="e">
        <f t="shared" si="112"/>
        <v>#VALUE!</v>
      </c>
      <c r="U475" s="41" t="e">
        <f t="shared" si="113"/>
        <v>#VALUE!</v>
      </c>
      <c r="V475" s="41" t="e">
        <f t="shared" si="114"/>
        <v>#VALUE!</v>
      </c>
    </row>
    <row r="476" spans="2:22" x14ac:dyDescent="0.25">
      <c r="B476" s="41" t="b">
        <f t="shared" si="115"/>
        <v>0</v>
      </c>
      <c r="C476" s="41" t="e">
        <f t="shared" si="102"/>
        <v>#VALUE!</v>
      </c>
      <c r="E476" s="45">
        <v>472</v>
      </c>
      <c r="G476" s="138"/>
      <c r="H476" s="135">
        <v>1</v>
      </c>
      <c r="I476" s="46" t="e">
        <f t="shared" si="103"/>
        <v>#VALUE!</v>
      </c>
      <c r="J476" s="41" t="e">
        <f t="shared" si="109"/>
        <v>#VALUE!</v>
      </c>
      <c r="K476" s="41" t="e">
        <f t="shared" si="110"/>
        <v>#VALUE!</v>
      </c>
      <c r="L476" s="41" t="e">
        <f t="shared" si="110"/>
        <v>#VALUE!</v>
      </c>
      <c r="M476" s="41" t="e">
        <f t="shared" si="104"/>
        <v>#VALUE!</v>
      </c>
      <c r="N476" s="41" t="e">
        <f t="shared" si="105"/>
        <v>#VALUE!</v>
      </c>
      <c r="O476" s="41">
        <f t="shared" si="106"/>
        <v>0</v>
      </c>
      <c r="Q476" s="44" t="e">
        <f t="shared" si="107"/>
        <v>#VALUE!</v>
      </c>
      <c r="R476" s="44" t="e">
        <f t="shared" si="111"/>
        <v>#VALUE!</v>
      </c>
      <c r="S476" s="44" t="e">
        <f t="shared" si="108"/>
        <v>#VALUE!</v>
      </c>
      <c r="T476" s="41" t="e">
        <f t="shared" si="112"/>
        <v>#VALUE!</v>
      </c>
      <c r="U476" s="41" t="e">
        <f t="shared" si="113"/>
        <v>#VALUE!</v>
      </c>
      <c r="V476" s="41" t="e">
        <f t="shared" si="114"/>
        <v>#VALUE!</v>
      </c>
    </row>
    <row r="477" spans="2:22" x14ac:dyDescent="0.25">
      <c r="B477" s="41" t="b">
        <f t="shared" si="115"/>
        <v>0</v>
      </c>
      <c r="C477" s="41" t="e">
        <f t="shared" si="102"/>
        <v>#VALUE!</v>
      </c>
      <c r="E477" s="45">
        <v>473</v>
      </c>
      <c r="G477" s="138"/>
      <c r="H477" s="135">
        <v>1</v>
      </c>
      <c r="I477" s="46" t="e">
        <f t="shared" si="103"/>
        <v>#VALUE!</v>
      </c>
      <c r="J477" s="41" t="e">
        <f t="shared" si="109"/>
        <v>#VALUE!</v>
      </c>
      <c r="K477" s="41" t="e">
        <f t="shared" si="110"/>
        <v>#VALUE!</v>
      </c>
      <c r="L477" s="41" t="e">
        <f t="shared" si="110"/>
        <v>#VALUE!</v>
      </c>
      <c r="M477" s="41" t="e">
        <f t="shared" si="104"/>
        <v>#VALUE!</v>
      </c>
      <c r="N477" s="41" t="e">
        <f t="shared" si="105"/>
        <v>#VALUE!</v>
      </c>
      <c r="O477" s="41">
        <f t="shared" si="106"/>
        <v>0</v>
      </c>
      <c r="Q477" s="44" t="e">
        <f t="shared" si="107"/>
        <v>#VALUE!</v>
      </c>
      <c r="R477" s="44" t="e">
        <f t="shared" si="111"/>
        <v>#VALUE!</v>
      </c>
      <c r="S477" s="44" t="e">
        <f t="shared" si="108"/>
        <v>#VALUE!</v>
      </c>
      <c r="T477" s="41" t="e">
        <f t="shared" si="112"/>
        <v>#VALUE!</v>
      </c>
      <c r="U477" s="41" t="e">
        <f t="shared" si="113"/>
        <v>#VALUE!</v>
      </c>
      <c r="V477" s="41" t="e">
        <f t="shared" si="114"/>
        <v>#VALUE!</v>
      </c>
    </row>
    <row r="478" spans="2:22" x14ac:dyDescent="0.25">
      <c r="B478" s="41" t="b">
        <f t="shared" si="115"/>
        <v>0</v>
      </c>
      <c r="C478" s="41" t="e">
        <f t="shared" si="102"/>
        <v>#VALUE!</v>
      </c>
      <c r="E478" s="45">
        <v>474</v>
      </c>
      <c r="G478" s="138"/>
      <c r="H478" s="135">
        <v>1</v>
      </c>
      <c r="I478" s="46" t="e">
        <f t="shared" si="103"/>
        <v>#VALUE!</v>
      </c>
      <c r="J478" s="41" t="e">
        <f t="shared" si="109"/>
        <v>#VALUE!</v>
      </c>
      <c r="K478" s="41" t="e">
        <f t="shared" si="110"/>
        <v>#VALUE!</v>
      </c>
      <c r="L478" s="41" t="e">
        <f t="shared" si="110"/>
        <v>#VALUE!</v>
      </c>
      <c r="M478" s="41" t="e">
        <f t="shared" si="104"/>
        <v>#VALUE!</v>
      </c>
      <c r="N478" s="41" t="e">
        <f t="shared" si="105"/>
        <v>#VALUE!</v>
      </c>
      <c r="O478" s="41">
        <f t="shared" si="106"/>
        <v>0</v>
      </c>
      <c r="Q478" s="44" t="e">
        <f t="shared" si="107"/>
        <v>#VALUE!</v>
      </c>
      <c r="R478" s="44" t="e">
        <f t="shared" si="111"/>
        <v>#VALUE!</v>
      </c>
      <c r="S478" s="44" t="e">
        <f t="shared" si="108"/>
        <v>#VALUE!</v>
      </c>
      <c r="T478" s="41" t="e">
        <f t="shared" si="112"/>
        <v>#VALUE!</v>
      </c>
      <c r="U478" s="41" t="e">
        <f t="shared" si="113"/>
        <v>#VALUE!</v>
      </c>
      <c r="V478" s="41" t="e">
        <f t="shared" si="114"/>
        <v>#VALUE!</v>
      </c>
    </row>
    <row r="479" spans="2:22" x14ac:dyDescent="0.25">
      <c r="B479" s="41" t="b">
        <f t="shared" si="115"/>
        <v>0</v>
      </c>
      <c r="C479" s="41" t="e">
        <f t="shared" si="102"/>
        <v>#VALUE!</v>
      </c>
      <c r="E479" s="45">
        <v>475</v>
      </c>
      <c r="G479" s="138"/>
      <c r="H479" s="135">
        <v>1</v>
      </c>
      <c r="I479" s="46" t="e">
        <f t="shared" si="103"/>
        <v>#VALUE!</v>
      </c>
      <c r="J479" s="41" t="e">
        <f t="shared" si="109"/>
        <v>#VALUE!</v>
      </c>
      <c r="K479" s="41" t="e">
        <f t="shared" si="110"/>
        <v>#VALUE!</v>
      </c>
      <c r="L479" s="41" t="e">
        <f t="shared" si="110"/>
        <v>#VALUE!</v>
      </c>
      <c r="M479" s="41" t="e">
        <f t="shared" si="104"/>
        <v>#VALUE!</v>
      </c>
      <c r="N479" s="41" t="e">
        <f t="shared" si="105"/>
        <v>#VALUE!</v>
      </c>
      <c r="O479" s="41">
        <f t="shared" si="106"/>
        <v>0</v>
      </c>
      <c r="Q479" s="44" t="e">
        <f t="shared" si="107"/>
        <v>#VALUE!</v>
      </c>
      <c r="R479" s="44" t="e">
        <f t="shared" si="111"/>
        <v>#VALUE!</v>
      </c>
      <c r="S479" s="44" t="e">
        <f t="shared" si="108"/>
        <v>#VALUE!</v>
      </c>
      <c r="T479" s="41" t="e">
        <f t="shared" si="112"/>
        <v>#VALUE!</v>
      </c>
      <c r="U479" s="41" t="e">
        <f t="shared" si="113"/>
        <v>#VALUE!</v>
      </c>
      <c r="V479" s="41" t="e">
        <f t="shared" si="114"/>
        <v>#VALUE!</v>
      </c>
    </row>
    <row r="480" spans="2:22" x14ac:dyDescent="0.25">
      <c r="B480" s="41" t="b">
        <f t="shared" si="115"/>
        <v>0</v>
      </c>
      <c r="C480" s="41" t="e">
        <f t="shared" si="102"/>
        <v>#VALUE!</v>
      </c>
      <c r="E480" s="45">
        <v>476</v>
      </c>
      <c r="G480" s="138"/>
      <c r="H480" s="135">
        <v>1</v>
      </c>
      <c r="I480" s="46" t="e">
        <f t="shared" si="103"/>
        <v>#VALUE!</v>
      </c>
      <c r="J480" s="41" t="e">
        <f t="shared" si="109"/>
        <v>#VALUE!</v>
      </c>
      <c r="K480" s="41" t="e">
        <f t="shared" si="110"/>
        <v>#VALUE!</v>
      </c>
      <c r="L480" s="41" t="e">
        <f t="shared" si="110"/>
        <v>#VALUE!</v>
      </c>
      <c r="M480" s="41" t="e">
        <f t="shared" si="104"/>
        <v>#VALUE!</v>
      </c>
      <c r="N480" s="41" t="e">
        <f t="shared" si="105"/>
        <v>#VALUE!</v>
      </c>
      <c r="O480" s="41">
        <f t="shared" si="106"/>
        <v>0</v>
      </c>
      <c r="Q480" s="44" t="e">
        <f t="shared" si="107"/>
        <v>#VALUE!</v>
      </c>
      <c r="R480" s="44" t="e">
        <f t="shared" si="111"/>
        <v>#VALUE!</v>
      </c>
      <c r="S480" s="44" t="e">
        <f t="shared" si="108"/>
        <v>#VALUE!</v>
      </c>
      <c r="T480" s="41" t="e">
        <f t="shared" si="112"/>
        <v>#VALUE!</v>
      </c>
      <c r="U480" s="41" t="e">
        <f t="shared" si="113"/>
        <v>#VALUE!</v>
      </c>
      <c r="V480" s="41" t="e">
        <f t="shared" si="114"/>
        <v>#VALUE!</v>
      </c>
    </row>
    <row r="481" spans="2:22" x14ac:dyDescent="0.25">
      <c r="B481" s="41" t="b">
        <f t="shared" si="115"/>
        <v>0</v>
      </c>
      <c r="C481" s="41" t="e">
        <f t="shared" si="102"/>
        <v>#VALUE!</v>
      </c>
      <c r="E481" s="45">
        <v>477</v>
      </c>
      <c r="G481" s="138"/>
      <c r="H481" s="135">
        <v>1</v>
      </c>
      <c r="I481" s="46" t="e">
        <f t="shared" si="103"/>
        <v>#VALUE!</v>
      </c>
      <c r="J481" s="41" t="e">
        <f t="shared" si="109"/>
        <v>#VALUE!</v>
      </c>
      <c r="K481" s="41" t="e">
        <f t="shared" si="110"/>
        <v>#VALUE!</v>
      </c>
      <c r="L481" s="41" t="e">
        <f t="shared" si="110"/>
        <v>#VALUE!</v>
      </c>
      <c r="M481" s="41" t="e">
        <f t="shared" si="104"/>
        <v>#VALUE!</v>
      </c>
      <c r="N481" s="41" t="e">
        <f t="shared" si="105"/>
        <v>#VALUE!</v>
      </c>
      <c r="O481" s="41">
        <f t="shared" si="106"/>
        <v>0</v>
      </c>
      <c r="Q481" s="44" t="e">
        <f t="shared" si="107"/>
        <v>#VALUE!</v>
      </c>
      <c r="R481" s="44" t="e">
        <f t="shared" si="111"/>
        <v>#VALUE!</v>
      </c>
      <c r="S481" s="44" t="e">
        <f t="shared" si="108"/>
        <v>#VALUE!</v>
      </c>
      <c r="T481" s="41" t="e">
        <f t="shared" si="112"/>
        <v>#VALUE!</v>
      </c>
      <c r="U481" s="41" t="e">
        <f t="shared" si="113"/>
        <v>#VALUE!</v>
      </c>
      <c r="V481" s="41" t="e">
        <f t="shared" si="114"/>
        <v>#VALUE!</v>
      </c>
    </row>
    <row r="482" spans="2:22" x14ac:dyDescent="0.25">
      <c r="B482" s="41" t="b">
        <f t="shared" si="115"/>
        <v>0</v>
      </c>
      <c r="C482" s="41" t="e">
        <f t="shared" si="102"/>
        <v>#VALUE!</v>
      </c>
      <c r="E482" s="45">
        <v>478</v>
      </c>
      <c r="G482" s="138"/>
      <c r="H482" s="135">
        <v>1</v>
      </c>
      <c r="I482" s="46" t="e">
        <f t="shared" si="103"/>
        <v>#VALUE!</v>
      </c>
      <c r="J482" s="41" t="e">
        <f t="shared" si="109"/>
        <v>#VALUE!</v>
      </c>
      <c r="K482" s="41" t="e">
        <f t="shared" si="110"/>
        <v>#VALUE!</v>
      </c>
      <c r="L482" s="41" t="e">
        <f t="shared" si="110"/>
        <v>#VALUE!</v>
      </c>
      <c r="M482" s="41" t="e">
        <f t="shared" si="104"/>
        <v>#VALUE!</v>
      </c>
      <c r="N482" s="41" t="e">
        <f t="shared" si="105"/>
        <v>#VALUE!</v>
      </c>
      <c r="O482" s="41">
        <f t="shared" si="106"/>
        <v>0</v>
      </c>
      <c r="Q482" s="44" t="e">
        <f t="shared" si="107"/>
        <v>#VALUE!</v>
      </c>
      <c r="R482" s="44" t="e">
        <f t="shared" si="111"/>
        <v>#VALUE!</v>
      </c>
      <c r="S482" s="44" t="e">
        <f t="shared" si="108"/>
        <v>#VALUE!</v>
      </c>
      <c r="T482" s="41" t="e">
        <f t="shared" si="112"/>
        <v>#VALUE!</v>
      </c>
      <c r="U482" s="41" t="e">
        <f t="shared" si="113"/>
        <v>#VALUE!</v>
      </c>
      <c r="V482" s="41" t="e">
        <f t="shared" si="114"/>
        <v>#VALUE!</v>
      </c>
    </row>
    <row r="483" spans="2:22" x14ac:dyDescent="0.25">
      <c r="B483" s="41" t="b">
        <f t="shared" si="115"/>
        <v>0</v>
      </c>
      <c r="C483" s="41" t="e">
        <f t="shared" si="102"/>
        <v>#VALUE!</v>
      </c>
      <c r="E483" s="45">
        <v>479</v>
      </c>
      <c r="G483" s="138"/>
      <c r="H483" s="135">
        <v>1</v>
      </c>
      <c r="I483" s="46" t="e">
        <f t="shared" si="103"/>
        <v>#VALUE!</v>
      </c>
      <c r="J483" s="41" t="e">
        <f t="shared" si="109"/>
        <v>#VALUE!</v>
      </c>
      <c r="K483" s="41" t="e">
        <f t="shared" si="110"/>
        <v>#VALUE!</v>
      </c>
      <c r="L483" s="41" t="e">
        <f t="shared" si="110"/>
        <v>#VALUE!</v>
      </c>
      <c r="M483" s="41" t="e">
        <f t="shared" si="104"/>
        <v>#VALUE!</v>
      </c>
      <c r="N483" s="41" t="e">
        <f t="shared" si="105"/>
        <v>#VALUE!</v>
      </c>
      <c r="O483" s="41">
        <f t="shared" si="106"/>
        <v>0</v>
      </c>
      <c r="Q483" s="44" t="e">
        <f t="shared" si="107"/>
        <v>#VALUE!</v>
      </c>
      <c r="R483" s="44" t="e">
        <f t="shared" si="111"/>
        <v>#VALUE!</v>
      </c>
      <c r="S483" s="44" t="e">
        <f t="shared" si="108"/>
        <v>#VALUE!</v>
      </c>
      <c r="T483" s="41" t="e">
        <f t="shared" si="112"/>
        <v>#VALUE!</v>
      </c>
      <c r="U483" s="41" t="e">
        <f t="shared" si="113"/>
        <v>#VALUE!</v>
      </c>
      <c r="V483" s="41" t="e">
        <f t="shared" si="114"/>
        <v>#VALUE!</v>
      </c>
    </row>
    <row r="484" spans="2:22" x14ac:dyDescent="0.25">
      <c r="B484" s="41" t="b">
        <f t="shared" si="115"/>
        <v>0</v>
      </c>
      <c r="C484" s="41" t="e">
        <f t="shared" si="102"/>
        <v>#VALUE!</v>
      </c>
      <c r="E484" s="45">
        <v>480</v>
      </c>
      <c r="G484" s="138"/>
      <c r="H484" s="135">
        <v>1</v>
      </c>
      <c r="I484" s="46" t="e">
        <f t="shared" si="103"/>
        <v>#VALUE!</v>
      </c>
      <c r="J484" s="41" t="e">
        <f t="shared" si="109"/>
        <v>#VALUE!</v>
      </c>
      <c r="K484" s="41" t="e">
        <f t="shared" si="110"/>
        <v>#VALUE!</v>
      </c>
      <c r="L484" s="41" t="e">
        <f t="shared" si="110"/>
        <v>#VALUE!</v>
      </c>
      <c r="M484" s="41" t="e">
        <f t="shared" si="104"/>
        <v>#VALUE!</v>
      </c>
      <c r="N484" s="41" t="e">
        <f t="shared" si="105"/>
        <v>#VALUE!</v>
      </c>
      <c r="O484" s="41">
        <f t="shared" si="106"/>
        <v>0</v>
      </c>
      <c r="Q484" s="44" t="e">
        <f t="shared" si="107"/>
        <v>#VALUE!</v>
      </c>
      <c r="R484" s="44" t="e">
        <f t="shared" si="111"/>
        <v>#VALUE!</v>
      </c>
      <c r="S484" s="44" t="e">
        <f t="shared" si="108"/>
        <v>#VALUE!</v>
      </c>
      <c r="T484" s="41" t="e">
        <f t="shared" si="112"/>
        <v>#VALUE!</v>
      </c>
      <c r="U484" s="41" t="e">
        <f t="shared" si="113"/>
        <v>#VALUE!</v>
      </c>
      <c r="V484" s="41" t="e">
        <f t="shared" si="114"/>
        <v>#VALUE!</v>
      </c>
    </row>
    <row r="485" spans="2:22" x14ac:dyDescent="0.25">
      <c r="B485" s="41" t="b">
        <f t="shared" si="115"/>
        <v>0</v>
      </c>
      <c r="C485" s="41" t="e">
        <f t="shared" si="102"/>
        <v>#VALUE!</v>
      </c>
      <c r="E485" s="45">
        <v>481</v>
      </c>
      <c r="G485" s="138"/>
      <c r="H485" s="135">
        <v>1</v>
      </c>
      <c r="I485" s="46" t="e">
        <f t="shared" si="103"/>
        <v>#VALUE!</v>
      </c>
      <c r="J485" s="41" t="e">
        <f t="shared" si="109"/>
        <v>#VALUE!</v>
      </c>
      <c r="K485" s="41" t="e">
        <f t="shared" si="110"/>
        <v>#VALUE!</v>
      </c>
      <c r="L485" s="41" t="e">
        <f t="shared" si="110"/>
        <v>#VALUE!</v>
      </c>
      <c r="M485" s="41" t="e">
        <f t="shared" si="104"/>
        <v>#VALUE!</v>
      </c>
      <c r="N485" s="41" t="e">
        <f t="shared" si="105"/>
        <v>#VALUE!</v>
      </c>
      <c r="O485" s="41">
        <f t="shared" si="106"/>
        <v>0</v>
      </c>
      <c r="Q485" s="44" t="e">
        <f t="shared" si="107"/>
        <v>#VALUE!</v>
      </c>
      <c r="R485" s="44" t="e">
        <f t="shared" si="111"/>
        <v>#VALUE!</v>
      </c>
      <c r="S485" s="44" t="e">
        <f t="shared" si="108"/>
        <v>#VALUE!</v>
      </c>
      <c r="T485" s="41" t="e">
        <f t="shared" si="112"/>
        <v>#VALUE!</v>
      </c>
      <c r="U485" s="41" t="e">
        <f t="shared" si="113"/>
        <v>#VALUE!</v>
      </c>
      <c r="V485" s="41" t="e">
        <f t="shared" si="114"/>
        <v>#VALUE!</v>
      </c>
    </row>
    <row r="486" spans="2:22" x14ac:dyDescent="0.25">
      <c r="B486" s="41" t="b">
        <f t="shared" si="115"/>
        <v>0</v>
      </c>
      <c r="C486" s="41" t="e">
        <f t="shared" si="102"/>
        <v>#VALUE!</v>
      </c>
      <c r="E486" s="45">
        <v>482</v>
      </c>
      <c r="G486" s="138"/>
      <c r="H486" s="135">
        <v>1</v>
      </c>
      <c r="I486" s="46" t="e">
        <f t="shared" si="103"/>
        <v>#VALUE!</v>
      </c>
      <c r="J486" s="41" t="e">
        <f t="shared" si="109"/>
        <v>#VALUE!</v>
      </c>
      <c r="K486" s="41" t="e">
        <f t="shared" si="110"/>
        <v>#VALUE!</v>
      </c>
      <c r="L486" s="41" t="e">
        <f t="shared" si="110"/>
        <v>#VALUE!</v>
      </c>
      <c r="M486" s="41" t="e">
        <f t="shared" si="104"/>
        <v>#VALUE!</v>
      </c>
      <c r="N486" s="41" t="e">
        <f t="shared" si="105"/>
        <v>#VALUE!</v>
      </c>
      <c r="O486" s="41">
        <f t="shared" si="106"/>
        <v>0</v>
      </c>
      <c r="Q486" s="44" t="e">
        <f t="shared" si="107"/>
        <v>#VALUE!</v>
      </c>
      <c r="R486" s="44" t="e">
        <f t="shared" si="111"/>
        <v>#VALUE!</v>
      </c>
      <c r="S486" s="44" t="e">
        <f t="shared" si="108"/>
        <v>#VALUE!</v>
      </c>
      <c r="T486" s="41" t="e">
        <f t="shared" si="112"/>
        <v>#VALUE!</v>
      </c>
      <c r="U486" s="41" t="e">
        <f t="shared" si="113"/>
        <v>#VALUE!</v>
      </c>
      <c r="V486" s="41" t="e">
        <f t="shared" si="114"/>
        <v>#VALUE!</v>
      </c>
    </row>
    <row r="487" spans="2:22" x14ac:dyDescent="0.25">
      <c r="B487" s="41" t="b">
        <f t="shared" si="115"/>
        <v>0</v>
      </c>
      <c r="C487" s="41" t="e">
        <f t="shared" si="102"/>
        <v>#VALUE!</v>
      </c>
      <c r="E487" s="45">
        <v>483</v>
      </c>
      <c r="G487" s="138"/>
      <c r="H487" s="135">
        <v>1</v>
      </c>
      <c r="I487" s="46" t="e">
        <f t="shared" si="103"/>
        <v>#VALUE!</v>
      </c>
      <c r="J487" s="41" t="e">
        <f t="shared" si="109"/>
        <v>#VALUE!</v>
      </c>
      <c r="K487" s="41" t="e">
        <f t="shared" si="110"/>
        <v>#VALUE!</v>
      </c>
      <c r="L487" s="41" t="e">
        <f t="shared" si="110"/>
        <v>#VALUE!</v>
      </c>
      <c r="M487" s="41" t="e">
        <f t="shared" si="104"/>
        <v>#VALUE!</v>
      </c>
      <c r="N487" s="41" t="e">
        <f t="shared" si="105"/>
        <v>#VALUE!</v>
      </c>
      <c r="O487" s="41">
        <f t="shared" si="106"/>
        <v>0</v>
      </c>
      <c r="Q487" s="44" t="e">
        <f t="shared" si="107"/>
        <v>#VALUE!</v>
      </c>
      <c r="R487" s="44" t="e">
        <f t="shared" si="111"/>
        <v>#VALUE!</v>
      </c>
      <c r="S487" s="44" t="e">
        <f t="shared" si="108"/>
        <v>#VALUE!</v>
      </c>
      <c r="T487" s="41" t="e">
        <f t="shared" si="112"/>
        <v>#VALUE!</v>
      </c>
      <c r="U487" s="41" t="e">
        <f t="shared" si="113"/>
        <v>#VALUE!</v>
      </c>
      <c r="V487" s="41" t="e">
        <f t="shared" si="114"/>
        <v>#VALUE!</v>
      </c>
    </row>
    <row r="488" spans="2:22" x14ac:dyDescent="0.25">
      <c r="B488" s="41" t="b">
        <f t="shared" si="115"/>
        <v>0</v>
      </c>
      <c r="C488" s="41" t="e">
        <f t="shared" si="102"/>
        <v>#VALUE!</v>
      </c>
      <c r="E488" s="45">
        <v>484</v>
      </c>
      <c r="G488" s="138"/>
      <c r="H488" s="135">
        <v>1</v>
      </c>
      <c r="I488" s="46" t="e">
        <f t="shared" si="103"/>
        <v>#VALUE!</v>
      </c>
      <c r="J488" s="41" t="e">
        <f t="shared" si="109"/>
        <v>#VALUE!</v>
      </c>
      <c r="K488" s="41" t="e">
        <f t="shared" si="110"/>
        <v>#VALUE!</v>
      </c>
      <c r="L488" s="41" t="e">
        <f t="shared" si="110"/>
        <v>#VALUE!</v>
      </c>
      <c r="M488" s="41" t="e">
        <f t="shared" si="104"/>
        <v>#VALUE!</v>
      </c>
      <c r="N488" s="41" t="e">
        <f t="shared" si="105"/>
        <v>#VALUE!</v>
      </c>
      <c r="O488" s="41">
        <f t="shared" si="106"/>
        <v>0</v>
      </c>
      <c r="Q488" s="44" t="e">
        <f t="shared" si="107"/>
        <v>#VALUE!</v>
      </c>
      <c r="R488" s="44" t="e">
        <f t="shared" si="111"/>
        <v>#VALUE!</v>
      </c>
      <c r="S488" s="44" t="e">
        <f t="shared" si="108"/>
        <v>#VALUE!</v>
      </c>
      <c r="T488" s="41" t="e">
        <f t="shared" si="112"/>
        <v>#VALUE!</v>
      </c>
      <c r="U488" s="41" t="e">
        <f t="shared" si="113"/>
        <v>#VALUE!</v>
      </c>
      <c r="V488" s="41" t="e">
        <f t="shared" si="114"/>
        <v>#VALUE!</v>
      </c>
    </row>
    <row r="489" spans="2:22" x14ac:dyDescent="0.25">
      <c r="B489" s="41" t="b">
        <f t="shared" si="115"/>
        <v>0</v>
      </c>
      <c r="C489" s="41" t="e">
        <f t="shared" si="102"/>
        <v>#VALUE!</v>
      </c>
      <c r="E489" s="45">
        <v>485</v>
      </c>
      <c r="G489" s="138"/>
      <c r="H489" s="135">
        <v>1</v>
      </c>
      <c r="I489" s="46" t="e">
        <f t="shared" si="103"/>
        <v>#VALUE!</v>
      </c>
      <c r="J489" s="41" t="e">
        <f t="shared" si="109"/>
        <v>#VALUE!</v>
      </c>
      <c r="K489" s="41" t="e">
        <f t="shared" si="110"/>
        <v>#VALUE!</v>
      </c>
      <c r="L489" s="41" t="e">
        <f t="shared" si="110"/>
        <v>#VALUE!</v>
      </c>
      <c r="M489" s="41" t="e">
        <f t="shared" si="104"/>
        <v>#VALUE!</v>
      </c>
      <c r="N489" s="41" t="e">
        <f t="shared" si="105"/>
        <v>#VALUE!</v>
      </c>
      <c r="O489" s="41">
        <f t="shared" si="106"/>
        <v>0</v>
      </c>
      <c r="Q489" s="44" t="e">
        <f t="shared" si="107"/>
        <v>#VALUE!</v>
      </c>
      <c r="R489" s="44" t="e">
        <f t="shared" si="111"/>
        <v>#VALUE!</v>
      </c>
      <c r="S489" s="44" t="e">
        <f t="shared" si="108"/>
        <v>#VALUE!</v>
      </c>
      <c r="T489" s="41" t="e">
        <f t="shared" si="112"/>
        <v>#VALUE!</v>
      </c>
      <c r="U489" s="41" t="e">
        <f t="shared" si="113"/>
        <v>#VALUE!</v>
      </c>
      <c r="V489" s="41" t="e">
        <f t="shared" si="114"/>
        <v>#VALUE!</v>
      </c>
    </row>
    <row r="490" spans="2:22" x14ac:dyDescent="0.25">
      <c r="B490" s="41" t="b">
        <f t="shared" si="115"/>
        <v>0</v>
      </c>
      <c r="C490" s="41" t="e">
        <f t="shared" si="102"/>
        <v>#VALUE!</v>
      </c>
      <c r="E490" s="45">
        <v>486</v>
      </c>
      <c r="G490" s="138"/>
      <c r="H490" s="135">
        <v>1</v>
      </c>
      <c r="I490" s="46" t="e">
        <f t="shared" si="103"/>
        <v>#VALUE!</v>
      </c>
      <c r="J490" s="41" t="e">
        <f t="shared" si="109"/>
        <v>#VALUE!</v>
      </c>
      <c r="K490" s="41" t="e">
        <f t="shared" si="110"/>
        <v>#VALUE!</v>
      </c>
      <c r="L490" s="41" t="e">
        <f t="shared" si="110"/>
        <v>#VALUE!</v>
      </c>
      <c r="M490" s="41" t="e">
        <f t="shared" si="104"/>
        <v>#VALUE!</v>
      </c>
      <c r="N490" s="41" t="e">
        <f t="shared" si="105"/>
        <v>#VALUE!</v>
      </c>
      <c r="O490" s="41">
        <f t="shared" si="106"/>
        <v>0</v>
      </c>
      <c r="Q490" s="44" t="e">
        <f t="shared" si="107"/>
        <v>#VALUE!</v>
      </c>
      <c r="R490" s="44" t="e">
        <f t="shared" si="111"/>
        <v>#VALUE!</v>
      </c>
      <c r="S490" s="44" t="e">
        <f t="shared" si="108"/>
        <v>#VALUE!</v>
      </c>
      <c r="T490" s="41" t="e">
        <f t="shared" si="112"/>
        <v>#VALUE!</v>
      </c>
      <c r="U490" s="41" t="e">
        <f t="shared" si="113"/>
        <v>#VALUE!</v>
      </c>
      <c r="V490" s="41" t="e">
        <f t="shared" si="114"/>
        <v>#VALUE!</v>
      </c>
    </row>
    <row r="491" spans="2:22" x14ac:dyDescent="0.25">
      <c r="B491" s="41" t="b">
        <f t="shared" si="115"/>
        <v>0</v>
      </c>
      <c r="C491" s="41" t="e">
        <f t="shared" si="102"/>
        <v>#VALUE!</v>
      </c>
      <c r="E491" s="45">
        <v>487</v>
      </c>
      <c r="G491" s="138"/>
      <c r="H491" s="135">
        <v>1</v>
      </c>
      <c r="I491" s="46" t="e">
        <f t="shared" si="103"/>
        <v>#VALUE!</v>
      </c>
      <c r="J491" s="41" t="e">
        <f t="shared" si="109"/>
        <v>#VALUE!</v>
      </c>
      <c r="K491" s="41" t="e">
        <f t="shared" si="110"/>
        <v>#VALUE!</v>
      </c>
      <c r="L491" s="41" t="e">
        <f t="shared" si="110"/>
        <v>#VALUE!</v>
      </c>
      <c r="M491" s="41" t="e">
        <f t="shared" si="104"/>
        <v>#VALUE!</v>
      </c>
      <c r="N491" s="41" t="e">
        <f t="shared" si="105"/>
        <v>#VALUE!</v>
      </c>
      <c r="O491" s="41">
        <f t="shared" si="106"/>
        <v>0</v>
      </c>
      <c r="Q491" s="44" t="e">
        <f t="shared" si="107"/>
        <v>#VALUE!</v>
      </c>
      <c r="R491" s="44" t="e">
        <f t="shared" si="111"/>
        <v>#VALUE!</v>
      </c>
      <c r="S491" s="44" t="e">
        <f t="shared" si="108"/>
        <v>#VALUE!</v>
      </c>
      <c r="T491" s="41" t="e">
        <f t="shared" si="112"/>
        <v>#VALUE!</v>
      </c>
      <c r="U491" s="41" t="e">
        <f t="shared" si="113"/>
        <v>#VALUE!</v>
      </c>
      <c r="V491" s="41" t="e">
        <f t="shared" si="114"/>
        <v>#VALUE!</v>
      </c>
    </row>
    <row r="492" spans="2:22" x14ac:dyDescent="0.25">
      <c r="B492" s="41" t="b">
        <f t="shared" si="115"/>
        <v>0</v>
      </c>
      <c r="C492" s="41" t="e">
        <f t="shared" si="102"/>
        <v>#VALUE!</v>
      </c>
      <c r="E492" s="45">
        <v>488</v>
      </c>
      <c r="G492" s="138"/>
      <c r="H492" s="135">
        <v>1</v>
      </c>
      <c r="I492" s="46" t="e">
        <f t="shared" si="103"/>
        <v>#VALUE!</v>
      </c>
      <c r="J492" s="41" t="e">
        <f t="shared" si="109"/>
        <v>#VALUE!</v>
      </c>
      <c r="K492" s="41" t="e">
        <f t="shared" si="110"/>
        <v>#VALUE!</v>
      </c>
      <c r="L492" s="41" t="e">
        <f t="shared" si="110"/>
        <v>#VALUE!</v>
      </c>
      <c r="M492" s="41" t="e">
        <f t="shared" si="104"/>
        <v>#VALUE!</v>
      </c>
      <c r="N492" s="41" t="e">
        <f t="shared" si="105"/>
        <v>#VALUE!</v>
      </c>
      <c r="O492" s="41">
        <f t="shared" si="106"/>
        <v>0</v>
      </c>
      <c r="Q492" s="44" t="e">
        <f t="shared" si="107"/>
        <v>#VALUE!</v>
      </c>
      <c r="R492" s="44" t="e">
        <f t="shared" si="111"/>
        <v>#VALUE!</v>
      </c>
      <c r="S492" s="44" t="e">
        <f t="shared" si="108"/>
        <v>#VALUE!</v>
      </c>
      <c r="T492" s="41" t="e">
        <f t="shared" si="112"/>
        <v>#VALUE!</v>
      </c>
      <c r="U492" s="41" t="e">
        <f t="shared" si="113"/>
        <v>#VALUE!</v>
      </c>
      <c r="V492" s="41" t="e">
        <f t="shared" si="114"/>
        <v>#VALUE!</v>
      </c>
    </row>
    <row r="493" spans="2:22" x14ac:dyDescent="0.25">
      <c r="B493" s="41" t="b">
        <f t="shared" si="115"/>
        <v>0</v>
      </c>
      <c r="C493" s="41" t="e">
        <f t="shared" si="102"/>
        <v>#VALUE!</v>
      </c>
      <c r="E493" s="45">
        <v>489</v>
      </c>
      <c r="G493" s="138"/>
      <c r="H493" s="135">
        <v>1</v>
      </c>
      <c r="I493" s="46" t="e">
        <f t="shared" si="103"/>
        <v>#VALUE!</v>
      </c>
      <c r="J493" s="41" t="e">
        <f t="shared" si="109"/>
        <v>#VALUE!</v>
      </c>
      <c r="K493" s="41" t="e">
        <f t="shared" si="110"/>
        <v>#VALUE!</v>
      </c>
      <c r="L493" s="41" t="e">
        <f t="shared" si="110"/>
        <v>#VALUE!</v>
      </c>
      <c r="M493" s="41" t="e">
        <f t="shared" si="104"/>
        <v>#VALUE!</v>
      </c>
      <c r="N493" s="41" t="e">
        <f t="shared" si="105"/>
        <v>#VALUE!</v>
      </c>
      <c r="O493" s="41">
        <f t="shared" si="106"/>
        <v>0</v>
      </c>
      <c r="Q493" s="44" t="e">
        <f t="shared" si="107"/>
        <v>#VALUE!</v>
      </c>
      <c r="R493" s="44" t="e">
        <f t="shared" si="111"/>
        <v>#VALUE!</v>
      </c>
      <c r="S493" s="44" t="e">
        <f t="shared" si="108"/>
        <v>#VALUE!</v>
      </c>
      <c r="T493" s="41" t="e">
        <f t="shared" si="112"/>
        <v>#VALUE!</v>
      </c>
      <c r="U493" s="41" t="e">
        <f t="shared" si="113"/>
        <v>#VALUE!</v>
      </c>
      <c r="V493" s="41" t="e">
        <f t="shared" si="114"/>
        <v>#VALUE!</v>
      </c>
    </row>
    <row r="494" spans="2:22" x14ac:dyDescent="0.25">
      <c r="B494" s="41" t="b">
        <f t="shared" si="115"/>
        <v>0</v>
      </c>
      <c r="C494" s="41" t="e">
        <f t="shared" si="102"/>
        <v>#VALUE!</v>
      </c>
      <c r="E494" s="45">
        <v>490</v>
      </c>
      <c r="G494" s="138"/>
      <c r="H494" s="135">
        <v>1</v>
      </c>
      <c r="I494" s="46" t="e">
        <f t="shared" si="103"/>
        <v>#VALUE!</v>
      </c>
      <c r="J494" s="41" t="e">
        <f t="shared" si="109"/>
        <v>#VALUE!</v>
      </c>
      <c r="K494" s="41" t="e">
        <f t="shared" si="110"/>
        <v>#VALUE!</v>
      </c>
      <c r="L494" s="41" t="e">
        <f t="shared" si="110"/>
        <v>#VALUE!</v>
      </c>
      <c r="M494" s="41" t="e">
        <f t="shared" si="104"/>
        <v>#VALUE!</v>
      </c>
      <c r="N494" s="41" t="e">
        <f t="shared" si="105"/>
        <v>#VALUE!</v>
      </c>
      <c r="O494" s="41">
        <f t="shared" si="106"/>
        <v>0</v>
      </c>
      <c r="Q494" s="44" t="e">
        <f t="shared" si="107"/>
        <v>#VALUE!</v>
      </c>
      <c r="R494" s="44" t="e">
        <f t="shared" si="111"/>
        <v>#VALUE!</v>
      </c>
      <c r="S494" s="44" t="e">
        <f t="shared" si="108"/>
        <v>#VALUE!</v>
      </c>
      <c r="T494" s="41" t="e">
        <f t="shared" si="112"/>
        <v>#VALUE!</v>
      </c>
      <c r="U494" s="41" t="e">
        <f t="shared" si="113"/>
        <v>#VALUE!</v>
      </c>
      <c r="V494" s="41" t="e">
        <f t="shared" si="114"/>
        <v>#VALUE!</v>
      </c>
    </row>
    <row r="495" spans="2:22" x14ac:dyDescent="0.25">
      <c r="B495" s="41" t="b">
        <f t="shared" si="115"/>
        <v>0</v>
      </c>
      <c r="C495" s="41" t="e">
        <f t="shared" si="102"/>
        <v>#VALUE!</v>
      </c>
      <c r="E495" s="45">
        <v>491</v>
      </c>
      <c r="G495" s="138"/>
      <c r="H495" s="135">
        <v>1</v>
      </c>
      <c r="I495" s="46" t="e">
        <f t="shared" si="103"/>
        <v>#VALUE!</v>
      </c>
      <c r="J495" s="41" t="e">
        <f t="shared" si="109"/>
        <v>#VALUE!</v>
      </c>
      <c r="K495" s="41" t="e">
        <f t="shared" si="110"/>
        <v>#VALUE!</v>
      </c>
      <c r="L495" s="41" t="e">
        <f t="shared" si="110"/>
        <v>#VALUE!</v>
      </c>
      <c r="M495" s="41" t="e">
        <f t="shared" si="104"/>
        <v>#VALUE!</v>
      </c>
      <c r="N495" s="41" t="e">
        <f t="shared" si="105"/>
        <v>#VALUE!</v>
      </c>
      <c r="O495" s="41">
        <f t="shared" si="106"/>
        <v>0</v>
      </c>
      <c r="Q495" s="44" t="e">
        <f t="shared" si="107"/>
        <v>#VALUE!</v>
      </c>
      <c r="R495" s="44" t="e">
        <f t="shared" si="111"/>
        <v>#VALUE!</v>
      </c>
      <c r="S495" s="44" t="e">
        <f t="shared" si="108"/>
        <v>#VALUE!</v>
      </c>
      <c r="T495" s="41" t="e">
        <f t="shared" si="112"/>
        <v>#VALUE!</v>
      </c>
      <c r="U495" s="41" t="e">
        <f t="shared" si="113"/>
        <v>#VALUE!</v>
      </c>
      <c r="V495" s="41" t="e">
        <f t="shared" si="114"/>
        <v>#VALUE!</v>
      </c>
    </row>
    <row r="496" spans="2:22" x14ac:dyDescent="0.25">
      <c r="B496" s="41" t="b">
        <f t="shared" si="115"/>
        <v>0</v>
      </c>
      <c r="C496" s="41" t="e">
        <f t="shared" si="102"/>
        <v>#VALUE!</v>
      </c>
      <c r="E496" s="45">
        <v>492</v>
      </c>
      <c r="G496" s="138"/>
      <c r="H496" s="135">
        <v>1</v>
      </c>
      <c r="I496" s="46" t="e">
        <f t="shared" si="103"/>
        <v>#VALUE!</v>
      </c>
      <c r="J496" s="41" t="e">
        <f t="shared" si="109"/>
        <v>#VALUE!</v>
      </c>
      <c r="K496" s="41" t="e">
        <f t="shared" si="110"/>
        <v>#VALUE!</v>
      </c>
      <c r="L496" s="41" t="e">
        <f t="shared" si="110"/>
        <v>#VALUE!</v>
      </c>
      <c r="M496" s="41" t="e">
        <f t="shared" si="104"/>
        <v>#VALUE!</v>
      </c>
      <c r="N496" s="41" t="e">
        <f t="shared" si="105"/>
        <v>#VALUE!</v>
      </c>
      <c r="O496" s="41">
        <f t="shared" si="106"/>
        <v>0</v>
      </c>
      <c r="Q496" s="44" t="e">
        <f t="shared" si="107"/>
        <v>#VALUE!</v>
      </c>
      <c r="R496" s="44" t="e">
        <f t="shared" si="111"/>
        <v>#VALUE!</v>
      </c>
      <c r="S496" s="44" t="e">
        <f t="shared" si="108"/>
        <v>#VALUE!</v>
      </c>
      <c r="T496" s="41" t="e">
        <f t="shared" si="112"/>
        <v>#VALUE!</v>
      </c>
      <c r="U496" s="41" t="e">
        <f t="shared" si="113"/>
        <v>#VALUE!</v>
      </c>
      <c r="V496" s="41" t="e">
        <f t="shared" si="114"/>
        <v>#VALUE!</v>
      </c>
    </row>
    <row r="497" spans="2:22" x14ac:dyDescent="0.25">
      <c r="B497" s="41" t="b">
        <f t="shared" si="115"/>
        <v>0</v>
      </c>
      <c r="C497" s="41" t="e">
        <f t="shared" si="102"/>
        <v>#VALUE!</v>
      </c>
      <c r="E497" s="45">
        <v>493</v>
      </c>
      <c r="G497" s="138"/>
      <c r="H497" s="135">
        <v>1</v>
      </c>
      <c r="I497" s="46" t="e">
        <f t="shared" si="103"/>
        <v>#VALUE!</v>
      </c>
      <c r="J497" s="41" t="e">
        <f t="shared" si="109"/>
        <v>#VALUE!</v>
      </c>
      <c r="K497" s="41" t="e">
        <f t="shared" si="110"/>
        <v>#VALUE!</v>
      </c>
      <c r="L497" s="41" t="e">
        <f t="shared" si="110"/>
        <v>#VALUE!</v>
      </c>
      <c r="M497" s="41" t="e">
        <f t="shared" si="104"/>
        <v>#VALUE!</v>
      </c>
      <c r="N497" s="41" t="e">
        <f t="shared" si="105"/>
        <v>#VALUE!</v>
      </c>
      <c r="O497" s="41">
        <f t="shared" si="106"/>
        <v>0</v>
      </c>
      <c r="Q497" s="44" t="e">
        <f t="shared" si="107"/>
        <v>#VALUE!</v>
      </c>
      <c r="R497" s="44" t="e">
        <f t="shared" si="111"/>
        <v>#VALUE!</v>
      </c>
      <c r="S497" s="44" t="e">
        <f t="shared" si="108"/>
        <v>#VALUE!</v>
      </c>
      <c r="T497" s="41" t="e">
        <f t="shared" si="112"/>
        <v>#VALUE!</v>
      </c>
      <c r="U497" s="41" t="e">
        <f t="shared" si="113"/>
        <v>#VALUE!</v>
      </c>
      <c r="V497" s="41" t="e">
        <f t="shared" si="114"/>
        <v>#VALUE!</v>
      </c>
    </row>
    <row r="498" spans="2:22" x14ac:dyDescent="0.25">
      <c r="B498" s="41" t="b">
        <f t="shared" si="115"/>
        <v>0</v>
      </c>
      <c r="C498" s="41" t="e">
        <f t="shared" si="102"/>
        <v>#VALUE!</v>
      </c>
      <c r="E498" s="45">
        <v>494</v>
      </c>
      <c r="G498" s="138"/>
      <c r="H498" s="135">
        <v>1</v>
      </c>
      <c r="I498" s="46" t="e">
        <f t="shared" si="103"/>
        <v>#VALUE!</v>
      </c>
      <c r="J498" s="41" t="e">
        <f t="shared" si="109"/>
        <v>#VALUE!</v>
      </c>
      <c r="K498" s="41" t="e">
        <f t="shared" si="110"/>
        <v>#VALUE!</v>
      </c>
      <c r="L498" s="41" t="e">
        <f t="shared" si="110"/>
        <v>#VALUE!</v>
      </c>
      <c r="M498" s="41" t="e">
        <f t="shared" si="104"/>
        <v>#VALUE!</v>
      </c>
      <c r="N498" s="41" t="e">
        <f t="shared" si="105"/>
        <v>#VALUE!</v>
      </c>
      <c r="O498" s="41">
        <f t="shared" si="106"/>
        <v>0</v>
      </c>
      <c r="Q498" s="44" t="e">
        <f t="shared" si="107"/>
        <v>#VALUE!</v>
      </c>
      <c r="R498" s="44" t="e">
        <f t="shared" si="111"/>
        <v>#VALUE!</v>
      </c>
      <c r="S498" s="44" t="e">
        <f t="shared" si="108"/>
        <v>#VALUE!</v>
      </c>
      <c r="T498" s="41" t="e">
        <f t="shared" si="112"/>
        <v>#VALUE!</v>
      </c>
      <c r="U498" s="41" t="e">
        <f t="shared" si="113"/>
        <v>#VALUE!</v>
      </c>
      <c r="V498" s="41" t="e">
        <f t="shared" si="114"/>
        <v>#VALUE!</v>
      </c>
    </row>
    <row r="499" spans="2:22" x14ac:dyDescent="0.25">
      <c r="B499" s="41" t="b">
        <f t="shared" si="115"/>
        <v>0</v>
      </c>
      <c r="C499" s="41" t="e">
        <f t="shared" si="102"/>
        <v>#VALUE!</v>
      </c>
      <c r="E499" s="45">
        <v>495</v>
      </c>
      <c r="G499" s="138"/>
      <c r="H499" s="135">
        <v>1</v>
      </c>
      <c r="I499" s="46" t="e">
        <f t="shared" si="103"/>
        <v>#VALUE!</v>
      </c>
      <c r="J499" s="41" t="e">
        <f t="shared" si="109"/>
        <v>#VALUE!</v>
      </c>
      <c r="K499" s="41" t="e">
        <f t="shared" si="110"/>
        <v>#VALUE!</v>
      </c>
      <c r="L499" s="41" t="e">
        <f t="shared" si="110"/>
        <v>#VALUE!</v>
      </c>
      <c r="M499" s="41" t="e">
        <f t="shared" si="104"/>
        <v>#VALUE!</v>
      </c>
      <c r="N499" s="41" t="e">
        <f t="shared" si="105"/>
        <v>#VALUE!</v>
      </c>
      <c r="O499" s="41">
        <f t="shared" si="106"/>
        <v>0</v>
      </c>
      <c r="Q499" s="44" t="e">
        <f t="shared" si="107"/>
        <v>#VALUE!</v>
      </c>
      <c r="R499" s="44" t="e">
        <f t="shared" si="111"/>
        <v>#VALUE!</v>
      </c>
      <c r="S499" s="44" t="e">
        <f t="shared" si="108"/>
        <v>#VALUE!</v>
      </c>
      <c r="T499" s="41" t="e">
        <f t="shared" si="112"/>
        <v>#VALUE!</v>
      </c>
      <c r="U499" s="41" t="e">
        <f t="shared" si="113"/>
        <v>#VALUE!</v>
      </c>
      <c r="V499" s="41" t="e">
        <f t="shared" si="114"/>
        <v>#VALUE!</v>
      </c>
    </row>
    <row r="500" spans="2:22" x14ac:dyDescent="0.25">
      <c r="B500" s="41" t="b">
        <f t="shared" si="115"/>
        <v>0</v>
      </c>
      <c r="C500" s="41" t="e">
        <f t="shared" si="102"/>
        <v>#VALUE!</v>
      </c>
      <c r="E500" s="45">
        <v>496</v>
      </c>
      <c r="G500" s="138"/>
      <c r="H500" s="135">
        <v>1</v>
      </c>
      <c r="I500" s="46" t="e">
        <f t="shared" si="103"/>
        <v>#VALUE!</v>
      </c>
      <c r="J500" s="41" t="e">
        <f t="shared" si="109"/>
        <v>#VALUE!</v>
      </c>
      <c r="K500" s="41" t="e">
        <f t="shared" si="110"/>
        <v>#VALUE!</v>
      </c>
      <c r="L500" s="41" t="e">
        <f t="shared" si="110"/>
        <v>#VALUE!</v>
      </c>
      <c r="M500" s="41" t="e">
        <f t="shared" si="104"/>
        <v>#VALUE!</v>
      </c>
      <c r="N500" s="41" t="e">
        <f t="shared" si="105"/>
        <v>#VALUE!</v>
      </c>
      <c r="O500" s="41">
        <f t="shared" si="106"/>
        <v>0</v>
      </c>
      <c r="Q500" s="44" t="e">
        <f t="shared" si="107"/>
        <v>#VALUE!</v>
      </c>
      <c r="R500" s="44" t="e">
        <f t="shared" si="111"/>
        <v>#VALUE!</v>
      </c>
      <c r="S500" s="44" t="e">
        <f t="shared" si="108"/>
        <v>#VALUE!</v>
      </c>
      <c r="T500" s="41" t="e">
        <f t="shared" si="112"/>
        <v>#VALUE!</v>
      </c>
      <c r="U500" s="41" t="e">
        <f t="shared" si="113"/>
        <v>#VALUE!</v>
      </c>
      <c r="V500" s="41" t="e">
        <f t="shared" si="114"/>
        <v>#VALUE!</v>
      </c>
    </row>
    <row r="501" spans="2:22" x14ac:dyDescent="0.25">
      <c r="B501" s="41" t="b">
        <f t="shared" si="115"/>
        <v>0</v>
      </c>
      <c r="C501" s="41" t="e">
        <f t="shared" si="102"/>
        <v>#VALUE!</v>
      </c>
      <c r="E501" s="45">
        <v>497</v>
      </c>
      <c r="G501" s="138"/>
      <c r="H501" s="135">
        <v>1</v>
      </c>
      <c r="I501" s="46" t="e">
        <f t="shared" si="103"/>
        <v>#VALUE!</v>
      </c>
      <c r="J501" s="41" t="e">
        <f t="shared" si="109"/>
        <v>#VALUE!</v>
      </c>
      <c r="K501" s="41" t="e">
        <f t="shared" si="110"/>
        <v>#VALUE!</v>
      </c>
      <c r="L501" s="41" t="e">
        <f t="shared" si="110"/>
        <v>#VALUE!</v>
      </c>
      <c r="M501" s="41" t="e">
        <f t="shared" si="104"/>
        <v>#VALUE!</v>
      </c>
      <c r="N501" s="41" t="e">
        <f t="shared" si="105"/>
        <v>#VALUE!</v>
      </c>
      <c r="O501" s="41">
        <f t="shared" si="106"/>
        <v>0</v>
      </c>
      <c r="Q501" s="44" t="e">
        <f t="shared" si="107"/>
        <v>#VALUE!</v>
      </c>
      <c r="R501" s="44" t="e">
        <f t="shared" si="111"/>
        <v>#VALUE!</v>
      </c>
      <c r="S501" s="44" t="e">
        <f t="shared" si="108"/>
        <v>#VALUE!</v>
      </c>
      <c r="T501" s="41" t="e">
        <f t="shared" si="112"/>
        <v>#VALUE!</v>
      </c>
      <c r="U501" s="41" t="e">
        <f t="shared" si="113"/>
        <v>#VALUE!</v>
      </c>
      <c r="V501" s="41" t="e">
        <f t="shared" si="114"/>
        <v>#VALUE!</v>
      </c>
    </row>
    <row r="502" spans="2:22" x14ac:dyDescent="0.25">
      <c r="B502" s="41" t="b">
        <f t="shared" si="115"/>
        <v>0</v>
      </c>
      <c r="C502" s="41" t="e">
        <f t="shared" ref="C502:C565" si="116">SUM(T502:V502)</f>
        <v>#VALUE!</v>
      </c>
      <c r="E502" s="45">
        <v>498</v>
      </c>
      <c r="G502" s="138"/>
      <c r="H502" s="135">
        <v>1</v>
      </c>
      <c r="I502" s="46" t="e">
        <f t="shared" si="103"/>
        <v>#VALUE!</v>
      </c>
      <c r="J502" s="41" t="e">
        <f t="shared" si="109"/>
        <v>#VALUE!</v>
      </c>
      <c r="K502" s="41" t="e">
        <f t="shared" si="110"/>
        <v>#VALUE!</v>
      </c>
      <c r="L502" s="41" t="e">
        <f t="shared" si="110"/>
        <v>#VALUE!</v>
      </c>
      <c r="M502" s="41" t="e">
        <f t="shared" si="104"/>
        <v>#VALUE!</v>
      </c>
      <c r="N502" s="41" t="e">
        <f t="shared" si="105"/>
        <v>#VALUE!</v>
      </c>
      <c r="O502" s="41">
        <f t="shared" si="106"/>
        <v>0</v>
      </c>
      <c r="Q502" s="44" t="e">
        <f t="shared" si="107"/>
        <v>#VALUE!</v>
      </c>
      <c r="R502" s="44" t="e">
        <f t="shared" si="111"/>
        <v>#VALUE!</v>
      </c>
      <c r="S502" s="44" t="e">
        <f t="shared" si="108"/>
        <v>#VALUE!</v>
      </c>
      <c r="T502" s="41" t="e">
        <f t="shared" si="112"/>
        <v>#VALUE!</v>
      </c>
      <c r="U502" s="41" t="e">
        <f t="shared" si="113"/>
        <v>#VALUE!</v>
      </c>
      <c r="V502" s="41" t="e">
        <f t="shared" si="114"/>
        <v>#VALUE!</v>
      </c>
    </row>
    <row r="503" spans="2:22" x14ac:dyDescent="0.25">
      <c r="B503" s="41" t="b">
        <f t="shared" si="115"/>
        <v>0</v>
      </c>
      <c r="C503" s="41" t="e">
        <f t="shared" si="116"/>
        <v>#VALUE!</v>
      </c>
      <c r="E503" s="45">
        <v>499</v>
      </c>
      <c r="G503" s="138"/>
      <c r="H503" s="135">
        <v>1</v>
      </c>
      <c r="I503" s="46" t="e">
        <f t="shared" si="103"/>
        <v>#VALUE!</v>
      </c>
      <c r="J503" s="41" t="e">
        <f t="shared" si="109"/>
        <v>#VALUE!</v>
      </c>
      <c r="K503" s="41" t="e">
        <f t="shared" si="110"/>
        <v>#VALUE!</v>
      </c>
      <c r="L503" s="41" t="e">
        <f t="shared" si="110"/>
        <v>#VALUE!</v>
      </c>
      <c r="M503" s="41" t="e">
        <f t="shared" si="104"/>
        <v>#VALUE!</v>
      </c>
      <c r="N503" s="41" t="e">
        <f t="shared" si="105"/>
        <v>#VALUE!</v>
      </c>
      <c r="O503" s="41">
        <f t="shared" si="106"/>
        <v>0</v>
      </c>
      <c r="Q503" s="44" t="e">
        <f t="shared" si="107"/>
        <v>#VALUE!</v>
      </c>
      <c r="R503" s="44" t="e">
        <f t="shared" si="111"/>
        <v>#VALUE!</v>
      </c>
      <c r="S503" s="44" t="e">
        <f t="shared" si="108"/>
        <v>#VALUE!</v>
      </c>
      <c r="T503" s="41" t="e">
        <f t="shared" si="112"/>
        <v>#VALUE!</v>
      </c>
      <c r="U503" s="41" t="e">
        <f t="shared" si="113"/>
        <v>#VALUE!</v>
      </c>
      <c r="V503" s="41" t="e">
        <f t="shared" si="114"/>
        <v>#VALUE!</v>
      </c>
    </row>
    <row r="504" spans="2:22" x14ac:dyDescent="0.25">
      <c r="B504" s="41" t="b">
        <f t="shared" si="115"/>
        <v>0</v>
      </c>
      <c r="C504" s="41" t="e">
        <f t="shared" si="116"/>
        <v>#VALUE!</v>
      </c>
      <c r="E504" s="45">
        <v>500</v>
      </c>
      <c r="G504" s="138"/>
      <c r="H504" s="135">
        <v>1</v>
      </c>
      <c r="I504" s="46" t="e">
        <f t="shared" si="103"/>
        <v>#VALUE!</v>
      </c>
      <c r="J504" s="41" t="e">
        <f t="shared" si="109"/>
        <v>#VALUE!</v>
      </c>
      <c r="K504" s="41" t="e">
        <f t="shared" si="110"/>
        <v>#VALUE!</v>
      </c>
      <c r="L504" s="41" t="e">
        <f t="shared" si="110"/>
        <v>#VALUE!</v>
      </c>
      <c r="M504" s="41" t="e">
        <f t="shared" si="104"/>
        <v>#VALUE!</v>
      </c>
      <c r="N504" s="41" t="e">
        <f t="shared" si="105"/>
        <v>#VALUE!</v>
      </c>
      <c r="O504" s="41">
        <f t="shared" si="106"/>
        <v>0</v>
      </c>
      <c r="Q504" s="44" t="e">
        <f t="shared" si="107"/>
        <v>#VALUE!</v>
      </c>
      <c r="R504" s="44" t="e">
        <f t="shared" si="111"/>
        <v>#VALUE!</v>
      </c>
      <c r="S504" s="44" t="e">
        <f t="shared" si="108"/>
        <v>#VALUE!</v>
      </c>
      <c r="T504" s="41" t="e">
        <f t="shared" si="112"/>
        <v>#VALUE!</v>
      </c>
      <c r="U504" s="41" t="e">
        <f t="shared" si="113"/>
        <v>#VALUE!</v>
      </c>
      <c r="V504" s="41" t="e">
        <f t="shared" si="114"/>
        <v>#VALUE!</v>
      </c>
    </row>
    <row r="505" spans="2:22" x14ac:dyDescent="0.25">
      <c r="B505" s="41" t="b">
        <f t="shared" si="115"/>
        <v>0</v>
      </c>
      <c r="C505" s="41" t="e">
        <f t="shared" si="116"/>
        <v>#VALUE!</v>
      </c>
      <c r="E505" s="45">
        <v>501</v>
      </c>
      <c r="G505" s="138"/>
      <c r="H505" s="135">
        <v>1</v>
      </c>
      <c r="I505" s="46" t="e">
        <f t="shared" si="103"/>
        <v>#VALUE!</v>
      </c>
      <c r="J505" s="41" t="e">
        <f t="shared" si="109"/>
        <v>#VALUE!</v>
      </c>
      <c r="K505" s="41" t="e">
        <f t="shared" si="110"/>
        <v>#VALUE!</v>
      </c>
      <c r="L505" s="41" t="e">
        <f t="shared" si="110"/>
        <v>#VALUE!</v>
      </c>
      <c r="M505" s="41" t="e">
        <f t="shared" si="104"/>
        <v>#VALUE!</v>
      </c>
      <c r="N505" s="41" t="e">
        <f t="shared" si="105"/>
        <v>#VALUE!</v>
      </c>
      <c r="O505" s="41">
        <f t="shared" si="106"/>
        <v>0</v>
      </c>
      <c r="Q505" s="44" t="e">
        <f t="shared" si="107"/>
        <v>#VALUE!</v>
      </c>
      <c r="R505" s="44" t="e">
        <f t="shared" si="111"/>
        <v>#VALUE!</v>
      </c>
      <c r="S505" s="44" t="e">
        <f t="shared" si="108"/>
        <v>#VALUE!</v>
      </c>
      <c r="T505" s="41" t="e">
        <f t="shared" si="112"/>
        <v>#VALUE!</v>
      </c>
      <c r="U505" s="41" t="e">
        <f t="shared" si="113"/>
        <v>#VALUE!</v>
      </c>
      <c r="V505" s="41" t="e">
        <f t="shared" si="114"/>
        <v>#VALUE!</v>
      </c>
    </row>
    <row r="506" spans="2:22" x14ac:dyDescent="0.25">
      <c r="B506" s="41" t="b">
        <f t="shared" si="115"/>
        <v>0</v>
      </c>
      <c r="C506" s="41" t="e">
        <f t="shared" si="116"/>
        <v>#VALUE!</v>
      </c>
      <c r="E506" s="45">
        <v>502</v>
      </c>
      <c r="G506" s="138"/>
      <c r="H506" s="135">
        <v>1</v>
      </c>
      <c r="I506" s="46" t="e">
        <f t="shared" si="103"/>
        <v>#VALUE!</v>
      </c>
      <c r="J506" s="41" t="e">
        <f t="shared" si="109"/>
        <v>#VALUE!</v>
      </c>
      <c r="K506" s="41" t="e">
        <f t="shared" si="110"/>
        <v>#VALUE!</v>
      </c>
      <c r="L506" s="41" t="e">
        <f t="shared" si="110"/>
        <v>#VALUE!</v>
      </c>
      <c r="M506" s="41" t="e">
        <f t="shared" si="104"/>
        <v>#VALUE!</v>
      </c>
      <c r="N506" s="41" t="e">
        <f t="shared" si="105"/>
        <v>#VALUE!</v>
      </c>
      <c r="O506" s="41">
        <f t="shared" si="106"/>
        <v>0</v>
      </c>
      <c r="Q506" s="44" t="e">
        <f t="shared" si="107"/>
        <v>#VALUE!</v>
      </c>
      <c r="R506" s="44" t="e">
        <f t="shared" si="111"/>
        <v>#VALUE!</v>
      </c>
      <c r="S506" s="44" t="e">
        <f t="shared" si="108"/>
        <v>#VALUE!</v>
      </c>
      <c r="T506" s="41" t="e">
        <f t="shared" si="112"/>
        <v>#VALUE!</v>
      </c>
      <c r="U506" s="41" t="e">
        <f t="shared" si="113"/>
        <v>#VALUE!</v>
      </c>
      <c r="V506" s="41" t="e">
        <f t="shared" si="114"/>
        <v>#VALUE!</v>
      </c>
    </row>
    <row r="507" spans="2:22" x14ac:dyDescent="0.25">
      <c r="B507" s="41" t="b">
        <f t="shared" si="115"/>
        <v>0</v>
      </c>
      <c r="C507" s="41" t="e">
        <f t="shared" si="116"/>
        <v>#VALUE!</v>
      </c>
      <c r="E507" s="45">
        <v>503</v>
      </c>
      <c r="G507" s="138"/>
      <c r="H507" s="135">
        <v>1</v>
      </c>
      <c r="I507" s="46" t="e">
        <f t="shared" si="103"/>
        <v>#VALUE!</v>
      </c>
      <c r="J507" s="41" t="e">
        <f t="shared" si="109"/>
        <v>#VALUE!</v>
      </c>
      <c r="K507" s="41" t="e">
        <f t="shared" si="110"/>
        <v>#VALUE!</v>
      </c>
      <c r="L507" s="41" t="e">
        <f t="shared" si="110"/>
        <v>#VALUE!</v>
      </c>
      <c r="M507" s="41" t="e">
        <f t="shared" si="104"/>
        <v>#VALUE!</v>
      </c>
      <c r="N507" s="41" t="e">
        <f t="shared" si="105"/>
        <v>#VALUE!</v>
      </c>
      <c r="O507" s="41">
        <f t="shared" si="106"/>
        <v>0</v>
      </c>
      <c r="Q507" s="44" t="e">
        <f t="shared" si="107"/>
        <v>#VALUE!</v>
      </c>
      <c r="R507" s="44" t="e">
        <f t="shared" si="111"/>
        <v>#VALUE!</v>
      </c>
      <c r="S507" s="44" t="e">
        <f t="shared" si="108"/>
        <v>#VALUE!</v>
      </c>
      <c r="T507" s="41" t="e">
        <f t="shared" si="112"/>
        <v>#VALUE!</v>
      </c>
      <c r="U507" s="41" t="e">
        <f t="shared" si="113"/>
        <v>#VALUE!</v>
      </c>
      <c r="V507" s="41" t="e">
        <f t="shared" si="114"/>
        <v>#VALUE!</v>
      </c>
    </row>
    <row r="508" spans="2:22" x14ac:dyDescent="0.25">
      <c r="B508" s="41" t="b">
        <f t="shared" si="115"/>
        <v>0</v>
      </c>
      <c r="C508" s="41" t="e">
        <f t="shared" si="116"/>
        <v>#VALUE!</v>
      </c>
      <c r="E508" s="45">
        <v>504</v>
      </c>
      <c r="G508" s="138"/>
      <c r="H508" s="135">
        <v>1</v>
      </c>
      <c r="I508" s="46" t="e">
        <f t="shared" si="103"/>
        <v>#VALUE!</v>
      </c>
      <c r="J508" s="41" t="e">
        <f t="shared" si="109"/>
        <v>#VALUE!</v>
      </c>
      <c r="K508" s="41" t="e">
        <f t="shared" si="110"/>
        <v>#VALUE!</v>
      </c>
      <c r="L508" s="41" t="e">
        <f t="shared" si="110"/>
        <v>#VALUE!</v>
      </c>
      <c r="M508" s="41" t="e">
        <f t="shared" si="104"/>
        <v>#VALUE!</v>
      </c>
      <c r="N508" s="41" t="e">
        <f t="shared" si="105"/>
        <v>#VALUE!</v>
      </c>
      <c r="O508" s="41">
        <f t="shared" si="106"/>
        <v>0</v>
      </c>
      <c r="Q508" s="44" t="e">
        <f t="shared" si="107"/>
        <v>#VALUE!</v>
      </c>
      <c r="R508" s="44" t="e">
        <f t="shared" si="111"/>
        <v>#VALUE!</v>
      </c>
      <c r="S508" s="44" t="e">
        <f t="shared" si="108"/>
        <v>#VALUE!</v>
      </c>
      <c r="T508" s="41" t="e">
        <f t="shared" si="112"/>
        <v>#VALUE!</v>
      </c>
      <c r="U508" s="41" t="e">
        <f t="shared" si="113"/>
        <v>#VALUE!</v>
      </c>
      <c r="V508" s="41" t="e">
        <f t="shared" si="114"/>
        <v>#VALUE!</v>
      </c>
    </row>
    <row r="509" spans="2:22" x14ac:dyDescent="0.25">
      <c r="B509" s="41" t="b">
        <f t="shared" si="115"/>
        <v>0</v>
      </c>
      <c r="C509" s="41" t="e">
        <f t="shared" si="116"/>
        <v>#VALUE!</v>
      </c>
      <c r="E509" s="45">
        <v>505</v>
      </c>
      <c r="G509" s="138"/>
      <c r="H509" s="135">
        <v>1</v>
      </c>
      <c r="I509" s="46" t="e">
        <f t="shared" si="103"/>
        <v>#VALUE!</v>
      </c>
      <c r="J509" s="41" t="e">
        <f t="shared" si="109"/>
        <v>#VALUE!</v>
      </c>
      <c r="K509" s="41" t="e">
        <f t="shared" si="110"/>
        <v>#VALUE!</v>
      </c>
      <c r="L509" s="41" t="e">
        <f t="shared" si="110"/>
        <v>#VALUE!</v>
      </c>
      <c r="M509" s="41" t="e">
        <f t="shared" si="104"/>
        <v>#VALUE!</v>
      </c>
      <c r="N509" s="41" t="e">
        <f t="shared" si="105"/>
        <v>#VALUE!</v>
      </c>
      <c r="O509" s="41">
        <f t="shared" si="106"/>
        <v>0</v>
      </c>
      <c r="Q509" s="44" t="e">
        <f t="shared" si="107"/>
        <v>#VALUE!</v>
      </c>
      <c r="R509" s="44" t="e">
        <f t="shared" si="111"/>
        <v>#VALUE!</v>
      </c>
      <c r="S509" s="44" t="e">
        <f t="shared" si="108"/>
        <v>#VALUE!</v>
      </c>
      <c r="T509" s="41" t="e">
        <f t="shared" si="112"/>
        <v>#VALUE!</v>
      </c>
      <c r="U509" s="41" t="e">
        <f t="shared" si="113"/>
        <v>#VALUE!</v>
      </c>
      <c r="V509" s="41" t="e">
        <f t="shared" si="114"/>
        <v>#VALUE!</v>
      </c>
    </row>
    <row r="510" spans="2:22" x14ac:dyDescent="0.25">
      <c r="B510" s="41" t="b">
        <f t="shared" si="115"/>
        <v>0</v>
      </c>
      <c r="C510" s="41" t="e">
        <f t="shared" si="116"/>
        <v>#VALUE!</v>
      </c>
      <c r="E510" s="45">
        <v>506</v>
      </c>
      <c r="G510" s="138"/>
      <c r="H510" s="135">
        <v>1</v>
      </c>
      <c r="I510" s="46" t="e">
        <f t="shared" si="103"/>
        <v>#VALUE!</v>
      </c>
      <c r="J510" s="41" t="e">
        <f t="shared" si="109"/>
        <v>#VALUE!</v>
      </c>
      <c r="K510" s="41" t="e">
        <f t="shared" si="110"/>
        <v>#VALUE!</v>
      </c>
      <c r="L510" s="41" t="e">
        <f t="shared" si="110"/>
        <v>#VALUE!</v>
      </c>
      <c r="M510" s="41" t="e">
        <f t="shared" si="104"/>
        <v>#VALUE!</v>
      </c>
      <c r="N510" s="41" t="e">
        <f t="shared" si="105"/>
        <v>#VALUE!</v>
      </c>
      <c r="O510" s="41">
        <f t="shared" si="106"/>
        <v>0</v>
      </c>
      <c r="Q510" s="44" t="e">
        <f t="shared" si="107"/>
        <v>#VALUE!</v>
      </c>
      <c r="R510" s="44" t="e">
        <f t="shared" si="111"/>
        <v>#VALUE!</v>
      </c>
      <c r="S510" s="44" t="e">
        <f t="shared" si="108"/>
        <v>#VALUE!</v>
      </c>
      <c r="T510" s="41" t="e">
        <f t="shared" si="112"/>
        <v>#VALUE!</v>
      </c>
      <c r="U510" s="41" t="e">
        <f t="shared" si="113"/>
        <v>#VALUE!</v>
      </c>
      <c r="V510" s="41" t="e">
        <f t="shared" si="114"/>
        <v>#VALUE!</v>
      </c>
    </row>
    <row r="511" spans="2:22" x14ac:dyDescent="0.25">
      <c r="B511" s="41" t="b">
        <f t="shared" si="115"/>
        <v>0</v>
      </c>
      <c r="C511" s="41" t="e">
        <f t="shared" si="116"/>
        <v>#VALUE!</v>
      </c>
      <c r="E511" s="45">
        <v>507</v>
      </c>
      <c r="G511" s="138"/>
      <c r="H511" s="135">
        <v>1</v>
      </c>
      <c r="I511" s="46" t="e">
        <f t="shared" si="103"/>
        <v>#VALUE!</v>
      </c>
      <c r="J511" s="41" t="e">
        <f t="shared" si="109"/>
        <v>#VALUE!</v>
      </c>
      <c r="K511" s="41" t="e">
        <f t="shared" si="110"/>
        <v>#VALUE!</v>
      </c>
      <c r="L511" s="41" t="e">
        <f t="shared" si="110"/>
        <v>#VALUE!</v>
      </c>
      <c r="M511" s="41" t="e">
        <f t="shared" si="104"/>
        <v>#VALUE!</v>
      </c>
      <c r="N511" s="41" t="e">
        <f t="shared" si="105"/>
        <v>#VALUE!</v>
      </c>
      <c r="O511" s="41">
        <f t="shared" si="106"/>
        <v>0</v>
      </c>
      <c r="Q511" s="44" t="e">
        <f t="shared" si="107"/>
        <v>#VALUE!</v>
      </c>
      <c r="R511" s="44" t="e">
        <f t="shared" si="111"/>
        <v>#VALUE!</v>
      </c>
      <c r="S511" s="44" t="e">
        <f t="shared" si="108"/>
        <v>#VALUE!</v>
      </c>
      <c r="T511" s="41" t="e">
        <f t="shared" si="112"/>
        <v>#VALUE!</v>
      </c>
      <c r="U511" s="41" t="e">
        <f t="shared" si="113"/>
        <v>#VALUE!</v>
      </c>
      <c r="V511" s="41" t="e">
        <f t="shared" si="114"/>
        <v>#VALUE!</v>
      </c>
    </row>
    <row r="512" spans="2:22" x14ac:dyDescent="0.25">
      <c r="B512" s="41" t="b">
        <f t="shared" si="115"/>
        <v>0</v>
      </c>
      <c r="C512" s="41" t="e">
        <f t="shared" si="116"/>
        <v>#VALUE!</v>
      </c>
      <c r="E512" s="45">
        <v>508</v>
      </c>
      <c r="G512" s="138"/>
      <c r="H512" s="135">
        <v>1</v>
      </c>
      <c r="I512" s="46" t="e">
        <f t="shared" si="103"/>
        <v>#VALUE!</v>
      </c>
      <c r="J512" s="41" t="e">
        <f t="shared" si="109"/>
        <v>#VALUE!</v>
      </c>
      <c r="K512" s="41" t="e">
        <f t="shared" si="110"/>
        <v>#VALUE!</v>
      </c>
      <c r="L512" s="41" t="e">
        <f t="shared" si="110"/>
        <v>#VALUE!</v>
      </c>
      <c r="M512" s="41" t="e">
        <f t="shared" si="104"/>
        <v>#VALUE!</v>
      </c>
      <c r="N512" s="41" t="e">
        <f t="shared" si="105"/>
        <v>#VALUE!</v>
      </c>
      <c r="O512" s="41">
        <f t="shared" si="106"/>
        <v>0</v>
      </c>
      <c r="Q512" s="44" t="e">
        <f t="shared" si="107"/>
        <v>#VALUE!</v>
      </c>
      <c r="R512" s="44" t="e">
        <f t="shared" si="111"/>
        <v>#VALUE!</v>
      </c>
      <c r="S512" s="44" t="e">
        <f t="shared" si="108"/>
        <v>#VALUE!</v>
      </c>
      <c r="T512" s="41" t="e">
        <f t="shared" si="112"/>
        <v>#VALUE!</v>
      </c>
      <c r="U512" s="41" t="e">
        <f t="shared" si="113"/>
        <v>#VALUE!</v>
      </c>
      <c r="V512" s="41" t="e">
        <f t="shared" si="114"/>
        <v>#VALUE!</v>
      </c>
    </row>
    <row r="513" spans="2:22" x14ac:dyDescent="0.25">
      <c r="B513" s="41" t="b">
        <f t="shared" si="115"/>
        <v>0</v>
      </c>
      <c r="C513" s="41" t="e">
        <f t="shared" si="116"/>
        <v>#VALUE!</v>
      </c>
      <c r="E513" s="45">
        <v>509</v>
      </c>
      <c r="G513" s="138"/>
      <c r="H513" s="135">
        <v>1</v>
      </c>
      <c r="I513" s="46" t="e">
        <f t="shared" si="103"/>
        <v>#VALUE!</v>
      </c>
      <c r="J513" s="41" t="e">
        <f t="shared" si="109"/>
        <v>#VALUE!</v>
      </c>
      <c r="K513" s="41" t="e">
        <f t="shared" si="110"/>
        <v>#VALUE!</v>
      </c>
      <c r="L513" s="41" t="e">
        <f t="shared" si="110"/>
        <v>#VALUE!</v>
      </c>
      <c r="M513" s="41" t="e">
        <f t="shared" si="104"/>
        <v>#VALUE!</v>
      </c>
      <c r="N513" s="41" t="e">
        <f t="shared" si="105"/>
        <v>#VALUE!</v>
      </c>
      <c r="O513" s="41">
        <f t="shared" si="106"/>
        <v>0</v>
      </c>
      <c r="Q513" s="44" t="e">
        <f t="shared" si="107"/>
        <v>#VALUE!</v>
      </c>
      <c r="R513" s="44" t="e">
        <f t="shared" si="111"/>
        <v>#VALUE!</v>
      </c>
      <c r="S513" s="44" t="e">
        <f t="shared" si="108"/>
        <v>#VALUE!</v>
      </c>
      <c r="T513" s="41" t="e">
        <f t="shared" si="112"/>
        <v>#VALUE!</v>
      </c>
      <c r="U513" s="41" t="e">
        <f t="shared" si="113"/>
        <v>#VALUE!</v>
      </c>
      <c r="V513" s="41" t="e">
        <f t="shared" si="114"/>
        <v>#VALUE!</v>
      </c>
    </row>
    <row r="514" spans="2:22" x14ac:dyDescent="0.25">
      <c r="B514" s="41" t="b">
        <f t="shared" si="115"/>
        <v>0</v>
      </c>
      <c r="C514" s="41" t="e">
        <f t="shared" si="116"/>
        <v>#VALUE!</v>
      </c>
      <c r="E514" s="45">
        <v>510</v>
      </c>
      <c r="G514" s="138"/>
      <c r="H514" s="135">
        <v>1</v>
      </c>
      <c r="I514" s="46" t="e">
        <f t="shared" si="103"/>
        <v>#VALUE!</v>
      </c>
      <c r="J514" s="41" t="e">
        <f t="shared" si="109"/>
        <v>#VALUE!</v>
      </c>
      <c r="K514" s="41" t="e">
        <f t="shared" si="110"/>
        <v>#VALUE!</v>
      </c>
      <c r="L514" s="41" t="e">
        <f t="shared" si="110"/>
        <v>#VALUE!</v>
      </c>
      <c r="M514" s="41" t="e">
        <f t="shared" si="104"/>
        <v>#VALUE!</v>
      </c>
      <c r="N514" s="41" t="e">
        <f t="shared" si="105"/>
        <v>#VALUE!</v>
      </c>
      <c r="O514" s="41">
        <f t="shared" si="106"/>
        <v>0</v>
      </c>
      <c r="Q514" s="44" t="e">
        <f t="shared" si="107"/>
        <v>#VALUE!</v>
      </c>
      <c r="R514" s="44" t="e">
        <f t="shared" si="111"/>
        <v>#VALUE!</v>
      </c>
      <c r="S514" s="44" t="e">
        <f t="shared" si="108"/>
        <v>#VALUE!</v>
      </c>
      <c r="T514" s="41" t="e">
        <f t="shared" si="112"/>
        <v>#VALUE!</v>
      </c>
      <c r="U514" s="41" t="e">
        <f t="shared" si="113"/>
        <v>#VALUE!</v>
      </c>
      <c r="V514" s="41" t="e">
        <f t="shared" si="114"/>
        <v>#VALUE!</v>
      </c>
    </row>
    <row r="515" spans="2:22" x14ac:dyDescent="0.25">
      <c r="B515" s="41" t="b">
        <f t="shared" si="115"/>
        <v>0</v>
      </c>
      <c r="C515" s="41" t="e">
        <f t="shared" si="116"/>
        <v>#VALUE!</v>
      </c>
      <c r="E515" s="45">
        <v>511</v>
      </c>
      <c r="G515" s="138"/>
      <c r="H515" s="135">
        <v>1</v>
      </c>
      <c r="I515" s="46" t="e">
        <f t="shared" si="103"/>
        <v>#VALUE!</v>
      </c>
      <c r="J515" s="41" t="e">
        <f t="shared" si="109"/>
        <v>#VALUE!</v>
      </c>
      <c r="K515" s="41" t="e">
        <f t="shared" si="110"/>
        <v>#VALUE!</v>
      </c>
      <c r="L515" s="41" t="e">
        <f t="shared" si="110"/>
        <v>#VALUE!</v>
      </c>
      <c r="M515" s="41" t="e">
        <f t="shared" si="104"/>
        <v>#VALUE!</v>
      </c>
      <c r="N515" s="41" t="e">
        <f t="shared" si="105"/>
        <v>#VALUE!</v>
      </c>
      <c r="O515" s="41">
        <f t="shared" si="106"/>
        <v>0</v>
      </c>
      <c r="Q515" s="44" t="e">
        <f t="shared" si="107"/>
        <v>#VALUE!</v>
      </c>
      <c r="R515" s="44" t="e">
        <f t="shared" si="111"/>
        <v>#VALUE!</v>
      </c>
      <c r="S515" s="44" t="e">
        <f t="shared" si="108"/>
        <v>#VALUE!</v>
      </c>
      <c r="T515" s="41" t="e">
        <f t="shared" si="112"/>
        <v>#VALUE!</v>
      </c>
      <c r="U515" s="41" t="e">
        <f t="shared" si="113"/>
        <v>#VALUE!</v>
      </c>
      <c r="V515" s="41" t="e">
        <f t="shared" si="114"/>
        <v>#VALUE!</v>
      </c>
    </row>
    <row r="516" spans="2:22" x14ac:dyDescent="0.25">
      <c r="B516" s="41" t="b">
        <f t="shared" si="115"/>
        <v>0</v>
      </c>
      <c r="C516" s="41" t="e">
        <f t="shared" si="116"/>
        <v>#VALUE!</v>
      </c>
      <c r="E516" s="45">
        <v>512</v>
      </c>
      <c r="G516" s="138"/>
      <c r="H516" s="135">
        <v>1</v>
      </c>
      <c r="I516" s="46" t="e">
        <f t="shared" ref="I516:I579" si="117">RIGHT(G516,J516)</f>
        <v>#VALUE!</v>
      </c>
      <c r="J516" s="41" t="e">
        <f t="shared" si="109"/>
        <v>#VALUE!</v>
      </c>
      <c r="K516" s="41" t="e">
        <f t="shared" si="110"/>
        <v>#VALUE!</v>
      </c>
      <c r="L516" s="41" t="e">
        <f t="shared" si="110"/>
        <v>#VALUE!</v>
      </c>
      <c r="M516" s="41" t="e">
        <f t="shared" ref="M516:M579" si="118">SEARCH("-",G516,2)</f>
        <v>#VALUE!</v>
      </c>
      <c r="N516" s="41" t="e">
        <f t="shared" ref="N516:N579" si="119">SEARCH("-",G516,M516+1)</f>
        <v>#VALUE!</v>
      </c>
      <c r="O516" s="41">
        <f t="shared" ref="O516:O579" si="120">LEN(G516)</f>
        <v>0</v>
      </c>
      <c r="Q516" s="44" t="e">
        <f t="shared" ref="Q516:Q579" si="121">LEFT(G516,M516-1)</f>
        <v>#VALUE!</v>
      </c>
      <c r="R516" s="44" t="e">
        <f t="shared" si="111"/>
        <v>#VALUE!</v>
      </c>
      <c r="S516" s="44" t="e">
        <f t="shared" ref="S516:S579" si="122">RIGHT(G516,L516)</f>
        <v>#VALUE!</v>
      </c>
      <c r="T516" s="41" t="e">
        <f t="shared" si="112"/>
        <v>#VALUE!</v>
      </c>
      <c r="U516" s="41" t="e">
        <f t="shared" si="113"/>
        <v>#VALUE!</v>
      </c>
      <c r="V516" s="41" t="e">
        <f t="shared" si="114"/>
        <v>#VALUE!</v>
      </c>
    </row>
    <row r="517" spans="2:22" x14ac:dyDescent="0.25">
      <c r="B517" s="41" t="b">
        <f t="shared" si="115"/>
        <v>0</v>
      </c>
      <c r="C517" s="41" t="e">
        <f t="shared" si="116"/>
        <v>#VALUE!</v>
      </c>
      <c r="E517" s="45">
        <v>513</v>
      </c>
      <c r="G517" s="138"/>
      <c r="H517" s="135">
        <v>1</v>
      </c>
      <c r="I517" s="46" t="e">
        <f t="shared" si="117"/>
        <v>#VALUE!</v>
      </c>
      <c r="J517" s="41" t="e">
        <f t="shared" ref="J517:J580" si="123">O517-M517</f>
        <v>#VALUE!</v>
      </c>
      <c r="K517" s="41" t="e">
        <f t="shared" ref="K517:L580" si="124">N517-M517</f>
        <v>#VALUE!</v>
      </c>
      <c r="L517" s="41" t="e">
        <f t="shared" si="124"/>
        <v>#VALUE!</v>
      </c>
      <c r="M517" s="41" t="e">
        <f t="shared" si="118"/>
        <v>#VALUE!</v>
      </c>
      <c r="N517" s="41" t="e">
        <f t="shared" si="119"/>
        <v>#VALUE!</v>
      </c>
      <c r="O517" s="41">
        <f t="shared" si="120"/>
        <v>0</v>
      </c>
      <c r="Q517" s="44" t="e">
        <f t="shared" si="121"/>
        <v>#VALUE!</v>
      </c>
      <c r="R517" s="44" t="e">
        <f t="shared" ref="R517:R580" si="125">LEFT(I517,K517-1)</f>
        <v>#VALUE!</v>
      </c>
      <c r="S517" s="44" t="e">
        <f t="shared" si="122"/>
        <v>#VALUE!</v>
      </c>
      <c r="T517" s="41" t="e">
        <f t="shared" ref="T517:T580" si="126">Q517*1*H517</f>
        <v>#VALUE!</v>
      </c>
      <c r="U517" s="41" t="e">
        <f t="shared" ref="U517:U580" si="127">R517*1*H517</f>
        <v>#VALUE!</v>
      </c>
      <c r="V517" s="41" t="e">
        <f t="shared" ref="V517:V580" si="128">S517*1*H517</f>
        <v>#VALUE!</v>
      </c>
    </row>
    <row r="518" spans="2:22" x14ac:dyDescent="0.25">
      <c r="B518" s="41" t="b">
        <f t="shared" si="115"/>
        <v>0</v>
      </c>
      <c r="C518" s="41" t="e">
        <f t="shared" si="116"/>
        <v>#VALUE!</v>
      </c>
      <c r="E518" s="45">
        <v>514</v>
      </c>
      <c r="G518" s="138"/>
      <c r="H518" s="135">
        <v>1</v>
      </c>
      <c r="I518" s="46" t="e">
        <f t="shared" si="117"/>
        <v>#VALUE!</v>
      </c>
      <c r="J518" s="41" t="e">
        <f t="shared" si="123"/>
        <v>#VALUE!</v>
      </c>
      <c r="K518" s="41" t="e">
        <f t="shared" si="124"/>
        <v>#VALUE!</v>
      </c>
      <c r="L518" s="41" t="e">
        <f t="shared" si="124"/>
        <v>#VALUE!</v>
      </c>
      <c r="M518" s="41" t="e">
        <f t="shared" si="118"/>
        <v>#VALUE!</v>
      </c>
      <c r="N518" s="41" t="e">
        <f t="shared" si="119"/>
        <v>#VALUE!</v>
      </c>
      <c r="O518" s="41">
        <f t="shared" si="120"/>
        <v>0</v>
      </c>
      <c r="Q518" s="44" t="e">
        <f t="shared" si="121"/>
        <v>#VALUE!</v>
      </c>
      <c r="R518" s="44" t="e">
        <f t="shared" si="125"/>
        <v>#VALUE!</v>
      </c>
      <c r="S518" s="44" t="e">
        <f t="shared" si="122"/>
        <v>#VALUE!</v>
      </c>
      <c r="T518" s="41" t="e">
        <f t="shared" si="126"/>
        <v>#VALUE!</v>
      </c>
      <c r="U518" s="41" t="e">
        <f t="shared" si="127"/>
        <v>#VALUE!</v>
      </c>
      <c r="V518" s="41" t="e">
        <f t="shared" si="128"/>
        <v>#VALUE!</v>
      </c>
    </row>
    <row r="519" spans="2:22" x14ac:dyDescent="0.25">
      <c r="B519" s="41" t="b">
        <f t="shared" si="115"/>
        <v>0</v>
      </c>
      <c r="C519" s="41" t="e">
        <f t="shared" si="116"/>
        <v>#VALUE!</v>
      </c>
      <c r="E519" s="45">
        <v>515</v>
      </c>
      <c r="G519" s="138"/>
      <c r="H519" s="135">
        <v>1</v>
      </c>
      <c r="I519" s="46" t="e">
        <f t="shared" si="117"/>
        <v>#VALUE!</v>
      </c>
      <c r="J519" s="41" t="e">
        <f t="shared" si="123"/>
        <v>#VALUE!</v>
      </c>
      <c r="K519" s="41" t="e">
        <f t="shared" si="124"/>
        <v>#VALUE!</v>
      </c>
      <c r="L519" s="41" t="e">
        <f t="shared" si="124"/>
        <v>#VALUE!</v>
      </c>
      <c r="M519" s="41" t="e">
        <f t="shared" si="118"/>
        <v>#VALUE!</v>
      </c>
      <c r="N519" s="41" t="e">
        <f t="shared" si="119"/>
        <v>#VALUE!</v>
      </c>
      <c r="O519" s="41">
        <f t="shared" si="120"/>
        <v>0</v>
      </c>
      <c r="Q519" s="44" t="e">
        <f t="shared" si="121"/>
        <v>#VALUE!</v>
      </c>
      <c r="R519" s="44" t="e">
        <f t="shared" si="125"/>
        <v>#VALUE!</v>
      </c>
      <c r="S519" s="44" t="e">
        <f t="shared" si="122"/>
        <v>#VALUE!</v>
      </c>
      <c r="T519" s="41" t="e">
        <f t="shared" si="126"/>
        <v>#VALUE!</v>
      </c>
      <c r="U519" s="41" t="e">
        <f t="shared" si="127"/>
        <v>#VALUE!</v>
      </c>
      <c r="V519" s="41" t="e">
        <f t="shared" si="128"/>
        <v>#VALUE!</v>
      </c>
    </row>
    <row r="520" spans="2:22" x14ac:dyDescent="0.25">
      <c r="B520" s="41" t="b">
        <f t="shared" si="115"/>
        <v>0</v>
      </c>
      <c r="C520" s="41" t="e">
        <f t="shared" si="116"/>
        <v>#VALUE!</v>
      </c>
      <c r="E520" s="45">
        <v>516</v>
      </c>
      <c r="G520" s="138"/>
      <c r="H520" s="135">
        <v>1</v>
      </c>
      <c r="I520" s="46" t="e">
        <f t="shared" si="117"/>
        <v>#VALUE!</v>
      </c>
      <c r="J520" s="41" t="e">
        <f t="shared" si="123"/>
        <v>#VALUE!</v>
      </c>
      <c r="K520" s="41" t="e">
        <f t="shared" si="124"/>
        <v>#VALUE!</v>
      </c>
      <c r="L520" s="41" t="e">
        <f t="shared" si="124"/>
        <v>#VALUE!</v>
      </c>
      <c r="M520" s="41" t="e">
        <f t="shared" si="118"/>
        <v>#VALUE!</v>
      </c>
      <c r="N520" s="41" t="e">
        <f t="shared" si="119"/>
        <v>#VALUE!</v>
      </c>
      <c r="O520" s="41">
        <f t="shared" si="120"/>
        <v>0</v>
      </c>
      <c r="Q520" s="44" t="e">
        <f t="shared" si="121"/>
        <v>#VALUE!</v>
      </c>
      <c r="R520" s="44" t="e">
        <f t="shared" si="125"/>
        <v>#VALUE!</v>
      </c>
      <c r="S520" s="44" t="e">
        <f t="shared" si="122"/>
        <v>#VALUE!</v>
      </c>
      <c r="T520" s="41" t="e">
        <f t="shared" si="126"/>
        <v>#VALUE!</v>
      </c>
      <c r="U520" s="41" t="e">
        <f t="shared" si="127"/>
        <v>#VALUE!</v>
      </c>
      <c r="V520" s="41" t="e">
        <f t="shared" si="128"/>
        <v>#VALUE!</v>
      </c>
    </row>
    <row r="521" spans="2:22" x14ac:dyDescent="0.25">
      <c r="B521" s="41" t="b">
        <f t="shared" si="115"/>
        <v>0</v>
      </c>
      <c r="C521" s="41" t="e">
        <f t="shared" si="116"/>
        <v>#VALUE!</v>
      </c>
      <c r="E521" s="45">
        <v>517</v>
      </c>
      <c r="G521" s="138"/>
      <c r="H521" s="135">
        <v>1</v>
      </c>
      <c r="I521" s="46" t="e">
        <f t="shared" si="117"/>
        <v>#VALUE!</v>
      </c>
      <c r="J521" s="41" t="e">
        <f t="shared" si="123"/>
        <v>#VALUE!</v>
      </c>
      <c r="K521" s="41" t="e">
        <f t="shared" si="124"/>
        <v>#VALUE!</v>
      </c>
      <c r="L521" s="41" t="e">
        <f t="shared" si="124"/>
        <v>#VALUE!</v>
      </c>
      <c r="M521" s="41" t="e">
        <f t="shared" si="118"/>
        <v>#VALUE!</v>
      </c>
      <c r="N521" s="41" t="e">
        <f t="shared" si="119"/>
        <v>#VALUE!</v>
      </c>
      <c r="O521" s="41">
        <f t="shared" si="120"/>
        <v>0</v>
      </c>
      <c r="Q521" s="44" t="e">
        <f t="shared" si="121"/>
        <v>#VALUE!</v>
      </c>
      <c r="R521" s="44" t="e">
        <f t="shared" si="125"/>
        <v>#VALUE!</v>
      </c>
      <c r="S521" s="44" t="e">
        <f t="shared" si="122"/>
        <v>#VALUE!</v>
      </c>
      <c r="T521" s="41" t="e">
        <f t="shared" si="126"/>
        <v>#VALUE!</v>
      </c>
      <c r="U521" s="41" t="e">
        <f t="shared" si="127"/>
        <v>#VALUE!</v>
      </c>
      <c r="V521" s="41" t="e">
        <f t="shared" si="128"/>
        <v>#VALUE!</v>
      </c>
    </row>
    <row r="522" spans="2:22" x14ac:dyDescent="0.25">
      <c r="B522" s="41" t="b">
        <f t="shared" si="115"/>
        <v>0</v>
      </c>
      <c r="C522" s="41" t="e">
        <f t="shared" si="116"/>
        <v>#VALUE!</v>
      </c>
      <c r="E522" s="45">
        <v>518</v>
      </c>
      <c r="G522" s="138"/>
      <c r="H522" s="135">
        <v>1</v>
      </c>
      <c r="I522" s="46" t="e">
        <f t="shared" si="117"/>
        <v>#VALUE!</v>
      </c>
      <c r="J522" s="41" t="e">
        <f t="shared" si="123"/>
        <v>#VALUE!</v>
      </c>
      <c r="K522" s="41" t="e">
        <f t="shared" si="124"/>
        <v>#VALUE!</v>
      </c>
      <c r="L522" s="41" t="e">
        <f t="shared" si="124"/>
        <v>#VALUE!</v>
      </c>
      <c r="M522" s="41" t="e">
        <f t="shared" si="118"/>
        <v>#VALUE!</v>
      </c>
      <c r="N522" s="41" t="e">
        <f t="shared" si="119"/>
        <v>#VALUE!</v>
      </c>
      <c r="O522" s="41">
        <f t="shared" si="120"/>
        <v>0</v>
      </c>
      <c r="Q522" s="44" t="e">
        <f t="shared" si="121"/>
        <v>#VALUE!</v>
      </c>
      <c r="R522" s="44" t="e">
        <f t="shared" si="125"/>
        <v>#VALUE!</v>
      </c>
      <c r="S522" s="44" t="e">
        <f t="shared" si="122"/>
        <v>#VALUE!</v>
      </c>
      <c r="T522" s="41" t="e">
        <f t="shared" si="126"/>
        <v>#VALUE!</v>
      </c>
      <c r="U522" s="41" t="e">
        <f t="shared" si="127"/>
        <v>#VALUE!</v>
      </c>
      <c r="V522" s="41" t="e">
        <f t="shared" si="128"/>
        <v>#VALUE!</v>
      </c>
    </row>
    <row r="523" spans="2:22" x14ac:dyDescent="0.25">
      <c r="B523" s="41" t="b">
        <f t="shared" si="115"/>
        <v>0</v>
      </c>
      <c r="C523" s="41" t="e">
        <f t="shared" si="116"/>
        <v>#VALUE!</v>
      </c>
      <c r="E523" s="45">
        <v>519</v>
      </c>
      <c r="G523" s="138"/>
      <c r="H523" s="135">
        <v>1</v>
      </c>
      <c r="I523" s="46" t="e">
        <f t="shared" si="117"/>
        <v>#VALUE!</v>
      </c>
      <c r="J523" s="41" t="e">
        <f t="shared" si="123"/>
        <v>#VALUE!</v>
      </c>
      <c r="K523" s="41" t="e">
        <f t="shared" si="124"/>
        <v>#VALUE!</v>
      </c>
      <c r="L523" s="41" t="e">
        <f t="shared" si="124"/>
        <v>#VALUE!</v>
      </c>
      <c r="M523" s="41" t="e">
        <f t="shared" si="118"/>
        <v>#VALUE!</v>
      </c>
      <c r="N523" s="41" t="e">
        <f t="shared" si="119"/>
        <v>#VALUE!</v>
      </c>
      <c r="O523" s="41">
        <f t="shared" si="120"/>
        <v>0</v>
      </c>
      <c r="Q523" s="44" t="e">
        <f t="shared" si="121"/>
        <v>#VALUE!</v>
      </c>
      <c r="R523" s="44" t="e">
        <f t="shared" si="125"/>
        <v>#VALUE!</v>
      </c>
      <c r="S523" s="44" t="e">
        <f t="shared" si="122"/>
        <v>#VALUE!</v>
      </c>
      <c r="T523" s="41" t="e">
        <f t="shared" si="126"/>
        <v>#VALUE!</v>
      </c>
      <c r="U523" s="41" t="e">
        <f t="shared" si="127"/>
        <v>#VALUE!</v>
      </c>
      <c r="V523" s="41" t="e">
        <f t="shared" si="128"/>
        <v>#VALUE!</v>
      </c>
    </row>
    <row r="524" spans="2:22" x14ac:dyDescent="0.25">
      <c r="B524" s="41" t="b">
        <f t="shared" si="115"/>
        <v>0</v>
      </c>
      <c r="C524" s="41" t="e">
        <f t="shared" si="116"/>
        <v>#VALUE!</v>
      </c>
      <c r="E524" s="45">
        <v>520</v>
      </c>
      <c r="G524" s="138"/>
      <c r="H524" s="135">
        <v>1</v>
      </c>
      <c r="I524" s="46" t="e">
        <f t="shared" si="117"/>
        <v>#VALUE!</v>
      </c>
      <c r="J524" s="41" t="e">
        <f t="shared" si="123"/>
        <v>#VALUE!</v>
      </c>
      <c r="K524" s="41" t="e">
        <f t="shared" si="124"/>
        <v>#VALUE!</v>
      </c>
      <c r="L524" s="41" t="e">
        <f t="shared" si="124"/>
        <v>#VALUE!</v>
      </c>
      <c r="M524" s="41" t="e">
        <f t="shared" si="118"/>
        <v>#VALUE!</v>
      </c>
      <c r="N524" s="41" t="e">
        <f t="shared" si="119"/>
        <v>#VALUE!</v>
      </c>
      <c r="O524" s="41">
        <f t="shared" si="120"/>
        <v>0</v>
      </c>
      <c r="Q524" s="44" t="e">
        <f t="shared" si="121"/>
        <v>#VALUE!</v>
      </c>
      <c r="R524" s="44" t="e">
        <f t="shared" si="125"/>
        <v>#VALUE!</v>
      </c>
      <c r="S524" s="44" t="e">
        <f t="shared" si="122"/>
        <v>#VALUE!</v>
      </c>
      <c r="T524" s="41" t="e">
        <f t="shared" si="126"/>
        <v>#VALUE!</v>
      </c>
      <c r="U524" s="41" t="e">
        <f t="shared" si="127"/>
        <v>#VALUE!</v>
      </c>
      <c r="V524" s="41" t="e">
        <f t="shared" si="128"/>
        <v>#VALUE!</v>
      </c>
    </row>
    <row r="525" spans="2:22" x14ac:dyDescent="0.25">
      <c r="B525" s="41" t="b">
        <f t="shared" si="115"/>
        <v>0</v>
      </c>
      <c r="C525" s="41" t="e">
        <f t="shared" si="116"/>
        <v>#VALUE!</v>
      </c>
      <c r="E525" s="45">
        <v>521</v>
      </c>
      <c r="G525" s="138"/>
      <c r="H525" s="135">
        <v>1</v>
      </c>
      <c r="I525" s="46" t="e">
        <f t="shared" si="117"/>
        <v>#VALUE!</v>
      </c>
      <c r="J525" s="41" t="e">
        <f t="shared" si="123"/>
        <v>#VALUE!</v>
      </c>
      <c r="K525" s="41" t="e">
        <f t="shared" si="124"/>
        <v>#VALUE!</v>
      </c>
      <c r="L525" s="41" t="e">
        <f t="shared" si="124"/>
        <v>#VALUE!</v>
      </c>
      <c r="M525" s="41" t="e">
        <f t="shared" si="118"/>
        <v>#VALUE!</v>
      </c>
      <c r="N525" s="41" t="e">
        <f t="shared" si="119"/>
        <v>#VALUE!</v>
      </c>
      <c r="O525" s="41">
        <f t="shared" si="120"/>
        <v>0</v>
      </c>
      <c r="Q525" s="44" t="e">
        <f t="shared" si="121"/>
        <v>#VALUE!</v>
      </c>
      <c r="R525" s="44" t="e">
        <f t="shared" si="125"/>
        <v>#VALUE!</v>
      </c>
      <c r="S525" s="44" t="e">
        <f t="shared" si="122"/>
        <v>#VALUE!</v>
      </c>
      <c r="T525" s="41" t="e">
        <f t="shared" si="126"/>
        <v>#VALUE!</v>
      </c>
      <c r="U525" s="41" t="e">
        <f t="shared" si="127"/>
        <v>#VALUE!</v>
      </c>
      <c r="V525" s="41" t="e">
        <f t="shared" si="128"/>
        <v>#VALUE!</v>
      </c>
    </row>
    <row r="526" spans="2:22" x14ac:dyDescent="0.25">
      <c r="B526" s="41" t="b">
        <f t="shared" ref="B526:B589" si="129">ISNUMBER(C526)</f>
        <v>0</v>
      </c>
      <c r="C526" s="41" t="e">
        <f t="shared" si="116"/>
        <v>#VALUE!</v>
      </c>
      <c r="E526" s="45">
        <v>522</v>
      </c>
      <c r="G526" s="138"/>
      <c r="H526" s="135">
        <v>1</v>
      </c>
      <c r="I526" s="46" t="e">
        <f t="shared" si="117"/>
        <v>#VALUE!</v>
      </c>
      <c r="J526" s="41" t="e">
        <f t="shared" si="123"/>
        <v>#VALUE!</v>
      </c>
      <c r="K526" s="41" t="e">
        <f t="shared" si="124"/>
        <v>#VALUE!</v>
      </c>
      <c r="L526" s="41" t="e">
        <f t="shared" si="124"/>
        <v>#VALUE!</v>
      </c>
      <c r="M526" s="41" t="e">
        <f t="shared" si="118"/>
        <v>#VALUE!</v>
      </c>
      <c r="N526" s="41" t="e">
        <f t="shared" si="119"/>
        <v>#VALUE!</v>
      </c>
      <c r="O526" s="41">
        <f t="shared" si="120"/>
        <v>0</v>
      </c>
      <c r="Q526" s="44" t="e">
        <f t="shared" si="121"/>
        <v>#VALUE!</v>
      </c>
      <c r="R526" s="44" t="e">
        <f t="shared" si="125"/>
        <v>#VALUE!</v>
      </c>
      <c r="S526" s="44" t="e">
        <f t="shared" si="122"/>
        <v>#VALUE!</v>
      </c>
      <c r="T526" s="41" t="e">
        <f t="shared" si="126"/>
        <v>#VALUE!</v>
      </c>
      <c r="U526" s="41" t="e">
        <f t="shared" si="127"/>
        <v>#VALUE!</v>
      </c>
      <c r="V526" s="41" t="e">
        <f t="shared" si="128"/>
        <v>#VALUE!</v>
      </c>
    </row>
    <row r="527" spans="2:22" x14ac:dyDescent="0.25">
      <c r="B527" s="41" t="b">
        <f t="shared" si="129"/>
        <v>0</v>
      </c>
      <c r="C527" s="41" t="e">
        <f t="shared" si="116"/>
        <v>#VALUE!</v>
      </c>
      <c r="E527" s="45">
        <v>523</v>
      </c>
      <c r="G527" s="138"/>
      <c r="H527" s="135">
        <v>1</v>
      </c>
      <c r="I527" s="46" t="e">
        <f t="shared" si="117"/>
        <v>#VALUE!</v>
      </c>
      <c r="J527" s="41" t="e">
        <f t="shared" si="123"/>
        <v>#VALUE!</v>
      </c>
      <c r="K527" s="41" t="e">
        <f t="shared" si="124"/>
        <v>#VALUE!</v>
      </c>
      <c r="L527" s="41" t="e">
        <f t="shared" si="124"/>
        <v>#VALUE!</v>
      </c>
      <c r="M527" s="41" t="e">
        <f t="shared" si="118"/>
        <v>#VALUE!</v>
      </c>
      <c r="N527" s="41" t="e">
        <f t="shared" si="119"/>
        <v>#VALUE!</v>
      </c>
      <c r="O527" s="41">
        <f t="shared" si="120"/>
        <v>0</v>
      </c>
      <c r="Q527" s="44" t="e">
        <f t="shared" si="121"/>
        <v>#VALUE!</v>
      </c>
      <c r="R527" s="44" t="e">
        <f t="shared" si="125"/>
        <v>#VALUE!</v>
      </c>
      <c r="S527" s="44" t="e">
        <f t="shared" si="122"/>
        <v>#VALUE!</v>
      </c>
      <c r="T527" s="41" t="e">
        <f t="shared" si="126"/>
        <v>#VALUE!</v>
      </c>
      <c r="U527" s="41" t="e">
        <f t="shared" si="127"/>
        <v>#VALUE!</v>
      </c>
      <c r="V527" s="41" t="e">
        <f t="shared" si="128"/>
        <v>#VALUE!</v>
      </c>
    </row>
    <row r="528" spans="2:22" x14ac:dyDescent="0.25">
      <c r="B528" s="41" t="b">
        <f t="shared" si="129"/>
        <v>0</v>
      </c>
      <c r="C528" s="41" t="e">
        <f t="shared" si="116"/>
        <v>#VALUE!</v>
      </c>
      <c r="E528" s="45">
        <v>524</v>
      </c>
      <c r="G528" s="138"/>
      <c r="H528" s="135">
        <v>1</v>
      </c>
      <c r="I528" s="46" t="e">
        <f t="shared" si="117"/>
        <v>#VALUE!</v>
      </c>
      <c r="J528" s="41" t="e">
        <f t="shared" si="123"/>
        <v>#VALUE!</v>
      </c>
      <c r="K528" s="41" t="e">
        <f t="shared" si="124"/>
        <v>#VALUE!</v>
      </c>
      <c r="L528" s="41" t="e">
        <f t="shared" si="124"/>
        <v>#VALUE!</v>
      </c>
      <c r="M528" s="41" t="e">
        <f t="shared" si="118"/>
        <v>#VALUE!</v>
      </c>
      <c r="N528" s="41" t="e">
        <f t="shared" si="119"/>
        <v>#VALUE!</v>
      </c>
      <c r="O528" s="41">
        <f t="shared" si="120"/>
        <v>0</v>
      </c>
      <c r="Q528" s="44" t="e">
        <f t="shared" si="121"/>
        <v>#VALUE!</v>
      </c>
      <c r="R528" s="44" t="e">
        <f t="shared" si="125"/>
        <v>#VALUE!</v>
      </c>
      <c r="S528" s="44" t="e">
        <f t="shared" si="122"/>
        <v>#VALUE!</v>
      </c>
      <c r="T528" s="41" t="e">
        <f t="shared" si="126"/>
        <v>#VALUE!</v>
      </c>
      <c r="U528" s="41" t="e">
        <f t="shared" si="127"/>
        <v>#VALUE!</v>
      </c>
      <c r="V528" s="41" t="e">
        <f t="shared" si="128"/>
        <v>#VALUE!</v>
      </c>
    </row>
    <row r="529" spans="2:22" x14ac:dyDescent="0.25">
      <c r="B529" s="41" t="b">
        <f t="shared" si="129"/>
        <v>0</v>
      </c>
      <c r="C529" s="41" t="e">
        <f t="shared" si="116"/>
        <v>#VALUE!</v>
      </c>
      <c r="E529" s="45">
        <v>525</v>
      </c>
      <c r="G529" s="138"/>
      <c r="H529" s="135">
        <v>1</v>
      </c>
      <c r="I529" s="46" t="e">
        <f t="shared" si="117"/>
        <v>#VALUE!</v>
      </c>
      <c r="J529" s="41" t="e">
        <f t="shared" si="123"/>
        <v>#VALUE!</v>
      </c>
      <c r="K529" s="41" t="e">
        <f t="shared" si="124"/>
        <v>#VALUE!</v>
      </c>
      <c r="L529" s="41" t="e">
        <f t="shared" si="124"/>
        <v>#VALUE!</v>
      </c>
      <c r="M529" s="41" t="e">
        <f t="shared" si="118"/>
        <v>#VALUE!</v>
      </c>
      <c r="N529" s="41" t="e">
        <f t="shared" si="119"/>
        <v>#VALUE!</v>
      </c>
      <c r="O529" s="41">
        <f t="shared" si="120"/>
        <v>0</v>
      </c>
      <c r="Q529" s="44" t="e">
        <f t="shared" si="121"/>
        <v>#VALUE!</v>
      </c>
      <c r="R529" s="44" t="e">
        <f t="shared" si="125"/>
        <v>#VALUE!</v>
      </c>
      <c r="S529" s="44" t="e">
        <f t="shared" si="122"/>
        <v>#VALUE!</v>
      </c>
      <c r="T529" s="41" t="e">
        <f t="shared" si="126"/>
        <v>#VALUE!</v>
      </c>
      <c r="U529" s="41" t="e">
        <f t="shared" si="127"/>
        <v>#VALUE!</v>
      </c>
      <c r="V529" s="41" t="e">
        <f t="shared" si="128"/>
        <v>#VALUE!</v>
      </c>
    </row>
    <row r="530" spans="2:22" x14ac:dyDescent="0.25">
      <c r="B530" s="41" t="b">
        <f t="shared" si="129"/>
        <v>0</v>
      </c>
      <c r="C530" s="41" t="e">
        <f t="shared" si="116"/>
        <v>#VALUE!</v>
      </c>
      <c r="E530" s="45">
        <v>526</v>
      </c>
      <c r="G530" s="138"/>
      <c r="H530" s="135">
        <v>1</v>
      </c>
      <c r="I530" s="46" t="e">
        <f t="shared" si="117"/>
        <v>#VALUE!</v>
      </c>
      <c r="J530" s="41" t="e">
        <f t="shared" si="123"/>
        <v>#VALUE!</v>
      </c>
      <c r="K530" s="41" t="e">
        <f t="shared" si="124"/>
        <v>#VALUE!</v>
      </c>
      <c r="L530" s="41" t="e">
        <f t="shared" si="124"/>
        <v>#VALUE!</v>
      </c>
      <c r="M530" s="41" t="e">
        <f t="shared" si="118"/>
        <v>#VALUE!</v>
      </c>
      <c r="N530" s="41" t="e">
        <f t="shared" si="119"/>
        <v>#VALUE!</v>
      </c>
      <c r="O530" s="41">
        <f t="shared" si="120"/>
        <v>0</v>
      </c>
      <c r="Q530" s="44" t="e">
        <f t="shared" si="121"/>
        <v>#VALUE!</v>
      </c>
      <c r="R530" s="44" t="e">
        <f t="shared" si="125"/>
        <v>#VALUE!</v>
      </c>
      <c r="S530" s="44" t="e">
        <f t="shared" si="122"/>
        <v>#VALUE!</v>
      </c>
      <c r="T530" s="41" t="e">
        <f t="shared" si="126"/>
        <v>#VALUE!</v>
      </c>
      <c r="U530" s="41" t="e">
        <f t="shared" si="127"/>
        <v>#VALUE!</v>
      </c>
      <c r="V530" s="41" t="e">
        <f t="shared" si="128"/>
        <v>#VALUE!</v>
      </c>
    </row>
    <row r="531" spans="2:22" x14ac:dyDescent="0.25">
      <c r="B531" s="41" t="b">
        <f t="shared" si="129"/>
        <v>0</v>
      </c>
      <c r="C531" s="41" t="e">
        <f t="shared" si="116"/>
        <v>#VALUE!</v>
      </c>
      <c r="E531" s="45">
        <v>527</v>
      </c>
      <c r="G531" s="138"/>
      <c r="H531" s="135">
        <v>1</v>
      </c>
      <c r="I531" s="46" t="e">
        <f t="shared" si="117"/>
        <v>#VALUE!</v>
      </c>
      <c r="J531" s="41" t="e">
        <f t="shared" si="123"/>
        <v>#VALUE!</v>
      </c>
      <c r="K531" s="41" t="e">
        <f t="shared" si="124"/>
        <v>#VALUE!</v>
      </c>
      <c r="L531" s="41" t="e">
        <f t="shared" si="124"/>
        <v>#VALUE!</v>
      </c>
      <c r="M531" s="41" t="e">
        <f t="shared" si="118"/>
        <v>#VALUE!</v>
      </c>
      <c r="N531" s="41" t="e">
        <f t="shared" si="119"/>
        <v>#VALUE!</v>
      </c>
      <c r="O531" s="41">
        <f t="shared" si="120"/>
        <v>0</v>
      </c>
      <c r="Q531" s="44" t="e">
        <f t="shared" si="121"/>
        <v>#VALUE!</v>
      </c>
      <c r="R531" s="44" t="e">
        <f t="shared" si="125"/>
        <v>#VALUE!</v>
      </c>
      <c r="S531" s="44" t="e">
        <f t="shared" si="122"/>
        <v>#VALUE!</v>
      </c>
      <c r="T531" s="41" t="e">
        <f t="shared" si="126"/>
        <v>#VALUE!</v>
      </c>
      <c r="U531" s="41" t="e">
        <f t="shared" si="127"/>
        <v>#VALUE!</v>
      </c>
      <c r="V531" s="41" t="e">
        <f t="shared" si="128"/>
        <v>#VALUE!</v>
      </c>
    </row>
    <row r="532" spans="2:22" x14ac:dyDescent="0.25">
      <c r="B532" s="41" t="b">
        <f t="shared" si="129"/>
        <v>0</v>
      </c>
      <c r="C532" s="41" t="e">
        <f t="shared" si="116"/>
        <v>#VALUE!</v>
      </c>
      <c r="E532" s="45">
        <v>528</v>
      </c>
      <c r="G532" s="138"/>
      <c r="H532" s="135">
        <v>1</v>
      </c>
      <c r="I532" s="46" t="e">
        <f t="shared" si="117"/>
        <v>#VALUE!</v>
      </c>
      <c r="J532" s="41" t="e">
        <f t="shared" si="123"/>
        <v>#VALUE!</v>
      </c>
      <c r="K532" s="41" t="e">
        <f t="shared" si="124"/>
        <v>#VALUE!</v>
      </c>
      <c r="L532" s="41" t="e">
        <f t="shared" si="124"/>
        <v>#VALUE!</v>
      </c>
      <c r="M532" s="41" t="e">
        <f t="shared" si="118"/>
        <v>#VALUE!</v>
      </c>
      <c r="N532" s="41" t="e">
        <f t="shared" si="119"/>
        <v>#VALUE!</v>
      </c>
      <c r="O532" s="41">
        <f t="shared" si="120"/>
        <v>0</v>
      </c>
      <c r="Q532" s="44" t="e">
        <f t="shared" si="121"/>
        <v>#VALUE!</v>
      </c>
      <c r="R532" s="44" t="e">
        <f t="shared" si="125"/>
        <v>#VALUE!</v>
      </c>
      <c r="S532" s="44" t="e">
        <f t="shared" si="122"/>
        <v>#VALUE!</v>
      </c>
      <c r="T532" s="41" t="e">
        <f t="shared" si="126"/>
        <v>#VALUE!</v>
      </c>
      <c r="U532" s="41" t="e">
        <f t="shared" si="127"/>
        <v>#VALUE!</v>
      </c>
      <c r="V532" s="41" t="e">
        <f t="shared" si="128"/>
        <v>#VALUE!</v>
      </c>
    </row>
    <row r="533" spans="2:22" x14ac:dyDescent="0.25">
      <c r="B533" s="41" t="b">
        <f t="shared" si="129"/>
        <v>0</v>
      </c>
      <c r="C533" s="41" t="e">
        <f t="shared" si="116"/>
        <v>#VALUE!</v>
      </c>
      <c r="E533" s="45">
        <v>529</v>
      </c>
      <c r="G533" s="138"/>
      <c r="H533" s="135">
        <v>1</v>
      </c>
      <c r="I533" s="46" t="e">
        <f t="shared" si="117"/>
        <v>#VALUE!</v>
      </c>
      <c r="J533" s="41" t="e">
        <f t="shared" si="123"/>
        <v>#VALUE!</v>
      </c>
      <c r="K533" s="41" t="e">
        <f t="shared" si="124"/>
        <v>#VALUE!</v>
      </c>
      <c r="L533" s="41" t="e">
        <f t="shared" si="124"/>
        <v>#VALUE!</v>
      </c>
      <c r="M533" s="41" t="e">
        <f t="shared" si="118"/>
        <v>#VALUE!</v>
      </c>
      <c r="N533" s="41" t="e">
        <f t="shared" si="119"/>
        <v>#VALUE!</v>
      </c>
      <c r="O533" s="41">
        <f t="shared" si="120"/>
        <v>0</v>
      </c>
      <c r="Q533" s="44" t="e">
        <f t="shared" si="121"/>
        <v>#VALUE!</v>
      </c>
      <c r="R533" s="44" t="e">
        <f t="shared" si="125"/>
        <v>#VALUE!</v>
      </c>
      <c r="S533" s="44" t="e">
        <f t="shared" si="122"/>
        <v>#VALUE!</v>
      </c>
      <c r="T533" s="41" t="e">
        <f t="shared" si="126"/>
        <v>#VALUE!</v>
      </c>
      <c r="U533" s="41" t="e">
        <f t="shared" si="127"/>
        <v>#VALUE!</v>
      </c>
      <c r="V533" s="41" t="e">
        <f t="shared" si="128"/>
        <v>#VALUE!</v>
      </c>
    </row>
    <row r="534" spans="2:22" x14ac:dyDescent="0.25">
      <c r="B534" s="41" t="b">
        <f t="shared" si="129"/>
        <v>0</v>
      </c>
      <c r="C534" s="41" t="e">
        <f t="shared" si="116"/>
        <v>#VALUE!</v>
      </c>
      <c r="E534" s="45">
        <v>530</v>
      </c>
      <c r="G534" s="138"/>
      <c r="H534" s="135">
        <v>1</v>
      </c>
      <c r="I534" s="46" t="e">
        <f t="shared" si="117"/>
        <v>#VALUE!</v>
      </c>
      <c r="J534" s="41" t="e">
        <f t="shared" si="123"/>
        <v>#VALUE!</v>
      </c>
      <c r="K534" s="41" t="e">
        <f t="shared" si="124"/>
        <v>#VALUE!</v>
      </c>
      <c r="L534" s="41" t="e">
        <f t="shared" si="124"/>
        <v>#VALUE!</v>
      </c>
      <c r="M534" s="41" t="e">
        <f t="shared" si="118"/>
        <v>#VALUE!</v>
      </c>
      <c r="N534" s="41" t="e">
        <f t="shared" si="119"/>
        <v>#VALUE!</v>
      </c>
      <c r="O534" s="41">
        <f t="shared" si="120"/>
        <v>0</v>
      </c>
      <c r="Q534" s="44" t="e">
        <f t="shared" si="121"/>
        <v>#VALUE!</v>
      </c>
      <c r="R534" s="44" t="e">
        <f t="shared" si="125"/>
        <v>#VALUE!</v>
      </c>
      <c r="S534" s="44" t="e">
        <f t="shared" si="122"/>
        <v>#VALUE!</v>
      </c>
      <c r="T534" s="41" t="e">
        <f t="shared" si="126"/>
        <v>#VALUE!</v>
      </c>
      <c r="U534" s="41" t="e">
        <f t="shared" si="127"/>
        <v>#VALUE!</v>
      </c>
      <c r="V534" s="41" t="e">
        <f t="shared" si="128"/>
        <v>#VALUE!</v>
      </c>
    </row>
    <row r="535" spans="2:22" x14ac:dyDescent="0.25">
      <c r="B535" s="41" t="b">
        <f t="shared" si="129"/>
        <v>0</v>
      </c>
      <c r="C535" s="41" t="e">
        <f t="shared" si="116"/>
        <v>#VALUE!</v>
      </c>
      <c r="E535" s="45">
        <v>531</v>
      </c>
      <c r="G535" s="138"/>
      <c r="H535" s="135">
        <v>1</v>
      </c>
      <c r="I535" s="46" t="e">
        <f t="shared" si="117"/>
        <v>#VALUE!</v>
      </c>
      <c r="J535" s="41" t="e">
        <f t="shared" si="123"/>
        <v>#VALUE!</v>
      </c>
      <c r="K535" s="41" t="e">
        <f t="shared" si="124"/>
        <v>#VALUE!</v>
      </c>
      <c r="L535" s="41" t="e">
        <f t="shared" si="124"/>
        <v>#VALUE!</v>
      </c>
      <c r="M535" s="41" t="e">
        <f t="shared" si="118"/>
        <v>#VALUE!</v>
      </c>
      <c r="N535" s="41" t="e">
        <f t="shared" si="119"/>
        <v>#VALUE!</v>
      </c>
      <c r="O535" s="41">
        <f t="shared" si="120"/>
        <v>0</v>
      </c>
      <c r="Q535" s="44" t="e">
        <f t="shared" si="121"/>
        <v>#VALUE!</v>
      </c>
      <c r="R535" s="44" t="e">
        <f t="shared" si="125"/>
        <v>#VALUE!</v>
      </c>
      <c r="S535" s="44" t="e">
        <f t="shared" si="122"/>
        <v>#VALUE!</v>
      </c>
      <c r="T535" s="41" t="e">
        <f t="shared" si="126"/>
        <v>#VALUE!</v>
      </c>
      <c r="U535" s="41" t="e">
        <f t="shared" si="127"/>
        <v>#VALUE!</v>
      </c>
      <c r="V535" s="41" t="e">
        <f t="shared" si="128"/>
        <v>#VALUE!</v>
      </c>
    </row>
    <row r="536" spans="2:22" x14ac:dyDescent="0.25">
      <c r="B536" s="41" t="b">
        <f t="shared" si="129"/>
        <v>0</v>
      </c>
      <c r="C536" s="41" t="e">
        <f t="shared" si="116"/>
        <v>#VALUE!</v>
      </c>
      <c r="E536" s="45">
        <v>532</v>
      </c>
      <c r="G536" s="138"/>
      <c r="H536" s="135">
        <v>1</v>
      </c>
      <c r="I536" s="46" t="e">
        <f t="shared" si="117"/>
        <v>#VALUE!</v>
      </c>
      <c r="J536" s="41" t="e">
        <f t="shared" si="123"/>
        <v>#VALUE!</v>
      </c>
      <c r="K536" s="41" t="e">
        <f t="shared" si="124"/>
        <v>#VALUE!</v>
      </c>
      <c r="L536" s="41" t="e">
        <f t="shared" si="124"/>
        <v>#VALUE!</v>
      </c>
      <c r="M536" s="41" t="e">
        <f t="shared" si="118"/>
        <v>#VALUE!</v>
      </c>
      <c r="N536" s="41" t="e">
        <f t="shared" si="119"/>
        <v>#VALUE!</v>
      </c>
      <c r="O536" s="41">
        <f t="shared" si="120"/>
        <v>0</v>
      </c>
      <c r="Q536" s="44" t="e">
        <f t="shared" si="121"/>
        <v>#VALUE!</v>
      </c>
      <c r="R536" s="44" t="e">
        <f t="shared" si="125"/>
        <v>#VALUE!</v>
      </c>
      <c r="S536" s="44" t="e">
        <f t="shared" si="122"/>
        <v>#VALUE!</v>
      </c>
      <c r="T536" s="41" t="e">
        <f t="shared" si="126"/>
        <v>#VALUE!</v>
      </c>
      <c r="U536" s="41" t="e">
        <f t="shared" si="127"/>
        <v>#VALUE!</v>
      </c>
      <c r="V536" s="41" t="e">
        <f t="shared" si="128"/>
        <v>#VALUE!</v>
      </c>
    </row>
    <row r="537" spans="2:22" x14ac:dyDescent="0.25">
      <c r="B537" s="41" t="b">
        <f t="shared" si="129"/>
        <v>0</v>
      </c>
      <c r="C537" s="41" t="e">
        <f t="shared" si="116"/>
        <v>#VALUE!</v>
      </c>
      <c r="E537" s="45">
        <v>533</v>
      </c>
      <c r="G537" s="138"/>
      <c r="H537" s="135">
        <v>1</v>
      </c>
      <c r="I537" s="46" t="e">
        <f t="shared" si="117"/>
        <v>#VALUE!</v>
      </c>
      <c r="J537" s="41" t="e">
        <f t="shared" si="123"/>
        <v>#VALUE!</v>
      </c>
      <c r="K537" s="41" t="e">
        <f t="shared" si="124"/>
        <v>#VALUE!</v>
      </c>
      <c r="L537" s="41" t="e">
        <f t="shared" si="124"/>
        <v>#VALUE!</v>
      </c>
      <c r="M537" s="41" t="e">
        <f t="shared" si="118"/>
        <v>#VALUE!</v>
      </c>
      <c r="N537" s="41" t="e">
        <f t="shared" si="119"/>
        <v>#VALUE!</v>
      </c>
      <c r="O537" s="41">
        <f t="shared" si="120"/>
        <v>0</v>
      </c>
      <c r="Q537" s="44" t="e">
        <f t="shared" si="121"/>
        <v>#VALUE!</v>
      </c>
      <c r="R537" s="44" t="e">
        <f t="shared" si="125"/>
        <v>#VALUE!</v>
      </c>
      <c r="S537" s="44" t="e">
        <f t="shared" si="122"/>
        <v>#VALUE!</v>
      </c>
      <c r="T537" s="41" t="e">
        <f t="shared" si="126"/>
        <v>#VALUE!</v>
      </c>
      <c r="U537" s="41" t="e">
        <f t="shared" si="127"/>
        <v>#VALUE!</v>
      </c>
      <c r="V537" s="41" t="e">
        <f t="shared" si="128"/>
        <v>#VALUE!</v>
      </c>
    </row>
    <row r="538" spans="2:22" x14ac:dyDescent="0.25">
      <c r="B538" s="41" t="b">
        <f t="shared" si="129"/>
        <v>0</v>
      </c>
      <c r="C538" s="41" t="e">
        <f t="shared" si="116"/>
        <v>#VALUE!</v>
      </c>
      <c r="E538" s="45">
        <v>534</v>
      </c>
      <c r="G538" s="138"/>
      <c r="H538" s="135">
        <v>1</v>
      </c>
      <c r="I538" s="46" t="e">
        <f t="shared" si="117"/>
        <v>#VALUE!</v>
      </c>
      <c r="J538" s="41" t="e">
        <f t="shared" si="123"/>
        <v>#VALUE!</v>
      </c>
      <c r="K538" s="41" t="e">
        <f t="shared" si="124"/>
        <v>#VALUE!</v>
      </c>
      <c r="L538" s="41" t="e">
        <f t="shared" si="124"/>
        <v>#VALUE!</v>
      </c>
      <c r="M538" s="41" t="e">
        <f t="shared" si="118"/>
        <v>#VALUE!</v>
      </c>
      <c r="N538" s="41" t="e">
        <f t="shared" si="119"/>
        <v>#VALUE!</v>
      </c>
      <c r="O538" s="41">
        <f t="shared" si="120"/>
        <v>0</v>
      </c>
      <c r="Q538" s="44" t="e">
        <f t="shared" si="121"/>
        <v>#VALUE!</v>
      </c>
      <c r="R538" s="44" t="e">
        <f t="shared" si="125"/>
        <v>#VALUE!</v>
      </c>
      <c r="S538" s="44" t="e">
        <f t="shared" si="122"/>
        <v>#VALUE!</v>
      </c>
      <c r="T538" s="41" t="e">
        <f t="shared" si="126"/>
        <v>#VALUE!</v>
      </c>
      <c r="U538" s="41" t="e">
        <f t="shared" si="127"/>
        <v>#VALUE!</v>
      </c>
      <c r="V538" s="41" t="e">
        <f t="shared" si="128"/>
        <v>#VALUE!</v>
      </c>
    </row>
    <row r="539" spans="2:22" x14ac:dyDescent="0.25">
      <c r="B539" s="41" t="b">
        <f t="shared" si="129"/>
        <v>0</v>
      </c>
      <c r="C539" s="41" t="e">
        <f t="shared" si="116"/>
        <v>#VALUE!</v>
      </c>
      <c r="E539" s="45">
        <v>535</v>
      </c>
      <c r="G539" s="138"/>
      <c r="H539" s="135">
        <v>1</v>
      </c>
      <c r="I539" s="46" t="e">
        <f t="shared" si="117"/>
        <v>#VALUE!</v>
      </c>
      <c r="J539" s="41" t="e">
        <f t="shared" si="123"/>
        <v>#VALUE!</v>
      </c>
      <c r="K539" s="41" t="e">
        <f t="shared" si="124"/>
        <v>#VALUE!</v>
      </c>
      <c r="L539" s="41" t="e">
        <f t="shared" si="124"/>
        <v>#VALUE!</v>
      </c>
      <c r="M539" s="41" t="e">
        <f t="shared" si="118"/>
        <v>#VALUE!</v>
      </c>
      <c r="N539" s="41" t="e">
        <f t="shared" si="119"/>
        <v>#VALUE!</v>
      </c>
      <c r="O539" s="41">
        <f t="shared" si="120"/>
        <v>0</v>
      </c>
      <c r="Q539" s="44" t="e">
        <f t="shared" si="121"/>
        <v>#VALUE!</v>
      </c>
      <c r="R539" s="44" t="e">
        <f t="shared" si="125"/>
        <v>#VALUE!</v>
      </c>
      <c r="S539" s="44" t="e">
        <f t="shared" si="122"/>
        <v>#VALUE!</v>
      </c>
      <c r="T539" s="41" t="e">
        <f t="shared" si="126"/>
        <v>#VALUE!</v>
      </c>
      <c r="U539" s="41" t="e">
        <f t="shared" si="127"/>
        <v>#VALUE!</v>
      </c>
      <c r="V539" s="41" t="e">
        <f t="shared" si="128"/>
        <v>#VALUE!</v>
      </c>
    </row>
    <row r="540" spans="2:22" x14ac:dyDescent="0.25">
      <c r="B540" s="41" t="b">
        <f t="shared" si="129"/>
        <v>0</v>
      </c>
      <c r="C540" s="41" t="e">
        <f t="shared" si="116"/>
        <v>#VALUE!</v>
      </c>
      <c r="E540" s="45">
        <v>536</v>
      </c>
      <c r="G540" s="138"/>
      <c r="H540" s="135">
        <v>1</v>
      </c>
      <c r="I540" s="46" t="e">
        <f t="shared" si="117"/>
        <v>#VALUE!</v>
      </c>
      <c r="J540" s="41" t="e">
        <f t="shared" si="123"/>
        <v>#VALUE!</v>
      </c>
      <c r="K540" s="41" t="e">
        <f t="shared" si="124"/>
        <v>#VALUE!</v>
      </c>
      <c r="L540" s="41" t="e">
        <f t="shared" si="124"/>
        <v>#VALUE!</v>
      </c>
      <c r="M540" s="41" t="e">
        <f t="shared" si="118"/>
        <v>#VALUE!</v>
      </c>
      <c r="N540" s="41" t="e">
        <f t="shared" si="119"/>
        <v>#VALUE!</v>
      </c>
      <c r="O540" s="41">
        <f t="shared" si="120"/>
        <v>0</v>
      </c>
      <c r="Q540" s="44" t="e">
        <f t="shared" si="121"/>
        <v>#VALUE!</v>
      </c>
      <c r="R540" s="44" t="e">
        <f t="shared" si="125"/>
        <v>#VALUE!</v>
      </c>
      <c r="S540" s="44" t="e">
        <f t="shared" si="122"/>
        <v>#VALUE!</v>
      </c>
      <c r="T540" s="41" t="e">
        <f t="shared" si="126"/>
        <v>#VALUE!</v>
      </c>
      <c r="U540" s="41" t="e">
        <f t="shared" si="127"/>
        <v>#VALUE!</v>
      </c>
      <c r="V540" s="41" t="e">
        <f t="shared" si="128"/>
        <v>#VALUE!</v>
      </c>
    </row>
    <row r="541" spans="2:22" x14ac:dyDescent="0.25">
      <c r="B541" s="41" t="b">
        <f t="shared" si="129"/>
        <v>0</v>
      </c>
      <c r="C541" s="41" t="e">
        <f t="shared" si="116"/>
        <v>#VALUE!</v>
      </c>
      <c r="E541" s="45">
        <v>537</v>
      </c>
      <c r="G541" s="138"/>
      <c r="H541" s="135">
        <v>1</v>
      </c>
      <c r="I541" s="46" t="e">
        <f t="shared" si="117"/>
        <v>#VALUE!</v>
      </c>
      <c r="J541" s="41" t="e">
        <f t="shared" si="123"/>
        <v>#VALUE!</v>
      </c>
      <c r="K541" s="41" t="e">
        <f t="shared" si="124"/>
        <v>#VALUE!</v>
      </c>
      <c r="L541" s="41" t="e">
        <f t="shared" si="124"/>
        <v>#VALUE!</v>
      </c>
      <c r="M541" s="41" t="e">
        <f t="shared" si="118"/>
        <v>#VALUE!</v>
      </c>
      <c r="N541" s="41" t="e">
        <f t="shared" si="119"/>
        <v>#VALUE!</v>
      </c>
      <c r="O541" s="41">
        <f t="shared" si="120"/>
        <v>0</v>
      </c>
      <c r="Q541" s="44" t="e">
        <f t="shared" si="121"/>
        <v>#VALUE!</v>
      </c>
      <c r="R541" s="44" t="e">
        <f t="shared" si="125"/>
        <v>#VALUE!</v>
      </c>
      <c r="S541" s="44" t="e">
        <f t="shared" si="122"/>
        <v>#VALUE!</v>
      </c>
      <c r="T541" s="41" t="e">
        <f t="shared" si="126"/>
        <v>#VALUE!</v>
      </c>
      <c r="U541" s="41" t="e">
        <f t="shared" si="127"/>
        <v>#VALUE!</v>
      </c>
      <c r="V541" s="41" t="e">
        <f t="shared" si="128"/>
        <v>#VALUE!</v>
      </c>
    </row>
    <row r="542" spans="2:22" x14ac:dyDescent="0.25">
      <c r="B542" s="41" t="b">
        <f t="shared" si="129"/>
        <v>0</v>
      </c>
      <c r="C542" s="41" t="e">
        <f t="shared" si="116"/>
        <v>#VALUE!</v>
      </c>
      <c r="E542" s="45">
        <v>538</v>
      </c>
      <c r="G542" s="138"/>
      <c r="H542" s="135">
        <v>1</v>
      </c>
      <c r="I542" s="46" t="e">
        <f t="shared" si="117"/>
        <v>#VALUE!</v>
      </c>
      <c r="J542" s="41" t="e">
        <f t="shared" si="123"/>
        <v>#VALUE!</v>
      </c>
      <c r="K542" s="41" t="e">
        <f t="shared" si="124"/>
        <v>#VALUE!</v>
      </c>
      <c r="L542" s="41" t="e">
        <f t="shared" si="124"/>
        <v>#VALUE!</v>
      </c>
      <c r="M542" s="41" t="e">
        <f t="shared" si="118"/>
        <v>#VALUE!</v>
      </c>
      <c r="N542" s="41" t="e">
        <f t="shared" si="119"/>
        <v>#VALUE!</v>
      </c>
      <c r="O542" s="41">
        <f t="shared" si="120"/>
        <v>0</v>
      </c>
      <c r="Q542" s="44" t="e">
        <f t="shared" si="121"/>
        <v>#VALUE!</v>
      </c>
      <c r="R542" s="44" t="e">
        <f t="shared" si="125"/>
        <v>#VALUE!</v>
      </c>
      <c r="S542" s="44" t="e">
        <f t="shared" si="122"/>
        <v>#VALUE!</v>
      </c>
      <c r="T542" s="41" t="e">
        <f t="shared" si="126"/>
        <v>#VALUE!</v>
      </c>
      <c r="U542" s="41" t="e">
        <f t="shared" si="127"/>
        <v>#VALUE!</v>
      </c>
      <c r="V542" s="41" t="e">
        <f t="shared" si="128"/>
        <v>#VALUE!</v>
      </c>
    </row>
    <row r="543" spans="2:22" x14ac:dyDescent="0.25">
      <c r="B543" s="41" t="b">
        <f t="shared" si="129"/>
        <v>0</v>
      </c>
      <c r="C543" s="41" t="e">
        <f t="shared" si="116"/>
        <v>#VALUE!</v>
      </c>
      <c r="E543" s="45">
        <v>539</v>
      </c>
      <c r="G543" s="138"/>
      <c r="H543" s="135">
        <v>1</v>
      </c>
      <c r="I543" s="46" t="e">
        <f t="shared" si="117"/>
        <v>#VALUE!</v>
      </c>
      <c r="J543" s="41" t="e">
        <f t="shared" si="123"/>
        <v>#VALUE!</v>
      </c>
      <c r="K543" s="41" t="e">
        <f t="shared" si="124"/>
        <v>#VALUE!</v>
      </c>
      <c r="L543" s="41" t="e">
        <f t="shared" si="124"/>
        <v>#VALUE!</v>
      </c>
      <c r="M543" s="41" t="e">
        <f t="shared" si="118"/>
        <v>#VALUE!</v>
      </c>
      <c r="N543" s="41" t="e">
        <f t="shared" si="119"/>
        <v>#VALUE!</v>
      </c>
      <c r="O543" s="41">
        <f t="shared" si="120"/>
        <v>0</v>
      </c>
      <c r="Q543" s="44" t="e">
        <f t="shared" si="121"/>
        <v>#VALUE!</v>
      </c>
      <c r="R543" s="44" t="e">
        <f t="shared" si="125"/>
        <v>#VALUE!</v>
      </c>
      <c r="S543" s="44" t="e">
        <f t="shared" si="122"/>
        <v>#VALUE!</v>
      </c>
      <c r="T543" s="41" t="e">
        <f t="shared" si="126"/>
        <v>#VALUE!</v>
      </c>
      <c r="U543" s="41" t="e">
        <f t="shared" si="127"/>
        <v>#VALUE!</v>
      </c>
      <c r="V543" s="41" t="e">
        <f t="shared" si="128"/>
        <v>#VALUE!</v>
      </c>
    </row>
    <row r="544" spans="2:22" x14ac:dyDescent="0.25">
      <c r="B544" s="41" t="b">
        <f t="shared" si="129"/>
        <v>0</v>
      </c>
      <c r="C544" s="41" t="e">
        <f t="shared" si="116"/>
        <v>#VALUE!</v>
      </c>
      <c r="E544" s="45">
        <v>540</v>
      </c>
      <c r="G544" s="138"/>
      <c r="H544" s="135">
        <v>1</v>
      </c>
      <c r="I544" s="46" t="e">
        <f t="shared" si="117"/>
        <v>#VALUE!</v>
      </c>
      <c r="J544" s="41" t="e">
        <f t="shared" si="123"/>
        <v>#VALUE!</v>
      </c>
      <c r="K544" s="41" t="e">
        <f t="shared" si="124"/>
        <v>#VALUE!</v>
      </c>
      <c r="L544" s="41" t="e">
        <f t="shared" si="124"/>
        <v>#VALUE!</v>
      </c>
      <c r="M544" s="41" t="e">
        <f t="shared" si="118"/>
        <v>#VALUE!</v>
      </c>
      <c r="N544" s="41" t="e">
        <f t="shared" si="119"/>
        <v>#VALUE!</v>
      </c>
      <c r="O544" s="41">
        <f t="shared" si="120"/>
        <v>0</v>
      </c>
      <c r="Q544" s="44" t="e">
        <f t="shared" si="121"/>
        <v>#VALUE!</v>
      </c>
      <c r="R544" s="44" t="e">
        <f t="shared" si="125"/>
        <v>#VALUE!</v>
      </c>
      <c r="S544" s="44" t="e">
        <f t="shared" si="122"/>
        <v>#VALUE!</v>
      </c>
      <c r="T544" s="41" t="e">
        <f t="shared" si="126"/>
        <v>#VALUE!</v>
      </c>
      <c r="U544" s="41" t="e">
        <f t="shared" si="127"/>
        <v>#VALUE!</v>
      </c>
      <c r="V544" s="41" t="e">
        <f t="shared" si="128"/>
        <v>#VALUE!</v>
      </c>
    </row>
    <row r="545" spans="2:22" x14ac:dyDescent="0.25">
      <c r="B545" s="41" t="b">
        <f t="shared" si="129"/>
        <v>0</v>
      </c>
      <c r="C545" s="41" t="e">
        <f t="shared" si="116"/>
        <v>#VALUE!</v>
      </c>
      <c r="E545" s="45">
        <v>541</v>
      </c>
      <c r="G545" s="138"/>
      <c r="H545" s="135">
        <v>1</v>
      </c>
      <c r="I545" s="46" t="e">
        <f t="shared" si="117"/>
        <v>#VALUE!</v>
      </c>
      <c r="J545" s="41" t="e">
        <f t="shared" si="123"/>
        <v>#VALUE!</v>
      </c>
      <c r="K545" s="41" t="e">
        <f t="shared" si="124"/>
        <v>#VALUE!</v>
      </c>
      <c r="L545" s="41" t="e">
        <f t="shared" si="124"/>
        <v>#VALUE!</v>
      </c>
      <c r="M545" s="41" t="e">
        <f t="shared" si="118"/>
        <v>#VALUE!</v>
      </c>
      <c r="N545" s="41" t="e">
        <f t="shared" si="119"/>
        <v>#VALUE!</v>
      </c>
      <c r="O545" s="41">
        <f t="shared" si="120"/>
        <v>0</v>
      </c>
      <c r="Q545" s="44" t="e">
        <f t="shared" si="121"/>
        <v>#VALUE!</v>
      </c>
      <c r="R545" s="44" t="e">
        <f t="shared" si="125"/>
        <v>#VALUE!</v>
      </c>
      <c r="S545" s="44" t="e">
        <f t="shared" si="122"/>
        <v>#VALUE!</v>
      </c>
      <c r="T545" s="41" t="e">
        <f t="shared" si="126"/>
        <v>#VALUE!</v>
      </c>
      <c r="U545" s="41" t="e">
        <f t="shared" si="127"/>
        <v>#VALUE!</v>
      </c>
      <c r="V545" s="41" t="e">
        <f t="shared" si="128"/>
        <v>#VALUE!</v>
      </c>
    </row>
    <row r="546" spans="2:22" x14ac:dyDescent="0.25">
      <c r="B546" s="41" t="b">
        <f t="shared" si="129"/>
        <v>0</v>
      </c>
      <c r="C546" s="41" t="e">
        <f t="shared" si="116"/>
        <v>#VALUE!</v>
      </c>
      <c r="E546" s="45">
        <v>542</v>
      </c>
      <c r="G546" s="138"/>
      <c r="H546" s="135">
        <v>1</v>
      </c>
      <c r="I546" s="46" t="e">
        <f t="shared" si="117"/>
        <v>#VALUE!</v>
      </c>
      <c r="J546" s="41" t="e">
        <f t="shared" si="123"/>
        <v>#VALUE!</v>
      </c>
      <c r="K546" s="41" t="e">
        <f t="shared" si="124"/>
        <v>#VALUE!</v>
      </c>
      <c r="L546" s="41" t="e">
        <f t="shared" si="124"/>
        <v>#VALUE!</v>
      </c>
      <c r="M546" s="41" t="e">
        <f t="shared" si="118"/>
        <v>#VALUE!</v>
      </c>
      <c r="N546" s="41" t="e">
        <f t="shared" si="119"/>
        <v>#VALUE!</v>
      </c>
      <c r="O546" s="41">
        <f t="shared" si="120"/>
        <v>0</v>
      </c>
      <c r="Q546" s="44" t="e">
        <f t="shared" si="121"/>
        <v>#VALUE!</v>
      </c>
      <c r="R546" s="44" t="e">
        <f t="shared" si="125"/>
        <v>#VALUE!</v>
      </c>
      <c r="S546" s="44" t="e">
        <f t="shared" si="122"/>
        <v>#VALUE!</v>
      </c>
      <c r="T546" s="41" t="e">
        <f t="shared" si="126"/>
        <v>#VALUE!</v>
      </c>
      <c r="U546" s="41" t="e">
        <f t="shared" si="127"/>
        <v>#VALUE!</v>
      </c>
      <c r="V546" s="41" t="e">
        <f t="shared" si="128"/>
        <v>#VALUE!</v>
      </c>
    </row>
    <row r="547" spans="2:22" x14ac:dyDescent="0.25">
      <c r="B547" s="41" t="b">
        <f t="shared" si="129"/>
        <v>0</v>
      </c>
      <c r="C547" s="41" t="e">
        <f t="shared" si="116"/>
        <v>#VALUE!</v>
      </c>
      <c r="E547" s="45">
        <v>543</v>
      </c>
      <c r="G547" s="138"/>
      <c r="H547" s="135">
        <v>1</v>
      </c>
      <c r="I547" s="46" t="e">
        <f t="shared" si="117"/>
        <v>#VALUE!</v>
      </c>
      <c r="J547" s="41" t="e">
        <f t="shared" si="123"/>
        <v>#VALUE!</v>
      </c>
      <c r="K547" s="41" t="e">
        <f t="shared" si="124"/>
        <v>#VALUE!</v>
      </c>
      <c r="L547" s="41" t="e">
        <f t="shared" si="124"/>
        <v>#VALUE!</v>
      </c>
      <c r="M547" s="41" t="e">
        <f t="shared" si="118"/>
        <v>#VALUE!</v>
      </c>
      <c r="N547" s="41" t="e">
        <f t="shared" si="119"/>
        <v>#VALUE!</v>
      </c>
      <c r="O547" s="41">
        <f t="shared" si="120"/>
        <v>0</v>
      </c>
      <c r="Q547" s="44" t="e">
        <f t="shared" si="121"/>
        <v>#VALUE!</v>
      </c>
      <c r="R547" s="44" t="e">
        <f t="shared" si="125"/>
        <v>#VALUE!</v>
      </c>
      <c r="S547" s="44" t="e">
        <f t="shared" si="122"/>
        <v>#VALUE!</v>
      </c>
      <c r="T547" s="41" t="e">
        <f t="shared" si="126"/>
        <v>#VALUE!</v>
      </c>
      <c r="U547" s="41" t="e">
        <f t="shared" si="127"/>
        <v>#VALUE!</v>
      </c>
      <c r="V547" s="41" t="e">
        <f t="shared" si="128"/>
        <v>#VALUE!</v>
      </c>
    </row>
    <row r="548" spans="2:22" x14ac:dyDescent="0.25">
      <c r="B548" s="41" t="b">
        <f t="shared" si="129"/>
        <v>0</v>
      </c>
      <c r="C548" s="41" t="e">
        <f t="shared" si="116"/>
        <v>#VALUE!</v>
      </c>
      <c r="E548" s="45">
        <v>544</v>
      </c>
      <c r="G548" s="138"/>
      <c r="H548" s="135">
        <v>1</v>
      </c>
      <c r="I548" s="46" t="e">
        <f t="shared" si="117"/>
        <v>#VALUE!</v>
      </c>
      <c r="J548" s="41" t="e">
        <f t="shared" si="123"/>
        <v>#VALUE!</v>
      </c>
      <c r="K548" s="41" t="e">
        <f t="shared" si="124"/>
        <v>#VALUE!</v>
      </c>
      <c r="L548" s="41" t="e">
        <f t="shared" si="124"/>
        <v>#VALUE!</v>
      </c>
      <c r="M548" s="41" t="e">
        <f t="shared" si="118"/>
        <v>#VALUE!</v>
      </c>
      <c r="N548" s="41" t="e">
        <f t="shared" si="119"/>
        <v>#VALUE!</v>
      </c>
      <c r="O548" s="41">
        <f t="shared" si="120"/>
        <v>0</v>
      </c>
      <c r="Q548" s="44" t="e">
        <f t="shared" si="121"/>
        <v>#VALUE!</v>
      </c>
      <c r="R548" s="44" t="e">
        <f t="shared" si="125"/>
        <v>#VALUE!</v>
      </c>
      <c r="S548" s="44" t="e">
        <f t="shared" si="122"/>
        <v>#VALUE!</v>
      </c>
      <c r="T548" s="41" t="e">
        <f t="shared" si="126"/>
        <v>#VALUE!</v>
      </c>
      <c r="U548" s="41" t="e">
        <f t="shared" si="127"/>
        <v>#VALUE!</v>
      </c>
      <c r="V548" s="41" t="e">
        <f t="shared" si="128"/>
        <v>#VALUE!</v>
      </c>
    </row>
    <row r="549" spans="2:22" x14ac:dyDescent="0.25">
      <c r="B549" s="41" t="b">
        <f t="shared" si="129"/>
        <v>0</v>
      </c>
      <c r="C549" s="41" t="e">
        <f t="shared" si="116"/>
        <v>#VALUE!</v>
      </c>
      <c r="E549" s="45">
        <v>545</v>
      </c>
      <c r="G549" s="138"/>
      <c r="H549" s="135">
        <v>1</v>
      </c>
      <c r="I549" s="46" t="e">
        <f t="shared" si="117"/>
        <v>#VALUE!</v>
      </c>
      <c r="J549" s="41" t="e">
        <f t="shared" si="123"/>
        <v>#VALUE!</v>
      </c>
      <c r="K549" s="41" t="e">
        <f t="shared" si="124"/>
        <v>#VALUE!</v>
      </c>
      <c r="L549" s="41" t="e">
        <f t="shared" si="124"/>
        <v>#VALUE!</v>
      </c>
      <c r="M549" s="41" t="e">
        <f t="shared" si="118"/>
        <v>#VALUE!</v>
      </c>
      <c r="N549" s="41" t="e">
        <f t="shared" si="119"/>
        <v>#VALUE!</v>
      </c>
      <c r="O549" s="41">
        <f t="shared" si="120"/>
        <v>0</v>
      </c>
      <c r="Q549" s="44" t="e">
        <f t="shared" si="121"/>
        <v>#VALUE!</v>
      </c>
      <c r="R549" s="44" t="e">
        <f t="shared" si="125"/>
        <v>#VALUE!</v>
      </c>
      <c r="S549" s="44" t="e">
        <f t="shared" si="122"/>
        <v>#VALUE!</v>
      </c>
      <c r="T549" s="41" t="e">
        <f t="shared" si="126"/>
        <v>#VALUE!</v>
      </c>
      <c r="U549" s="41" t="e">
        <f t="shared" si="127"/>
        <v>#VALUE!</v>
      </c>
      <c r="V549" s="41" t="e">
        <f t="shared" si="128"/>
        <v>#VALUE!</v>
      </c>
    </row>
    <row r="550" spans="2:22" x14ac:dyDescent="0.25">
      <c r="B550" s="41" t="b">
        <f t="shared" si="129"/>
        <v>0</v>
      </c>
      <c r="C550" s="41" t="e">
        <f t="shared" si="116"/>
        <v>#VALUE!</v>
      </c>
      <c r="E550" s="45">
        <v>546</v>
      </c>
      <c r="G550" s="138"/>
      <c r="H550" s="135">
        <v>1</v>
      </c>
      <c r="I550" s="46" t="e">
        <f t="shared" si="117"/>
        <v>#VALUE!</v>
      </c>
      <c r="J550" s="41" t="e">
        <f t="shared" si="123"/>
        <v>#VALUE!</v>
      </c>
      <c r="K550" s="41" t="e">
        <f t="shared" si="124"/>
        <v>#VALUE!</v>
      </c>
      <c r="L550" s="41" t="e">
        <f t="shared" si="124"/>
        <v>#VALUE!</v>
      </c>
      <c r="M550" s="41" t="e">
        <f t="shared" si="118"/>
        <v>#VALUE!</v>
      </c>
      <c r="N550" s="41" t="e">
        <f t="shared" si="119"/>
        <v>#VALUE!</v>
      </c>
      <c r="O550" s="41">
        <f t="shared" si="120"/>
        <v>0</v>
      </c>
      <c r="Q550" s="44" t="e">
        <f t="shared" si="121"/>
        <v>#VALUE!</v>
      </c>
      <c r="R550" s="44" t="e">
        <f t="shared" si="125"/>
        <v>#VALUE!</v>
      </c>
      <c r="S550" s="44" t="e">
        <f t="shared" si="122"/>
        <v>#VALUE!</v>
      </c>
      <c r="T550" s="41" t="e">
        <f t="shared" si="126"/>
        <v>#VALUE!</v>
      </c>
      <c r="U550" s="41" t="e">
        <f t="shared" si="127"/>
        <v>#VALUE!</v>
      </c>
      <c r="V550" s="41" t="e">
        <f t="shared" si="128"/>
        <v>#VALUE!</v>
      </c>
    </row>
    <row r="551" spans="2:22" x14ac:dyDescent="0.25">
      <c r="B551" s="41" t="b">
        <f t="shared" si="129"/>
        <v>0</v>
      </c>
      <c r="C551" s="41" t="e">
        <f t="shared" si="116"/>
        <v>#VALUE!</v>
      </c>
      <c r="E551" s="45">
        <v>547</v>
      </c>
      <c r="G551" s="138"/>
      <c r="H551" s="135">
        <v>1</v>
      </c>
      <c r="I551" s="46" t="e">
        <f t="shared" si="117"/>
        <v>#VALUE!</v>
      </c>
      <c r="J551" s="41" t="e">
        <f t="shared" si="123"/>
        <v>#VALUE!</v>
      </c>
      <c r="K551" s="41" t="e">
        <f t="shared" si="124"/>
        <v>#VALUE!</v>
      </c>
      <c r="L551" s="41" t="e">
        <f t="shared" si="124"/>
        <v>#VALUE!</v>
      </c>
      <c r="M551" s="41" t="e">
        <f t="shared" si="118"/>
        <v>#VALUE!</v>
      </c>
      <c r="N551" s="41" t="e">
        <f t="shared" si="119"/>
        <v>#VALUE!</v>
      </c>
      <c r="O551" s="41">
        <f t="shared" si="120"/>
        <v>0</v>
      </c>
      <c r="Q551" s="44" t="e">
        <f t="shared" si="121"/>
        <v>#VALUE!</v>
      </c>
      <c r="R551" s="44" t="e">
        <f t="shared" si="125"/>
        <v>#VALUE!</v>
      </c>
      <c r="S551" s="44" t="e">
        <f t="shared" si="122"/>
        <v>#VALUE!</v>
      </c>
      <c r="T551" s="41" t="e">
        <f t="shared" si="126"/>
        <v>#VALUE!</v>
      </c>
      <c r="U551" s="41" t="e">
        <f t="shared" si="127"/>
        <v>#VALUE!</v>
      </c>
      <c r="V551" s="41" t="e">
        <f t="shared" si="128"/>
        <v>#VALUE!</v>
      </c>
    </row>
    <row r="552" spans="2:22" x14ac:dyDescent="0.25">
      <c r="B552" s="41" t="b">
        <f t="shared" si="129"/>
        <v>0</v>
      </c>
      <c r="C552" s="41" t="e">
        <f t="shared" si="116"/>
        <v>#VALUE!</v>
      </c>
      <c r="E552" s="45">
        <v>548</v>
      </c>
      <c r="G552" s="138"/>
      <c r="H552" s="135">
        <v>1</v>
      </c>
      <c r="I552" s="46" t="e">
        <f t="shared" si="117"/>
        <v>#VALUE!</v>
      </c>
      <c r="J552" s="41" t="e">
        <f t="shared" si="123"/>
        <v>#VALUE!</v>
      </c>
      <c r="K552" s="41" t="e">
        <f t="shared" si="124"/>
        <v>#VALUE!</v>
      </c>
      <c r="L552" s="41" t="e">
        <f t="shared" si="124"/>
        <v>#VALUE!</v>
      </c>
      <c r="M552" s="41" t="e">
        <f t="shared" si="118"/>
        <v>#VALUE!</v>
      </c>
      <c r="N552" s="41" t="e">
        <f t="shared" si="119"/>
        <v>#VALUE!</v>
      </c>
      <c r="O552" s="41">
        <f t="shared" si="120"/>
        <v>0</v>
      </c>
      <c r="Q552" s="44" t="e">
        <f t="shared" si="121"/>
        <v>#VALUE!</v>
      </c>
      <c r="R552" s="44" t="e">
        <f t="shared" si="125"/>
        <v>#VALUE!</v>
      </c>
      <c r="S552" s="44" t="e">
        <f t="shared" si="122"/>
        <v>#VALUE!</v>
      </c>
      <c r="T552" s="41" t="e">
        <f t="shared" si="126"/>
        <v>#VALUE!</v>
      </c>
      <c r="U552" s="41" t="e">
        <f t="shared" si="127"/>
        <v>#VALUE!</v>
      </c>
      <c r="V552" s="41" t="e">
        <f t="shared" si="128"/>
        <v>#VALUE!</v>
      </c>
    </row>
    <row r="553" spans="2:22" x14ac:dyDescent="0.25">
      <c r="B553" s="41" t="b">
        <f t="shared" si="129"/>
        <v>0</v>
      </c>
      <c r="C553" s="41" t="e">
        <f t="shared" si="116"/>
        <v>#VALUE!</v>
      </c>
      <c r="E553" s="45">
        <v>549</v>
      </c>
      <c r="G553" s="138"/>
      <c r="H553" s="135">
        <v>1</v>
      </c>
      <c r="I553" s="46" t="e">
        <f t="shared" si="117"/>
        <v>#VALUE!</v>
      </c>
      <c r="J553" s="41" t="e">
        <f t="shared" si="123"/>
        <v>#VALUE!</v>
      </c>
      <c r="K553" s="41" t="e">
        <f t="shared" si="124"/>
        <v>#VALUE!</v>
      </c>
      <c r="L553" s="41" t="e">
        <f t="shared" si="124"/>
        <v>#VALUE!</v>
      </c>
      <c r="M553" s="41" t="e">
        <f t="shared" si="118"/>
        <v>#VALUE!</v>
      </c>
      <c r="N553" s="41" t="e">
        <f t="shared" si="119"/>
        <v>#VALUE!</v>
      </c>
      <c r="O553" s="41">
        <f t="shared" si="120"/>
        <v>0</v>
      </c>
      <c r="Q553" s="44" t="e">
        <f t="shared" si="121"/>
        <v>#VALUE!</v>
      </c>
      <c r="R553" s="44" t="e">
        <f t="shared" si="125"/>
        <v>#VALUE!</v>
      </c>
      <c r="S553" s="44" t="e">
        <f t="shared" si="122"/>
        <v>#VALUE!</v>
      </c>
      <c r="T553" s="41" t="e">
        <f t="shared" si="126"/>
        <v>#VALUE!</v>
      </c>
      <c r="U553" s="41" t="e">
        <f t="shared" si="127"/>
        <v>#VALUE!</v>
      </c>
      <c r="V553" s="41" t="e">
        <f t="shared" si="128"/>
        <v>#VALUE!</v>
      </c>
    </row>
    <row r="554" spans="2:22" x14ac:dyDescent="0.25">
      <c r="B554" s="41" t="b">
        <f t="shared" si="129"/>
        <v>0</v>
      </c>
      <c r="C554" s="41" t="e">
        <f t="shared" si="116"/>
        <v>#VALUE!</v>
      </c>
      <c r="E554" s="45">
        <v>550</v>
      </c>
      <c r="G554" s="138"/>
      <c r="H554" s="135">
        <v>1</v>
      </c>
      <c r="I554" s="46" t="e">
        <f t="shared" si="117"/>
        <v>#VALUE!</v>
      </c>
      <c r="J554" s="41" t="e">
        <f t="shared" si="123"/>
        <v>#VALUE!</v>
      </c>
      <c r="K554" s="41" t="e">
        <f t="shared" si="124"/>
        <v>#VALUE!</v>
      </c>
      <c r="L554" s="41" t="e">
        <f t="shared" si="124"/>
        <v>#VALUE!</v>
      </c>
      <c r="M554" s="41" t="e">
        <f t="shared" si="118"/>
        <v>#VALUE!</v>
      </c>
      <c r="N554" s="41" t="e">
        <f t="shared" si="119"/>
        <v>#VALUE!</v>
      </c>
      <c r="O554" s="41">
        <f t="shared" si="120"/>
        <v>0</v>
      </c>
      <c r="Q554" s="44" t="e">
        <f t="shared" si="121"/>
        <v>#VALUE!</v>
      </c>
      <c r="R554" s="44" t="e">
        <f t="shared" si="125"/>
        <v>#VALUE!</v>
      </c>
      <c r="S554" s="44" t="e">
        <f t="shared" si="122"/>
        <v>#VALUE!</v>
      </c>
      <c r="T554" s="41" t="e">
        <f t="shared" si="126"/>
        <v>#VALUE!</v>
      </c>
      <c r="U554" s="41" t="e">
        <f t="shared" si="127"/>
        <v>#VALUE!</v>
      </c>
      <c r="V554" s="41" t="e">
        <f t="shared" si="128"/>
        <v>#VALUE!</v>
      </c>
    </row>
    <row r="555" spans="2:22" x14ac:dyDescent="0.25">
      <c r="B555" s="41" t="b">
        <f t="shared" si="129"/>
        <v>0</v>
      </c>
      <c r="C555" s="41" t="e">
        <f t="shared" si="116"/>
        <v>#VALUE!</v>
      </c>
      <c r="E555" s="45">
        <v>551</v>
      </c>
      <c r="G555" s="138"/>
      <c r="H555" s="135">
        <v>1</v>
      </c>
      <c r="I555" s="46" t="e">
        <f t="shared" si="117"/>
        <v>#VALUE!</v>
      </c>
      <c r="J555" s="41" t="e">
        <f t="shared" si="123"/>
        <v>#VALUE!</v>
      </c>
      <c r="K555" s="41" t="e">
        <f t="shared" si="124"/>
        <v>#VALUE!</v>
      </c>
      <c r="L555" s="41" t="e">
        <f t="shared" si="124"/>
        <v>#VALUE!</v>
      </c>
      <c r="M555" s="41" t="e">
        <f t="shared" si="118"/>
        <v>#VALUE!</v>
      </c>
      <c r="N555" s="41" t="e">
        <f t="shared" si="119"/>
        <v>#VALUE!</v>
      </c>
      <c r="O555" s="41">
        <f t="shared" si="120"/>
        <v>0</v>
      </c>
      <c r="Q555" s="44" t="e">
        <f t="shared" si="121"/>
        <v>#VALUE!</v>
      </c>
      <c r="R555" s="44" t="e">
        <f t="shared" si="125"/>
        <v>#VALUE!</v>
      </c>
      <c r="S555" s="44" t="e">
        <f t="shared" si="122"/>
        <v>#VALUE!</v>
      </c>
      <c r="T555" s="41" t="e">
        <f t="shared" si="126"/>
        <v>#VALUE!</v>
      </c>
      <c r="U555" s="41" t="e">
        <f t="shared" si="127"/>
        <v>#VALUE!</v>
      </c>
      <c r="V555" s="41" t="e">
        <f t="shared" si="128"/>
        <v>#VALUE!</v>
      </c>
    </row>
    <row r="556" spans="2:22" x14ac:dyDescent="0.25">
      <c r="B556" s="41" t="b">
        <f t="shared" si="129"/>
        <v>0</v>
      </c>
      <c r="C556" s="41" t="e">
        <f t="shared" si="116"/>
        <v>#VALUE!</v>
      </c>
      <c r="E556" s="45">
        <v>552</v>
      </c>
      <c r="G556" s="138"/>
      <c r="H556" s="135">
        <v>1</v>
      </c>
      <c r="I556" s="46" t="e">
        <f t="shared" si="117"/>
        <v>#VALUE!</v>
      </c>
      <c r="J556" s="41" t="e">
        <f t="shared" si="123"/>
        <v>#VALUE!</v>
      </c>
      <c r="K556" s="41" t="e">
        <f t="shared" si="124"/>
        <v>#VALUE!</v>
      </c>
      <c r="L556" s="41" t="e">
        <f t="shared" si="124"/>
        <v>#VALUE!</v>
      </c>
      <c r="M556" s="41" t="e">
        <f t="shared" si="118"/>
        <v>#VALUE!</v>
      </c>
      <c r="N556" s="41" t="e">
        <f t="shared" si="119"/>
        <v>#VALUE!</v>
      </c>
      <c r="O556" s="41">
        <f t="shared" si="120"/>
        <v>0</v>
      </c>
      <c r="Q556" s="44" t="e">
        <f t="shared" si="121"/>
        <v>#VALUE!</v>
      </c>
      <c r="R556" s="44" t="e">
        <f t="shared" si="125"/>
        <v>#VALUE!</v>
      </c>
      <c r="S556" s="44" t="e">
        <f t="shared" si="122"/>
        <v>#VALUE!</v>
      </c>
      <c r="T556" s="41" t="e">
        <f t="shared" si="126"/>
        <v>#VALUE!</v>
      </c>
      <c r="U556" s="41" t="e">
        <f t="shared" si="127"/>
        <v>#VALUE!</v>
      </c>
      <c r="V556" s="41" t="e">
        <f t="shared" si="128"/>
        <v>#VALUE!</v>
      </c>
    </row>
    <row r="557" spans="2:22" x14ac:dyDescent="0.25">
      <c r="B557" s="41" t="b">
        <f t="shared" si="129"/>
        <v>0</v>
      </c>
      <c r="C557" s="41" t="e">
        <f t="shared" si="116"/>
        <v>#VALUE!</v>
      </c>
      <c r="E557" s="45">
        <v>553</v>
      </c>
      <c r="G557" s="138"/>
      <c r="H557" s="135">
        <v>1</v>
      </c>
      <c r="I557" s="46" t="e">
        <f t="shared" si="117"/>
        <v>#VALUE!</v>
      </c>
      <c r="J557" s="41" t="e">
        <f t="shared" si="123"/>
        <v>#VALUE!</v>
      </c>
      <c r="K557" s="41" t="e">
        <f t="shared" si="124"/>
        <v>#VALUE!</v>
      </c>
      <c r="L557" s="41" t="e">
        <f t="shared" si="124"/>
        <v>#VALUE!</v>
      </c>
      <c r="M557" s="41" t="e">
        <f t="shared" si="118"/>
        <v>#VALUE!</v>
      </c>
      <c r="N557" s="41" t="e">
        <f t="shared" si="119"/>
        <v>#VALUE!</v>
      </c>
      <c r="O557" s="41">
        <f t="shared" si="120"/>
        <v>0</v>
      </c>
      <c r="Q557" s="44" t="e">
        <f t="shared" si="121"/>
        <v>#VALUE!</v>
      </c>
      <c r="R557" s="44" t="e">
        <f t="shared" si="125"/>
        <v>#VALUE!</v>
      </c>
      <c r="S557" s="44" t="e">
        <f t="shared" si="122"/>
        <v>#VALUE!</v>
      </c>
      <c r="T557" s="41" t="e">
        <f t="shared" si="126"/>
        <v>#VALUE!</v>
      </c>
      <c r="U557" s="41" t="e">
        <f t="shared" si="127"/>
        <v>#VALUE!</v>
      </c>
      <c r="V557" s="41" t="e">
        <f t="shared" si="128"/>
        <v>#VALUE!</v>
      </c>
    </row>
    <row r="558" spans="2:22" x14ac:dyDescent="0.25">
      <c r="B558" s="41" t="b">
        <f t="shared" si="129"/>
        <v>0</v>
      </c>
      <c r="C558" s="41" t="e">
        <f t="shared" si="116"/>
        <v>#VALUE!</v>
      </c>
      <c r="E558" s="45">
        <v>554</v>
      </c>
      <c r="G558" s="138"/>
      <c r="H558" s="135">
        <v>1</v>
      </c>
      <c r="I558" s="46" t="e">
        <f t="shared" si="117"/>
        <v>#VALUE!</v>
      </c>
      <c r="J558" s="41" t="e">
        <f t="shared" si="123"/>
        <v>#VALUE!</v>
      </c>
      <c r="K558" s="41" t="e">
        <f t="shared" si="124"/>
        <v>#VALUE!</v>
      </c>
      <c r="L558" s="41" t="e">
        <f t="shared" si="124"/>
        <v>#VALUE!</v>
      </c>
      <c r="M558" s="41" t="e">
        <f t="shared" si="118"/>
        <v>#VALUE!</v>
      </c>
      <c r="N558" s="41" t="e">
        <f t="shared" si="119"/>
        <v>#VALUE!</v>
      </c>
      <c r="O558" s="41">
        <f t="shared" si="120"/>
        <v>0</v>
      </c>
      <c r="Q558" s="44" t="e">
        <f t="shared" si="121"/>
        <v>#VALUE!</v>
      </c>
      <c r="R558" s="44" t="e">
        <f t="shared" si="125"/>
        <v>#VALUE!</v>
      </c>
      <c r="S558" s="44" t="e">
        <f t="shared" si="122"/>
        <v>#VALUE!</v>
      </c>
      <c r="T558" s="41" t="e">
        <f t="shared" si="126"/>
        <v>#VALUE!</v>
      </c>
      <c r="U558" s="41" t="e">
        <f t="shared" si="127"/>
        <v>#VALUE!</v>
      </c>
      <c r="V558" s="41" t="e">
        <f t="shared" si="128"/>
        <v>#VALUE!</v>
      </c>
    </row>
    <row r="559" spans="2:22" x14ac:dyDescent="0.25">
      <c r="B559" s="41" t="b">
        <f t="shared" si="129"/>
        <v>0</v>
      </c>
      <c r="C559" s="41" t="e">
        <f t="shared" si="116"/>
        <v>#VALUE!</v>
      </c>
      <c r="E559" s="45">
        <v>555</v>
      </c>
      <c r="G559" s="138"/>
      <c r="H559" s="135">
        <v>1</v>
      </c>
      <c r="I559" s="46" t="e">
        <f t="shared" si="117"/>
        <v>#VALUE!</v>
      </c>
      <c r="J559" s="41" t="e">
        <f t="shared" si="123"/>
        <v>#VALUE!</v>
      </c>
      <c r="K559" s="41" t="e">
        <f t="shared" si="124"/>
        <v>#VALUE!</v>
      </c>
      <c r="L559" s="41" t="e">
        <f t="shared" si="124"/>
        <v>#VALUE!</v>
      </c>
      <c r="M559" s="41" t="e">
        <f t="shared" si="118"/>
        <v>#VALUE!</v>
      </c>
      <c r="N559" s="41" t="e">
        <f t="shared" si="119"/>
        <v>#VALUE!</v>
      </c>
      <c r="O559" s="41">
        <f t="shared" si="120"/>
        <v>0</v>
      </c>
      <c r="Q559" s="44" t="e">
        <f t="shared" si="121"/>
        <v>#VALUE!</v>
      </c>
      <c r="R559" s="44" t="e">
        <f t="shared" si="125"/>
        <v>#VALUE!</v>
      </c>
      <c r="S559" s="44" t="e">
        <f t="shared" si="122"/>
        <v>#VALUE!</v>
      </c>
      <c r="T559" s="41" t="e">
        <f t="shared" si="126"/>
        <v>#VALUE!</v>
      </c>
      <c r="U559" s="41" t="e">
        <f t="shared" si="127"/>
        <v>#VALUE!</v>
      </c>
      <c r="V559" s="41" t="e">
        <f t="shared" si="128"/>
        <v>#VALUE!</v>
      </c>
    </row>
    <row r="560" spans="2:22" x14ac:dyDescent="0.25">
      <c r="B560" s="41" t="b">
        <f t="shared" si="129"/>
        <v>0</v>
      </c>
      <c r="C560" s="41" t="e">
        <f t="shared" si="116"/>
        <v>#VALUE!</v>
      </c>
      <c r="E560" s="45">
        <v>556</v>
      </c>
      <c r="G560" s="138"/>
      <c r="H560" s="135">
        <v>1</v>
      </c>
      <c r="I560" s="46" t="e">
        <f t="shared" si="117"/>
        <v>#VALUE!</v>
      </c>
      <c r="J560" s="41" t="e">
        <f t="shared" si="123"/>
        <v>#VALUE!</v>
      </c>
      <c r="K560" s="41" t="e">
        <f t="shared" si="124"/>
        <v>#VALUE!</v>
      </c>
      <c r="L560" s="41" t="e">
        <f t="shared" si="124"/>
        <v>#VALUE!</v>
      </c>
      <c r="M560" s="41" t="e">
        <f t="shared" si="118"/>
        <v>#VALUE!</v>
      </c>
      <c r="N560" s="41" t="e">
        <f t="shared" si="119"/>
        <v>#VALUE!</v>
      </c>
      <c r="O560" s="41">
        <f t="shared" si="120"/>
        <v>0</v>
      </c>
      <c r="Q560" s="44" t="e">
        <f t="shared" si="121"/>
        <v>#VALUE!</v>
      </c>
      <c r="R560" s="44" t="e">
        <f t="shared" si="125"/>
        <v>#VALUE!</v>
      </c>
      <c r="S560" s="44" t="e">
        <f t="shared" si="122"/>
        <v>#VALUE!</v>
      </c>
      <c r="T560" s="41" t="e">
        <f t="shared" si="126"/>
        <v>#VALUE!</v>
      </c>
      <c r="U560" s="41" t="e">
        <f t="shared" si="127"/>
        <v>#VALUE!</v>
      </c>
      <c r="V560" s="41" t="e">
        <f t="shared" si="128"/>
        <v>#VALUE!</v>
      </c>
    </row>
    <row r="561" spans="2:22" x14ac:dyDescent="0.25">
      <c r="B561" s="41" t="b">
        <f t="shared" si="129"/>
        <v>0</v>
      </c>
      <c r="C561" s="41" t="e">
        <f t="shared" si="116"/>
        <v>#VALUE!</v>
      </c>
      <c r="E561" s="45">
        <v>557</v>
      </c>
      <c r="G561" s="138"/>
      <c r="H561" s="135">
        <v>1</v>
      </c>
      <c r="I561" s="46" t="e">
        <f t="shared" si="117"/>
        <v>#VALUE!</v>
      </c>
      <c r="J561" s="41" t="e">
        <f t="shared" si="123"/>
        <v>#VALUE!</v>
      </c>
      <c r="K561" s="41" t="e">
        <f t="shared" si="124"/>
        <v>#VALUE!</v>
      </c>
      <c r="L561" s="41" t="e">
        <f t="shared" si="124"/>
        <v>#VALUE!</v>
      </c>
      <c r="M561" s="41" t="e">
        <f t="shared" si="118"/>
        <v>#VALUE!</v>
      </c>
      <c r="N561" s="41" t="e">
        <f t="shared" si="119"/>
        <v>#VALUE!</v>
      </c>
      <c r="O561" s="41">
        <f t="shared" si="120"/>
        <v>0</v>
      </c>
      <c r="Q561" s="44" t="e">
        <f t="shared" si="121"/>
        <v>#VALUE!</v>
      </c>
      <c r="R561" s="44" t="e">
        <f t="shared" si="125"/>
        <v>#VALUE!</v>
      </c>
      <c r="S561" s="44" t="e">
        <f t="shared" si="122"/>
        <v>#VALUE!</v>
      </c>
      <c r="T561" s="41" t="e">
        <f t="shared" si="126"/>
        <v>#VALUE!</v>
      </c>
      <c r="U561" s="41" t="e">
        <f t="shared" si="127"/>
        <v>#VALUE!</v>
      </c>
      <c r="V561" s="41" t="e">
        <f t="shared" si="128"/>
        <v>#VALUE!</v>
      </c>
    </row>
    <row r="562" spans="2:22" x14ac:dyDescent="0.25">
      <c r="B562" s="41" t="b">
        <f t="shared" si="129"/>
        <v>0</v>
      </c>
      <c r="C562" s="41" t="e">
        <f t="shared" si="116"/>
        <v>#VALUE!</v>
      </c>
      <c r="E562" s="45">
        <v>558</v>
      </c>
      <c r="G562" s="138"/>
      <c r="H562" s="135">
        <v>1</v>
      </c>
      <c r="I562" s="46" t="e">
        <f t="shared" si="117"/>
        <v>#VALUE!</v>
      </c>
      <c r="J562" s="41" t="e">
        <f t="shared" si="123"/>
        <v>#VALUE!</v>
      </c>
      <c r="K562" s="41" t="e">
        <f t="shared" si="124"/>
        <v>#VALUE!</v>
      </c>
      <c r="L562" s="41" t="e">
        <f t="shared" si="124"/>
        <v>#VALUE!</v>
      </c>
      <c r="M562" s="41" t="e">
        <f t="shared" si="118"/>
        <v>#VALUE!</v>
      </c>
      <c r="N562" s="41" t="e">
        <f t="shared" si="119"/>
        <v>#VALUE!</v>
      </c>
      <c r="O562" s="41">
        <f t="shared" si="120"/>
        <v>0</v>
      </c>
      <c r="Q562" s="44" t="e">
        <f t="shared" si="121"/>
        <v>#VALUE!</v>
      </c>
      <c r="R562" s="44" t="e">
        <f t="shared" si="125"/>
        <v>#VALUE!</v>
      </c>
      <c r="S562" s="44" t="e">
        <f t="shared" si="122"/>
        <v>#VALUE!</v>
      </c>
      <c r="T562" s="41" t="e">
        <f t="shared" si="126"/>
        <v>#VALUE!</v>
      </c>
      <c r="U562" s="41" t="e">
        <f t="shared" si="127"/>
        <v>#VALUE!</v>
      </c>
      <c r="V562" s="41" t="e">
        <f t="shared" si="128"/>
        <v>#VALUE!</v>
      </c>
    </row>
    <row r="563" spans="2:22" x14ac:dyDescent="0.25">
      <c r="B563" s="41" t="b">
        <f t="shared" si="129"/>
        <v>0</v>
      </c>
      <c r="C563" s="41" t="e">
        <f t="shared" si="116"/>
        <v>#VALUE!</v>
      </c>
      <c r="E563" s="45">
        <v>559</v>
      </c>
      <c r="G563" s="138"/>
      <c r="H563" s="135">
        <v>1</v>
      </c>
      <c r="I563" s="46" t="e">
        <f t="shared" si="117"/>
        <v>#VALUE!</v>
      </c>
      <c r="J563" s="41" t="e">
        <f t="shared" si="123"/>
        <v>#VALUE!</v>
      </c>
      <c r="K563" s="41" t="e">
        <f t="shared" si="124"/>
        <v>#VALUE!</v>
      </c>
      <c r="L563" s="41" t="e">
        <f t="shared" si="124"/>
        <v>#VALUE!</v>
      </c>
      <c r="M563" s="41" t="e">
        <f t="shared" si="118"/>
        <v>#VALUE!</v>
      </c>
      <c r="N563" s="41" t="e">
        <f t="shared" si="119"/>
        <v>#VALUE!</v>
      </c>
      <c r="O563" s="41">
        <f t="shared" si="120"/>
        <v>0</v>
      </c>
      <c r="Q563" s="44" t="e">
        <f t="shared" si="121"/>
        <v>#VALUE!</v>
      </c>
      <c r="R563" s="44" t="e">
        <f t="shared" si="125"/>
        <v>#VALUE!</v>
      </c>
      <c r="S563" s="44" t="e">
        <f t="shared" si="122"/>
        <v>#VALUE!</v>
      </c>
      <c r="T563" s="41" t="e">
        <f t="shared" si="126"/>
        <v>#VALUE!</v>
      </c>
      <c r="U563" s="41" t="e">
        <f t="shared" si="127"/>
        <v>#VALUE!</v>
      </c>
      <c r="V563" s="41" t="e">
        <f t="shared" si="128"/>
        <v>#VALUE!</v>
      </c>
    </row>
    <row r="564" spans="2:22" x14ac:dyDescent="0.25">
      <c r="B564" s="41" t="b">
        <f t="shared" si="129"/>
        <v>0</v>
      </c>
      <c r="C564" s="41" t="e">
        <f t="shared" si="116"/>
        <v>#VALUE!</v>
      </c>
      <c r="E564" s="45">
        <v>560</v>
      </c>
      <c r="G564" s="138"/>
      <c r="H564" s="135">
        <v>1</v>
      </c>
      <c r="I564" s="46" t="e">
        <f t="shared" si="117"/>
        <v>#VALUE!</v>
      </c>
      <c r="J564" s="41" t="e">
        <f t="shared" si="123"/>
        <v>#VALUE!</v>
      </c>
      <c r="K564" s="41" t="e">
        <f t="shared" si="124"/>
        <v>#VALUE!</v>
      </c>
      <c r="L564" s="41" t="e">
        <f t="shared" si="124"/>
        <v>#VALUE!</v>
      </c>
      <c r="M564" s="41" t="e">
        <f t="shared" si="118"/>
        <v>#VALUE!</v>
      </c>
      <c r="N564" s="41" t="e">
        <f t="shared" si="119"/>
        <v>#VALUE!</v>
      </c>
      <c r="O564" s="41">
        <f t="shared" si="120"/>
        <v>0</v>
      </c>
      <c r="Q564" s="44" t="e">
        <f t="shared" si="121"/>
        <v>#VALUE!</v>
      </c>
      <c r="R564" s="44" t="e">
        <f t="shared" si="125"/>
        <v>#VALUE!</v>
      </c>
      <c r="S564" s="44" t="e">
        <f t="shared" si="122"/>
        <v>#VALUE!</v>
      </c>
      <c r="T564" s="41" t="e">
        <f t="shared" si="126"/>
        <v>#VALUE!</v>
      </c>
      <c r="U564" s="41" t="e">
        <f t="shared" si="127"/>
        <v>#VALUE!</v>
      </c>
      <c r="V564" s="41" t="e">
        <f t="shared" si="128"/>
        <v>#VALUE!</v>
      </c>
    </row>
    <row r="565" spans="2:22" x14ac:dyDescent="0.25">
      <c r="B565" s="41" t="b">
        <f t="shared" si="129"/>
        <v>0</v>
      </c>
      <c r="C565" s="41" t="e">
        <f t="shared" si="116"/>
        <v>#VALUE!</v>
      </c>
      <c r="E565" s="45">
        <v>561</v>
      </c>
      <c r="G565" s="138"/>
      <c r="H565" s="135">
        <v>1</v>
      </c>
      <c r="I565" s="46" t="e">
        <f t="shared" si="117"/>
        <v>#VALUE!</v>
      </c>
      <c r="J565" s="41" t="e">
        <f t="shared" si="123"/>
        <v>#VALUE!</v>
      </c>
      <c r="K565" s="41" t="e">
        <f t="shared" si="124"/>
        <v>#VALUE!</v>
      </c>
      <c r="L565" s="41" t="e">
        <f t="shared" si="124"/>
        <v>#VALUE!</v>
      </c>
      <c r="M565" s="41" t="e">
        <f t="shared" si="118"/>
        <v>#VALUE!</v>
      </c>
      <c r="N565" s="41" t="e">
        <f t="shared" si="119"/>
        <v>#VALUE!</v>
      </c>
      <c r="O565" s="41">
        <f t="shared" si="120"/>
        <v>0</v>
      </c>
      <c r="Q565" s="44" t="e">
        <f t="shared" si="121"/>
        <v>#VALUE!</v>
      </c>
      <c r="R565" s="44" t="e">
        <f t="shared" si="125"/>
        <v>#VALUE!</v>
      </c>
      <c r="S565" s="44" t="e">
        <f t="shared" si="122"/>
        <v>#VALUE!</v>
      </c>
      <c r="T565" s="41" t="e">
        <f t="shared" si="126"/>
        <v>#VALUE!</v>
      </c>
      <c r="U565" s="41" t="e">
        <f t="shared" si="127"/>
        <v>#VALUE!</v>
      </c>
      <c r="V565" s="41" t="e">
        <f t="shared" si="128"/>
        <v>#VALUE!</v>
      </c>
    </row>
    <row r="566" spans="2:22" x14ac:dyDescent="0.25">
      <c r="B566" s="41" t="b">
        <f t="shared" si="129"/>
        <v>0</v>
      </c>
      <c r="C566" s="41" t="e">
        <f t="shared" ref="C566:C629" si="130">SUM(T566:V566)</f>
        <v>#VALUE!</v>
      </c>
      <c r="E566" s="45">
        <v>562</v>
      </c>
      <c r="G566" s="138"/>
      <c r="H566" s="135">
        <v>1</v>
      </c>
      <c r="I566" s="46" t="e">
        <f t="shared" si="117"/>
        <v>#VALUE!</v>
      </c>
      <c r="J566" s="41" t="e">
        <f t="shared" si="123"/>
        <v>#VALUE!</v>
      </c>
      <c r="K566" s="41" t="e">
        <f t="shared" si="124"/>
        <v>#VALUE!</v>
      </c>
      <c r="L566" s="41" t="e">
        <f t="shared" si="124"/>
        <v>#VALUE!</v>
      </c>
      <c r="M566" s="41" t="e">
        <f t="shared" si="118"/>
        <v>#VALUE!</v>
      </c>
      <c r="N566" s="41" t="e">
        <f t="shared" si="119"/>
        <v>#VALUE!</v>
      </c>
      <c r="O566" s="41">
        <f t="shared" si="120"/>
        <v>0</v>
      </c>
      <c r="Q566" s="44" t="e">
        <f t="shared" si="121"/>
        <v>#VALUE!</v>
      </c>
      <c r="R566" s="44" t="e">
        <f t="shared" si="125"/>
        <v>#VALUE!</v>
      </c>
      <c r="S566" s="44" t="e">
        <f t="shared" si="122"/>
        <v>#VALUE!</v>
      </c>
      <c r="T566" s="41" t="e">
        <f t="shared" si="126"/>
        <v>#VALUE!</v>
      </c>
      <c r="U566" s="41" t="e">
        <f t="shared" si="127"/>
        <v>#VALUE!</v>
      </c>
      <c r="V566" s="41" t="e">
        <f t="shared" si="128"/>
        <v>#VALUE!</v>
      </c>
    </row>
    <row r="567" spans="2:22" x14ac:dyDescent="0.25">
      <c r="B567" s="41" t="b">
        <f t="shared" si="129"/>
        <v>0</v>
      </c>
      <c r="C567" s="41" t="e">
        <f t="shared" si="130"/>
        <v>#VALUE!</v>
      </c>
      <c r="E567" s="45">
        <v>563</v>
      </c>
      <c r="G567" s="138"/>
      <c r="H567" s="135">
        <v>1</v>
      </c>
      <c r="I567" s="46" t="e">
        <f t="shared" si="117"/>
        <v>#VALUE!</v>
      </c>
      <c r="J567" s="41" t="e">
        <f t="shared" si="123"/>
        <v>#VALUE!</v>
      </c>
      <c r="K567" s="41" t="e">
        <f t="shared" si="124"/>
        <v>#VALUE!</v>
      </c>
      <c r="L567" s="41" t="e">
        <f t="shared" si="124"/>
        <v>#VALUE!</v>
      </c>
      <c r="M567" s="41" t="e">
        <f t="shared" si="118"/>
        <v>#VALUE!</v>
      </c>
      <c r="N567" s="41" t="e">
        <f t="shared" si="119"/>
        <v>#VALUE!</v>
      </c>
      <c r="O567" s="41">
        <f t="shared" si="120"/>
        <v>0</v>
      </c>
      <c r="Q567" s="44" t="e">
        <f t="shared" si="121"/>
        <v>#VALUE!</v>
      </c>
      <c r="R567" s="44" t="e">
        <f t="shared" si="125"/>
        <v>#VALUE!</v>
      </c>
      <c r="S567" s="44" t="e">
        <f t="shared" si="122"/>
        <v>#VALUE!</v>
      </c>
      <c r="T567" s="41" t="e">
        <f t="shared" si="126"/>
        <v>#VALUE!</v>
      </c>
      <c r="U567" s="41" t="e">
        <f t="shared" si="127"/>
        <v>#VALUE!</v>
      </c>
      <c r="V567" s="41" t="e">
        <f t="shared" si="128"/>
        <v>#VALUE!</v>
      </c>
    </row>
    <row r="568" spans="2:22" x14ac:dyDescent="0.25">
      <c r="B568" s="41" t="b">
        <f t="shared" si="129"/>
        <v>0</v>
      </c>
      <c r="C568" s="41" t="e">
        <f t="shared" si="130"/>
        <v>#VALUE!</v>
      </c>
      <c r="E568" s="45">
        <v>564</v>
      </c>
      <c r="G568" s="138"/>
      <c r="H568" s="135">
        <v>1</v>
      </c>
      <c r="I568" s="46" t="e">
        <f t="shared" si="117"/>
        <v>#VALUE!</v>
      </c>
      <c r="J568" s="41" t="e">
        <f t="shared" si="123"/>
        <v>#VALUE!</v>
      </c>
      <c r="K568" s="41" t="e">
        <f t="shared" si="124"/>
        <v>#VALUE!</v>
      </c>
      <c r="L568" s="41" t="e">
        <f t="shared" si="124"/>
        <v>#VALUE!</v>
      </c>
      <c r="M568" s="41" t="e">
        <f t="shared" si="118"/>
        <v>#VALUE!</v>
      </c>
      <c r="N568" s="41" t="e">
        <f t="shared" si="119"/>
        <v>#VALUE!</v>
      </c>
      <c r="O568" s="41">
        <f t="shared" si="120"/>
        <v>0</v>
      </c>
      <c r="Q568" s="44" t="e">
        <f t="shared" si="121"/>
        <v>#VALUE!</v>
      </c>
      <c r="R568" s="44" t="e">
        <f t="shared" si="125"/>
        <v>#VALUE!</v>
      </c>
      <c r="S568" s="44" t="e">
        <f t="shared" si="122"/>
        <v>#VALUE!</v>
      </c>
      <c r="T568" s="41" t="e">
        <f t="shared" si="126"/>
        <v>#VALUE!</v>
      </c>
      <c r="U568" s="41" t="e">
        <f t="shared" si="127"/>
        <v>#VALUE!</v>
      </c>
      <c r="V568" s="41" t="e">
        <f t="shared" si="128"/>
        <v>#VALUE!</v>
      </c>
    </row>
    <row r="569" spans="2:22" x14ac:dyDescent="0.25">
      <c r="B569" s="41" t="b">
        <f t="shared" si="129"/>
        <v>0</v>
      </c>
      <c r="C569" s="41" t="e">
        <f t="shared" si="130"/>
        <v>#VALUE!</v>
      </c>
      <c r="E569" s="45">
        <v>565</v>
      </c>
      <c r="G569" s="138"/>
      <c r="H569" s="135">
        <v>1</v>
      </c>
      <c r="I569" s="46" t="e">
        <f t="shared" si="117"/>
        <v>#VALUE!</v>
      </c>
      <c r="J569" s="41" t="e">
        <f t="shared" si="123"/>
        <v>#VALUE!</v>
      </c>
      <c r="K569" s="41" t="e">
        <f t="shared" si="124"/>
        <v>#VALUE!</v>
      </c>
      <c r="L569" s="41" t="e">
        <f t="shared" si="124"/>
        <v>#VALUE!</v>
      </c>
      <c r="M569" s="41" t="e">
        <f t="shared" si="118"/>
        <v>#VALUE!</v>
      </c>
      <c r="N569" s="41" t="e">
        <f t="shared" si="119"/>
        <v>#VALUE!</v>
      </c>
      <c r="O569" s="41">
        <f t="shared" si="120"/>
        <v>0</v>
      </c>
      <c r="Q569" s="44" t="e">
        <f t="shared" si="121"/>
        <v>#VALUE!</v>
      </c>
      <c r="R569" s="44" t="e">
        <f t="shared" si="125"/>
        <v>#VALUE!</v>
      </c>
      <c r="S569" s="44" t="e">
        <f t="shared" si="122"/>
        <v>#VALUE!</v>
      </c>
      <c r="T569" s="41" t="e">
        <f t="shared" si="126"/>
        <v>#VALUE!</v>
      </c>
      <c r="U569" s="41" t="e">
        <f t="shared" si="127"/>
        <v>#VALUE!</v>
      </c>
      <c r="V569" s="41" t="e">
        <f t="shared" si="128"/>
        <v>#VALUE!</v>
      </c>
    </row>
    <row r="570" spans="2:22" x14ac:dyDescent="0.25">
      <c r="B570" s="41" t="b">
        <f t="shared" si="129"/>
        <v>0</v>
      </c>
      <c r="C570" s="41" t="e">
        <f t="shared" si="130"/>
        <v>#VALUE!</v>
      </c>
      <c r="E570" s="45">
        <v>566</v>
      </c>
      <c r="G570" s="138"/>
      <c r="H570" s="135">
        <v>1</v>
      </c>
      <c r="I570" s="46" t="e">
        <f t="shared" si="117"/>
        <v>#VALUE!</v>
      </c>
      <c r="J570" s="41" t="e">
        <f t="shared" si="123"/>
        <v>#VALUE!</v>
      </c>
      <c r="K570" s="41" t="e">
        <f t="shared" si="124"/>
        <v>#VALUE!</v>
      </c>
      <c r="L570" s="41" t="e">
        <f t="shared" si="124"/>
        <v>#VALUE!</v>
      </c>
      <c r="M570" s="41" t="e">
        <f t="shared" si="118"/>
        <v>#VALUE!</v>
      </c>
      <c r="N570" s="41" t="e">
        <f t="shared" si="119"/>
        <v>#VALUE!</v>
      </c>
      <c r="O570" s="41">
        <f t="shared" si="120"/>
        <v>0</v>
      </c>
      <c r="Q570" s="44" t="e">
        <f t="shared" si="121"/>
        <v>#VALUE!</v>
      </c>
      <c r="R570" s="44" t="e">
        <f t="shared" si="125"/>
        <v>#VALUE!</v>
      </c>
      <c r="S570" s="44" t="e">
        <f t="shared" si="122"/>
        <v>#VALUE!</v>
      </c>
      <c r="T570" s="41" t="e">
        <f t="shared" si="126"/>
        <v>#VALUE!</v>
      </c>
      <c r="U570" s="41" t="e">
        <f t="shared" si="127"/>
        <v>#VALUE!</v>
      </c>
      <c r="V570" s="41" t="e">
        <f t="shared" si="128"/>
        <v>#VALUE!</v>
      </c>
    </row>
    <row r="571" spans="2:22" x14ac:dyDescent="0.25">
      <c r="B571" s="41" t="b">
        <f t="shared" si="129"/>
        <v>0</v>
      </c>
      <c r="C571" s="41" t="e">
        <f t="shared" si="130"/>
        <v>#VALUE!</v>
      </c>
      <c r="E571" s="45">
        <v>567</v>
      </c>
      <c r="G571" s="138"/>
      <c r="H571" s="135">
        <v>1</v>
      </c>
      <c r="I571" s="46" t="e">
        <f t="shared" si="117"/>
        <v>#VALUE!</v>
      </c>
      <c r="J571" s="41" t="e">
        <f t="shared" si="123"/>
        <v>#VALUE!</v>
      </c>
      <c r="K571" s="41" t="e">
        <f t="shared" si="124"/>
        <v>#VALUE!</v>
      </c>
      <c r="L571" s="41" t="e">
        <f t="shared" si="124"/>
        <v>#VALUE!</v>
      </c>
      <c r="M571" s="41" t="e">
        <f t="shared" si="118"/>
        <v>#VALUE!</v>
      </c>
      <c r="N571" s="41" t="e">
        <f t="shared" si="119"/>
        <v>#VALUE!</v>
      </c>
      <c r="O571" s="41">
        <f t="shared" si="120"/>
        <v>0</v>
      </c>
      <c r="Q571" s="44" t="e">
        <f t="shared" si="121"/>
        <v>#VALUE!</v>
      </c>
      <c r="R571" s="44" t="e">
        <f t="shared" si="125"/>
        <v>#VALUE!</v>
      </c>
      <c r="S571" s="44" t="e">
        <f t="shared" si="122"/>
        <v>#VALUE!</v>
      </c>
      <c r="T571" s="41" t="e">
        <f t="shared" si="126"/>
        <v>#VALUE!</v>
      </c>
      <c r="U571" s="41" t="e">
        <f t="shared" si="127"/>
        <v>#VALUE!</v>
      </c>
      <c r="V571" s="41" t="e">
        <f t="shared" si="128"/>
        <v>#VALUE!</v>
      </c>
    </row>
    <row r="572" spans="2:22" x14ac:dyDescent="0.25">
      <c r="B572" s="41" t="b">
        <f t="shared" si="129"/>
        <v>0</v>
      </c>
      <c r="C572" s="41" t="e">
        <f t="shared" si="130"/>
        <v>#VALUE!</v>
      </c>
      <c r="E572" s="45">
        <v>568</v>
      </c>
      <c r="G572" s="138"/>
      <c r="H572" s="135">
        <v>1</v>
      </c>
      <c r="I572" s="46" t="e">
        <f t="shared" si="117"/>
        <v>#VALUE!</v>
      </c>
      <c r="J572" s="41" t="e">
        <f t="shared" si="123"/>
        <v>#VALUE!</v>
      </c>
      <c r="K572" s="41" t="e">
        <f t="shared" si="124"/>
        <v>#VALUE!</v>
      </c>
      <c r="L572" s="41" t="e">
        <f t="shared" si="124"/>
        <v>#VALUE!</v>
      </c>
      <c r="M572" s="41" t="e">
        <f t="shared" si="118"/>
        <v>#VALUE!</v>
      </c>
      <c r="N572" s="41" t="e">
        <f t="shared" si="119"/>
        <v>#VALUE!</v>
      </c>
      <c r="O572" s="41">
        <f t="shared" si="120"/>
        <v>0</v>
      </c>
      <c r="Q572" s="44" t="e">
        <f t="shared" si="121"/>
        <v>#VALUE!</v>
      </c>
      <c r="R572" s="44" t="e">
        <f t="shared" si="125"/>
        <v>#VALUE!</v>
      </c>
      <c r="S572" s="44" t="e">
        <f t="shared" si="122"/>
        <v>#VALUE!</v>
      </c>
      <c r="T572" s="41" t="e">
        <f t="shared" si="126"/>
        <v>#VALUE!</v>
      </c>
      <c r="U572" s="41" t="e">
        <f t="shared" si="127"/>
        <v>#VALUE!</v>
      </c>
      <c r="V572" s="41" t="e">
        <f t="shared" si="128"/>
        <v>#VALUE!</v>
      </c>
    </row>
    <row r="573" spans="2:22" x14ac:dyDescent="0.25">
      <c r="B573" s="41" t="b">
        <f t="shared" si="129"/>
        <v>0</v>
      </c>
      <c r="C573" s="41" t="e">
        <f t="shared" si="130"/>
        <v>#VALUE!</v>
      </c>
      <c r="E573" s="45">
        <v>569</v>
      </c>
      <c r="G573" s="138"/>
      <c r="H573" s="135">
        <v>1</v>
      </c>
      <c r="I573" s="46" t="e">
        <f t="shared" si="117"/>
        <v>#VALUE!</v>
      </c>
      <c r="J573" s="41" t="e">
        <f t="shared" si="123"/>
        <v>#VALUE!</v>
      </c>
      <c r="K573" s="41" t="e">
        <f t="shared" si="124"/>
        <v>#VALUE!</v>
      </c>
      <c r="L573" s="41" t="e">
        <f t="shared" si="124"/>
        <v>#VALUE!</v>
      </c>
      <c r="M573" s="41" t="e">
        <f t="shared" si="118"/>
        <v>#VALUE!</v>
      </c>
      <c r="N573" s="41" t="e">
        <f t="shared" si="119"/>
        <v>#VALUE!</v>
      </c>
      <c r="O573" s="41">
        <f t="shared" si="120"/>
        <v>0</v>
      </c>
      <c r="Q573" s="44" t="e">
        <f t="shared" si="121"/>
        <v>#VALUE!</v>
      </c>
      <c r="R573" s="44" t="e">
        <f t="shared" si="125"/>
        <v>#VALUE!</v>
      </c>
      <c r="S573" s="44" t="e">
        <f t="shared" si="122"/>
        <v>#VALUE!</v>
      </c>
      <c r="T573" s="41" t="e">
        <f t="shared" si="126"/>
        <v>#VALUE!</v>
      </c>
      <c r="U573" s="41" t="e">
        <f t="shared" si="127"/>
        <v>#VALUE!</v>
      </c>
      <c r="V573" s="41" t="e">
        <f t="shared" si="128"/>
        <v>#VALUE!</v>
      </c>
    </row>
    <row r="574" spans="2:22" x14ac:dyDescent="0.25">
      <c r="B574" s="41" t="b">
        <f t="shared" si="129"/>
        <v>0</v>
      </c>
      <c r="C574" s="41" t="e">
        <f t="shared" si="130"/>
        <v>#VALUE!</v>
      </c>
      <c r="E574" s="45">
        <v>570</v>
      </c>
      <c r="G574" s="138"/>
      <c r="H574" s="135">
        <v>1</v>
      </c>
      <c r="I574" s="46" t="e">
        <f t="shared" si="117"/>
        <v>#VALUE!</v>
      </c>
      <c r="J574" s="41" t="e">
        <f t="shared" si="123"/>
        <v>#VALUE!</v>
      </c>
      <c r="K574" s="41" t="e">
        <f t="shared" si="124"/>
        <v>#VALUE!</v>
      </c>
      <c r="L574" s="41" t="e">
        <f t="shared" si="124"/>
        <v>#VALUE!</v>
      </c>
      <c r="M574" s="41" t="e">
        <f t="shared" si="118"/>
        <v>#VALUE!</v>
      </c>
      <c r="N574" s="41" t="e">
        <f t="shared" si="119"/>
        <v>#VALUE!</v>
      </c>
      <c r="O574" s="41">
        <f t="shared" si="120"/>
        <v>0</v>
      </c>
      <c r="Q574" s="44" t="e">
        <f t="shared" si="121"/>
        <v>#VALUE!</v>
      </c>
      <c r="R574" s="44" t="e">
        <f t="shared" si="125"/>
        <v>#VALUE!</v>
      </c>
      <c r="S574" s="44" t="e">
        <f t="shared" si="122"/>
        <v>#VALUE!</v>
      </c>
      <c r="T574" s="41" t="e">
        <f t="shared" si="126"/>
        <v>#VALUE!</v>
      </c>
      <c r="U574" s="41" t="e">
        <f t="shared" si="127"/>
        <v>#VALUE!</v>
      </c>
      <c r="V574" s="41" t="e">
        <f t="shared" si="128"/>
        <v>#VALUE!</v>
      </c>
    </row>
    <row r="575" spans="2:22" x14ac:dyDescent="0.25">
      <c r="B575" s="41" t="b">
        <f t="shared" si="129"/>
        <v>0</v>
      </c>
      <c r="C575" s="41" t="e">
        <f t="shared" si="130"/>
        <v>#VALUE!</v>
      </c>
      <c r="E575" s="45">
        <v>571</v>
      </c>
      <c r="G575" s="138"/>
      <c r="H575" s="135">
        <v>1</v>
      </c>
      <c r="I575" s="46" t="e">
        <f t="shared" si="117"/>
        <v>#VALUE!</v>
      </c>
      <c r="J575" s="41" t="e">
        <f t="shared" si="123"/>
        <v>#VALUE!</v>
      </c>
      <c r="K575" s="41" t="e">
        <f t="shared" si="124"/>
        <v>#VALUE!</v>
      </c>
      <c r="L575" s="41" t="e">
        <f t="shared" si="124"/>
        <v>#VALUE!</v>
      </c>
      <c r="M575" s="41" t="e">
        <f t="shared" si="118"/>
        <v>#VALUE!</v>
      </c>
      <c r="N575" s="41" t="e">
        <f t="shared" si="119"/>
        <v>#VALUE!</v>
      </c>
      <c r="O575" s="41">
        <f t="shared" si="120"/>
        <v>0</v>
      </c>
      <c r="Q575" s="44" t="e">
        <f t="shared" si="121"/>
        <v>#VALUE!</v>
      </c>
      <c r="R575" s="44" t="e">
        <f t="shared" si="125"/>
        <v>#VALUE!</v>
      </c>
      <c r="S575" s="44" t="e">
        <f t="shared" si="122"/>
        <v>#VALUE!</v>
      </c>
      <c r="T575" s="41" t="e">
        <f t="shared" si="126"/>
        <v>#VALUE!</v>
      </c>
      <c r="U575" s="41" t="e">
        <f t="shared" si="127"/>
        <v>#VALUE!</v>
      </c>
      <c r="V575" s="41" t="e">
        <f t="shared" si="128"/>
        <v>#VALUE!</v>
      </c>
    </row>
    <row r="576" spans="2:22" x14ac:dyDescent="0.25">
      <c r="B576" s="41" t="b">
        <f t="shared" si="129"/>
        <v>0</v>
      </c>
      <c r="C576" s="41" t="e">
        <f t="shared" si="130"/>
        <v>#VALUE!</v>
      </c>
      <c r="E576" s="45">
        <v>572</v>
      </c>
      <c r="G576" s="138"/>
      <c r="H576" s="135">
        <v>1</v>
      </c>
      <c r="I576" s="46" t="e">
        <f t="shared" si="117"/>
        <v>#VALUE!</v>
      </c>
      <c r="J576" s="41" t="e">
        <f t="shared" si="123"/>
        <v>#VALUE!</v>
      </c>
      <c r="K576" s="41" t="e">
        <f t="shared" si="124"/>
        <v>#VALUE!</v>
      </c>
      <c r="L576" s="41" t="e">
        <f t="shared" si="124"/>
        <v>#VALUE!</v>
      </c>
      <c r="M576" s="41" t="e">
        <f t="shared" si="118"/>
        <v>#VALUE!</v>
      </c>
      <c r="N576" s="41" t="e">
        <f t="shared" si="119"/>
        <v>#VALUE!</v>
      </c>
      <c r="O576" s="41">
        <f t="shared" si="120"/>
        <v>0</v>
      </c>
      <c r="Q576" s="44" t="e">
        <f t="shared" si="121"/>
        <v>#VALUE!</v>
      </c>
      <c r="R576" s="44" t="e">
        <f t="shared" si="125"/>
        <v>#VALUE!</v>
      </c>
      <c r="S576" s="44" t="e">
        <f t="shared" si="122"/>
        <v>#VALUE!</v>
      </c>
      <c r="T576" s="41" t="e">
        <f t="shared" si="126"/>
        <v>#VALUE!</v>
      </c>
      <c r="U576" s="41" t="e">
        <f t="shared" si="127"/>
        <v>#VALUE!</v>
      </c>
      <c r="V576" s="41" t="e">
        <f t="shared" si="128"/>
        <v>#VALUE!</v>
      </c>
    </row>
    <row r="577" spans="2:22" x14ac:dyDescent="0.25">
      <c r="B577" s="41" t="b">
        <f t="shared" si="129"/>
        <v>0</v>
      </c>
      <c r="C577" s="41" t="e">
        <f t="shared" si="130"/>
        <v>#VALUE!</v>
      </c>
      <c r="E577" s="45">
        <v>573</v>
      </c>
      <c r="G577" s="138"/>
      <c r="H577" s="135">
        <v>1</v>
      </c>
      <c r="I577" s="46" t="e">
        <f t="shared" si="117"/>
        <v>#VALUE!</v>
      </c>
      <c r="J577" s="41" t="e">
        <f t="shared" si="123"/>
        <v>#VALUE!</v>
      </c>
      <c r="K577" s="41" t="e">
        <f t="shared" si="124"/>
        <v>#VALUE!</v>
      </c>
      <c r="L577" s="41" t="e">
        <f t="shared" si="124"/>
        <v>#VALUE!</v>
      </c>
      <c r="M577" s="41" t="e">
        <f t="shared" si="118"/>
        <v>#VALUE!</v>
      </c>
      <c r="N577" s="41" t="e">
        <f t="shared" si="119"/>
        <v>#VALUE!</v>
      </c>
      <c r="O577" s="41">
        <f t="shared" si="120"/>
        <v>0</v>
      </c>
      <c r="Q577" s="44" t="e">
        <f t="shared" si="121"/>
        <v>#VALUE!</v>
      </c>
      <c r="R577" s="44" t="e">
        <f t="shared" si="125"/>
        <v>#VALUE!</v>
      </c>
      <c r="S577" s="44" t="e">
        <f t="shared" si="122"/>
        <v>#VALUE!</v>
      </c>
      <c r="T577" s="41" t="e">
        <f t="shared" si="126"/>
        <v>#VALUE!</v>
      </c>
      <c r="U577" s="41" t="e">
        <f t="shared" si="127"/>
        <v>#VALUE!</v>
      </c>
      <c r="V577" s="41" t="e">
        <f t="shared" si="128"/>
        <v>#VALUE!</v>
      </c>
    </row>
    <row r="578" spans="2:22" x14ac:dyDescent="0.25">
      <c r="B578" s="41" t="b">
        <f t="shared" si="129"/>
        <v>0</v>
      </c>
      <c r="C578" s="41" t="e">
        <f t="shared" si="130"/>
        <v>#VALUE!</v>
      </c>
      <c r="E578" s="45">
        <v>574</v>
      </c>
      <c r="G578" s="138"/>
      <c r="H578" s="135">
        <v>1</v>
      </c>
      <c r="I578" s="46" t="e">
        <f t="shared" si="117"/>
        <v>#VALUE!</v>
      </c>
      <c r="J578" s="41" t="e">
        <f t="shared" si="123"/>
        <v>#VALUE!</v>
      </c>
      <c r="K578" s="41" t="e">
        <f t="shared" si="124"/>
        <v>#VALUE!</v>
      </c>
      <c r="L578" s="41" t="e">
        <f t="shared" si="124"/>
        <v>#VALUE!</v>
      </c>
      <c r="M578" s="41" t="e">
        <f t="shared" si="118"/>
        <v>#VALUE!</v>
      </c>
      <c r="N578" s="41" t="e">
        <f t="shared" si="119"/>
        <v>#VALUE!</v>
      </c>
      <c r="O578" s="41">
        <f t="shared" si="120"/>
        <v>0</v>
      </c>
      <c r="Q578" s="44" t="e">
        <f t="shared" si="121"/>
        <v>#VALUE!</v>
      </c>
      <c r="R578" s="44" t="e">
        <f t="shared" si="125"/>
        <v>#VALUE!</v>
      </c>
      <c r="S578" s="44" t="e">
        <f t="shared" si="122"/>
        <v>#VALUE!</v>
      </c>
      <c r="T578" s="41" t="e">
        <f t="shared" si="126"/>
        <v>#VALUE!</v>
      </c>
      <c r="U578" s="41" t="e">
        <f t="shared" si="127"/>
        <v>#VALUE!</v>
      </c>
      <c r="V578" s="41" t="e">
        <f t="shared" si="128"/>
        <v>#VALUE!</v>
      </c>
    </row>
    <row r="579" spans="2:22" x14ac:dyDescent="0.25">
      <c r="B579" s="41" t="b">
        <f t="shared" si="129"/>
        <v>0</v>
      </c>
      <c r="C579" s="41" t="e">
        <f t="shared" si="130"/>
        <v>#VALUE!</v>
      </c>
      <c r="E579" s="45">
        <v>575</v>
      </c>
      <c r="G579" s="138"/>
      <c r="H579" s="135">
        <v>1</v>
      </c>
      <c r="I579" s="46" t="e">
        <f t="shared" si="117"/>
        <v>#VALUE!</v>
      </c>
      <c r="J579" s="41" t="e">
        <f t="shared" si="123"/>
        <v>#VALUE!</v>
      </c>
      <c r="K579" s="41" t="e">
        <f t="shared" si="124"/>
        <v>#VALUE!</v>
      </c>
      <c r="L579" s="41" t="e">
        <f t="shared" si="124"/>
        <v>#VALUE!</v>
      </c>
      <c r="M579" s="41" t="e">
        <f t="shared" si="118"/>
        <v>#VALUE!</v>
      </c>
      <c r="N579" s="41" t="e">
        <f t="shared" si="119"/>
        <v>#VALUE!</v>
      </c>
      <c r="O579" s="41">
        <f t="shared" si="120"/>
        <v>0</v>
      </c>
      <c r="Q579" s="44" t="e">
        <f t="shared" si="121"/>
        <v>#VALUE!</v>
      </c>
      <c r="R579" s="44" t="e">
        <f t="shared" si="125"/>
        <v>#VALUE!</v>
      </c>
      <c r="S579" s="44" t="e">
        <f t="shared" si="122"/>
        <v>#VALUE!</v>
      </c>
      <c r="T579" s="41" t="e">
        <f t="shared" si="126"/>
        <v>#VALUE!</v>
      </c>
      <c r="U579" s="41" t="e">
        <f t="shared" si="127"/>
        <v>#VALUE!</v>
      </c>
      <c r="V579" s="41" t="e">
        <f t="shared" si="128"/>
        <v>#VALUE!</v>
      </c>
    </row>
    <row r="580" spans="2:22" x14ac:dyDescent="0.25">
      <c r="B580" s="41" t="b">
        <f t="shared" si="129"/>
        <v>0</v>
      </c>
      <c r="C580" s="41" t="e">
        <f t="shared" si="130"/>
        <v>#VALUE!</v>
      </c>
      <c r="E580" s="45">
        <v>576</v>
      </c>
      <c r="G580" s="138"/>
      <c r="H580" s="135">
        <v>1</v>
      </c>
      <c r="I580" s="46" t="e">
        <f t="shared" ref="I580:I643" si="131">RIGHT(G580,J580)</f>
        <v>#VALUE!</v>
      </c>
      <c r="J580" s="41" t="e">
        <f t="shared" si="123"/>
        <v>#VALUE!</v>
      </c>
      <c r="K580" s="41" t="e">
        <f t="shared" si="124"/>
        <v>#VALUE!</v>
      </c>
      <c r="L580" s="41" t="e">
        <f t="shared" si="124"/>
        <v>#VALUE!</v>
      </c>
      <c r="M580" s="41" t="e">
        <f t="shared" ref="M580:M643" si="132">SEARCH("-",G580,2)</f>
        <v>#VALUE!</v>
      </c>
      <c r="N580" s="41" t="e">
        <f t="shared" ref="N580:N643" si="133">SEARCH("-",G580,M580+1)</f>
        <v>#VALUE!</v>
      </c>
      <c r="O580" s="41">
        <f t="shared" ref="O580:O643" si="134">LEN(G580)</f>
        <v>0</v>
      </c>
      <c r="Q580" s="44" t="e">
        <f t="shared" ref="Q580:Q643" si="135">LEFT(G580,M580-1)</f>
        <v>#VALUE!</v>
      </c>
      <c r="R580" s="44" t="e">
        <f t="shared" si="125"/>
        <v>#VALUE!</v>
      </c>
      <c r="S580" s="44" t="e">
        <f t="shared" ref="S580:S643" si="136">RIGHT(G580,L580)</f>
        <v>#VALUE!</v>
      </c>
      <c r="T580" s="41" t="e">
        <f t="shared" si="126"/>
        <v>#VALUE!</v>
      </c>
      <c r="U580" s="41" t="e">
        <f t="shared" si="127"/>
        <v>#VALUE!</v>
      </c>
      <c r="V580" s="41" t="e">
        <f t="shared" si="128"/>
        <v>#VALUE!</v>
      </c>
    </row>
    <row r="581" spans="2:22" x14ac:dyDescent="0.25">
      <c r="B581" s="41" t="b">
        <f t="shared" si="129"/>
        <v>0</v>
      </c>
      <c r="C581" s="41" t="e">
        <f t="shared" si="130"/>
        <v>#VALUE!</v>
      </c>
      <c r="E581" s="45">
        <v>577</v>
      </c>
      <c r="G581" s="138"/>
      <c r="H581" s="135">
        <v>1</v>
      </c>
      <c r="I581" s="46" t="e">
        <f t="shared" si="131"/>
        <v>#VALUE!</v>
      </c>
      <c r="J581" s="41" t="e">
        <f t="shared" ref="J581:J644" si="137">O581-M581</f>
        <v>#VALUE!</v>
      </c>
      <c r="K581" s="41" t="e">
        <f t="shared" ref="K581:L622" si="138">N581-M581</f>
        <v>#VALUE!</v>
      </c>
      <c r="L581" s="41" t="e">
        <f t="shared" si="138"/>
        <v>#VALUE!</v>
      </c>
      <c r="M581" s="41" t="e">
        <f t="shared" si="132"/>
        <v>#VALUE!</v>
      </c>
      <c r="N581" s="41" t="e">
        <f t="shared" si="133"/>
        <v>#VALUE!</v>
      </c>
      <c r="O581" s="41">
        <f t="shared" si="134"/>
        <v>0</v>
      </c>
      <c r="Q581" s="44" t="e">
        <f t="shared" si="135"/>
        <v>#VALUE!</v>
      </c>
      <c r="R581" s="44" t="e">
        <f t="shared" ref="R581:R644" si="139">LEFT(I581,K581-1)</f>
        <v>#VALUE!</v>
      </c>
      <c r="S581" s="44" t="e">
        <f t="shared" si="136"/>
        <v>#VALUE!</v>
      </c>
      <c r="T581" s="41" t="e">
        <f t="shared" ref="T581:T644" si="140">Q581*1*H581</f>
        <v>#VALUE!</v>
      </c>
      <c r="U581" s="41" t="e">
        <f t="shared" ref="U581:U644" si="141">R581*1*H581</f>
        <v>#VALUE!</v>
      </c>
      <c r="V581" s="41" t="e">
        <f t="shared" ref="V581:V644" si="142">S581*1*H581</f>
        <v>#VALUE!</v>
      </c>
    </row>
    <row r="582" spans="2:22" x14ac:dyDescent="0.25">
      <c r="B582" s="41" t="b">
        <f t="shared" si="129"/>
        <v>0</v>
      </c>
      <c r="C582" s="41" t="e">
        <f t="shared" si="130"/>
        <v>#VALUE!</v>
      </c>
      <c r="E582" s="45">
        <v>578</v>
      </c>
      <c r="G582" s="138"/>
      <c r="H582" s="135">
        <v>1</v>
      </c>
      <c r="I582" s="46" t="e">
        <f t="shared" si="131"/>
        <v>#VALUE!</v>
      </c>
      <c r="J582" s="41" t="e">
        <f t="shared" si="137"/>
        <v>#VALUE!</v>
      </c>
      <c r="K582" s="41" t="e">
        <f t="shared" si="138"/>
        <v>#VALUE!</v>
      </c>
      <c r="L582" s="41" t="e">
        <f t="shared" si="138"/>
        <v>#VALUE!</v>
      </c>
      <c r="M582" s="41" t="e">
        <f t="shared" si="132"/>
        <v>#VALUE!</v>
      </c>
      <c r="N582" s="41" t="e">
        <f t="shared" si="133"/>
        <v>#VALUE!</v>
      </c>
      <c r="O582" s="41">
        <f t="shared" si="134"/>
        <v>0</v>
      </c>
      <c r="Q582" s="44" t="e">
        <f t="shared" si="135"/>
        <v>#VALUE!</v>
      </c>
      <c r="R582" s="44" t="e">
        <f t="shared" si="139"/>
        <v>#VALUE!</v>
      </c>
      <c r="S582" s="44" t="e">
        <f t="shared" si="136"/>
        <v>#VALUE!</v>
      </c>
      <c r="T582" s="41" t="e">
        <f t="shared" si="140"/>
        <v>#VALUE!</v>
      </c>
      <c r="U582" s="41" t="e">
        <f t="shared" si="141"/>
        <v>#VALUE!</v>
      </c>
      <c r="V582" s="41" t="e">
        <f t="shared" si="142"/>
        <v>#VALUE!</v>
      </c>
    </row>
    <row r="583" spans="2:22" x14ac:dyDescent="0.25">
      <c r="B583" s="41" t="b">
        <f t="shared" si="129"/>
        <v>0</v>
      </c>
      <c r="C583" s="41" t="e">
        <f t="shared" si="130"/>
        <v>#VALUE!</v>
      </c>
      <c r="E583" s="45">
        <v>579</v>
      </c>
      <c r="G583" s="138"/>
      <c r="H583" s="135">
        <v>1</v>
      </c>
      <c r="I583" s="46" t="e">
        <f t="shared" si="131"/>
        <v>#VALUE!</v>
      </c>
      <c r="J583" s="41" t="e">
        <f t="shared" si="137"/>
        <v>#VALUE!</v>
      </c>
      <c r="K583" s="41" t="e">
        <f t="shared" si="138"/>
        <v>#VALUE!</v>
      </c>
      <c r="L583" s="41" t="e">
        <f t="shared" si="138"/>
        <v>#VALUE!</v>
      </c>
      <c r="M583" s="41" t="e">
        <f t="shared" si="132"/>
        <v>#VALUE!</v>
      </c>
      <c r="N583" s="41" t="e">
        <f t="shared" si="133"/>
        <v>#VALUE!</v>
      </c>
      <c r="O583" s="41">
        <f t="shared" si="134"/>
        <v>0</v>
      </c>
      <c r="Q583" s="44" t="e">
        <f t="shared" si="135"/>
        <v>#VALUE!</v>
      </c>
      <c r="R583" s="44" t="e">
        <f t="shared" si="139"/>
        <v>#VALUE!</v>
      </c>
      <c r="S583" s="44" t="e">
        <f t="shared" si="136"/>
        <v>#VALUE!</v>
      </c>
      <c r="T583" s="41" t="e">
        <f t="shared" si="140"/>
        <v>#VALUE!</v>
      </c>
      <c r="U583" s="41" t="e">
        <f t="shared" si="141"/>
        <v>#VALUE!</v>
      </c>
      <c r="V583" s="41" t="e">
        <f t="shared" si="142"/>
        <v>#VALUE!</v>
      </c>
    </row>
    <row r="584" spans="2:22" x14ac:dyDescent="0.25">
      <c r="B584" s="41" t="b">
        <f t="shared" si="129"/>
        <v>0</v>
      </c>
      <c r="C584" s="41" t="e">
        <f t="shared" si="130"/>
        <v>#VALUE!</v>
      </c>
      <c r="E584" s="45">
        <v>580</v>
      </c>
      <c r="G584" s="138"/>
      <c r="H584" s="135">
        <v>1</v>
      </c>
      <c r="I584" s="46" t="e">
        <f t="shared" si="131"/>
        <v>#VALUE!</v>
      </c>
      <c r="J584" s="41" t="e">
        <f t="shared" si="137"/>
        <v>#VALUE!</v>
      </c>
      <c r="K584" s="41" t="e">
        <f t="shared" si="138"/>
        <v>#VALUE!</v>
      </c>
      <c r="L584" s="41" t="e">
        <f t="shared" si="138"/>
        <v>#VALUE!</v>
      </c>
      <c r="M584" s="41" t="e">
        <f t="shared" si="132"/>
        <v>#VALUE!</v>
      </c>
      <c r="N584" s="41" t="e">
        <f t="shared" si="133"/>
        <v>#VALUE!</v>
      </c>
      <c r="O584" s="41">
        <f t="shared" si="134"/>
        <v>0</v>
      </c>
      <c r="Q584" s="44" t="e">
        <f t="shared" si="135"/>
        <v>#VALUE!</v>
      </c>
      <c r="R584" s="44" t="e">
        <f t="shared" si="139"/>
        <v>#VALUE!</v>
      </c>
      <c r="S584" s="44" t="e">
        <f t="shared" si="136"/>
        <v>#VALUE!</v>
      </c>
      <c r="T584" s="41" t="e">
        <f t="shared" si="140"/>
        <v>#VALUE!</v>
      </c>
      <c r="U584" s="41" t="e">
        <f t="shared" si="141"/>
        <v>#VALUE!</v>
      </c>
      <c r="V584" s="41" t="e">
        <f t="shared" si="142"/>
        <v>#VALUE!</v>
      </c>
    </row>
    <row r="585" spans="2:22" x14ac:dyDescent="0.25">
      <c r="B585" s="41" t="b">
        <f t="shared" si="129"/>
        <v>0</v>
      </c>
      <c r="C585" s="41" t="e">
        <f t="shared" si="130"/>
        <v>#VALUE!</v>
      </c>
      <c r="E585" s="45">
        <v>581</v>
      </c>
      <c r="G585" s="138"/>
      <c r="H585" s="135">
        <v>1</v>
      </c>
      <c r="I585" s="46" t="e">
        <f t="shared" si="131"/>
        <v>#VALUE!</v>
      </c>
      <c r="J585" s="41" t="e">
        <f t="shared" si="137"/>
        <v>#VALUE!</v>
      </c>
      <c r="K585" s="41" t="e">
        <f t="shared" si="138"/>
        <v>#VALUE!</v>
      </c>
      <c r="L585" s="41" t="e">
        <f t="shared" si="138"/>
        <v>#VALUE!</v>
      </c>
      <c r="M585" s="41" t="e">
        <f t="shared" si="132"/>
        <v>#VALUE!</v>
      </c>
      <c r="N585" s="41" t="e">
        <f t="shared" si="133"/>
        <v>#VALUE!</v>
      </c>
      <c r="O585" s="41">
        <f t="shared" si="134"/>
        <v>0</v>
      </c>
      <c r="Q585" s="44" t="e">
        <f t="shared" si="135"/>
        <v>#VALUE!</v>
      </c>
      <c r="R585" s="44" t="e">
        <f t="shared" si="139"/>
        <v>#VALUE!</v>
      </c>
      <c r="S585" s="44" t="e">
        <f t="shared" si="136"/>
        <v>#VALUE!</v>
      </c>
      <c r="T585" s="41" t="e">
        <f t="shared" si="140"/>
        <v>#VALUE!</v>
      </c>
      <c r="U585" s="41" t="e">
        <f t="shared" si="141"/>
        <v>#VALUE!</v>
      </c>
      <c r="V585" s="41" t="e">
        <f t="shared" si="142"/>
        <v>#VALUE!</v>
      </c>
    </row>
    <row r="586" spans="2:22" x14ac:dyDescent="0.25">
      <c r="B586" s="41" t="b">
        <f t="shared" si="129"/>
        <v>0</v>
      </c>
      <c r="C586" s="41" t="e">
        <f t="shared" si="130"/>
        <v>#VALUE!</v>
      </c>
      <c r="E586" s="45">
        <v>582</v>
      </c>
      <c r="G586" s="138"/>
      <c r="H586" s="135">
        <v>1</v>
      </c>
      <c r="I586" s="46" t="e">
        <f t="shared" si="131"/>
        <v>#VALUE!</v>
      </c>
      <c r="J586" s="41" t="e">
        <f t="shared" si="137"/>
        <v>#VALUE!</v>
      </c>
      <c r="K586" s="41" t="e">
        <f t="shared" si="138"/>
        <v>#VALUE!</v>
      </c>
      <c r="L586" s="41" t="e">
        <f t="shared" si="138"/>
        <v>#VALUE!</v>
      </c>
      <c r="M586" s="41" t="e">
        <f t="shared" si="132"/>
        <v>#VALUE!</v>
      </c>
      <c r="N586" s="41" t="e">
        <f t="shared" si="133"/>
        <v>#VALUE!</v>
      </c>
      <c r="O586" s="41">
        <f t="shared" si="134"/>
        <v>0</v>
      </c>
      <c r="Q586" s="44" t="e">
        <f t="shared" si="135"/>
        <v>#VALUE!</v>
      </c>
      <c r="R586" s="44" t="e">
        <f t="shared" si="139"/>
        <v>#VALUE!</v>
      </c>
      <c r="S586" s="44" t="e">
        <f t="shared" si="136"/>
        <v>#VALUE!</v>
      </c>
      <c r="T586" s="41" t="e">
        <f t="shared" si="140"/>
        <v>#VALUE!</v>
      </c>
      <c r="U586" s="41" t="e">
        <f t="shared" si="141"/>
        <v>#VALUE!</v>
      </c>
      <c r="V586" s="41" t="e">
        <f t="shared" si="142"/>
        <v>#VALUE!</v>
      </c>
    </row>
    <row r="587" spans="2:22" x14ac:dyDescent="0.25">
      <c r="B587" s="41" t="b">
        <f t="shared" si="129"/>
        <v>0</v>
      </c>
      <c r="C587" s="41" t="e">
        <f t="shared" si="130"/>
        <v>#VALUE!</v>
      </c>
      <c r="E587" s="45">
        <v>583</v>
      </c>
      <c r="G587" s="138"/>
      <c r="H587" s="135">
        <v>1</v>
      </c>
      <c r="I587" s="46" t="e">
        <f t="shared" si="131"/>
        <v>#VALUE!</v>
      </c>
      <c r="J587" s="41" t="e">
        <f t="shared" si="137"/>
        <v>#VALUE!</v>
      </c>
      <c r="K587" s="41" t="e">
        <f t="shared" si="138"/>
        <v>#VALUE!</v>
      </c>
      <c r="L587" s="41" t="e">
        <f t="shared" si="138"/>
        <v>#VALUE!</v>
      </c>
      <c r="M587" s="41" t="e">
        <f t="shared" si="132"/>
        <v>#VALUE!</v>
      </c>
      <c r="N587" s="41" t="e">
        <f t="shared" si="133"/>
        <v>#VALUE!</v>
      </c>
      <c r="O587" s="41">
        <f t="shared" si="134"/>
        <v>0</v>
      </c>
      <c r="Q587" s="44" t="e">
        <f t="shared" si="135"/>
        <v>#VALUE!</v>
      </c>
      <c r="R587" s="44" t="e">
        <f t="shared" si="139"/>
        <v>#VALUE!</v>
      </c>
      <c r="S587" s="44" t="e">
        <f t="shared" si="136"/>
        <v>#VALUE!</v>
      </c>
      <c r="T587" s="41" t="e">
        <f t="shared" si="140"/>
        <v>#VALUE!</v>
      </c>
      <c r="U587" s="41" t="e">
        <f t="shared" si="141"/>
        <v>#VALUE!</v>
      </c>
      <c r="V587" s="41" t="e">
        <f t="shared" si="142"/>
        <v>#VALUE!</v>
      </c>
    </row>
    <row r="588" spans="2:22" x14ac:dyDescent="0.25">
      <c r="B588" s="41" t="b">
        <f t="shared" si="129"/>
        <v>0</v>
      </c>
      <c r="C588" s="41" t="e">
        <f t="shared" si="130"/>
        <v>#VALUE!</v>
      </c>
      <c r="E588" s="45">
        <v>584</v>
      </c>
      <c r="G588" s="138"/>
      <c r="H588" s="135">
        <v>1</v>
      </c>
      <c r="I588" s="46" t="e">
        <f t="shared" si="131"/>
        <v>#VALUE!</v>
      </c>
      <c r="J588" s="41" t="e">
        <f t="shared" si="137"/>
        <v>#VALUE!</v>
      </c>
      <c r="K588" s="41" t="e">
        <f t="shared" si="138"/>
        <v>#VALUE!</v>
      </c>
      <c r="L588" s="41" t="e">
        <f t="shared" si="138"/>
        <v>#VALUE!</v>
      </c>
      <c r="M588" s="41" t="e">
        <f t="shared" si="132"/>
        <v>#VALUE!</v>
      </c>
      <c r="N588" s="41" t="e">
        <f t="shared" si="133"/>
        <v>#VALUE!</v>
      </c>
      <c r="O588" s="41">
        <f t="shared" si="134"/>
        <v>0</v>
      </c>
      <c r="Q588" s="44" t="e">
        <f t="shared" si="135"/>
        <v>#VALUE!</v>
      </c>
      <c r="R588" s="44" t="e">
        <f t="shared" si="139"/>
        <v>#VALUE!</v>
      </c>
      <c r="S588" s="44" t="e">
        <f t="shared" si="136"/>
        <v>#VALUE!</v>
      </c>
      <c r="T588" s="41" t="e">
        <f t="shared" si="140"/>
        <v>#VALUE!</v>
      </c>
      <c r="U588" s="41" t="e">
        <f t="shared" si="141"/>
        <v>#VALUE!</v>
      </c>
      <c r="V588" s="41" t="e">
        <f t="shared" si="142"/>
        <v>#VALUE!</v>
      </c>
    </row>
    <row r="589" spans="2:22" x14ac:dyDescent="0.25">
      <c r="B589" s="41" t="b">
        <f t="shared" si="129"/>
        <v>0</v>
      </c>
      <c r="C589" s="41" t="e">
        <f t="shared" si="130"/>
        <v>#VALUE!</v>
      </c>
      <c r="E589" s="45">
        <v>585</v>
      </c>
      <c r="G589" s="138"/>
      <c r="H589" s="135">
        <v>1</v>
      </c>
      <c r="I589" s="46" t="e">
        <f t="shared" si="131"/>
        <v>#VALUE!</v>
      </c>
      <c r="J589" s="41" t="e">
        <f t="shared" si="137"/>
        <v>#VALUE!</v>
      </c>
      <c r="K589" s="41" t="e">
        <f t="shared" si="138"/>
        <v>#VALUE!</v>
      </c>
      <c r="L589" s="41" t="e">
        <f t="shared" si="138"/>
        <v>#VALUE!</v>
      </c>
      <c r="M589" s="41" t="e">
        <f t="shared" si="132"/>
        <v>#VALUE!</v>
      </c>
      <c r="N589" s="41" t="e">
        <f t="shared" si="133"/>
        <v>#VALUE!</v>
      </c>
      <c r="O589" s="41">
        <f t="shared" si="134"/>
        <v>0</v>
      </c>
      <c r="Q589" s="44" t="e">
        <f t="shared" si="135"/>
        <v>#VALUE!</v>
      </c>
      <c r="R589" s="44" t="e">
        <f t="shared" si="139"/>
        <v>#VALUE!</v>
      </c>
      <c r="S589" s="44" t="e">
        <f t="shared" si="136"/>
        <v>#VALUE!</v>
      </c>
      <c r="T589" s="41" t="e">
        <f t="shared" si="140"/>
        <v>#VALUE!</v>
      </c>
      <c r="U589" s="41" t="e">
        <f t="shared" si="141"/>
        <v>#VALUE!</v>
      </c>
      <c r="V589" s="41" t="e">
        <f t="shared" si="142"/>
        <v>#VALUE!</v>
      </c>
    </row>
    <row r="590" spans="2:22" x14ac:dyDescent="0.25">
      <c r="B590" s="41" t="b">
        <f t="shared" ref="B590:B653" si="143">ISNUMBER(C590)</f>
        <v>0</v>
      </c>
      <c r="C590" s="41" t="e">
        <f t="shared" si="130"/>
        <v>#VALUE!</v>
      </c>
      <c r="E590" s="45">
        <v>586</v>
      </c>
      <c r="G590" s="138"/>
      <c r="H590" s="135">
        <v>1</v>
      </c>
      <c r="I590" s="46" t="e">
        <f t="shared" si="131"/>
        <v>#VALUE!</v>
      </c>
      <c r="J590" s="41" t="e">
        <f t="shared" si="137"/>
        <v>#VALUE!</v>
      </c>
      <c r="K590" s="41" t="e">
        <f t="shared" si="138"/>
        <v>#VALUE!</v>
      </c>
      <c r="L590" s="41" t="e">
        <f t="shared" si="138"/>
        <v>#VALUE!</v>
      </c>
      <c r="M590" s="41" t="e">
        <f t="shared" si="132"/>
        <v>#VALUE!</v>
      </c>
      <c r="N590" s="41" t="e">
        <f t="shared" si="133"/>
        <v>#VALUE!</v>
      </c>
      <c r="O590" s="41">
        <f t="shared" si="134"/>
        <v>0</v>
      </c>
      <c r="Q590" s="44" t="e">
        <f t="shared" si="135"/>
        <v>#VALUE!</v>
      </c>
      <c r="R590" s="44" t="e">
        <f t="shared" si="139"/>
        <v>#VALUE!</v>
      </c>
      <c r="S590" s="44" t="e">
        <f t="shared" si="136"/>
        <v>#VALUE!</v>
      </c>
      <c r="T590" s="41" t="e">
        <f t="shared" si="140"/>
        <v>#VALUE!</v>
      </c>
      <c r="U590" s="41" t="e">
        <f t="shared" si="141"/>
        <v>#VALUE!</v>
      </c>
      <c r="V590" s="41" t="e">
        <f t="shared" si="142"/>
        <v>#VALUE!</v>
      </c>
    </row>
    <row r="591" spans="2:22" x14ac:dyDescent="0.25">
      <c r="B591" s="41" t="b">
        <f t="shared" si="143"/>
        <v>0</v>
      </c>
      <c r="C591" s="41" t="e">
        <f t="shared" si="130"/>
        <v>#VALUE!</v>
      </c>
      <c r="E591" s="45">
        <v>587</v>
      </c>
      <c r="G591" s="138"/>
      <c r="H591" s="135">
        <v>1</v>
      </c>
      <c r="I591" s="46" t="e">
        <f t="shared" si="131"/>
        <v>#VALUE!</v>
      </c>
      <c r="J591" s="41" t="e">
        <f t="shared" si="137"/>
        <v>#VALUE!</v>
      </c>
      <c r="K591" s="41" t="e">
        <f t="shared" si="138"/>
        <v>#VALUE!</v>
      </c>
      <c r="L591" s="41" t="e">
        <f t="shared" si="138"/>
        <v>#VALUE!</v>
      </c>
      <c r="M591" s="41" t="e">
        <f t="shared" si="132"/>
        <v>#VALUE!</v>
      </c>
      <c r="N591" s="41" t="e">
        <f t="shared" si="133"/>
        <v>#VALUE!</v>
      </c>
      <c r="O591" s="41">
        <f t="shared" si="134"/>
        <v>0</v>
      </c>
      <c r="Q591" s="44" t="e">
        <f t="shared" si="135"/>
        <v>#VALUE!</v>
      </c>
      <c r="R591" s="44" t="e">
        <f t="shared" si="139"/>
        <v>#VALUE!</v>
      </c>
      <c r="S591" s="44" t="e">
        <f t="shared" si="136"/>
        <v>#VALUE!</v>
      </c>
      <c r="T591" s="41" t="e">
        <f t="shared" si="140"/>
        <v>#VALUE!</v>
      </c>
      <c r="U591" s="41" t="e">
        <f t="shared" si="141"/>
        <v>#VALUE!</v>
      </c>
      <c r="V591" s="41" t="e">
        <f t="shared" si="142"/>
        <v>#VALUE!</v>
      </c>
    </row>
    <row r="592" spans="2:22" x14ac:dyDescent="0.25">
      <c r="B592" s="41" t="b">
        <f t="shared" si="143"/>
        <v>0</v>
      </c>
      <c r="C592" s="41" t="e">
        <f t="shared" si="130"/>
        <v>#VALUE!</v>
      </c>
      <c r="E592" s="45">
        <v>588</v>
      </c>
      <c r="G592" s="138"/>
      <c r="H592" s="135">
        <v>1</v>
      </c>
      <c r="I592" s="46" t="e">
        <f t="shared" si="131"/>
        <v>#VALUE!</v>
      </c>
      <c r="J592" s="41" t="e">
        <f t="shared" si="137"/>
        <v>#VALUE!</v>
      </c>
      <c r="K592" s="41" t="e">
        <f t="shared" si="138"/>
        <v>#VALUE!</v>
      </c>
      <c r="L592" s="41" t="e">
        <f t="shared" si="138"/>
        <v>#VALUE!</v>
      </c>
      <c r="M592" s="41" t="e">
        <f t="shared" si="132"/>
        <v>#VALUE!</v>
      </c>
      <c r="N592" s="41" t="e">
        <f t="shared" si="133"/>
        <v>#VALUE!</v>
      </c>
      <c r="O592" s="41">
        <f t="shared" si="134"/>
        <v>0</v>
      </c>
      <c r="Q592" s="44" t="e">
        <f t="shared" si="135"/>
        <v>#VALUE!</v>
      </c>
      <c r="R592" s="44" t="e">
        <f t="shared" si="139"/>
        <v>#VALUE!</v>
      </c>
      <c r="S592" s="44" t="e">
        <f t="shared" si="136"/>
        <v>#VALUE!</v>
      </c>
      <c r="T592" s="41" t="e">
        <f t="shared" si="140"/>
        <v>#VALUE!</v>
      </c>
      <c r="U592" s="41" t="e">
        <f t="shared" si="141"/>
        <v>#VALUE!</v>
      </c>
      <c r="V592" s="41" t="e">
        <f t="shared" si="142"/>
        <v>#VALUE!</v>
      </c>
    </row>
    <row r="593" spans="2:22" x14ac:dyDescent="0.25">
      <c r="B593" s="41" t="b">
        <f t="shared" si="143"/>
        <v>0</v>
      </c>
      <c r="C593" s="41" t="e">
        <f t="shared" si="130"/>
        <v>#VALUE!</v>
      </c>
      <c r="E593" s="45">
        <v>589</v>
      </c>
      <c r="G593" s="138"/>
      <c r="H593" s="135">
        <v>1</v>
      </c>
      <c r="I593" s="46" t="e">
        <f t="shared" si="131"/>
        <v>#VALUE!</v>
      </c>
      <c r="J593" s="41" t="e">
        <f t="shared" si="137"/>
        <v>#VALUE!</v>
      </c>
      <c r="K593" s="41" t="e">
        <f t="shared" si="138"/>
        <v>#VALUE!</v>
      </c>
      <c r="L593" s="41" t="e">
        <f t="shared" si="138"/>
        <v>#VALUE!</v>
      </c>
      <c r="M593" s="41" t="e">
        <f t="shared" si="132"/>
        <v>#VALUE!</v>
      </c>
      <c r="N593" s="41" t="e">
        <f t="shared" si="133"/>
        <v>#VALUE!</v>
      </c>
      <c r="O593" s="41">
        <f t="shared" si="134"/>
        <v>0</v>
      </c>
      <c r="Q593" s="44" t="e">
        <f t="shared" si="135"/>
        <v>#VALUE!</v>
      </c>
      <c r="R593" s="44" t="e">
        <f t="shared" si="139"/>
        <v>#VALUE!</v>
      </c>
      <c r="S593" s="44" t="e">
        <f t="shared" si="136"/>
        <v>#VALUE!</v>
      </c>
      <c r="T593" s="41" t="e">
        <f t="shared" si="140"/>
        <v>#VALUE!</v>
      </c>
      <c r="U593" s="41" t="e">
        <f t="shared" si="141"/>
        <v>#VALUE!</v>
      </c>
      <c r="V593" s="41" t="e">
        <f t="shared" si="142"/>
        <v>#VALUE!</v>
      </c>
    </row>
    <row r="594" spans="2:22" x14ac:dyDescent="0.25">
      <c r="B594" s="41" t="b">
        <f t="shared" si="143"/>
        <v>0</v>
      </c>
      <c r="C594" s="41" t="e">
        <f t="shared" si="130"/>
        <v>#VALUE!</v>
      </c>
      <c r="E594" s="45">
        <v>590</v>
      </c>
      <c r="G594" s="138"/>
      <c r="H594" s="135">
        <v>1</v>
      </c>
      <c r="I594" s="46" t="e">
        <f t="shared" si="131"/>
        <v>#VALUE!</v>
      </c>
      <c r="J594" s="41" t="e">
        <f t="shared" si="137"/>
        <v>#VALUE!</v>
      </c>
      <c r="K594" s="41" t="e">
        <f t="shared" si="138"/>
        <v>#VALUE!</v>
      </c>
      <c r="L594" s="41" t="e">
        <f t="shared" si="138"/>
        <v>#VALUE!</v>
      </c>
      <c r="M594" s="41" t="e">
        <f t="shared" si="132"/>
        <v>#VALUE!</v>
      </c>
      <c r="N594" s="41" t="e">
        <f t="shared" si="133"/>
        <v>#VALUE!</v>
      </c>
      <c r="O594" s="41">
        <f t="shared" si="134"/>
        <v>0</v>
      </c>
      <c r="Q594" s="44" t="e">
        <f t="shared" si="135"/>
        <v>#VALUE!</v>
      </c>
      <c r="R594" s="44" t="e">
        <f t="shared" si="139"/>
        <v>#VALUE!</v>
      </c>
      <c r="S594" s="44" t="e">
        <f t="shared" si="136"/>
        <v>#VALUE!</v>
      </c>
      <c r="T594" s="41" t="e">
        <f t="shared" si="140"/>
        <v>#VALUE!</v>
      </c>
      <c r="U594" s="41" t="e">
        <f t="shared" si="141"/>
        <v>#VALUE!</v>
      </c>
      <c r="V594" s="41" t="e">
        <f t="shared" si="142"/>
        <v>#VALUE!</v>
      </c>
    </row>
    <row r="595" spans="2:22" x14ac:dyDescent="0.25">
      <c r="B595" s="41" t="b">
        <f t="shared" si="143"/>
        <v>0</v>
      </c>
      <c r="C595" s="41" t="e">
        <f t="shared" si="130"/>
        <v>#VALUE!</v>
      </c>
      <c r="E595" s="45">
        <v>591</v>
      </c>
      <c r="G595" s="138"/>
      <c r="H595" s="135">
        <v>1</v>
      </c>
      <c r="I595" s="46" t="e">
        <f t="shared" si="131"/>
        <v>#VALUE!</v>
      </c>
      <c r="J595" s="41" t="e">
        <f t="shared" si="137"/>
        <v>#VALUE!</v>
      </c>
      <c r="K595" s="41" t="e">
        <f t="shared" si="138"/>
        <v>#VALUE!</v>
      </c>
      <c r="L595" s="41" t="e">
        <f t="shared" si="138"/>
        <v>#VALUE!</v>
      </c>
      <c r="M595" s="41" t="e">
        <f t="shared" si="132"/>
        <v>#VALUE!</v>
      </c>
      <c r="N595" s="41" t="e">
        <f t="shared" si="133"/>
        <v>#VALUE!</v>
      </c>
      <c r="O595" s="41">
        <f t="shared" si="134"/>
        <v>0</v>
      </c>
      <c r="Q595" s="44" t="e">
        <f t="shared" si="135"/>
        <v>#VALUE!</v>
      </c>
      <c r="R595" s="44" t="e">
        <f t="shared" si="139"/>
        <v>#VALUE!</v>
      </c>
      <c r="S595" s="44" t="e">
        <f t="shared" si="136"/>
        <v>#VALUE!</v>
      </c>
      <c r="T595" s="41" t="e">
        <f t="shared" si="140"/>
        <v>#VALUE!</v>
      </c>
      <c r="U595" s="41" t="e">
        <f t="shared" si="141"/>
        <v>#VALUE!</v>
      </c>
      <c r="V595" s="41" t="e">
        <f t="shared" si="142"/>
        <v>#VALUE!</v>
      </c>
    </row>
    <row r="596" spans="2:22" x14ac:dyDescent="0.25">
      <c r="B596" s="41" t="b">
        <f t="shared" si="143"/>
        <v>0</v>
      </c>
      <c r="C596" s="41" t="e">
        <f t="shared" si="130"/>
        <v>#VALUE!</v>
      </c>
      <c r="E596" s="45">
        <v>592</v>
      </c>
      <c r="G596" s="138"/>
      <c r="H596" s="135">
        <v>1</v>
      </c>
      <c r="I596" s="46" t="e">
        <f t="shared" si="131"/>
        <v>#VALUE!</v>
      </c>
      <c r="J596" s="41" t="e">
        <f t="shared" si="137"/>
        <v>#VALUE!</v>
      </c>
      <c r="K596" s="41" t="e">
        <f t="shared" si="138"/>
        <v>#VALUE!</v>
      </c>
      <c r="L596" s="41" t="e">
        <f t="shared" si="138"/>
        <v>#VALUE!</v>
      </c>
      <c r="M596" s="41" t="e">
        <f t="shared" si="132"/>
        <v>#VALUE!</v>
      </c>
      <c r="N596" s="41" t="e">
        <f t="shared" si="133"/>
        <v>#VALUE!</v>
      </c>
      <c r="O596" s="41">
        <f t="shared" si="134"/>
        <v>0</v>
      </c>
      <c r="Q596" s="44" t="e">
        <f t="shared" si="135"/>
        <v>#VALUE!</v>
      </c>
      <c r="R596" s="44" t="e">
        <f t="shared" si="139"/>
        <v>#VALUE!</v>
      </c>
      <c r="S596" s="44" t="e">
        <f t="shared" si="136"/>
        <v>#VALUE!</v>
      </c>
      <c r="T596" s="41" t="e">
        <f t="shared" si="140"/>
        <v>#VALUE!</v>
      </c>
      <c r="U596" s="41" t="e">
        <f t="shared" si="141"/>
        <v>#VALUE!</v>
      </c>
      <c r="V596" s="41" t="e">
        <f t="shared" si="142"/>
        <v>#VALUE!</v>
      </c>
    </row>
    <row r="597" spans="2:22" x14ac:dyDescent="0.25">
      <c r="B597" s="41" t="b">
        <f t="shared" si="143"/>
        <v>0</v>
      </c>
      <c r="C597" s="41" t="e">
        <f t="shared" si="130"/>
        <v>#VALUE!</v>
      </c>
      <c r="E597" s="45">
        <v>593</v>
      </c>
      <c r="G597" s="138"/>
      <c r="H597" s="135">
        <v>1</v>
      </c>
      <c r="I597" s="46" t="e">
        <f t="shared" si="131"/>
        <v>#VALUE!</v>
      </c>
      <c r="J597" s="41" t="e">
        <f t="shared" si="137"/>
        <v>#VALUE!</v>
      </c>
      <c r="K597" s="41" t="e">
        <f t="shared" si="138"/>
        <v>#VALUE!</v>
      </c>
      <c r="L597" s="41" t="e">
        <f t="shared" si="138"/>
        <v>#VALUE!</v>
      </c>
      <c r="M597" s="41" t="e">
        <f t="shared" si="132"/>
        <v>#VALUE!</v>
      </c>
      <c r="N597" s="41" t="e">
        <f t="shared" si="133"/>
        <v>#VALUE!</v>
      </c>
      <c r="O597" s="41">
        <f t="shared" si="134"/>
        <v>0</v>
      </c>
      <c r="Q597" s="44" t="e">
        <f t="shared" si="135"/>
        <v>#VALUE!</v>
      </c>
      <c r="R597" s="44" t="e">
        <f t="shared" si="139"/>
        <v>#VALUE!</v>
      </c>
      <c r="S597" s="44" t="e">
        <f t="shared" si="136"/>
        <v>#VALUE!</v>
      </c>
      <c r="T597" s="41" t="e">
        <f t="shared" si="140"/>
        <v>#VALUE!</v>
      </c>
      <c r="U597" s="41" t="e">
        <f t="shared" si="141"/>
        <v>#VALUE!</v>
      </c>
      <c r="V597" s="41" t="e">
        <f t="shared" si="142"/>
        <v>#VALUE!</v>
      </c>
    </row>
    <row r="598" spans="2:22" x14ac:dyDescent="0.25">
      <c r="B598" s="41" t="b">
        <f t="shared" si="143"/>
        <v>0</v>
      </c>
      <c r="C598" s="41" t="e">
        <f t="shared" si="130"/>
        <v>#VALUE!</v>
      </c>
      <c r="E598" s="45">
        <v>594</v>
      </c>
      <c r="G598" s="138"/>
      <c r="H598" s="135">
        <v>1</v>
      </c>
      <c r="I598" s="46" t="e">
        <f t="shared" si="131"/>
        <v>#VALUE!</v>
      </c>
      <c r="J598" s="41" t="e">
        <f t="shared" si="137"/>
        <v>#VALUE!</v>
      </c>
      <c r="K598" s="41" t="e">
        <f t="shared" si="138"/>
        <v>#VALUE!</v>
      </c>
      <c r="L598" s="41" t="e">
        <f t="shared" si="138"/>
        <v>#VALUE!</v>
      </c>
      <c r="M598" s="41" t="e">
        <f t="shared" si="132"/>
        <v>#VALUE!</v>
      </c>
      <c r="N598" s="41" t="e">
        <f t="shared" si="133"/>
        <v>#VALUE!</v>
      </c>
      <c r="O598" s="41">
        <f t="shared" si="134"/>
        <v>0</v>
      </c>
      <c r="Q598" s="44" t="e">
        <f t="shared" si="135"/>
        <v>#VALUE!</v>
      </c>
      <c r="R598" s="44" t="e">
        <f t="shared" si="139"/>
        <v>#VALUE!</v>
      </c>
      <c r="S598" s="44" t="e">
        <f t="shared" si="136"/>
        <v>#VALUE!</v>
      </c>
      <c r="T598" s="41" t="e">
        <f t="shared" si="140"/>
        <v>#VALUE!</v>
      </c>
      <c r="U598" s="41" t="e">
        <f t="shared" si="141"/>
        <v>#VALUE!</v>
      </c>
      <c r="V598" s="41" t="e">
        <f t="shared" si="142"/>
        <v>#VALUE!</v>
      </c>
    </row>
    <row r="599" spans="2:22" x14ac:dyDescent="0.25">
      <c r="B599" s="41" t="b">
        <f t="shared" si="143"/>
        <v>0</v>
      </c>
      <c r="C599" s="41" t="e">
        <f t="shared" si="130"/>
        <v>#VALUE!</v>
      </c>
      <c r="E599" s="45">
        <v>595</v>
      </c>
      <c r="G599" s="138"/>
      <c r="H599" s="135">
        <v>1</v>
      </c>
      <c r="I599" s="46" t="e">
        <f t="shared" si="131"/>
        <v>#VALUE!</v>
      </c>
      <c r="J599" s="41" t="e">
        <f t="shared" si="137"/>
        <v>#VALUE!</v>
      </c>
      <c r="K599" s="41" t="e">
        <f t="shared" si="138"/>
        <v>#VALUE!</v>
      </c>
      <c r="L599" s="41" t="e">
        <f t="shared" si="138"/>
        <v>#VALUE!</v>
      </c>
      <c r="M599" s="41" t="e">
        <f t="shared" si="132"/>
        <v>#VALUE!</v>
      </c>
      <c r="N599" s="41" t="e">
        <f t="shared" si="133"/>
        <v>#VALUE!</v>
      </c>
      <c r="O599" s="41">
        <f t="shared" si="134"/>
        <v>0</v>
      </c>
      <c r="Q599" s="44" t="e">
        <f t="shared" si="135"/>
        <v>#VALUE!</v>
      </c>
      <c r="R599" s="44" t="e">
        <f t="shared" si="139"/>
        <v>#VALUE!</v>
      </c>
      <c r="S599" s="44" t="e">
        <f t="shared" si="136"/>
        <v>#VALUE!</v>
      </c>
      <c r="T599" s="41" t="e">
        <f t="shared" si="140"/>
        <v>#VALUE!</v>
      </c>
      <c r="U599" s="41" t="e">
        <f t="shared" si="141"/>
        <v>#VALUE!</v>
      </c>
      <c r="V599" s="41" t="e">
        <f t="shared" si="142"/>
        <v>#VALUE!</v>
      </c>
    </row>
    <row r="600" spans="2:22" x14ac:dyDescent="0.25">
      <c r="B600" s="41" t="b">
        <f t="shared" si="143"/>
        <v>0</v>
      </c>
      <c r="C600" s="41" t="e">
        <f t="shared" si="130"/>
        <v>#VALUE!</v>
      </c>
      <c r="E600" s="45">
        <v>596</v>
      </c>
      <c r="G600" s="138"/>
      <c r="H600" s="135">
        <v>1</v>
      </c>
      <c r="I600" s="46" t="e">
        <f t="shared" si="131"/>
        <v>#VALUE!</v>
      </c>
      <c r="J600" s="41" t="e">
        <f t="shared" si="137"/>
        <v>#VALUE!</v>
      </c>
      <c r="K600" s="41" t="e">
        <f t="shared" si="138"/>
        <v>#VALUE!</v>
      </c>
      <c r="L600" s="41" t="e">
        <f t="shared" si="138"/>
        <v>#VALUE!</v>
      </c>
      <c r="M600" s="41" t="e">
        <f t="shared" si="132"/>
        <v>#VALUE!</v>
      </c>
      <c r="N600" s="41" t="e">
        <f t="shared" si="133"/>
        <v>#VALUE!</v>
      </c>
      <c r="O600" s="41">
        <f t="shared" si="134"/>
        <v>0</v>
      </c>
      <c r="Q600" s="44" t="e">
        <f t="shared" si="135"/>
        <v>#VALUE!</v>
      </c>
      <c r="R600" s="44" t="e">
        <f t="shared" si="139"/>
        <v>#VALUE!</v>
      </c>
      <c r="S600" s="44" t="e">
        <f t="shared" si="136"/>
        <v>#VALUE!</v>
      </c>
      <c r="T600" s="41" t="e">
        <f t="shared" si="140"/>
        <v>#VALUE!</v>
      </c>
      <c r="U600" s="41" t="e">
        <f t="shared" si="141"/>
        <v>#VALUE!</v>
      </c>
      <c r="V600" s="41" t="e">
        <f t="shared" si="142"/>
        <v>#VALUE!</v>
      </c>
    </row>
    <row r="601" spans="2:22" x14ac:dyDescent="0.25">
      <c r="B601" s="41" t="b">
        <f t="shared" si="143"/>
        <v>0</v>
      </c>
      <c r="C601" s="41" t="e">
        <f t="shared" si="130"/>
        <v>#VALUE!</v>
      </c>
      <c r="E601" s="45">
        <v>597</v>
      </c>
      <c r="G601" s="138"/>
      <c r="H601" s="135">
        <v>1</v>
      </c>
      <c r="I601" s="46" t="e">
        <f t="shared" si="131"/>
        <v>#VALUE!</v>
      </c>
      <c r="J601" s="41" t="e">
        <f t="shared" si="137"/>
        <v>#VALUE!</v>
      </c>
      <c r="K601" s="41" t="e">
        <f t="shared" si="138"/>
        <v>#VALUE!</v>
      </c>
      <c r="L601" s="41" t="e">
        <f t="shared" si="138"/>
        <v>#VALUE!</v>
      </c>
      <c r="M601" s="41" t="e">
        <f t="shared" si="132"/>
        <v>#VALUE!</v>
      </c>
      <c r="N601" s="41" t="e">
        <f t="shared" si="133"/>
        <v>#VALUE!</v>
      </c>
      <c r="O601" s="41">
        <f t="shared" si="134"/>
        <v>0</v>
      </c>
      <c r="Q601" s="44" t="e">
        <f t="shared" si="135"/>
        <v>#VALUE!</v>
      </c>
      <c r="R601" s="44" t="e">
        <f t="shared" si="139"/>
        <v>#VALUE!</v>
      </c>
      <c r="S601" s="44" t="e">
        <f t="shared" si="136"/>
        <v>#VALUE!</v>
      </c>
      <c r="T601" s="41" t="e">
        <f t="shared" si="140"/>
        <v>#VALUE!</v>
      </c>
      <c r="U601" s="41" t="e">
        <f t="shared" si="141"/>
        <v>#VALUE!</v>
      </c>
      <c r="V601" s="41" t="e">
        <f t="shared" si="142"/>
        <v>#VALUE!</v>
      </c>
    </row>
    <row r="602" spans="2:22" x14ac:dyDescent="0.25">
      <c r="B602" s="41" t="b">
        <f t="shared" si="143"/>
        <v>0</v>
      </c>
      <c r="C602" s="41" t="e">
        <f t="shared" si="130"/>
        <v>#VALUE!</v>
      </c>
      <c r="E602" s="45">
        <v>598</v>
      </c>
      <c r="G602" s="138"/>
      <c r="H602" s="135">
        <v>1</v>
      </c>
      <c r="I602" s="46" t="e">
        <f t="shared" si="131"/>
        <v>#VALUE!</v>
      </c>
      <c r="J602" s="41" t="e">
        <f t="shared" si="137"/>
        <v>#VALUE!</v>
      </c>
      <c r="K602" s="41" t="e">
        <f t="shared" si="138"/>
        <v>#VALUE!</v>
      </c>
      <c r="L602" s="41" t="e">
        <f t="shared" si="138"/>
        <v>#VALUE!</v>
      </c>
      <c r="M602" s="41" t="e">
        <f t="shared" si="132"/>
        <v>#VALUE!</v>
      </c>
      <c r="N602" s="41" t="e">
        <f t="shared" si="133"/>
        <v>#VALUE!</v>
      </c>
      <c r="O602" s="41">
        <f t="shared" si="134"/>
        <v>0</v>
      </c>
      <c r="Q602" s="44" t="e">
        <f t="shared" si="135"/>
        <v>#VALUE!</v>
      </c>
      <c r="R602" s="44" t="e">
        <f t="shared" si="139"/>
        <v>#VALUE!</v>
      </c>
      <c r="S602" s="44" t="e">
        <f t="shared" si="136"/>
        <v>#VALUE!</v>
      </c>
      <c r="T602" s="41" t="e">
        <f t="shared" si="140"/>
        <v>#VALUE!</v>
      </c>
      <c r="U602" s="41" t="e">
        <f t="shared" si="141"/>
        <v>#VALUE!</v>
      </c>
      <c r="V602" s="41" t="e">
        <f t="shared" si="142"/>
        <v>#VALUE!</v>
      </c>
    </row>
    <row r="603" spans="2:22" x14ac:dyDescent="0.25">
      <c r="B603" s="41" t="b">
        <f t="shared" si="143"/>
        <v>0</v>
      </c>
      <c r="C603" s="41" t="e">
        <f t="shared" si="130"/>
        <v>#VALUE!</v>
      </c>
      <c r="E603" s="45">
        <v>599</v>
      </c>
      <c r="G603" s="138"/>
      <c r="H603" s="135">
        <v>1</v>
      </c>
      <c r="I603" s="46" t="e">
        <f t="shared" si="131"/>
        <v>#VALUE!</v>
      </c>
      <c r="J603" s="41" t="e">
        <f t="shared" si="137"/>
        <v>#VALUE!</v>
      </c>
      <c r="K603" s="41" t="e">
        <f t="shared" si="138"/>
        <v>#VALUE!</v>
      </c>
      <c r="L603" s="41" t="e">
        <f t="shared" si="138"/>
        <v>#VALUE!</v>
      </c>
      <c r="M603" s="41" t="e">
        <f t="shared" si="132"/>
        <v>#VALUE!</v>
      </c>
      <c r="N603" s="41" t="e">
        <f t="shared" si="133"/>
        <v>#VALUE!</v>
      </c>
      <c r="O603" s="41">
        <f t="shared" si="134"/>
        <v>0</v>
      </c>
      <c r="Q603" s="44" t="e">
        <f t="shared" si="135"/>
        <v>#VALUE!</v>
      </c>
      <c r="R603" s="44" t="e">
        <f t="shared" si="139"/>
        <v>#VALUE!</v>
      </c>
      <c r="S603" s="44" t="e">
        <f t="shared" si="136"/>
        <v>#VALUE!</v>
      </c>
      <c r="T603" s="41" t="e">
        <f t="shared" si="140"/>
        <v>#VALUE!</v>
      </c>
      <c r="U603" s="41" t="e">
        <f t="shared" si="141"/>
        <v>#VALUE!</v>
      </c>
      <c r="V603" s="41" t="e">
        <f t="shared" si="142"/>
        <v>#VALUE!</v>
      </c>
    </row>
    <row r="604" spans="2:22" x14ac:dyDescent="0.25">
      <c r="B604" s="41" t="b">
        <f t="shared" si="143"/>
        <v>0</v>
      </c>
      <c r="C604" s="41" t="e">
        <f t="shared" si="130"/>
        <v>#VALUE!</v>
      </c>
      <c r="E604" s="45">
        <v>600</v>
      </c>
      <c r="G604" s="138"/>
      <c r="H604" s="135">
        <v>1</v>
      </c>
      <c r="I604" s="46" t="e">
        <f t="shared" si="131"/>
        <v>#VALUE!</v>
      </c>
      <c r="J604" s="41" t="e">
        <f t="shared" si="137"/>
        <v>#VALUE!</v>
      </c>
      <c r="K604" s="41" t="e">
        <f t="shared" si="138"/>
        <v>#VALUE!</v>
      </c>
      <c r="L604" s="41" t="e">
        <f t="shared" si="138"/>
        <v>#VALUE!</v>
      </c>
      <c r="M604" s="41" t="e">
        <f t="shared" si="132"/>
        <v>#VALUE!</v>
      </c>
      <c r="N604" s="41" t="e">
        <f t="shared" si="133"/>
        <v>#VALUE!</v>
      </c>
      <c r="O604" s="41">
        <f t="shared" si="134"/>
        <v>0</v>
      </c>
      <c r="Q604" s="44" t="e">
        <f t="shared" si="135"/>
        <v>#VALUE!</v>
      </c>
      <c r="R604" s="44" t="e">
        <f t="shared" si="139"/>
        <v>#VALUE!</v>
      </c>
      <c r="S604" s="44" t="e">
        <f t="shared" si="136"/>
        <v>#VALUE!</v>
      </c>
      <c r="T604" s="41" t="e">
        <f t="shared" si="140"/>
        <v>#VALUE!</v>
      </c>
      <c r="U604" s="41" t="e">
        <f t="shared" si="141"/>
        <v>#VALUE!</v>
      </c>
      <c r="V604" s="41" t="e">
        <f t="shared" si="142"/>
        <v>#VALUE!</v>
      </c>
    </row>
    <row r="605" spans="2:22" x14ac:dyDescent="0.25">
      <c r="B605" s="41" t="b">
        <f t="shared" si="143"/>
        <v>0</v>
      </c>
      <c r="C605" s="41" t="e">
        <f t="shared" si="130"/>
        <v>#VALUE!</v>
      </c>
      <c r="E605" s="45">
        <v>601</v>
      </c>
      <c r="G605" s="138"/>
      <c r="H605" s="135">
        <v>1</v>
      </c>
      <c r="I605" s="46" t="e">
        <f t="shared" si="131"/>
        <v>#VALUE!</v>
      </c>
      <c r="J605" s="41" t="e">
        <f t="shared" si="137"/>
        <v>#VALUE!</v>
      </c>
      <c r="K605" s="41" t="e">
        <f t="shared" si="138"/>
        <v>#VALUE!</v>
      </c>
      <c r="L605" s="41" t="e">
        <f t="shared" si="138"/>
        <v>#VALUE!</v>
      </c>
      <c r="M605" s="41" t="e">
        <f t="shared" si="132"/>
        <v>#VALUE!</v>
      </c>
      <c r="N605" s="41" t="e">
        <f t="shared" si="133"/>
        <v>#VALUE!</v>
      </c>
      <c r="O605" s="41">
        <f t="shared" si="134"/>
        <v>0</v>
      </c>
      <c r="Q605" s="44" t="e">
        <f t="shared" si="135"/>
        <v>#VALUE!</v>
      </c>
      <c r="R605" s="44" t="e">
        <f t="shared" si="139"/>
        <v>#VALUE!</v>
      </c>
      <c r="S605" s="44" t="e">
        <f t="shared" si="136"/>
        <v>#VALUE!</v>
      </c>
      <c r="T605" s="41" t="e">
        <f t="shared" si="140"/>
        <v>#VALUE!</v>
      </c>
      <c r="U605" s="41" t="e">
        <f t="shared" si="141"/>
        <v>#VALUE!</v>
      </c>
      <c r="V605" s="41" t="e">
        <f t="shared" si="142"/>
        <v>#VALUE!</v>
      </c>
    </row>
    <row r="606" spans="2:22" x14ac:dyDescent="0.25">
      <c r="B606" s="41" t="b">
        <f t="shared" si="143"/>
        <v>0</v>
      </c>
      <c r="C606" s="41" t="e">
        <f t="shared" si="130"/>
        <v>#VALUE!</v>
      </c>
      <c r="E606" s="45">
        <v>602</v>
      </c>
      <c r="G606" s="138"/>
      <c r="H606" s="135">
        <v>1</v>
      </c>
      <c r="I606" s="46" t="e">
        <f t="shared" si="131"/>
        <v>#VALUE!</v>
      </c>
      <c r="J606" s="41" t="e">
        <f t="shared" si="137"/>
        <v>#VALUE!</v>
      </c>
      <c r="K606" s="41" t="e">
        <f t="shared" si="138"/>
        <v>#VALUE!</v>
      </c>
      <c r="L606" s="41" t="e">
        <f t="shared" si="138"/>
        <v>#VALUE!</v>
      </c>
      <c r="M606" s="41" t="e">
        <f t="shared" si="132"/>
        <v>#VALUE!</v>
      </c>
      <c r="N606" s="41" t="e">
        <f t="shared" si="133"/>
        <v>#VALUE!</v>
      </c>
      <c r="O606" s="41">
        <f t="shared" si="134"/>
        <v>0</v>
      </c>
      <c r="Q606" s="44" t="e">
        <f t="shared" si="135"/>
        <v>#VALUE!</v>
      </c>
      <c r="R606" s="44" t="e">
        <f t="shared" si="139"/>
        <v>#VALUE!</v>
      </c>
      <c r="S606" s="44" t="e">
        <f t="shared" si="136"/>
        <v>#VALUE!</v>
      </c>
      <c r="T606" s="41" t="e">
        <f t="shared" si="140"/>
        <v>#VALUE!</v>
      </c>
      <c r="U606" s="41" t="e">
        <f t="shared" si="141"/>
        <v>#VALUE!</v>
      </c>
      <c r="V606" s="41" t="e">
        <f t="shared" si="142"/>
        <v>#VALUE!</v>
      </c>
    </row>
    <row r="607" spans="2:22" x14ac:dyDescent="0.25">
      <c r="B607" s="41" t="b">
        <f t="shared" si="143"/>
        <v>0</v>
      </c>
      <c r="C607" s="41" t="e">
        <f t="shared" si="130"/>
        <v>#VALUE!</v>
      </c>
      <c r="E607" s="45">
        <v>603</v>
      </c>
      <c r="G607" s="138"/>
      <c r="H607" s="135">
        <v>1</v>
      </c>
      <c r="I607" s="46" t="e">
        <f t="shared" si="131"/>
        <v>#VALUE!</v>
      </c>
      <c r="J607" s="41" t="e">
        <f t="shared" si="137"/>
        <v>#VALUE!</v>
      </c>
      <c r="K607" s="41" t="e">
        <f t="shared" si="138"/>
        <v>#VALUE!</v>
      </c>
      <c r="L607" s="41" t="e">
        <f t="shared" si="138"/>
        <v>#VALUE!</v>
      </c>
      <c r="M607" s="41" t="e">
        <f t="shared" si="132"/>
        <v>#VALUE!</v>
      </c>
      <c r="N607" s="41" t="e">
        <f t="shared" si="133"/>
        <v>#VALUE!</v>
      </c>
      <c r="O607" s="41">
        <f t="shared" si="134"/>
        <v>0</v>
      </c>
      <c r="Q607" s="44" t="e">
        <f t="shared" si="135"/>
        <v>#VALUE!</v>
      </c>
      <c r="R607" s="44" t="e">
        <f t="shared" si="139"/>
        <v>#VALUE!</v>
      </c>
      <c r="S607" s="44" t="e">
        <f t="shared" si="136"/>
        <v>#VALUE!</v>
      </c>
      <c r="T607" s="41" t="e">
        <f t="shared" si="140"/>
        <v>#VALUE!</v>
      </c>
      <c r="U607" s="41" t="e">
        <f t="shared" si="141"/>
        <v>#VALUE!</v>
      </c>
      <c r="V607" s="41" t="e">
        <f t="shared" si="142"/>
        <v>#VALUE!</v>
      </c>
    </row>
    <row r="608" spans="2:22" x14ac:dyDescent="0.25">
      <c r="B608" s="41" t="b">
        <f t="shared" si="143"/>
        <v>0</v>
      </c>
      <c r="C608" s="41" t="e">
        <f t="shared" si="130"/>
        <v>#VALUE!</v>
      </c>
      <c r="E608" s="45">
        <v>604</v>
      </c>
      <c r="G608" s="138"/>
      <c r="H608" s="135">
        <v>1</v>
      </c>
      <c r="I608" s="46" t="e">
        <f t="shared" si="131"/>
        <v>#VALUE!</v>
      </c>
      <c r="J608" s="41" t="e">
        <f t="shared" si="137"/>
        <v>#VALUE!</v>
      </c>
      <c r="K608" s="41" t="e">
        <f t="shared" si="138"/>
        <v>#VALUE!</v>
      </c>
      <c r="L608" s="41" t="e">
        <f t="shared" si="138"/>
        <v>#VALUE!</v>
      </c>
      <c r="M608" s="41" t="e">
        <f t="shared" si="132"/>
        <v>#VALUE!</v>
      </c>
      <c r="N608" s="41" t="e">
        <f t="shared" si="133"/>
        <v>#VALUE!</v>
      </c>
      <c r="O608" s="41">
        <f t="shared" si="134"/>
        <v>0</v>
      </c>
      <c r="Q608" s="44" t="e">
        <f t="shared" si="135"/>
        <v>#VALUE!</v>
      </c>
      <c r="R608" s="44" t="e">
        <f t="shared" si="139"/>
        <v>#VALUE!</v>
      </c>
      <c r="S608" s="44" t="e">
        <f t="shared" si="136"/>
        <v>#VALUE!</v>
      </c>
      <c r="T608" s="41" t="e">
        <f t="shared" si="140"/>
        <v>#VALUE!</v>
      </c>
      <c r="U608" s="41" t="e">
        <f t="shared" si="141"/>
        <v>#VALUE!</v>
      </c>
      <c r="V608" s="41" t="e">
        <f t="shared" si="142"/>
        <v>#VALUE!</v>
      </c>
    </row>
    <row r="609" spans="2:22" x14ac:dyDescent="0.25">
      <c r="B609" s="41" t="b">
        <f t="shared" si="143"/>
        <v>0</v>
      </c>
      <c r="C609" s="41" t="e">
        <f t="shared" si="130"/>
        <v>#VALUE!</v>
      </c>
      <c r="E609" s="45">
        <v>605</v>
      </c>
      <c r="G609" s="138"/>
      <c r="H609" s="135">
        <v>1</v>
      </c>
      <c r="I609" s="46" t="e">
        <f t="shared" si="131"/>
        <v>#VALUE!</v>
      </c>
      <c r="J609" s="41" t="e">
        <f t="shared" si="137"/>
        <v>#VALUE!</v>
      </c>
      <c r="K609" s="41" t="e">
        <f t="shared" si="138"/>
        <v>#VALUE!</v>
      </c>
      <c r="L609" s="41" t="e">
        <f t="shared" si="138"/>
        <v>#VALUE!</v>
      </c>
      <c r="M609" s="41" t="e">
        <f t="shared" si="132"/>
        <v>#VALUE!</v>
      </c>
      <c r="N609" s="41" t="e">
        <f t="shared" si="133"/>
        <v>#VALUE!</v>
      </c>
      <c r="O609" s="41">
        <f t="shared" si="134"/>
        <v>0</v>
      </c>
      <c r="Q609" s="44" t="e">
        <f t="shared" si="135"/>
        <v>#VALUE!</v>
      </c>
      <c r="R609" s="44" t="e">
        <f t="shared" si="139"/>
        <v>#VALUE!</v>
      </c>
      <c r="S609" s="44" t="e">
        <f t="shared" si="136"/>
        <v>#VALUE!</v>
      </c>
      <c r="T609" s="41" t="e">
        <f t="shared" si="140"/>
        <v>#VALUE!</v>
      </c>
      <c r="U609" s="41" t="e">
        <f t="shared" si="141"/>
        <v>#VALUE!</v>
      </c>
      <c r="V609" s="41" t="e">
        <f t="shared" si="142"/>
        <v>#VALUE!</v>
      </c>
    </row>
    <row r="610" spans="2:22" x14ac:dyDescent="0.25">
      <c r="B610" s="41" t="b">
        <f t="shared" si="143"/>
        <v>0</v>
      </c>
      <c r="C610" s="41" t="e">
        <f t="shared" si="130"/>
        <v>#VALUE!</v>
      </c>
      <c r="E610" s="45">
        <v>606</v>
      </c>
      <c r="G610" s="138"/>
      <c r="H610" s="135">
        <v>1</v>
      </c>
      <c r="I610" s="46" t="e">
        <f t="shared" si="131"/>
        <v>#VALUE!</v>
      </c>
      <c r="J610" s="41" t="e">
        <f t="shared" si="137"/>
        <v>#VALUE!</v>
      </c>
      <c r="K610" s="41" t="e">
        <f t="shared" si="138"/>
        <v>#VALUE!</v>
      </c>
      <c r="L610" s="41" t="e">
        <f t="shared" si="138"/>
        <v>#VALUE!</v>
      </c>
      <c r="M610" s="41" t="e">
        <f t="shared" si="132"/>
        <v>#VALUE!</v>
      </c>
      <c r="N610" s="41" t="e">
        <f t="shared" si="133"/>
        <v>#VALUE!</v>
      </c>
      <c r="O610" s="41">
        <f t="shared" si="134"/>
        <v>0</v>
      </c>
      <c r="Q610" s="44" t="e">
        <f t="shared" si="135"/>
        <v>#VALUE!</v>
      </c>
      <c r="R610" s="44" t="e">
        <f t="shared" si="139"/>
        <v>#VALUE!</v>
      </c>
      <c r="S610" s="44" t="e">
        <f t="shared" si="136"/>
        <v>#VALUE!</v>
      </c>
      <c r="T610" s="41" t="e">
        <f t="shared" si="140"/>
        <v>#VALUE!</v>
      </c>
      <c r="U610" s="41" t="e">
        <f t="shared" si="141"/>
        <v>#VALUE!</v>
      </c>
      <c r="V610" s="41" t="e">
        <f t="shared" si="142"/>
        <v>#VALUE!</v>
      </c>
    </row>
    <row r="611" spans="2:22" x14ac:dyDescent="0.25">
      <c r="B611" s="41" t="b">
        <f t="shared" si="143"/>
        <v>0</v>
      </c>
      <c r="C611" s="41" t="e">
        <f t="shared" si="130"/>
        <v>#VALUE!</v>
      </c>
      <c r="E611" s="45">
        <v>607</v>
      </c>
      <c r="G611" s="138"/>
      <c r="H611" s="135">
        <v>1</v>
      </c>
      <c r="I611" s="46" t="e">
        <f t="shared" si="131"/>
        <v>#VALUE!</v>
      </c>
      <c r="J611" s="41" t="e">
        <f t="shared" si="137"/>
        <v>#VALUE!</v>
      </c>
      <c r="K611" s="41" t="e">
        <f t="shared" si="138"/>
        <v>#VALUE!</v>
      </c>
      <c r="L611" s="41" t="e">
        <f t="shared" si="138"/>
        <v>#VALUE!</v>
      </c>
      <c r="M611" s="41" t="e">
        <f t="shared" si="132"/>
        <v>#VALUE!</v>
      </c>
      <c r="N611" s="41" t="e">
        <f t="shared" si="133"/>
        <v>#VALUE!</v>
      </c>
      <c r="O611" s="41">
        <f t="shared" si="134"/>
        <v>0</v>
      </c>
      <c r="Q611" s="44" t="e">
        <f t="shared" si="135"/>
        <v>#VALUE!</v>
      </c>
      <c r="R611" s="44" t="e">
        <f t="shared" si="139"/>
        <v>#VALUE!</v>
      </c>
      <c r="S611" s="44" t="e">
        <f t="shared" si="136"/>
        <v>#VALUE!</v>
      </c>
      <c r="T611" s="41" t="e">
        <f t="shared" si="140"/>
        <v>#VALUE!</v>
      </c>
      <c r="U611" s="41" t="e">
        <f t="shared" si="141"/>
        <v>#VALUE!</v>
      </c>
      <c r="V611" s="41" t="e">
        <f t="shared" si="142"/>
        <v>#VALUE!</v>
      </c>
    </row>
    <row r="612" spans="2:22" x14ac:dyDescent="0.25">
      <c r="B612" s="41" t="b">
        <f t="shared" si="143"/>
        <v>0</v>
      </c>
      <c r="C612" s="41" t="e">
        <f t="shared" si="130"/>
        <v>#VALUE!</v>
      </c>
      <c r="E612" s="45">
        <v>608</v>
      </c>
      <c r="G612" s="138"/>
      <c r="H612" s="135">
        <v>1</v>
      </c>
      <c r="I612" s="46" t="e">
        <f t="shared" si="131"/>
        <v>#VALUE!</v>
      </c>
      <c r="J612" s="41" t="e">
        <f t="shared" si="137"/>
        <v>#VALUE!</v>
      </c>
      <c r="K612" s="41" t="e">
        <f t="shared" si="138"/>
        <v>#VALUE!</v>
      </c>
      <c r="L612" s="41" t="e">
        <f t="shared" si="138"/>
        <v>#VALUE!</v>
      </c>
      <c r="M612" s="41" t="e">
        <f t="shared" si="132"/>
        <v>#VALUE!</v>
      </c>
      <c r="N612" s="41" t="e">
        <f t="shared" si="133"/>
        <v>#VALUE!</v>
      </c>
      <c r="O612" s="41">
        <f t="shared" si="134"/>
        <v>0</v>
      </c>
      <c r="Q612" s="44" t="e">
        <f t="shared" si="135"/>
        <v>#VALUE!</v>
      </c>
      <c r="R612" s="44" t="e">
        <f t="shared" si="139"/>
        <v>#VALUE!</v>
      </c>
      <c r="S612" s="44" t="e">
        <f t="shared" si="136"/>
        <v>#VALUE!</v>
      </c>
      <c r="T612" s="41" t="e">
        <f t="shared" si="140"/>
        <v>#VALUE!</v>
      </c>
      <c r="U612" s="41" t="e">
        <f t="shared" si="141"/>
        <v>#VALUE!</v>
      </c>
      <c r="V612" s="41" t="e">
        <f t="shared" si="142"/>
        <v>#VALUE!</v>
      </c>
    </row>
    <row r="613" spans="2:22" x14ac:dyDescent="0.25">
      <c r="B613" s="41" t="b">
        <f t="shared" si="143"/>
        <v>0</v>
      </c>
      <c r="C613" s="41" t="e">
        <f t="shared" si="130"/>
        <v>#VALUE!</v>
      </c>
      <c r="E613" s="45">
        <v>609</v>
      </c>
      <c r="G613" s="138"/>
      <c r="H613" s="135">
        <v>1</v>
      </c>
      <c r="I613" s="46" t="e">
        <f t="shared" si="131"/>
        <v>#VALUE!</v>
      </c>
      <c r="J613" s="41" t="e">
        <f t="shared" si="137"/>
        <v>#VALUE!</v>
      </c>
      <c r="K613" s="41" t="e">
        <f t="shared" si="138"/>
        <v>#VALUE!</v>
      </c>
      <c r="L613" s="41" t="e">
        <f t="shared" si="138"/>
        <v>#VALUE!</v>
      </c>
      <c r="M613" s="41" t="e">
        <f t="shared" si="132"/>
        <v>#VALUE!</v>
      </c>
      <c r="N613" s="41" t="e">
        <f t="shared" si="133"/>
        <v>#VALUE!</v>
      </c>
      <c r="O613" s="41">
        <f t="shared" si="134"/>
        <v>0</v>
      </c>
      <c r="Q613" s="44" t="e">
        <f t="shared" si="135"/>
        <v>#VALUE!</v>
      </c>
      <c r="R613" s="44" t="e">
        <f t="shared" si="139"/>
        <v>#VALUE!</v>
      </c>
      <c r="S613" s="44" t="e">
        <f t="shared" si="136"/>
        <v>#VALUE!</v>
      </c>
      <c r="T613" s="41" t="e">
        <f t="shared" si="140"/>
        <v>#VALUE!</v>
      </c>
      <c r="U613" s="41" t="e">
        <f t="shared" si="141"/>
        <v>#VALUE!</v>
      </c>
      <c r="V613" s="41" t="e">
        <f t="shared" si="142"/>
        <v>#VALUE!</v>
      </c>
    </row>
    <row r="614" spans="2:22" x14ac:dyDescent="0.25">
      <c r="B614" s="41" t="b">
        <f t="shared" si="143"/>
        <v>0</v>
      </c>
      <c r="C614" s="41" t="e">
        <f t="shared" si="130"/>
        <v>#VALUE!</v>
      </c>
      <c r="E614" s="45">
        <v>610</v>
      </c>
      <c r="G614" s="138"/>
      <c r="H614" s="135">
        <v>1</v>
      </c>
      <c r="I614" s="46" t="e">
        <f t="shared" si="131"/>
        <v>#VALUE!</v>
      </c>
      <c r="J614" s="41" t="e">
        <f t="shared" si="137"/>
        <v>#VALUE!</v>
      </c>
      <c r="K614" s="41" t="e">
        <f t="shared" si="138"/>
        <v>#VALUE!</v>
      </c>
      <c r="L614" s="41" t="e">
        <f t="shared" si="138"/>
        <v>#VALUE!</v>
      </c>
      <c r="M614" s="41" t="e">
        <f t="shared" si="132"/>
        <v>#VALUE!</v>
      </c>
      <c r="N614" s="41" t="e">
        <f t="shared" si="133"/>
        <v>#VALUE!</v>
      </c>
      <c r="O614" s="41">
        <f t="shared" si="134"/>
        <v>0</v>
      </c>
      <c r="Q614" s="44" t="e">
        <f t="shared" si="135"/>
        <v>#VALUE!</v>
      </c>
      <c r="R614" s="44" t="e">
        <f t="shared" si="139"/>
        <v>#VALUE!</v>
      </c>
      <c r="S614" s="44" t="e">
        <f t="shared" si="136"/>
        <v>#VALUE!</v>
      </c>
      <c r="T614" s="41" t="e">
        <f t="shared" si="140"/>
        <v>#VALUE!</v>
      </c>
      <c r="U614" s="41" t="e">
        <f t="shared" si="141"/>
        <v>#VALUE!</v>
      </c>
      <c r="V614" s="41" t="e">
        <f t="shared" si="142"/>
        <v>#VALUE!</v>
      </c>
    </row>
    <row r="615" spans="2:22" x14ac:dyDescent="0.25">
      <c r="B615" s="41" t="b">
        <f t="shared" si="143"/>
        <v>0</v>
      </c>
      <c r="C615" s="41" t="e">
        <f t="shared" si="130"/>
        <v>#VALUE!</v>
      </c>
      <c r="E615" s="45">
        <v>611</v>
      </c>
      <c r="G615" s="138"/>
      <c r="H615" s="135">
        <v>1</v>
      </c>
      <c r="I615" s="46" t="e">
        <f t="shared" si="131"/>
        <v>#VALUE!</v>
      </c>
      <c r="J615" s="41" t="e">
        <f t="shared" si="137"/>
        <v>#VALUE!</v>
      </c>
      <c r="K615" s="41" t="e">
        <f t="shared" si="138"/>
        <v>#VALUE!</v>
      </c>
      <c r="L615" s="41" t="e">
        <f t="shared" si="138"/>
        <v>#VALUE!</v>
      </c>
      <c r="M615" s="41" t="e">
        <f t="shared" si="132"/>
        <v>#VALUE!</v>
      </c>
      <c r="N615" s="41" t="e">
        <f t="shared" si="133"/>
        <v>#VALUE!</v>
      </c>
      <c r="O615" s="41">
        <f t="shared" si="134"/>
        <v>0</v>
      </c>
      <c r="Q615" s="44" t="e">
        <f t="shared" si="135"/>
        <v>#VALUE!</v>
      </c>
      <c r="R615" s="44" t="e">
        <f t="shared" si="139"/>
        <v>#VALUE!</v>
      </c>
      <c r="S615" s="44" t="e">
        <f t="shared" si="136"/>
        <v>#VALUE!</v>
      </c>
      <c r="T615" s="41" t="e">
        <f t="shared" si="140"/>
        <v>#VALUE!</v>
      </c>
      <c r="U615" s="41" t="e">
        <f t="shared" si="141"/>
        <v>#VALUE!</v>
      </c>
      <c r="V615" s="41" t="e">
        <f t="shared" si="142"/>
        <v>#VALUE!</v>
      </c>
    </row>
    <row r="616" spans="2:22" x14ac:dyDescent="0.25">
      <c r="B616" s="41" t="b">
        <f t="shared" si="143"/>
        <v>0</v>
      </c>
      <c r="C616" s="41" t="e">
        <f t="shared" si="130"/>
        <v>#VALUE!</v>
      </c>
      <c r="E616" s="45">
        <v>612</v>
      </c>
      <c r="G616" s="138"/>
      <c r="H616" s="135">
        <v>1</v>
      </c>
      <c r="I616" s="46" t="e">
        <f t="shared" si="131"/>
        <v>#VALUE!</v>
      </c>
      <c r="J616" s="41" t="e">
        <f t="shared" si="137"/>
        <v>#VALUE!</v>
      </c>
      <c r="K616" s="41" t="e">
        <f t="shared" si="138"/>
        <v>#VALUE!</v>
      </c>
      <c r="L616" s="41" t="e">
        <f t="shared" si="138"/>
        <v>#VALUE!</v>
      </c>
      <c r="M616" s="41" t="e">
        <f t="shared" si="132"/>
        <v>#VALUE!</v>
      </c>
      <c r="N616" s="41" t="e">
        <f t="shared" si="133"/>
        <v>#VALUE!</v>
      </c>
      <c r="O616" s="41">
        <f t="shared" si="134"/>
        <v>0</v>
      </c>
      <c r="Q616" s="44" t="e">
        <f t="shared" si="135"/>
        <v>#VALUE!</v>
      </c>
      <c r="R616" s="44" t="e">
        <f t="shared" si="139"/>
        <v>#VALUE!</v>
      </c>
      <c r="S616" s="44" t="e">
        <f t="shared" si="136"/>
        <v>#VALUE!</v>
      </c>
      <c r="T616" s="41" t="e">
        <f t="shared" si="140"/>
        <v>#VALUE!</v>
      </c>
      <c r="U616" s="41" t="e">
        <f t="shared" si="141"/>
        <v>#VALUE!</v>
      </c>
      <c r="V616" s="41" t="e">
        <f t="shared" si="142"/>
        <v>#VALUE!</v>
      </c>
    </row>
    <row r="617" spans="2:22" x14ac:dyDescent="0.25">
      <c r="B617" s="41" t="b">
        <f t="shared" si="143"/>
        <v>0</v>
      </c>
      <c r="C617" s="41" t="e">
        <f t="shared" si="130"/>
        <v>#VALUE!</v>
      </c>
      <c r="E617" s="45">
        <v>613</v>
      </c>
      <c r="G617" s="138"/>
      <c r="H617" s="135">
        <v>1</v>
      </c>
      <c r="I617" s="46" t="e">
        <f t="shared" si="131"/>
        <v>#VALUE!</v>
      </c>
      <c r="J617" s="41" t="e">
        <f t="shared" si="137"/>
        <v>#VALUE!</v>
      </c>
      <c r="K617" s="41" t="e">
        <f t="shared" si="138"/>
        <v>#VALUE!</v>
      </c>
      <c r="L617" s="41" t="e">
        <f t="shared" si="138"/>
        <v>#VALUE!</v>
      </c>
      <c r="M617" s="41" t="e">
        <f t="shared" si="132"/>
        <v>#VALUE!</v>
      </c>
      <c r="N617" s="41" t="e">
        <f t="shared" si="133"/>
        <v>#VALUE!</v>
      </c>
      <c r="O617" s="41">
        <f t="shared" si="134"/>
        <v>0</v>
      </c>
      <c r="Q617" s="44" t="e">
        <f t="shared" si="135"/>
        <v>#VALUE!</v>
      </c>
      <c r="R617" s="44" t="e">
        <f t="shared" si="139"/>
        <v>#VALUE!</v>
      </c>
      <c r="S617" s="44" t="e">
        <f t="shared" si="136"/>
        <v>#VALUE!</v>
      </c>
      <c r="T617" s="41" t="e">
        <f t="shared" si="140"/>
        <v>#VALUE!</v>
      </c>
      <c r="U617" s="41" t="e">
        <f t="shared" si="141"/>
        <v>#VALUE!</v>
      </c>
      <c r="V617" s="41" t="e">
        <f t="shared" si="142"/>
        <v>#VALUE!</v>
      </c>
    </row>
    <row r="618" spans="2:22" x14ac:dyDescent="0.25">
      <c r="B618" s="41" t="b">
        <f t="shared" si="143"/>
        <v>0</v>
      </c>
      <c r="C618" s="41" t="e">
        <f t="shared" si="130"/>
        <v>#VALUE!</v>
      </c>
      <c r="E618" s="45">
        <v>614</v>
      </c>
      <c r="G618" s="138"/>
      <c r="H618" s="135">
        <v>1</v>
      </c>
      <c r="I618" s="46" t="e">
        <f t="shared" si="131"/>
        <v>#VALUE!</v>
      </c>
      <c r="J618" s="41" t="e">
        <f t="shared" si="137"/>
        <v>#VALUE!</v>
      </c>
      <c r="K618" s="41" t="e">
        <f t="shared" si="138"/>
        <v>#VALUE!</v>
      </c>
      <c r="L618" s="41" t="e">
        <f t="shared" si="138"/>
        <v>#VALUE!</v>
      </c>
      <c r="M618" s="41" t="e">
        <f t="shared" si="132"/>
        <v>#VALUE!</v>
      </c>
      <c r="N618" s="41" t="e">
        <f t="shared" si="133"/>
        <v>#VALUE!</v>
      </c>
      <c r="O618" s="41">
        <f t="shared" si="134"/>
        <v>0</v>
      </c>
      <c r="Q618" s="44" t="e">
        <f t="shared" si="135"/>
        <v>#VALUE!</v>
      </c>
      <c r="R618" s="44" t="e">
        <f t="shared" si="139"/>
        <v>#VALUE!</v>
      </c>
      <c r="S618" s="44" t="e">
        <f t="shared" si="136"/>
        <v>#VALUE!</v>
      </c>
      <c r="T618" s="41" t="e">
        <f t="shared" si="140"/>
        <v>#VALUE!</v>
      </c>
      <c r="U618" s="41" t="e">
        <f t="shared" si="141"/>
        <v>#VALUE!</v>
      </c>
      <c r="V618" s="41" t="e">
        <f t="shared" si="142"/>
        <v>#VALUE!</v>
      </c>
    </row>
    <row r="619" spans="2:22" x14ac:dyDescent="0.25">
      <c r="B619" s="41" t="b">
        <f t="shared" si="143"/>
        <v>0</v>
      </c>
      <c r="C619" s="41" t="e">
        <f t="shared" si="130"/>
        <v>#VALUE!</v>
      </c>
      <c r="E619" s="45">
        <v>615</v>
      </c>
      <c r="G619" s="138"/>
      <c r="H619" s="135">
        <v>1</v>
      </c>
      <c r="I619" s="46" t="e">
        <f t="shared" si="131"/>
        <v>#VALUE!</v>
      </c>
      <c r="J619" s="41" t="e">
        <f t="shared" si="137"/>
        <v>#VALUE!</v>
      </c>
      <c r="K619" s="41" t="e">
        <f t="shared" si="138"/>
        <v>#VALUE!</v>
      </c>
      <c r="L619" s="41" t="e">
        <f t="shared" si="138"/>
        <v>#VALUE!</v>
      </c>
      <c r="M619" s="41" t="e">
        <f t="shared" si="132"/>
        <v>#VALUE!</v>
      </c>
      <c r="N619" s="41" t="e">
        <f t="shared" si="133"/>
        <v>#VALUE!</v>
      </c>
      <c r="O619" s="41">
        <f t="shared" si="134"/>
        <v>0</v>
      </c>
      <c r="Q619" s="44" t="e">
        <f t="shared" si="135"/>
        <v>#VALUE!</v>
      </c>
      <c r="R619" s="44" t="e">
        <f t="shared" si="139"/>
        <v>#VALUE!</v>
      </c>
      <c r="S619" s="44" t="e">
        <f t="shared" si="136"/>
        <v>#VALUE!</v>
      </c>
      <c r="T619" s="41" t="e">
        <f t="shared" si="140"/>
        <v>#VALUE!</v>
      </c>
      <c r="U619" s="41" t="e">
        <f t="shared" si="141"/>
        <v>#VALUE!</v>
      </c>
      <c r="V619" s="41" t="e">
        <f t="shared" si="142"/>
        <v>#VALUE!</v>
      </c>
    </row>
    <row r="620" spans="2:22" x14ac:dyDescent="0.25">
      <c r="B620" s="41" t="b">
        <f t="shared" si="143"/>
        <v>0</v>
      </c>
      <c r="C620" s="41" t="e">
        <f t="shared" si="130"/>
        <v>#VALUE!</v>
      </c>
      <c r="E620" s="45">
        <v>616</v>
      </c>
      <c r="G620" s="138"/>
      <c r="H620" s="135">
        <v>1</v>
      </c>
      <c r="I620" s="46" t="e">
        <f t="shared" si="131"/>
        <v>#VALUE!</v>
      </c>
      <c r="J620" s="41" t="e">
        <f t="shared" si="137"/>
        <v>#VALUE!</v>
      </c>
      <c r="K620" s="41" t="e">
        <f t="shared" si="138"/>
        <v>#VALUE!</v>
      </c>
      <c r="L620" s="41" t="e">
        <f t="shared" si="138"/>
        <v>#VALUE!</v>
      </c>
      <c r="M620" s="41" t="e">
        <f t="shared" si="132"/>
        <v>#VALUE!</v>
      </c>
      <c r="N620" s="41" t="e">
        <f t="shared" si="133"/>
        <v>#VALUE!</v>
      </c>
      <c r="O620" s="41">
        <f t="shared" si="134"/>
        <v>0</v>
      </c>
      <c r="Q620" s="44" t="e">
        <f t="shared" si="135"/>
        <v>#VALUE!</v>
      </c>
      <c r="R620" s="44" t="e">
        <f t="shared" si="139"/>
        <v>#VALUE!</v>
      </c>
      <c r="S620" s="44" t="e">
        <f t="shared" si="136"/>
        <v>#VALUE!</v>
      </c>
      <c r="T620" s="41" t="e">
        <f t="shared" si="140"/>
        <v>#VALUE!</v>
      </c>
      <c r="U620" s="41" t="e">
        <f t="shared" si="141"/>
        <v>#VALUE!</v>
      </c>
      <c r="V620" s="41" t="e">
        <f t="shared" si="142"/>
        <v>#VALUE!</v>
      </c>
    </row>
    <row r="621" spans="2:22" x14ac:dyDescent="0.25">
      <c r="B621" s="41" t="b">
        <f t="shared" si="143"/>
        <v>0</v>
      </c>
      <c r="C621" s="41" t="e">
        <f t="shared" si="130"/>
        <v>#VALUE!</v>
      </c>
      <c r="E621" s="45">
        <v>617</v>
      </c>
      <c r="G621" s="138"/>
      <c r="H621" s="135">
        <v>1</v>
      </c>
      <c r="I621" s="46" t="e">
        <f t="shared" si="131"/>
        <v>#VALUE!</v>
      </c>
      <c r="J621" s="41" t="e">
        <f t="shared" si="137"/>
        <v>#VALUE!</v>
      </c>
      <c r="K621" s="41" t="e">
        <f t="shared" si="138"/>
        <v>#VALUE!</v>
      </c>
      <c r="L621" s="41" t="e">
        <f t="shared" si="138"/>
        <v>#VALUE!</v>
      </c>
      <c r="M621" s="41" t="e">
        <f t="shared" si="132"/>
        <v>#VALUE!</v>
      </c>
      <c r="N621" s="41" t="e">
        <f t="shared" si="133"/>
        <v>#VALUE!</v>
      </c>
      <c r="O621" s="41">
        <f t="shared" si="134"/>
        <v>0</v>
      </c>
      <c r="Q621" s="44" t="e">
        <f t="shared" si="135"/>
        <v>#VALUE!</v>
      </c>
      <c r="R621" s="44" t="e">
        <f t="shared" si="139"/>
        <v>#VALUE!</v>
      </c>
      <c r="S621" s="44" t="e">
        <f t="shared" si="136"/>
        <v>#VALUE!</v>
      </c>
      <c r="T621" s="41" t="e">
        <f t="shared" si="140"/>
        <v>#VALUE!</v>
      </c>
      <c r="U621" s="41" t="e">
        <f t="shared" si="141"/>
        <v>#VALUE!</v>
      </c>
      <c r="V621" s="41" t="e">
        <f t="shared" si="142"/>
        <v>#VALUE!</v>
      </c>
    </row>
    <row r="622" spans="2:22" x14ac:dyDescent="0.25">
      <c r="B622" s="41" t="b">
        <f t="shared" si="143"/>
        <v>0</v>
      </c>
      <c r="C622" s="41" t="e">
        <f t="shared" si="130"/>
        <v>#VALUE!</v>
      </c>
      <c r="E622" s="45">
        <v>618</v>
      </c>
      <c r="G622" s="138"/>
      <c r="H622" s="135">
        <v>1</v>
      </c>
      <c r="I622" s="46" t="e">
        <f t="shared" si="131"/>
        <v>#VALUE!</v>
      </c>
      <c r="J622" s="41" t="e">
        <f t="shared" si="137"/>
        <v>#VALUE!</v>
      </c>
      <c r="K622" s="41" t="e">
        <f t="shared" si="138"/>
        <v>#VALUE!</v>
      </c>
      <c r="L622" s="41" t="e">
        <f t="shared" si="138"/>
        <v>#VALUE!</v>
      </c>
      <c r="M622" s="41" t="e">
        <f t="shared" si="132"/>
        <v>#VALUE!</v>
      </c>
      <c r="N622" s="41" t="e">
        <f t="shared" si="133"/>
        <v>#VALUE!</v>
      </c>
      <c r="O622" s="41">
        <f t="shared" si="134"/>
        <v>0</v>
      </c>
      <c r="Q622" s="44" t="e">
        <f t="shared" si="135"/>
        <v>#VALUE!</v>
      </c>
      <c r="R622" s="44" t="e">
        <f t="shared" si="139"/>
        <v>#VALUE!</v>
      </c>
      <c r="S622" s="44" t="e">
        <f t="shared" si="136"/>
        <v>#VALUE!</v>
      </c>
      <c r="T622" s="41" t="e">
        <f t="shared" si="140"/>
        <v>#VALUE!</v>
      </c>
      <c r="U622" s="41" t="e">
        <f t="shared" si="141"/>
        <v>#VALUE!</v>
      </c>
      <c r="V622" s="41" t="e">
        <f t="shared" si="142"/>
        <v>#VALUE!</v>
      </c>
    </row>
    <row r="623" spans="2:22" x14ac:dyDescent="0.25">
      <c r="B623" s="41" t="b">
        <f t="shared" si="143"/>
        <v>0</v>
      </c>
      <c r="C623" s="41" t="e">
        <f t="shared" si="130"/>
        <v>#VALUE!</v>
      </c>
      <c r="E623" s="45">
        <v>619</v>
      </c>
      <c r="G623" s="138"/>
      <c r="H623" s="135">
        <v>1</v>
      </c>
      <c r="I623" s="46" t="e">
        <f t="shared" si="131"/>
        <v>#VALUE!</v>
      </c>
      <c r="J623" s="41" t="e">
        <f t="shared" si="137"/>
        <v>#VALUE!</v>
      </c>
      <c r="K623" s="41" t="e">
        <f t="shared" ref="K623:L686" si="144">N623-M623</f>
        <v>#VALUE!</v>
      </c>
      <c r="L623" s="41" t="e">
        <f t="shared" si="144"/>
        <v>#VALUE!</v>
      </c>
      <c r="M623" s="41" t="e">
        <f t="shared" si="132"/>
        <v>#VALUE!</v>
      </c>
      <c r="N623" s="41" t="e">
        <f t="shared" si="133"/>
        <v>#VALUE!</v>
      </c>
      <c r="O623" s="41">
        <f t="shared" si="134"/>
        <v>0</v>
      </c>
      <c r="Q623" s="44" t="e">
        <f t="shared" si="135"/>
        <v>#VALUE!</v>
      </c>
      <c r="R623" s="44" t="e">
        <f t="shared" si="139"/>
        <v>#VALUE!</v>
      </c>
      <c r="S623" s="44" t="e">
        <f t="shared" si="136"/>
        <v>#VALUE!</v>
      </c>
      <c r="T623" s="41" t="e">
        <f t="shared" si="140"/>
        <v>#VALUE!</v>
      </c>
      <c r="U623" s="41" t="e">
        <f t="shared" si="141"/>
        <v>#VALUE!</v>
      </c>
      <c r="V623" s="41" t="e">
        <f t="shared" si="142"/>
        <v>#VALUE!</v>
      </c>
    </row>
    <row r="624" spans="2:22" x14ac:dyDescent="0.25">
      <c r="B624" s="41" t="b">
        <f t="shared" si="143"/>
        <v>0</v>
      </c>
      <c r="C624" s="41" t="e">
        <f t="shared" si="130"/>
        <v>#VALUE!</v>
      </c>
      <c r="E624" s="45">
        <v>620</v>
      </c>
      <c r="G624" s="138"/>
      <c r="H624" s="135">
        <v>1</v>
      </c>
      <c r="I624" s="46" t="e">
        <f t="shared" si="131"/>
        <v>#VALUE!</v>
      </c>
      <c r="J624" s="41" t="e">
        <f t="shared" si="137"/>
        <v>#VALUE!</v>
      </c>
      <c r="K624" s="41" t="e">
        <f t="shared" si="144"/>
        <v>#VALUE!</v>
      </c>
      <c r="L624" s="41" t="e">
        <f t="shared" si="144"/>
        <v>#VALUE!</v>
      </c>
      <c r="M624" s="41" t="e">
        <f t="shared" si="132"/>
        <v>#VALUE!</v>
      </c>
      <c r="N624" s="41" t="e">
        <f t="shared" si="133"/>
        <v>#VALUE!</v>
      </c>
      <c r="O624" s="41">
        <f t="shared" si="134"/>
        <v>0</v>
      </c>
      <c r="Q624" s="44" t="e">
        <f t="shared" si="135"/>
        <v>#VALUE!</v>
      </c>
      <c r="R624" s="44" t="e">
        <f t="shared" si="139"/>
        <v>#VALUE!</v>
      </c>
      <c r="S624" s="44" t="e">
        <f t="shared" si="136"/>
        <v>#VALUE!</v>
      </c>
      <c r="T624" s="41" t="e">
        <f t="shared" si="140"/>
        <v>#VALUE!</v>
      </c>
      <c r="U624" s="41" t="e">
        <f t="shared" si="141"/>
        <v>#VALUE!</v>
      </c>
      <c r="V624" s="41" t="e">
        <f t="shared" si="142"/>
        <v>#VALUE!</v>
      </c>
    </row>
    <row r="625" spans="2:22" x14ac:dyDescent="0.25">
      <c r="B625" s="41" t="b">
        <f t="shared" si="143"/>
        <v>0</v>
      </c>
      <c r="C625" s="41" t="e">
        <f t="shared" si="130"/>
        <v>#VALUE!</v>
      </c>
      <c r="E625" s="45">
        <v>621</v>
      </c>
      <c r="G625" s="138"/>
      <c r="H625" s="135">
        <v>1</v>
      </c>
      <c r="I625" s="46" t="e">
        <f t="shared" si="131"/>
        <v>#VALUE!</v>
      </c>
      <c r="J625" s="41" t="e">
        <f t="shared" si="137"/>
        <v>#VALUE!</v>
      </c>
      <c r="K625" s="41" t="e">
        <f t="shared" si="144"/>
        <v>#VALUE!</v>
      </c>
      <c r="L625" s="41" t="e">
        <f t="shared" si="144"/>
        <v>#VALUE!</v>
      </c>
      <c r="M625" s="41" t="e">
        <f t="shared" si="132"/>
        <v>#VALUE!</v>
      </c>
      <c r="N625" s="41" t="e">
        <f t="shared" si="133"/>
        <v>#VALUE!</v>
      </c>
      <c r="O625" s="41">
        <f t="shared" si="134"/>
        <v>0</v>
      </c>
      <c r="Q625" s="44" t="e">
        <f t="shared" si="135"/>
        <v>#VALUE!</v>
      </c>
      <c r="R625" s="44" t="e">
        <f t="shared" si="139"/>
        <v>#VALUE!</v>
      </c>
      <c r="S625" s="44" t="e">
        <f t="shared" si="136"/>
        <v>#VALUE!</v>
      </c>
      <c r="T625" s="41" t="e">
        <f t="shared" si="140"/>
        <v>#VALUE!</v>
      </c>
      <c r="U625" s="41" t="e">
        <f t="shared" si="141"/>
        <v>#VALUE!</v>
      </c>
      <c r="V625" s="41" t="e">
        <f t="shared" si="142"/>
        <v>#VALUE!</v>
      </c>
    </row>
    <row r="626" spans="2:22" x14ac:dyDescent="0.25">
      <c r="B626" s="41" t="b">
        <f t="shared" si="143"/>
        <v>0</v>
      </c>
      <c r="C626" s="41" t="e">
        <f t="shared" si="130"/>
        <v>#VALUE!</v>
      </c>
      <c r="E626" s="45">
        <v>622</v>
      </c>
      <c r="G626" s="138"/>
      <c r="H626" s="135">
        <v>1</v>
      </c>
      <c r="I626" s="46" t="e">
        <f t="shared" si="131"/>
        <v>#VALUE!</v>
      </c>
      <c r="J626" s="41" t="e">
        <f t="shared" si="137"/>
        <v>#VALUE!</v>
      </c>
      <c r="K626" s="41" t="e">
        <f t="shared" si="144"/>
        <v>#VALUE!</v>
      </c>
      <c r="L626" s="41" t="e">
        <f t="shared" si="144"/>
        <v>#VALUE!</v>
      </c>
      <c r="M626" s="41" t="e">
        <f t="shared" si="132"/>
        <v>#VALUE!</v>
      </c>
      <c r="N626" s="41" t="e">
        <f t="shared" si="133"/>
        <v>#VALUE!</v>
      </c>
      <c r="O626" s="41">
        <f t="shared" si="134"/>
        <v>0</v>
      </c>
      <c r="Q626" s="44" t="e">
        <f t="shared" si="135"/>
        <v>#VALUE!</v>
      </c>
      <c r="R626" s="44" t="e">
        <f t="shared" si="139"/>
        <v>#VALUE!</v>
      </c>
      <c r="S626" s="44" t="e">
        <f t="shared" si="136"/>
        <v>#VALUE!</v>
      </c>
      <c r="T626" s="41" t="e">
        <f t="shared" si="140"/>
        <v>#VALUE!</v>
      </c>
      <c r="U626" s="41" t="e">
        <f t="shared" si="141"/>
        <v>#VALUE!</v>
      </c>
      <c r="V626" s="41" t="e">
        <f t="shared" si="142"/>
        <v>#VALUE!</v>
      </c>
    </row>
    <row r="627" spans="2:22" x14ac:dyDescent="0.25">
      <c r="B627" s="41" t="b">
        <f t="shared" si="143"/>
        <v>0</v>
      </c>
      <c r="C627" s="41" t="e">
        <f t="shared" si="130"/>
        <v>#VALUE!</v>
      </c>
      <c r="E627" s="45">
        <v>623</v>
      </c>
      <c r="G627" s="138"/>
      <c r="H627" s="135">
        <v>1</v>
      </c>
      <c r="I627" s="46" t="e">
        <f t="shared" si="131"/>
        <v>#VALUE!</v>
      </c>
      <c r="J627" s="41" t="e">
        <f t="shared" si="137"/>
        <v>#VALUE!</v>
      </c>
      <c r="K627" s="41" t="e">
        <f t="shared" si="144"/>
        <v>#VALUE!</v>
      </c>
      <c r="L627" s="41" t="e">
        <f t="shared" si="144"/>
        <v>#VALUE!</v>
      </c>
      <c r="M627" s="41" t="e">
        <f t="shared" si="132"/>
        <v>#VALUE!</v>
      </c>
      <c r="N627" s="41" t="e">
        <f t="shared" si="133"/>
        <v>#VALUE!</v>
      </c>
      <c r="O627" s="41">
        <f t="shared" si="134"/>
        <v>0</v>
      </c>
      <c r="Q627" s="44" t="e">
        <f t="shared" si="135"/>
        <v>#VALUE!</v>
      </c>
      <c r="R627" s="44" t="e">
        <f t="shared" si="139"/>
        <v>#VALUE!</v>
      </c>
      <c r="S627" s="44" t="e">
        <f t="shared" si="136"/>
        <v>#VALUE!</v>
      </c>
      <c r="T627" s="41" t="e">
        <f t="shared" si="140"/>
        <v>#VALUE!</v>
      </c>
      <c r="U627" s="41" t="e">
        <f t="shared" si="141"/>
        <v>#VALUE!</v>
      </c>
      <c r="V627" s="41" t="e">
        <f t="shared" si="142"/>
        <v>#VALUE!</v>
      </c>
    </row>
    <row r="628" spans="2:22" x14ac:dyDescent="0.25">
      <c r="B628" s="41" t="b">
        <f t="shared" si="143"/>
        <v>0</v>
      </c>
      <c r="C628" s="41" t="e">
        <f t="shared" si="130"/>
        <v>#VALUE!</v>
      </c>
      <c r="E628" s="45">
        <v>624</v>
      </c>
      <c r="G628" s="138"/>
      <c r="H628" s="135">
        <v>1</v>
      </c>
      <c r="I628" s="46" t="e">
        <f t="shared" si="131"/>
        <v>#VALUE!</v>
      </c>
      <c r="J628" s="41" t="e">
        <f t="shared" si="137"/>
        <v>#VALUE!</v>
      </c>
      <c r="K628" s="41" t="e">
        <f t="shared" si="144"/>
        <v>#VALUE!</v>
      </c>
      <c r="L628" s="41" t="e">
        <f t="shared" si="144"/>
        <v>#VALUE!</v>
      </c>
      <c r="M628" s="41" t="e">
        <f t="shared" si="132"/>
        <v>#VALUE!</v>
      </c>
      <c r="N628" s="41" t="e">
        <f t="shared" si="133"/>
        <v>#VALUE!</v>
      </c>
      <c r="O628" s="41">
        <f t="shared" si="134"/>
        <v>0</v>
      </c>
      <c r="Q628" s="44" t="e">
        <f t="shared" si="135"/>
        <v>#VALUE!</v>
      </c>
      <c r="R628" s="44" t="e">
        <f t="shared" si="139"/>
        <v>#VALUE!</v>
      </c>
      <c r="S628" s="44" t="e">
        <f t="shared" si="136"/>
        <v>#VALUE!</v>
      </c>
      <c r="T628" s="41" t="e">
        <f t="shared" si="140"/>
        <v>#VALUE!</v>
      </c>
      <c r="U628" s="41" t="e">
        <f t="shared" si="141"/>
        <v>#VALUE!</v>
      </c>
      <c r="V628" s="41" t="e">
        <f t="shared" si="142"/>
        <v>#VALUE!</v>
      </c>
    </row>
    <row r="629" spans="2:22" x14ac:dyDescent="0.25">
      <c r="B629" s="41" t="b">
        <f t="shared" si="143"/>
        <v>0</v>
      </c>
      <c r="C629" s="41" t="e">
        <f t="shared" si="130"/>
        <v>#VALUE!</v>
      </c>
      <c r="E629" s="45">
        <v>625</v>
      </c>
      <c r="G629" s="138"/>
      <c r="H629" s="135">
        <v>1</v>
      </c>
      <c r="I629" s="46" t="e">
        <f t="shared" si="131"/>
        <v>#VALUE!</v>
      </c>
      <c r="J629" s="41" t="e">
        <f t="shared" si="137"/>
        <v>#VALUE!</v>
      </c>
      <c r="K629" s="41" t="e">
        <f t="shared" si="144"/>
        <v>#VALUE!</v>
      </c>
      <c r="L629" s="41" t="e">
        <f t="shared" si="144"/>
        <v>#VALUE!</v>
      </c>
      <c r="M629" s="41" t="e">
        <f t="shared" si="132"/>
        <v>#VALUE!</v>
      </c>
      <c r="N629" s="41" t="e">
        <f t="shared" si="133"/>
        <v>#VALUE!</v>
      </c>
      <c r="O629" s="41">
        <f t="shared" si="134"/>
        <v>0</v>
      </c>
      <c r="Q629" s="44" t="e">
        <f t="shared" si="135"/>
        <v>#VALUE!</v>
      </c>
      <c r="R629" s="44" t="e">
        <f t="shared" si="139"/>
        <v>#VALUE!</v>
      </c>
      <c r="S629" s="44" t="e">
        <f t="shared" si="136"/>
        <v>#VALUE!</v>
      </c>
      <c r="T629" s="41" t="e">
        <f t="shared" si="140"/>
        <v>#VALUE!</v>
      </c>
      <c r="U629" s="41" t="e">
        <f t="shared" si="141"/>
        <v>#VALUE!</v>
      </c>
      <c r="V629" s="41" t="e">
        <f t="shared" si="142"/>
        <v>#VALUE!</v>
      </c>
    </row>
    <row r="630" spans="2:22" x14ac:dyDescent="0.25">
      <c r="B630" s="41" t="b">
        <f t="shared" si="143"/>
        <v>0</v>
      </c>
      <c r="C630" s="41" t="e">
        <f t="shared" ref="C630:C693" si="145">SUM(T630:V630)</f>
        <v>#VALUE!</v>
      </c>
      <c r="E630" s="45">
        <v>626</v>
      </c>
      <c r="G630" s="138"/>
      <c r="H630" s="135">
        <v>1</v>
      </c>
      <c r="I630" s="46" t="e">
        <f t="shared" si="131"/>
        <v>#VALUE!</v>
      </c>
      <c r="J630" s="41" t="e">
        <f t="shared" si="137"/>
        <v>#VALUE!</v>
      </c>
      <c r="K630" s="41" t="e">
        <f t="shared" si="144"/>
        <v>#VALUE!</v>
      </c>
      <c r="L630" s="41" t="e">
        <f t="shared" si="144"/>
        <v>#VALUE!</v>
      </c>
      <c r="M630" s="41" t="e">
        <f t="shared" si="132"/>
        <v>#VALUE!</v>
      </c>
      <c r="N630" s="41" t="e">
        <f t="shared" si="133"/>
        <v>#VALUE!</v>
      </c>
      <c r="O630" s="41">
        <f t="shared" si="134"/>
        <v>0</v>
      </c>
      <c r="Q630" s="44" t="e">
        <f t="shared" si="135"/>
        <v>#VALUE!</v>
      </c>
      <c r="R630" s="44" t="e">
        <f t="shared" si="139"/>
        <v>#VALUE!</v>
      </c>
      <c r="S630" s="44" t="e">
        <f t="shared" si="136"/>
        <v>#VALUE!</v>
      </c>
      <c r="T630" s="41" t="e">
        <f t="shared" si="140"/>
        <v>#VALUE!</v>
      </c>
      <c r="U630" s="41" t="e">
        <f t="shared" si="141"/>
        <v>#VALUE!</v>
      </c>
      <c r="V630" s="41" t="e">
        <f t="shared" si="142"/>
        <v>#VALUE!</v>
      </c>
    </row>
    <row r="631" spans="2:22" x14ac:dyDescent="0.25">
      <c r="B631" s="41" t="b">
        <f t="shared" si="143"/>
        <v>0</v>
      </c>
      <c r="C631" s="41" t="e">
        <f t="shared" si="145"/>
        <v>#VALUE!</v>
      </c>
      <c r="E631" s="45">
        <v>627</v>
      </c>
      <c r="G631" s="138"/>
      <c r="H631" s="135">
        <v>1</v>
      </c>
      <c r="I631" s="46" t="e">
        <f t="shared" si="131"/>
        <v>#VALUE!</v>
      </c>
      <c r="J631" s="41" t="e">
        <f t="shared" si="137"/>
        <v>#VALUE!</v>
      </c>
      <c r="K631" s="41" t="e">
        <f t="shared" si="144"/>
        <v>#VALUE!</v>
      </c>
      <c r="L631" s="41" t="e">
        <f t="shared" si="144"/>
        <v>#VALUE!</v>
      </c>
      <c r="M631" s="41" t="e">
        <f t="shared" si="132"/>
        <v>#VALUE!</v>
      </c>
      <c r="N631" s="41" t="e">
        <f t="shared" si="133"/>
        <v>#VALUE!</v>
      </c>
      <c r="O631" s="41">
        <f t="shared" si="134"/>
        <v>0</v>
      </c>
      <c r="Q631" s="44" t="e">
        <f t="shared" si="135"/>
        <v>#VALUE!</v>
      </c>
      <c r="R631" s="44" t="e">
        <f t="shared" si="139"/>
        <v>#VALUE!</v>
      </c>
      <c r="S631" s="44" t="e">
        <f t="shared" si="136"/>
        <v>#VALUE!</v>
      </c>
      <c r="T631" s="41" t="e">
        <f t="shared" si="140"/>
        <v>#VALUE!</v>
      </c>
      <c r="U631" s="41" t="e">
        <f t="shared" si="141"/>
        <v>#VALUE!</v>
      </c>
      <c r="V631" s="41" t="e">
        <f t="shared" si="142"/>
        <v>#VALUE!</v>
      </c>
    </row>
    <row r="632" spans="2:22" x14ac:dyDescent="0.25">
      <c r="B632" s="41" t="b">
        <f t="shared" si="143"/>
        <v>0</v>
      </c>
      <c r="C632" s="41" t="e">
        <f t="shared" si="145"/>
        <v>#VALUE!</v>
      </c>
      <c r="E632" s="45">
        <v>628</v>
      </c>
      <c r="G632" s="138"/>
      <c r="H632" s="135">
        <v>1</v>
      </c>
      <c r="I632" s="46" t="e">
        <f t="shared" si="131"/>
        <v>#VALUE!</v>
      </c>
      <c r="J632" s="41" t="e">
        <f t="shared" si="137"/>
        <v>#VALUE!</v>
      </c>
      <c r="K632" s="41" t="e">
        <f t="shared" si="144"/>
        <v>#VALUE!</v>
      </c>
      <c r="L632" s="41" t="e">
        <f t="shared" si="144"/>
        <v>#VALUE!</v>
      </c>
      <c r="M632" s="41" t="e">
        <f t="shared" si="132"/>
        <v>#VALUE!</v>
      </c>
      <c r="N632" s="41" t="e">
        <f t="shared" si="133"/>
        <v>#VALUE!</v>
      </c>
      <c r="O632" s="41">
        <f t="shared" si="134"/>
        <v>0</v>
      </c>
      <c r="Q632" s="44" t="e">
        <f t="shared" si="135"/>
        <v>#VALUE!</v>
      </c>
      <c r="R632" s="44" t="e">
        <f t="shared" si="139"/>
        <v>#VALUE!</v>
      </c>
      <c r="S632" s="44" t="e">
        <f t="shared" si="136"/>
        <v>#VALUE!</v>
      </c>
      <c r="T632" s="41" t="e">
        <f t="shared" si="140"/>
        <v>#VALUE!</v>
      </c>
      <c r="U632" s="41" t="e">
        <f t="shared" si="141"/>
        <v>#VALUE!</v>
      </c>
      <c r="V632" s="41" t="e">
        <f t="shared" si="142"/>
        <v>#VALUE!</v>
      </c>
    </row>
    <row r="633" spans="2:22" x14ac:dyDescent="0.25">
      <c r="B633" s="41" t="b">
        <f t="shared" si="143"/>
        <v>0</v>
      </c>
      <c r="C633" s="41" t="e">
        <f t="shared" si="145"/>
        <v>#VALUE!</v>
      </c>
      <c r="E633" s="45">
        <v>629</v>
      </c>
      <c r="G633" s="138"/>
      <c r="H633" s="135">
        <v>1</v>
      </c>
      <c r="I633" s="46" t="e">
        <f t="shared" si="131"/>
        <v>#VALUE!</v>
      </c>
      <c r="J633" s="41" t="e">
        <f t="shared" si="137"/>
        <v>#VALUE!</v>
      </c>
      <c r="K633" s="41" t="e">
        <f t="shared" si="144"/>
        <v>#VALUE!</v>
      </c>
      <c r="L633" s="41" t="e">
        <f t="shared" si="144"/>
        <v>#VALUE!</v>
      </c>
      <c r="M633" s="41" t="e">
        <f t="shared" si="132"/>
        <v>#VALUE!</v>
      </c>
      <c r="N633" s="41" t="e">
        <f t="shared" si="133"/>
        <v>#VALUE!</v>
      </c>
      <c r="O633" s="41">
        <f t="shared" si="134"/>
        <v>0</v>
      </c>
      <c r="Q633" s="44" t="e">
        <f t="shared" si="135"/>
        <v>#VALUE!</v>
      </c>
      <c r="R633" s="44" t="e">
        <f t="shared" si="139"/>
        <v>#VALUE!</v>
      </c>
      <c r="S633" s="44" t="e">
        <f t="shared" si="136"/>
        <v>#VALUE!</v>
      </c>
      <c r="T633" s="41" t="e">
        <f t="shared" si="140"/>
        <v>#VALUE!</v>
      </c>
      <c r="U633" s="41" t="e">
        <f t="shared" si="141"/>
        <v>#VALUE!</v>
      </c>
      <c r="V633" s="41" t="e">
        <f t="shared" si="142"/>
        <v>#VALUE!</v>
      </c>
    </row>
    <row r="634" spans="2:22" x14ac:dyDescent="0.25">
      <c r="B634" s="41" t="b">
        <f t="shared" si="143"/>
        <v>0</v>
      </c>
      <c r="C634" s="41" t="e">
        <f t="shared" si="145"/>
        <v>#VALUE!</v>
      </c>
      <c r="E634" s="45">
        <v>630</v>
      </c>
      <c r="G634" s="138"/>
      <c r="H634" s="135">
        <v>1</v>
      </c>
      <c r="I634" s="46" t="e">
        <f t="shared" si="131"/>
        <v>#VALUE!</v>
      </c>
      <c r="J634" s="41" t="e">
        <f t="shared" si="137"/>
        <v>#VALUE!</v>
      </c>
      <c r="K634" s="41" t="e">
        <f t="shared" si="144"/>
        <v>#VALUE!</v>
      </c>
      <c r="L634" s="41" t="e">
        <f t="shared" si="144"/>
        <v>#VALUE!</v>
      </c>
      <c r="M634" s="41" t="e">
        <f t="shared" si="132"/>
        <v>#VALUE!</v>
      </c>
      <c r="N634" s="41" t="e">
        <f t="shared" si="133"/>
        <v>#VALUE!</v>
      </c>
      <c r="O634" s="41">
        <f t="shared" si="134"/>
        <v>0</v>
      </c>
      <c r="Q634" s="44" t="e">
        <f t="shared" si="135"/>
        <v>#VALUE!</v>
      </c>
      <c r="R634" s="44" t="e">
        <f t="shared" si="139"/>
        <v>#VALUE!</v>
      </c>
      <c r="S634" s="44" t="e">
        <f t="shared" si="136"/>
        <v>#VALUE!</v>
      </c>
      <c r="T634" s="41" t="e">
        <f t="shared" si="140"/>
        <v>#VALUE!</v>
      </c>
      <c r="U634" s="41" t="e">
        <f t="shared" si="141"/>
        <v>#VALUE!</v>
      </c>
      <c r="V634" s="41" t="e">
        <f t="shared" si="142"/>
        <v>#VALUE!</v>
      </c>
    </row>
    <row r="635" spans="2:22" x14ac:dyDescent="0.25">
      <c r="B635" s="41" t="b">
        <f t="shared" si="143"/>
        <v>0</v>
      </c>
      <c r="C635" s="41" t="e">
        <f t="shared" si="145"/>
        <v>#VALUE!</v>
      </c>
      <c r="E635" s="45">
        <v>631</v>
      </c>
      <c r="G635" s="138"/>
      <c r="H635" s="135">
        <v>1</v>
      </c>
      <c r="I635" s="46" t="e">
        <f t="shared" si="131"/>
        <v>#VALUE!</v>
      </c>
      <c r="J635" s="41" t="e">
        <f t="shared" si="137"/>
        <v>#VALUE!</v>
      </c>
      <c r="K635" s="41" t="e">
        <f t="shared" si="144"/>
        <v>#VALUE!</v>
      </c>
      <c r="L635" s="41" t="e">
        <f t="shared" si="144"/>
        <v>#VALUE!</v>
      </c>
      <c r="M635" s="41" t="e">
        <f t="shared" si="132"/>
        <v>#VALUE!</v>
      </c>
      <c r="N635" s="41" t="e">
        <f t="shared" si="133"/>
        <v>#VALUE!</v>
      </c>
      <c r="O635" s="41">
        <f t="shared" si="134"/>
        <v>0</v>
      </c>
      <c r="Q635" s="44" t="e">
        <f t="shared" si="135"/>
        <v>#VALUE!</v>
      </c>
      <c r="R635" s="44" t="e">
        <f t="shared" si="139"/>
        <v>#VALUE!</v>
      </c>
      <c r="S635" s="44" t="e">
        <f t="shared" si="136"/>
        <v>#VALUE!</v>
      </c>
      <c r="T635" s="41" t="e">
        <f t="shared" si="140"/>
        <v>#VALUE!</v>
      </c>
      <c r="U635" s="41" t="e">
        <f t="shared" si="141"/>
        <v>#VALUE!</v>
      </c>
      <c r="V635" s="41" t="e">
        <f t="shared" si="142"/>
        <v>#VALUE!</v>
      </c>
    </row>
    <row r="636" spans="2:22" x14ac:dyDescent="0.25">
      <c r="B636" s="41" t="b">
        <f t="shared" si="143"/>
        <v>0</v>
      </c>
      <c r="C636" s="41" t="e">
        <f t="shared" si="145"/>
        <v>#VALUE!</v>
      </c>
      <c r="E636" s="45">
        <v>632</v>
      </c>
      <c r="G636" s="138"/>
      <c r="H636" s="135">
        <v>1</v>
      </c>
      <c r="I636" s="46" t="e">
        <f t="shared" si="131"/>
        <v>#VALUE!</v>
      </c>
      <c r="J636" s="41" t="e">
        <f t="shared" si="137"/>
        <v>#VALUE!</v>
      </c>
      <c r="K636" s="41" t="e">
        <f t="shared" si="144"/>
        <v>#VALUE!</v>
      </c>
      <c r="L636" s="41" t="e">
        <f t="shared" si="144"/>
        <v>#VALUE!</v>
      </c>
      <c r="M636" s="41" t="e">
        <f t="shared" si="132"/>
        <v>#VALUE!</v>
      </c>
      <c r="N636" s="41" t="e">
        <f t="shared" si="133"/>
        <v>#VALUE!</v>
      </c>
      <c r="O636" s="41">
        <f t="shared" si="134"/>
        <v>0</v>
      </c>
      <c r="Q636" s="44" t="e">
        <f t="shared" si="135"/>
        <v>#VALUE!</v>
      </c>
      <c r="R636" s="44" t="e">
        <f t="shared" si="139"/>
        <v>#VALUE!</v>
      </c>
      <c r="S636" s="44" t="e">
        <f t="shared" si="136"/>
        <v>#VALUE!</v>
      </c>
      <c r="T636" s="41" t="e">
        <f t="shared" si="140"/>
        <v>#VALUE!</v>
      </c>
      <c r="U636" s="41" t="e">
        <f t="shared" si="141"/>
        <v>#VALUE!</v>
      </c>
      <c r="V636" s="41" t="e">
        <f t="shared" si="142"/>
        <v>#VALUE!</v>
      </c>
    </row>
    <row r="637" spans="2:22" x14ac:dyDescent="0.25">
      <c r="B637" s="41" t="b">
        <f t="shared" si="143"/>
        <v>0</v>
      </c>
      <c r="C637" s="41" t="e">
        <f t="shared" si="145"/>
        <v>#VALUE!</v>
      </c>
      <c r="E637" s="45">
        <v>633</v>
      </c>
      <c r="G637" s="138"/>
      <c r="H637" s="135">
        <v>1</v>
      </c>
      <c r="I637" s="46" t="e">
        <f t="shared" si="131"/>
        <v>#VALUE!</v>
      </c>
      <c r="J637" s="41" t="e">
        <f t="shared" si="137"/>
        <v>#VALUE!</v>
      </c>
      <c r="K637" s="41" t="e">
        <f t="shared" si="144"/>
        <v>#VALUE!</v>
      </c>
      <c r="L637" s="41" t="e">
        <f t="shared" si="144"/>
        <v>#VALUE!</v>
      </c>
      <c r="M637" s="41" t="e">
        <f t="shared" si="132"/>
        <v>#VALUE!</v>
      </c>
      <c r="N637" s="41" t="e">
        <f t="shared" si="133"/>
        <v>#VALUE!</v>
      </c>
      <c r="O637" s="41">
        <f t="shared" si="134"/>
        <v>0</v>
      </c>
      <c r="Q637" s="44" t="e">
        <f t="shared" si="135"/>
        <v>#VALUE!</v>
      </c>
      <c r="R637" s="44" t="e">
        <f t="shared" si="139"/>
        <v>#VALUE!</v>
      </c>
      <c r="S637" s="44" t="e">
        <f t="shared" si="136"/>
        <v>#VALUE!</v>
      </c>
      <c r="T637" s="41" t="e">
        <f t="shared" si="140"/>
        <v>#VALUE!</v>
      </c>
      <c r="U637" s="41" t="e">
        <f t="shared" si="141"/>
        <v>#VALUE!</v>
      </c>
      <c r="V637" s="41" t="e">
        <f t="shared" si="142"/>
        <v>#VALUE!</v>
      </c>
    </row>
    <row r="638" spans="2:22" x14ac:dyDescent="0.25">
      <c r="B638" s="41" t="b">
        <f t="shared" si="143"/>
        <v>0</v>
      </c>
      <c r="C638" s="41" t="e">
        <f t="shared" si="145"/>
        <v>#VALUE!</v>
      </c>
      <c r="E638" s="45">
        <v>634</v>
      </c>
      <c r="G638" s="138"/>
      <c r="H638" s="135">
        <v>1</v>
      </c>
      <c r="I638" s="46" t="e">
        <f t="shared" si="131"/>
        <v>#VALUE!</v>
      </c>
      <c r="J638" s="41" t="e">
        <f t="shared" si="137"/>
        <v>#VALUE!</v>
      </c>
      <c r="K638" s="41" t="e">
        <f t="shared" si="144"/>
        <v>#VALUE!</v>
      </c>
      <c r="L638" s="41" t="e">
        <f t="shared" si="144"/>
        <v>#VALUE!</v>
      </c>
      <c r="M638" s="41" t="e">
        <f t="shared" si="132"/>
        <v>#VALUE!</v>
      </c>
      <c r="N638" s="41" t="e">
        <f t="shared" si="133"/>
        <v>#VALUE!</v>
      </c>
      <c r="O638" s="41">
        <f t="shared" si="134"/>
        <v>0</v>
      </c>
      <c r="Q638" s="44" t="e">
        <f t="shared" si="135"/>
        <v>#VALUE!</v>
      </c>
      <c r="R638" s="44" t="e">
        <f t="shared" si="139"/>
        <v>#VALUE!</v>
      </c>
      <c r="S638" s="44" t="e">
        <f t="shared" si="136"/>
        <v>#VALUE!</v>
      </c>
      <c r="T638" s="41" t="e">
        <f t="shared" si="140"/>
        <v>#VALUE!</v>
      </c>
      <c r="U638" s="41" t="e">
        <f t="shared" si="141"/>
        <v>#VALUE!</v>
      </c>
      <c r="V638" s="41" t="e">
        <f t="shared" si="142"/>
        <v>#VALUE!</v>
      </c>
    </row>
    <row r="639" spans="2:22" x14ac:dyDescent="0.25">
      <c r="B639" s="41" t="b">
        <f t="shared" si="143"/>
        <v>0</v>
      </c>
      <c r="C639" s="41" t="e">
        <f t="shared" si="145"/>
        <v>#VALUE!</v>
      </c>
      <c r="E639" s="45">
        <v>635</v>
      </c>
      <c r="G639" s="138"/>
      <c r="H639" s="135">
        <v>1</v>
      </c>
      <c r="I639" s="46" t="e">
        <f t="shared" si="131"/>
        <v>#VALUE!</v>
      </c>
      <c r="J639" s="41" t="e">
        <f t="shared" si="137"/>
        <v>#VALUE!</v>
      </c>
      <c r="K639" s="41" t="e">
        <f t="shared" si="144"/>
        <v>#VALUE!</v>
      </c>
      <c r="L639" s="41" t="e">
        <f t="shared" si="144"/>
        <v>#VALUE!</v>
      </c>
      <c r="M639" s="41" t="e">
        <f t="shared" si="132"/>
        <v>#VALUE!</v>
      </c>
      <c r="N639" s="41" t="e">
        <f t="shared" si="133"/>
        <v>#VALUE!</v>
      </c>
      <c r="O639" s="41">
        <f t="shared" si="134"/>
        <v>0</v>
      </c>
      <c r="Q639" s="44" t="e">
        <f t="shared" si="135"/>
        <v>#VALUE!</v>
      </c>
      <c r="R639" s="44" t="e">
        <f t="shared" si="139"/>
        <v>#VALUE!</v>
      </c>
      <c r="S639" s="44" t="e">
        <f t="shared" si="136"/>
        <v>#VALUE!</v>
      </c>
      <c r="T639" s="41" t="e">
        <f t="shared" si="140"/>
        <v>#VALUE!</v>
      </c>
      <c r="U639" s="41" t="e">
        <f t="shared" si="141"/>
        <v>#VALUE!</v>
      </c>
      <c r="V639" s="41" t="e">
        <f t="shared" si="142"/>
        <v>#VALUE!</v>
      </c>
    </row>
    <row r="640" spans="2:22" x14ac:dyDescent="0.25">
      <c r="B640" s="41" t="b">
        <f t="shared" si="143"/>
        <v>0</v>
      </c>
      <c r="C640" s="41" t="e">
        <f t="shared" si="145"/>
        <v>#VALUE!</v>
      </c>
      <c r="E640" s="45">
        <v>636</v>
      </c>
      <c r="G640" s="138"/>
      <c r="H640" s="135">
        <v>1</v>
      </c>
      <c r="I640" s="46" t="e">
        <f t="shared" si="131"/>
        <v>#VALUE!</v>
      </c>
      <c r="J640" s="41" t="e">
        <f t="shared" si="137"/>
        <v>#VALUE!</v>
      </c>
      <c r="K640" s="41" t="e">
        <f t="shared" si="144"/>
        <v>#VALUE!</v>
      </c>
      <c r="L640" s="41" t="e">
        <f t="shared" si="144"/>
        <v>#VALUE!</v>
      </c>
      <c r="M640" s="41" t="e">
        <f t="shared" si="132"/>
        <v>#VALUE!</v>
      </c>
      <c r="N640" s="41" t="e">
        <f t="shared" si="133"/>
        <v>#VALUE!</v>
      </c>
      <c r="O640" s="41">
        <f t="shared" si="134"/>
        <v>0</v>
      </c>
      <c r="Q640" s="44" t="e">
        <f t="shared" si="135"/>
        <v>#VALUE!</v>
      </c>
      <c r="R640" s="44" t="e">
        <f t="shared" si="139"/>
        <v>#VALUE!</v>
      </c>
      <c r="S640" s="44" t="e">
        <f t="shared" si="136"/>
        <v>#VALUE!</v>
      </c>
      <c r="T640" s="41" t="e">
        <f t="shared" si="140"/>
        <v>#VALUE!</v>
      </c>
      <c r="U640" s="41" t="e">
        <f t="shared" si="141"/>
        <v>#VALUE!</v>
      </c>
      <c r="V640" s="41" t="e">
        <f t="shared" si="142"/>
        <v>#VALUE!</v>
      </c>
    </row>
    <row r="641" spans="2:22" x14ac:dyDescent="0.25">
      <c r="B641" s="41" t="b">
        <f t="shared" si="143"/>
        <v>0</v>
      </c>
      <c r="C641" s="41" t="e">
        <f t="shared" si="145"/>
        <v>#VALUE!</v>
      </c>
      <c r="E641" s="45">
        <v>637</v>
      </c>
      <c r="G641" s="138"/>
      <c r="H641" s="135">
        <v>1</v>
      </c>
      <c r="I641" s="46" t="e">
        <f t="shared" si="131"/>
        <v>#VALUE!</v>
      </c>
      <c r="J641" s="41" t="e">
        <f t="shared" si="137"/>
        <v>#VALUE!</v>
      </c>
      <c r="K641" s="41" t="e">
        <f t="shared" si="144"/>
        <v>#VALUE!</v>
      </c>
      <c r="L641" s="41" t="e">
        <f t="shared" si="144"/>
        <v>#VALUE!</v>
      </c>
      <c r="M641" s="41" t="e">
        <f t="shared" si="132"/>
        <v>#VALUE!</v>
      </c>
      <c r="N641" s="41" t="e">
        <f t="shared" si="133"/>
        <v>#VALUE!</v>
      </c>
      <c r="O641" s="41">
        <f t="shared" si="134"/>
        <v>0</v>
      </c>
      <c r="Q641" s="44" t="e">
        <f t="shared" si="135"/>
        <v>#VALUE!</v>
      </c>
      <c r="R641" s="44" t="e">
        <f t="shared" si="139"/>
        <v>#VALUE!</v>
      </c>
      <c r="S641" s="44" t="e">
        <f t="shared" si="136"/>
        <v>#VALUE!</v>
      </c>
      <c r="T641" s="41" t="e">
        <f t="shared" si="140"/>
        <v>#VALUE!</v>
      </c>
      <c r="U641" s="41" t="e">
        <f t="shared" si="141"/>
        <v>#VALUE!</v>
      </c>
      <c r="V641" s="41" t="e">
        <f t="shared" si="142"/>
        <v>#VALUE!</v>
      </c>
    </row>
    <row r="642" spans="2:22" x14ac:dyDescent="0.25">
      <c r="B642" s="41" t="b">
        <f t="shared" si="143"/>
        <v>0</v>
      </c>
      <c r="C642" s="41" t="e">
        <f t="shared" si="145"/>
        <v>#VALUE!</v>
      </c>
      <c r="E642" s="45">
        <v>638</v>
      </c>
      <c r="G642" s="138"/>
      <c r="H642" s="135">
        <v>1</v>
      </c>
      <c r="I642" s="46" t="e">
        <f t="shared" si="131"/>
        <v>#VALUE!</v>
      </c>
      <c r="J642" s="41" t="e">
        <f t="shared" si="137"/>
        <v>#VALUE!</v>
      </c>
      <c r="K642" s="41" t="e">
        <f t="shared" si="144"/>
        <v>#VALUE!</v>
      </c>
      <c r="L642" s="41" t="e">
        <f t="shared" si="144"/>
        <v>#VALUE!</v>
      </c>
      <c r="M642" s="41" t="e">
        <f t="shared" si="132"/>
        <v>#VALUE!</v>
      </c>
      <c r="N642" s="41" t="e">
        <f t="shared" si="133"/>
        <v>#VALUE!</v>
      </c>
      <c r="O642" s="41">
        <f t="shared" si="134"/>
        <v>0</v>
      </c>
      <c r="Q642" s="44" t="e">
        <f t="shared" si="135"/>
        <v>#VALUE!</v>
      </c>
      <c r="R642" s="44" t="e">
        <f t="shared" si="139"/>
        <v>#VALUE!</v>
      </c>
      <c r="S642" s="44" t="e">
        <f t="shared" si="136"/>
        <v>#VALUE!</v>
      </c>
      <c r="T642" s="41" t="e">
        <f t="shared" si="140"/>
        <v>#VALUE!</v>
      </c>
      <c r="U642" s="41" t="e">
        <f t="shared" si="141"/>
        <v>#VALUE!</v>
      </c>
      <c r="V642" s="41" t="e">
        <f t="shared" si="142"/>
        <v>#VALUE!</v>
      </c>
    </row>
    <row r="643" spans="2:22" x14ac:dyDescent="0.25">
      <c r="B643" s="41" t="b">
        <f t="shared" si="143"/>
        <v>0</v>
      </c>
      <c r="C643" s="41" t="e">
        <f t="shared" si="145"/>
        <v>#VALUE!</v>
      </c>
      <c r="E643" s="45">
        <v>639</v>
      </c>
      <c r="G643" s="138"/>
      <c r="H643" s="135">
        <v>1</v>
      </c>
      <c r="I643" s="46" t="e">
        <f t="shared" si="131"/>
        <v>#VALUE!</v>
      </c>
      <c r="J643" s="41" t="e">
        <f t="shared" si="137"/>
        <v>#VALUE!</v>
      </c>
      <c r="K643" s="41" t="e">
        <f t="shared" si="144"/>
        <v>#VALUE!</v>
      </c>
      <c r="L643" s="41" t="e">
        <f t="shared" si="144"/>
        <v>#VALUE!</v>
      </c>
      <c r="M643" s="41" t="e">
        <f t="shared" si="132"/>
        <v>#VALUE!</v>
      </c>
      <c r="N643" s="41" t="e">
        <f t="shared" si="133"/>
        <v>#VALUE!</v>
      </c>
      <c r="O643" s="41">
        <f t="shared" si="134"/>
        <v>0</v>
      </c>
      <c r="Q643" s="44" t="e">
        <f t="shared" si="135"/>
        <v>#VALUE!</v>
      </c>
      <c r="R643" s="44" t="e">
        <f t="shared" si="139"/>
        <v>#VALUE!</v>
      </c>
      <c r="S643" s="44" t="e">
        <f t="shared" si="136"/>
        <v>#VALUE!</v>
      </c>
      <c r="T643" s="41" t="e">
        <f t="shared" si="140"/>
        <v>#VALUE!</v>
      </c>
      <c r="U643" s="41" t="e">
        <f t="shared" si="141"/>
        <v>#VALUE!</v>
      </c>
      <c r="V643" s="41" t="e">
        <f t="shared" si="142"/>
        <v>#VALUE!</v>
      </c>
    </row>
    <row r="644" spans="2:22" x14ac:dyDescent="0.25">
      <c r="B644" s="41" t="b">
        <f t="shared" si="143"/>
        <v>0</v>
      </c>
      <c r="C644" s="41" t="e">
        <f t="shared" si="145"/>
        <v>#VALUE!</v>
      </c>
      <c r="E644" s="45">
        <v>640</v>
      </c>
      <c r="G644" s="138"/>
      <c r="H644" s="135">
        <v>1</v>
      </c>
      <c r="I644" s="46" t="e">
        <f t="shared" ref="I644:I707" si="146">RIGHT(G644,J644)</f>
        <v>#VALUE!</v>
      </c>
      <c r="J644" s="41" t="e">
        <f t="shared" si="137"/>
        <v>#VALUE!</v>
      </c>
      <c r="K644" s="41" t="e">
        <f t="shared" si="144"/>
        <v>#VALUE!</v>
      </c>
      <c r="L644" s="41" t="e">
        <f t="shared" si="144"/>
        <v>#VALUE!</v>
      </c>
      <c r="M644" s="41" t="e">
        <f t="shared" ref="M644:M707" si="147">SEARCH("-",G644,2)</f>
        <v>#VALUE!</v>
      </c>
      <c r="N644" s="41" t="e">
        <f t="shared" ref="N644:N707" si="148">SEARCH("-",G644,M644+1)</f>
        <v>#VALUE!</v>
      </c>
      <c r="O644" s="41">
        <f t="shared" ref="O644:O707" si="149">LEN(G644)</f>
        <v>0</v>
      </c>
      <c r="Q644" s="44" t="e">
        <f t="shared" ref="Q644:Q707" si="150">LEFT(G644,M644-1)</f>
        <v>#VALUE!</v>
      </c>
      <c r="R644" s="44" t="e">
        <f t="shared" si="139"/>
        <v>#VALUE!</v>
      </c>
      <c r="S644" s="44" t="e">
        <f t="shared" ref="S644:S707" si="151">RIGHT(G644,L644)</f>
        <v>#VALUE!</v>
      </c>
      <c r="T644" s="41" t="e">
        <f t="shared" si="140"/>
        <v>#VALUE!</v>
      </c>
      <c r="U644" s="41" t="e">
        <f t="shared" si="141"/>
        <v>#VALUE!</v>
      </c>
      <c r="V644" s="41" t="e">
        <f t="shared" si="142"/>
        <v>#VALUE!</v>
      </c>
    </row>
    <row r="645" spans="2:22" x14ac:dyDescent="0.25">
      <c r="B645" s="41" t="b">
        <f t="shared" si="143"/>
        <v>0</v>
      </c>
      <c r="C645" s="41" t="e">
        <f t="shared" si="145"/>
        <v>#VALUE!</v>
      </c>
      <c r="E645" s="45">
        <v>641</v>
      </c>
      <c r="G645" s="138"/>
      <c r="H645" s="135">
        <v>1</v>
      </c>
      <c r="I645" s="46" t="e">
        <f t="shared" si="146"/>
        <v>#VALUE!</v>
      </c>
      <c r="J645" s="41" t="e">
        <f t="shared" ref="J645:J708" si="152">O645-M645</f>
        <v>#VALUE!</v>
      </c>
      <c r="K645" s="41" t="e">
        <f t="shared" si="144"/>
        <v>#VALUE!</v>
      </c>
      <c r="L645" s="41" t="e">
        <f t="shared" si="144"/>
        <v>#VALUE!</v>
      </c>
      <c r="M645" s="41" t="e">
        <f t="shared" si="147"/>
        <v>#VALUE!</v>
      </c>
      <c r="N645" s="41" t="e">
        <f t="shared" si="148"/>
        <v>#VALUE!</v>
      </c>
      <c r="O645" s="41">
        <f t="shared" si="149"/>
        <v>0</v>
      </c>
      <c r="Q645" s="44" t="e">
        <f t="shared" si="150"/>
        <v>#VALUE!</v>
      </c>
      <c r="R645" s="44" t="e">
        <f t="shared" ref="R645:R708" si="153">LEFT(I645,K645-1)</f>
        <v>#VALUE!</v>
      </c>
      <c r="S645" s="44" t="e">
        <f t="shared" si="151"/>
        <v>#VALUE!</v>
      </c>
      <c r="T645" s="41" t="e">
        <f t="shared" ref="T645:T708" si="154">Q645*1*H645</f>
        <v>#VALUE!</v>
      </c>
      <c r="U645" s="41" t="e">
        <f t="shared" ref="U645:U708" si="155">R645*1*H645</f>
        <v>#VALUE!</v>
      </c>
      <c r="V645" s="41" t="e">
        <f t="shared" ref="V645:V708" si="156">S645*1*H645</f>
        <v>#VALUE!</v>
      </c>
    </row>
    <row r="646" spans="2:22" x14ac:dyDescent="0.25">
      <c r="B646" s="41" t="b">
        <f t="shared" si="143"/>
        <v>0</v>
      </c>
      <c r="C646" s="41" t="e">
        <f t="shared" si="145"/>
        <v>#VALUE!</v>
      </c>
      <c r="E646" s="45">
        <v>642</v>
      </c>
      <c r="G646" s="138"/>
      <c r="H646" s="135">
        <v>1</v>
      </c>
      <c r="I646" s="46" t="e">
        <f t="shared" si="146"/>
        <v>#VALUE!</v>
      </c>
      <c r="J646" s="41" t="e">
        <f t="shared" si="152"/>
        <v>#VALUE!</v>
      </c>
      <c r="K646" s="41" t="e">
        <f t="shared" si="144"/>
        <v>#VALUE!</v>
      </c>
      <c r="L646" s="41" t="e">
        <f t="shared" si="144"/>
        <v>#VALUE!</v>
      </c>
      <c r="M646" s="41" t="e">
        <f t="shared" si="147"/>
        <v>#VALUE!</v>
      </c>
      <c r="N646" s="41" t="e">
        <f t="shared" si="148"/>
        <v>#VALUE!</v>
      </c>
      <c r="O646" s="41">
        <f t="shared" si="149"/>
        <v>0</v>
      </c>
      <c r="Q646" s="44" t="e">
        <f t="shared" si="150"/>
        <v>#VALUE!</v>
      </c>
      <c r="R646" s="44" t="e">
        <f t="shared" si="153"/>
        <v>#VALUE!</v>
      </c>
      <c r="S646" s="44" t="e">
        <f t="shared" si="151"/>
        <v>#VALUE!</v>
      </c>
      <c r="T646" s="41" t="e">
        <f t="shared" si="154"/>
        <v>#VALUE!</v>
      </c>
      <c r="U646" s="41" t="e">
        <f t="shared" si="155"/>
        <v>#VALUE!</v>
      </c>
      <c r="V646" s="41" t="e">
        <f t="shared" si="156"/>
        <v>#VALUE!</v>
      </c>
    </row>
    <row r="647" spans="2:22" x14ac:dyDescent="0.25">
      <c r="B647" s="41" t="b">
        <f t="shared" si="143"/>
        <v>0</v>
      </c>
      <c r="C647" s="41" t="e">
        <f t="shared" si="145"/>
        <v>#VALUE!</v>
      </c>
      <c r="E647" s="45">
        <v>643</v>
      </c>
      <c r="G647" s="138"/>
      <c r="H647" s="135">
        <v>1</v>
      </c>
      <c r="I647" s="46" t="e">
        <f t="shared" si="146"/>
        <v>#VALUE!</v>
      </c>
      <c r="J647" s="41" t="e">
        <f t="shared" si="152"/>
        <v>#VALUE!</v>
      </c>
      <c r="K647" s="41" t="e">
        <f t="shared" si="144"/>
        <v>#VALUE!</v>
      </c>
      <c r="L647" s="41" t="e">
        <f t="shared" si="144"/>
        <v>#VALUE!</v>
      </c>
      <c r="M647" s="41" t="e">
        <f t="shared" si="147"/>
        <v>#VALUE!</v>
      </c>
      <c r="N647" s="41" t="e">
        <f t="shared" si="148"/>
        <v>#VALUE!</v>
      </c>
      <c r="O647" s="41">
        <f t="shared" si="149"/>
        <v>0</v>
      </c>
      <c r="Q647" s="44" t="e">
        <f t="shared" si="150"/>
        <v>#VALUE!</v>
      </c>
      <c r="R647" s="44" t="e">
        <f t="shared" si="153"/>
        <v>#VALUE!</v>
      </c>
      <c r="S647" s="44" t="e">
        <f t="shared" si="151"/>
        <v>#VALUE!</v>
      </c>
      <c r="T647" s="41" t="e">
        <f t="shared" si="154"/>
        <v>#VALUE!</v>
      </c>
      <c r="U647" s="41" t="e">
        <f t="shared" si="155"/>
        <v>#VALUE!</v>
      </c>
      <c r="V647" s="41" t="e">
        <f t="shared" si="156"/>
        <v>#VALUE!</v>
      </c>
    </row>
    <row r="648" spans="2:22" x14ac:dyDescent="0.25">
      <c r="B648" s="41" t="b">
        <f t="shared" si="143"/>
        <v>0</v>
      </c>
      <c r="C648" s="41" t="e">
        <f t="shared" si="145"/>
        <v>#VALUE!</v>
      </c>
      <c r="E648" s="45">
        <v>644</v>
      </c>
      <c r="G648" s="138"/>
      <c r="H648" s="135">
        <v>1</v>
      </c>
      <c r="I648" s="46" t="e">
        <f t="shared" si="146"/>
        <v>#VALUE!</v>
      </c>
      <c r="J648" s="41" t="e">
        <f t="shared" si="152"/>
        <v>#VALUE!</v>
      </c>
      <c r="K648" s="41" t="e">
        <f t="shared" si="144"/>
        <v>#VALUE!</v>
      </c>
      <c r="L648" s="41" t="e">
        <f t="shared" si="144"/>
        <v>#VALUE!</v>
      </c>
      <c r="M648" s="41" t="e">
        <f t="shared" si="147"/>
        <v>#VALUE!</v>
      </c>
      <c r="N648" s="41" t="e">
        <f t="shared" si="148"/>
        <v>#VALUE!</v>
      </c>
      <c r="O648" s="41">
        <f t="shared" si="149"/>
        <v>0</v>
      </c>
      <c r="Q648" s="44" t="e">
        <f t="shared" si="150"/>
        <v>#VALUE!</v>
      </c>
      <c r="R648" s="44" t="e">
        <f t="shared" si="153"/>
        <v>#VALUE!</v>
      </c>
      <c r="S648" s="44" t="e">
        <f t="shared" si="151"/>
        <v>#VALUE!</v>
      </c>
      <c r="T648" s="41" t="e">
        <f t="shared" si="154"/>
        <v>#VALUE!</v>
      </c>
      <c r="U648" s="41" t="e">
        <f t="shared" si="155"/>
        <v>#VALUE!</v>
      </c>
      <c r="V648" s="41" t="e">
        <f t="shared" si="156"/>
        <v>#VALUE!</v>
      </c>
    </row>
    <row r="649" spans="2:22" x14ac:dyDescent="0.25">
      <c r="B649" s="41" t="b">
        <f t="shared" si="143"/>
        <v>0</v>
      </c>
      <c r="C649" s="41" t="e">
        <f t="shared" si="145"/>
        <v>#VALUE!</v>
      </c>
      <c r="E649" s="45">
        <v>645</v>
      </c>
      <c r="G649" s="138"/>
      <c r="H649" s="135">
        <v>1</v>
      </c>
      <c r="I649" s="46" t="e">
        <f t="shared" si="146"/>
        <v>#VALUE!</v>
      </c>
      <c r="J649" s="41" t="e">
        <f t="shared" si="152"/>
        <v>#VALUE!</v>
      </c>
      <c r="K649" s="41" t="e">
        <f t="shared" si="144"/>
        <v>#VALUE!</v>
      </c>
      <c r="L649" s="41" t="e">
        <f t="shared" si="144"/>
        <v>#VALUE!</v>
      </c>
      <c r="M649" s="41" t="e">
        <f t="shared" si="147"/>
        <v>#VALUE!</v>
      </c>
      <c r="N649" s="41" t="e">
        <f t="shared" si="148"/>
        <v>#VALUE!</v>
      </c>
      <c r="O649" s="41">
        <f t="shared" si="149"/>
        <v>0</v>
      </c>
      <c r="Q649" s="44" t="e">
        <f t="shared" si="150"/>
        <v>#VALUE!</v>
      </c>
      <c r="R649" s="44" t="e">
        <f t="shared" si="153"/>
        <v>#VALUE!</v>
      </c>
      <c r="S649" s="44" t="e">
        <f t="shared" si="151"/>
        <v>#VALUE!</v>
      </c>
      <c r="T649" s="41" t="e">
        <f t="shared" si="154"/>
        <v>#VALUE!</v>
      </c>
      <c r="U649" s="41" t="e">
        <f t="shared" si="155"/>
        <v>#VALUE!</v>
      </c>
      <c r="V649" s="41" t="e">
        <f t="shared" si="156"/>
        <v>#VALUE!</v>
      </c>
    </row>
    <row r="650" spans="2:22" x14ac:dyDescent="0.25">
      <c r="B650" s="41" t="b">
        <f t="shared" si="143"/>
        <v>0</v>
      </c>
      <c r="C650" s="41" t="e">
        <f t="shared" si="145"/>
        <v>#VALUE!</v>
      </c>
      <c r="E650" s="45">
        <v>646</v>
      </c>
      <c r="G650" s="138"/>
      <c r="H650" s="135">
        <v>1</v>
      </c>
      <c r="I650" s="46" t="e">
        <f t="shared" si="146"/>
        <v>#VALUE!</v>
      </c>
      <c r="J650" s="41" t="e">
        <f t="shared" si="152"/>
        <v>#VALUE!</v>
      </c>
      <c r="K650" s="41" t="e">
        <f t="shared" si="144"/>
        <v>#VALUE!</v>
      </c>
      <c r="L650" s="41" t="e">
        <f t="shared" si="144"/>
        <v>#VALUE!</v>
      </c>
      <c r="M650" s="41" t="e">
        <f t="shared" si="147"/>
        <v>#VALUE!</v>
      </c>
      <c r="N650" s="41" t="e">
        <f t="shared" si="148"/>
        <v>#VALUE!</v>
      </c>
      <c r="O650" s="41">
        <f t="shared" si="149"/>
        <v>0</v>
      </c>
      <c r="Q650" s="44" t="e">
        <f t="shared" si="150"/>
        <v>#VALUE!</v>
      </c>
      <c r="R650" s="44" t="e">
        <f t="shared" si="153"/>
        <v>#VALUE!</v>
      </c>
      <c r="S650" s="44" t="e">
        <f t="shared" si="151"/>
        <v>#VALUE!</v>
      </c>
      <c r="T650" s="41" t="e">
        <f t="shared" si="154"/>
        <v>#VALUE!</v>
      </c>
      <c r="U650" s="41" t="e">
        <f t="shared" si="155"/>
        <v>#VALUE!</v>
      </c>
      <c r="V650" s="41" t="e">
        <f t="shared" si="156"/>
        <v>#VALUE!</v>
      </c>
    </row>
    <row r="651" spans="2:22" x14ac:dyDescent="0.25">
      <c r="B651" s="41" t="b">
        <f t="shared" si="143"/>
        <v>0</v>
      </c>
      <c r="C651" s="41" t="e">
        <f t="shared" si="145"/>
        <v>#VALUE!</v>
      </c>
      <c r="E651" s="45">
        <v>647</v>
      </c>
      <c r="G651" s="138"/>
      <c r="H651" s="135">
        <v>1</v>
      </c>
      <c r="I651" s="46" t="e">
        <f t="shared" si="146"/>
        <v>#VALUE!</v>
      </c>
      <c r="J651" s="41" t="e">
        <f t="shared" si="152"/>
        <v>#VALUE!</v>
      </c>
      <c r="K651" s="41" t="e">
        <f t="shared" si="144"/>
        <v>#VALUE!</v>
      </c>
      <c r="L651" s="41" t="e">
        <f t="shared" si="144"/>
        <v>#VALUE!</v>
      </c>
      <c r="M651" s="41" t="e">
        <f t="shared" si="147"/>
        <v>#VALUE!</v>
      </c>
      <c r="N651" s="41" t="e">
        <f t="shared" si="148"/>
        <v>#VALUE!</v>
      </c>
      <c r="O651" s="41">
        <f t="shared" si="149"/>
        <v>0</v>
      </c>
      <c r="Q651" s="44" t="e">
        <f t="shared" si="150"/>
        <v>#VALUE!</v>
      </c>
      <c r="R651" s="44" t="e">
        <f t="shared" si="153"/>
        <v>#VALUE!</v>
      </c>
      <c r="S651" s="44" t="e">
        <f t="shared" si="151"/>
        <v>#VALUE!</v>
      </c>
      <c r="T651" s="41" t="e">
        <f t="shared" si="154"/>
        <v>#VALUE!</v>
      </c>
      <c r="U651" s="41" t="e">
        <f t="shared" si="155"/>
        <v>#VALUE!</v>
      </c>
      <c r="V651" s="41" t="e">
        <f t="shared" si="156"/>
        <v>#VALUE!</v>
      </c>
    </row>
    <row r="652" spans="2:22" x14ac:dyDescent="0.25">
      <c r="B652" s="41" t="b">
        <f t="shared" si="143"/>
        <v>0</v>
      </c>
      <c r="C652" s="41" t="e">
        <f t="shared" si="145"/>
        <v>#VALUE!</v>
      </c>
      <c r="E652" s="45">
        <v>648</v>
      </c>
      <c r="G652" s="138"/>
      <c r="H652" s="135">
        <v>1</v>
      </c>
      <c r="I652" s="46" t="e">
        <f t="shared" si="146"/>
        <v>#VALUE!</v>
      </c>
      <c r="J652" s="41" t="e">
        <f t="shared" si="152"/>
        <v>#VALUE!</v>
      </c>
      <c r="K652" s="41" t="e">
        <f t="shared" si="144"/>
        <v>#VALUE!</v>
      </c>
      <c r="L652" s="41" t="e">
        <f t="shared" si="144"/>
        <v>#VALUE!</v>
      </c>
      <c r="M652" s="41" t="e">
        <f t="shared" si="147"/>
        <v>#VALUE!</v>
      </c>
      <c r="N652" s="41" t="e">
        <f t="shared" si="148"/>
        <v>#VALUE!</v>
      </c>
      <c r="O652" s="41">
        <f t="shared" si="149"/>
        <v>0</v>
      </c>
      <c r="Q652" s="44" t="e">
        <f t="shared" si="150"/>
        <v>#VALUE!</v>
      </c>
      <c r="R652" s="44" t="e">
        <f t="shared" si="153"/>
        <v>#VALUE!</v>
      </c>
      <c r="S652" s="44" t="e">
        <f t="shared" si="151"/>
        <v>#VALUE!</v>
      </c>
      <c r="T652" s="41" t="e">
        <f t="shared" si="154"/>
        <v>#VALUE!</v>
      </c>
      <c r="U652" s="41" t="e">
        <f t="shared" si="155"/>
        <v>#VALUE!</v>
      </c>
      <c r="V652" s="41" t="e">
        <f t="shared" si="156"/>
        <v>#VALUE!</v>
      </c>
    </row>
    <row r="653" spans="2:22" x14ac:dyDescent="0.25">
      <c r="B653" s="41" t="b">
        <f t="shared" si="143"/>
        <v>0</v>
      </c>
      <c r="C653" s="41" t="e">
        <f t="shared" si="145"/>
        <v>#VALUE!</v>
      </c>
      <c r="E653" s="45">
        <v>649</v>
      </c>
      <c r="G653" s="138"/>
      <c r="H653" s="135">
        <v>1</v>
      </c>
      <c r="I653" s="46" t="e">
        <f t="shared" si="146"/>
        <v>#VALUE!</v>
      </c>
      <c r="J653" s="41" t="e">
        <f t="shared" si="152"/>
        <v>#VALUE!</v>
      </c>
      <c r="K653" s="41" t="e">
        <f t="shared" si="144"/>
        <v>#VALUE!</v>
      </c>
      <c r="L653" s="41" t="e">
        <f t="shared" si="144"/>
        <v>#VALUE!</v>
      </c>
      <c r="M653" s="41" t="e">
        <f t="shared" si="147"/>
        <v>#VALUE!</v>
      </c>
      <c r="N653" s="41" t="e">
        <f t="shared" si="148"/>
        <v>#VALUE!</v>
      </c>
      <c r="O653" s="41">
        <f t="shared" si="149"/>
        <v>0</v>
      </c>
      <c r="Q653" s="44" t="e">
        <f t="shared" si="150"/>
        <v>#VALUE!</v>
      </c>
      <c r="R653" s="44" t="e">
        <f t="shared" si="153"/>
        <v>#VALUE!</v>
      </c>
      <c r="S653" s="44" t="e">
        <f t="shared" si="151"/>
        <v>#VALUE!</v>
      </c>
      <c r="T653" s="41" t="e">
        <f t="shared" si="154"/>
        <v>#VALUE!</v>
      </c>
      <c r="U653" s="41" t="e">
        <f t="shared" si="155"/>
        <v>#VALUE!</v>
      </c>
      <c r="V653" s="41" t="e">
        <f t="shared" si="156"/>
        <v>#VALUE!</v>
      </c>
    </row>
    <row r="654" spans="2:22" x14ac:dyDescent="0.25">
      <c r="B654" s="41" t="b">
        <f t="shared" ref="B654:B717" si="157">ISNUMBER(C654)</f>
        <v>0</v>
      </c>
      <c r="C654" s="41" t="e">
        <f t="shared" si="145"/>
        <v>#VALUE!</v>
      </c>
      <c r="E654" s="45">
        <v>650</v>
      </c>
      <c r="G654" s="138"/>
      <c r="H654" s="135">
        <v>1</v>
      </c>
      <c r="I654" s="46" t="e">
        <f t="shared" si="146"/>
        <v>#VALUE!</v>
      </c>
      <c r="J654" s="41" t="e">
        <f t="shared" si="152"/>
        <v>#VALUE!</v>
      </c>
      <c r="K654" s="41" t="e">
        <f t="shared" si="144"/>
        <v>#VALUE!</v>
      </c>
      <c r="L654" s="41" t="e">
        <f t="shared" si="144"/>
        <v>#VALUE!</v>
      </c>
      <c r="M654" s="41" t="e">
        <f t="shared" si="147"/>
        <v>#VALUE!</v>
      </c>
      <c r="N654" s="41" t="e">
        <f t="shared" si="148"/>
        <v>#VALUE!</v>
      </c>
      <c r="O654" s="41">
        <f t="shared" si="149"/>
        <v>0</v>
      </c>
      <c r="Q654" s="44" t="e">
        <f t="shared" si="150"/>
        <v>#VALUE!</v>
      </c>
      <c r="R654" s="44" t="e">
        <f t="shared" si="153"/>
        <v>#VALUE!</v>
      </c>
      <c r="S654" s="44" t="e">
        <f t="shared" si="151"/>
        <v>#VALUE!</v>
      </c>
      <c r="T654" s="41" t="e">
        <f t="shared" si="154"/>
        <v>#VALUE!</v>
      </c>
      <c r="U654" s="41" t="e">
        <f t="shared" si="155"/>
        <v>#VALUE!</v>
      </c>
      <c r="V654" s="41" t="e">
        <f t="shared" si="156"/>
        <v>#VALUE!</v>
      </c>
    </row>
    <row r="655" spans="2:22" x14ac:dyDescent="0.25">
      <c r="B655" s="41" t="b">
        <f t="shared" si="157"/>
        <v>0</v>
      </c>
      <c r="C655" s="41" t="e">
        <f t="shared" si="145"/>
        <v>#VALUE!</v>
      </c>
      <c r="E655" s="45">
        <v>651</v>
      </c>
      <c r="G655" s="138"/>
      <c r="H655" s="135">
        <v>1</v>
      </c>
      <c r="I655" s="46" t="e">
        <f t="shared" si="146"/>
        <v>#VALUE!</v>
      </c>
      <c r="J655" s="41" t="e">
        <f t="shared" si="152"/>
        <v>#VALUE!</v>
      </c>
      <c r="K655" s="41" t="e">
        <f t="shared" si="144"/>
        <v>#VALUE!</v>
      </c>
      <c r="L655" s="41" t="e">
        <f t="shared" si="144"/>
        <v>#VALUE!</v>
      </c>
      <c r="M655" s="41" t="e">
        <f t="shared" si="147"/>
        <v>#VALUE!</v>
      </c>
      <c r="N655" s="41" t="e">
        <f t="shared" si="148"/>
        <v>#VALUE!</v>
      </c>
      <c r="O655" s="41">
        <f t="shared" si="149"/>
        <v>0</v>
      </c>
      <c r="Q655" s="44" t="e">
        <f t="shared" si="150"/>
        <v>#VALUE!</v>
      </c>
      <c r="R655" s="44" t="e">
        <f t="shared" si="153"/>
        <v>#VALUE!</v>
      </c>
      <c r="S655" s="44" t="e">
        <f t="shared" si="151"/>
        <v>#VALUE!</v>
      </c>
      <c r="T655" s="41" t="e">
        <f t="shared" si="154"/>
        <v>#VALUE!</v>
      </c>
      <c r="U655" s="41" t="e">
        <f t="shared" si="155"/>
        <v>#VALUE!</v>
      </c>
      <c r="V655" s="41" t="e">
        <f t="shared" si="156"/>
        <v>#VALUE!</v>
      </c>
    </row>
    <row r="656" spans="2:22" x14ac:dyDescent="0.25">
      <c r="B656" s="41" t="b">
        <f t="shared" si="157"/>
        <v>0</v>
      </c>
      <c r="C656" s="41" t="e">
        <f t="shared" si="145"/>
        <v>#VALUE!</v>
      </c>
      <c r="E656" s="45">
        <v>652</v>
      </c>
      <c r="G656" s="138"/>
      <c r="H656" s="135">
        <v>1</v>
      </c>
      <c r="I656" s="46" t="e">
        <f t="shared" si="146"/>
        <v>#VALUE!</v>
      </c>
      <c r="J656" s="41" t="e">
        <f t="shared" si="152"/>
        <v>#VALUE!</v>
      </c>
      <c r="K656" s="41" t="e">
        <f t="shared" si="144"/>
        <v>#VALUE!</v>
      </c>
      <c r="L656" s="41" t="e">
        <f t="shared" si="144"/>
        <v>#VALUE!</v>
      </c>
      <c r="M656" s="41" t="e">
        <f t="shared" si="147"/>
        <v>#VALUE!</v>
      </c>
      <c r="N656" s="41" t="e">
        <f t="shared" si="148"/>
        <v>#VALUE!</v>
      </c>
      <c r="O656" s="41">
        <f t="shared" si="149"/>
        <v>0</v>
      </c>
      <c r="Q656" s="44" t="e">
        <f t="shared" si="150"/>
        <v>#VALUE!</v>
      </c>
      <c r="R656" s="44" t="e">
        <f t="shared" si="153"/>
        <v>#VALUE!</v>
      </c>
      <c r="S656" s="44" t="e">
        <f t="shared" si="151"/>
        <v>#VALUE!</v>
      </c>
      <c r="T656" s="41" t="e">
        <f t="shared" si="154"/>
        <v>#VALUE!</v>
      </c>
      <c r="U656" s="41" t="e">
        <f t="shared" si="155"/>
        <v>#VALUE!</v>
      </c>
      <c r="V656" s="41" t="e">
        <f t="shared" si="156"/>
        <v>#VALUE!</v>
      </c>
    </row>
    <row r="657" spans="2:22" x14ac:dyDescent="0.25">
      <c r="B657" s="41" t="b">
        <f t="shared" si="157"/>
        <v>0</v>
      </c>
      <c r="C657" s="41" t="e">
        <f t="shared" si="145"/>
        <v>#VALUE!</v>
      </c>
      <c r="E657" s="45">
        <v>653</v>
      </c>
      <c r="G657" s="138"/>
      <c r="H657" s="135">
        <v>1</v>
      </c>
      <c r="I657" s="46" t="e">
        <f t="shared" si="146"/>
        <v>#VALUE!</v>
      </c>
      <c r="J657" s="41" t="e">
        <f t="shared" si="152"/>
        <v>#VALUE!</v>
      </c>
      <c r="K657" s="41" t="e">
        <f t="shared" si="144"/>
        <v>#VALUE!</v>
      </c>
      <c r="L657" s="41" t="e">
        <f t="shared" si="144"/>
        <v>#VALUE!</v>
      </c>
      <c r="M657" s="41" t="e">
        <f t="shared" si="147"/>
        <v>#VALUE!</v>
      </c>
      <c r="N657" s="41" t="e">
        <f t="shared" si="148"/>
        <v>#VALUE!</v>
      </c>
      <c r="O657" s="41">
        <f t="shared" si="149"/>
        <v>0</v>
      </c>
      <c r="Q657" s="44" t="e">
        <f t="shared" si="150"/>
        <v>#VALUE!</v>
      </c>
      <c r="R657" s="44" t="e">
        <f t="shared" si="153"/>
        <v>#VALUE!</v>
      </c>
      <c r="S657" s="44" t="e">
        <f t="shared" si="151"/>
        <v>#VALUE!</v>
      </c>
      <c r="T657" s="41" t="e">
        <f t="shared" si="154"/>
        <v>#VALUE!</v>
      </c>
      <c r="U657" s="41" t="e">
        <f t="shared" si="155"/>
        <v>#VALUE!</v>
      </c>
      <c r="V657" s="41" t="e">
        <f t="shared" si="156"/>
        <v>#VALUE!</v>
      </c>
    </row>
    <row r="658" spans="2:22" x14ac:dyDescent="0.25">
      <c r="B658" s="41" t="b">
        <f t="shared" si="157"/>
        <v>0</v>
      </c>
      <c r="C658" s="41" t="e">
        <f t="shared" si="145"/>
        <v>#VALUE!</v>
      </c>
      <c r="E658" s="45">
        <v>654</v>
      </c>
      <c r="G658" s="138"/>
      <c r="H658" s="135">
        <v>1</v>
      </c>
      <c r="I658" s="46" t="e">
        <f t="shared" si="146"/>
        <v>#VALUE!</v>
      </c>
      <c r="J658" s="41" t="e">
        <f t="shared" si="152"/>
        <v>#VALUE!</v>
      </c>
      <c r="K658" s="41" t="e">
        <f t="shared" si="144"/>
        <v>#VALUE!</v>
      </c>
      <c r="L658" s="41" t="e">
        <f t="shared" si="144"/>
        <v>#VALUE!</v>
      </c>
      <c r="M658" s="41" t="e">
        <f t="shared" si="147"/>
        <v>#VALUE!</v>
      </c>
      <c r="N658" s="41" t="e">
        <f t="shared" si="148"/>
        <v>#VALUE!</v>
      </c>
      <c r="O658" s="41">
        <f t="shared" si="149"/>
        <v>0</v>
      </c>
      <c r="Q658" s="44" t="e">
        <f t="shared" si="150"/>
        <v>#VALUE!</v>
      </c>
      <c r="R658" s="44" t="e">
        <f t="shared" si="153"/>
        <v>#VALUE!</v>
      </c>
      <c r="S658" s="44" t="e">
        <f t="shared" si="151"/>
        <v>#VALUE!</v>
      </c>
      <c r="T658" s="41" t="e">
        <f t="shared" si="154"/>
        <v>#VALUE!</v>
      </c>
      <c r="U658" s="41" t="e">
        <f t="shared" si="155"/>
        <v>#VALUE!</v>
      </c>
      <c r="V658" s="41" t="e">
        <f t="shared" si="156"/>
        <v>#VALUE!</v>
      </c>
    </row>
    <row r="659" spans="2:22" x14ac:dyDescent="0.25">
      <c r="B659" s="41" t="b">
        <f t="shared" si="157"/>
        <v>0</v>
      </c>
      <c r="C659" s="41" t="e">
        <f t="shared" si="145"/>
        <v>#VALUE!</v>
      </c>
      <c r="E659" s="45">
        <v>655</v>
      </c>
      <c r="G659" s="138"/>
      <c r="H659" s="135">
        <v>1</v>
      </c>
      <c r="I659" s="46" t="e">
        <f t="shared" si="146"/>
        <v>#VALUE!</v>
      </c>
      <c r="J659" s="41" t="e">
        <f t="shared" si="152"/>
        <v>#VALUE!</v>
      </c>
      <c r="K659" s="41" t="e">
        <f t="shared" si="144"/>
        <v>#VALUE!</v>
      </c>
      <c r="L659" s="41" t="e">
        <f t="shared" si="144"/>
        <v>#VALUE!</v>
      </c>
      <c r="M659" s="41" t="e">
        <f t="shared" si="147"/>
        <v>#VALUE!</v>
      </c>
      <c r="N659" s="41" t="e">
        <f t="shared" si="148"/>
        <v>#VALUE!</v>
      </c>
      <c r="O659" s="41">
        <f t="shared" si="149"/>
        <v>0</v>
      </c>
      <c r="Q659" s="44" t="e">
        <f t="shared" si="150"/>
        <v>#VALUE!</v>
      </c>
      <c r="R659" s="44" t="e">
        <f t="shared" si="153"/>
        <v>#VALUE!</v>
      </c>
      <c r="S659" s="44" t="e">
        <f t="shared" si="151"/>
        <v>#VALUE!</v>
      </c>
      <c r="T659" s="41" t="e">
        <f t="shared" si="154"/>
        <v>#VALUE!</v>
      </c>
      <c r="U659" s="41" t="e">
        <f t="shared" si="155"/>
        <v>#VALUE!</v>
      </c>
      <c r="V659" s="41" t="e">
        <f t="shared" si="156"/>
        <v>#VALUE!</v>
      </c>
    </row>
    <row r="660" spans="2:22" x14ac:dyDescent="0.25">
      <c r="B660" s="41" t="b">
        <f t="shared" si="157"/>
        <v>0</v>
      </c>
      <c r="C660" s="41" t="e">
        <f t="shared" si="145"/>
        <v>#VALUE!</v>
      </c>
      <c r="E660" s="45">
        <v>656</v>
      </c>
      <c r="G660" s="138"/>
      <c r="H660" s="135">
        <v>1</v>
      </c>
      <c r="I660" s="46" t="e">
        <f t="shared" si="146"/>
        <v>#VALUE!</v>
      </c>
      <c r="J660" s="41" t="e">
        <f t="shared" si="152"/>
        <v>#VALUE!</v>
      </c>
      <c r="K660" s="41" t="e">
        <f t="shared" si="144"/>
        <v>#VALUE!</v>
      </c>
      <c r="L660" s="41" t="e">
        <f t="shared" si="144"/>
        <v>#VALUE!</v>
      </c>
      <c r="M660" s="41" t="e">
        <f t="shared" si="147"/>
        <v>#VALUE!</v>
      </c>
      <c r="N660" s="41" t="e">
        <f t="shared" si="148"/>
        <v>#VALUE!</v>
      </c>
      <c r="O660" s="41">
        <f t="shared" si="149"/>
        <v>0</v>
      </c>
      <c r="Q660" s="44" t="e">
        <f t="shared" si="150"/>
        <v>#VALUE!</v>
      </c>
      <c r="R660" s="44" t="e">
        <f t="shared" si="153"/>
        <v>#VALUE!</v>
      </c>
      <c r="S660" s="44" t="e">
        <f t="shared" si="151"/>
        <v>#VALUE!</v>
      </c>
      <c r="T660" s="41" t="e">
        <f t="shared" si="154"/>
        <v>#VALUE!</v>
      </c>
      <c r="U660" s="41" t="e">
        <f t="shared" si="155"/>
        <v>#VALUE!</v>
      </c>
      <c r="V660" s="41" t="e">
        <f t="shared" si="156"/>
        <v>#VALUE!</v>
      </c>
    </row>
    <row r="661" spans="2:22" x14ac:dyDescent="0.25">
      <c r="B661" s="41" t="b">
        <f t="shared" si="157"/>
        <v>0</v>
      </c>
      <c r="C661" s="41" t="e">
        <f t="shared" si="145"/>
        <v>#VALUE!</v>
      </c>
      <c r="E661" s="45">
        <v>657</v>
      </c>
      <c r="G661" s="138"/>
      <c r="H661" s="135">
        <v>1</v>
      </c>
      <c r="I661" s="46" t="e">
        <f t="shared" si="146"/>
        <v>#VALUE!</v>
      </c>
      <c r="J661" s="41" t="e">
        <f t="shared" si="152"/>
        <v>#VALUE!</v>
      </c>
      <c r="K661" s="41" t="e">
        <f t="shared" si="144"/>
        <v>#VALUE!</v>
      </c>
      <c r="L661" s="41" t="e">
        <f t="shared" si="144"/>
        <v>#VALUE!</v>
      </c>
      <c r="M661" s="41" t="e">
        <f t="shared" si="147"/>
        <v>#VALUE!</v>
      </c>
      <c r="N661" s="41" t="e">
        <f t="shared" si="148"/>
        <v>#VALUE!</v>
      </c>
      <c r="O661" s="41">
        <f t="shared" si="149"/>
        <v>0</v>
      </c>
      <c r="Q661" s="44" t="e">
        <f t="shared" si="150"/>
        <v>#VALUE!</v>
      </c>
      <c r="R661" s="44" t="e">
        <f t="shared" si="153"/>
        <v>#VALUE!</v>
      </c>
      <c r="S661" s="44" t="e">
        <f t="shared" si="151"/>
        <v>#VALUE!</v>
      </c>
      <c r="T661" s="41" t="e">
        <f t="shared" si="154"/>
        <v>#VALUE!</v>
      </c>
      <c r="U661" s="41" t="e">
        <f t="shared" si="155"/>
        <v>#VALUE!</v>
      </c>
      <c r="V661" s="41" t="e">
        <f t="shared" si="156"/>
        <v>#VALUE!</v>
      </c>
    </row>
    <row r="662" spans="2:22" x14ac:dyDescent="0.25">
      <c r="B662" s="41" t="b">
        <f t="shared" si="157"/>
        <v>0</v>
      </c>
      <c r="C662" s="41" t="e">
        <f t="shared" si="145"/>
        <v>#VALUE!</v>
      </c>
      <c r="E662" s="45">
        <v>658</v>
      </c>
      <c r="G662" s="138"/>
      <c r="H662" s="135">
        <v>1</v>
      </c>
      <c r="I662" s="46" t="e">
        <f t="shared" si="146"/>
        <v>#VALUE!</v>
      </c>
      <c r="J662" s="41" t="e">
        <f t="shared" si="152"/>
        <v>#VALUE!</v>
      </c>
      <c r="K662" s="41" t="e">
        <f t="shared" si="144"/>
        <v>#VALUE!</v>
      </c>
      <c r="L662" s="41" t="e">
        <f t="shared" si="144"/>
        <v>#VALUE!</v>
      </c>
      <c r="M662" s="41" t="e">
        <f t="shared" si="147"/>
        <v>#VALUE!</v>
      </c>
      <c r="N662" s="41" t="e">
        <f t="shared" si="148"/>
        <v>#VALUE!</v>
      </c>
      <c r="O662" s="41">
        <f t="shared" si="149"/>
        <v>0</v>
      </c>
      <c r="Q662" s="44" t="e">
        <f t="shared" si="150"/>
        <v>#VALUE!</v>
      </c>
      <c r="R662" s="44" t="e">
        <f t="shared" si="153"/>
        <v>#VALUE!</v>
      </c>
      <c r="S662" s="44" t="e">
        <f t="shared" si="151"/>
        <v>#VALUE!</v>
      </c>
      <c r="T662" s="41" t="e">
        <f t="shared" si="154"/>
        <v>#VALUE!</v>
      </c>
      <c r="U662" s="41" t="e">
        <f t="shared" si="155"/>
        <v>#VALUE!</v>
      </c>
      <c r="V662" s="41" t="e">
        <f t="shared" si="156"/>
        <v>#VALUE!</v>
      </c>
    </row>
    <row r="663" spans="2:22" x14ac:dyDescent="0.25">
      <c r="B663" s="41" t="b">
        <f t="shared" si="157"/>
        <v>0</v>
      </c>
      <c r="C663" s="41" t="e">
        <f t="shared" si="145"/>
        <v>#VALUE!</v>
      </c>
      <c r="E663" s="45">
        <v>659</v>
      </c>
      <c r="G663" s="138"/>
      <c r="H663" s="135">
        <v>1</v>
      </c>
      <c r="I663" s="46" t="e">
        <f t="shared" si="146"/>
        <v>#VALUE!</v>
      </c>
      <c r="J663" s="41" t="e">
        <f t="shared" si="152"/>
        <v>#VALUE!</v>
      </c>
      <c r="K663" s="41" t="e">
        <f t="shared" si="144"/>
        <v>#VALUE!</v>
      </c>
      <c r="L663" s="41" t="e">
        <f t="shared" si="144"/>
        <v>#VALUE!</v>
      </c>
      <c r="M663" s="41" t="e">
        <f t="shared" si="147"/>
        <v>#VALUE!</v>
      </c>
      <c r="N663" s="41" t="e">
        <f t="shared" si="148"/>
        <v>#VALUE!</v>
      </c>
      <c r="O663" s="41">
        <f t="shared" si="149"/>
        <v>0</v>
      </c>
      <c r="Q663" s="44" t="e">
        <f t="shared" si="150"/>
        <v>#VALUE!</v>
      </c>
      <c r="R663" s="44" t="e">
        <f t="shared" si="153"/>
        <v>#VALUE!</v>
      </c>
      <c r="S663" s="44" t="e">
        <f t="shared" si="151"/>
        <v>#VALUE!</v>
      </c>
      <c r="T663" s="41" t="e">
        <f t="shared" si="154"/>
        <v>#VALUE!</v>
      </c>
      <c r="U663" s="41" t="e">
        <f t="shared" si="155"/>
        <v>#VALUE!</v>
      </c>
      <c r="V663" s="41" t="e">
        <f t="shared" si="156"/>
        <v>#VALUE!</v>
      </c>
    </row>
    <row r="664" spans="2:22" x14ac:dyDescent="0.25">
      <c r="B664" s="41" t="b">
        <f t="shared" si="157"/>
        <v>0</v>
      </c>
      <c r="C664" s="41" t="e">
        <f t="shared" si="145"/>
        <v>#VALUE!</v>
      </c>
      <c r="E664" s="45">
        <v>660</v>
      </c>
      <c r="G664" s="138"/>
      <c r="H664" s="135">
        <v>1</v>
      </c>
      <c r="I664" s="46" t="e">
        <f t="shared" si="146"/>
        <v>#VALUE!</v>
      </c>
      <c r="J664" s="41" t="e">
        <f t="shared" si="152"/>
        <v>#VALUE!</v>
      </c>
      <c r="K664" s="41" t="e">
        <f t="shared" si="144"/>
        <v>#VALUE!</v>
      </c>
      <c r="L664" s="41" t="e">
        <f t="shared" si="144"/>
        <v>#VALUE!</v>
      </c>
      <c r="M664" s="41" t="e">
        <f t="shared" si="147"/>
        <v>#VALUE!</v>
      </c>
      <c r="N664" s="41" t="e">
        <f t="shared" si="148"/>
        <v>#VALUE!</v>
      </c>
      <c r="O664" s="41">
        <f t="shared" si="149"/>
        <v>0</v>
      </c>
      <c r="Q664" s="44" t="e">
        <f t="shared" si="150"/>
        <v>#VALUE!</v>
      </c>
      <c r="R664" s="44" t="e">
        <f t="shared" si="153"/>
        <v>#VALUE!</v>
      </c>
      <c r="S664" s="44" t="e">
        <f t="shared" si="151"/>
        <v>#VALUE!</v>
      </c>
      <c r="T664" s="41" t="e">
        <f t="shared" si="154"/>
        <v>#VALUE!</v>
      </c>
      <c r="U664" s="41" t="e">
        <f t="shared" si="155"/>
        <v>#VALUE!</v>
      </c>
      <c r="V664" s="41" t="e">
        <f t="shared" si="156"/>
        <v>#VALUE!</v>
      </c>
    </row>
    <row r="665" spans="2:22" x14ac:dyDescent="0.25">
      <c r="B665" s="41" t="b">
        <f t="shared" si="157"/>
        <v>0</v>
      </c>
      <c r="C665" s="41" t="e">
        <f t="shared" si="145"/>
        <v>#VALUE!</v>
      </c>
      <c r="E665" s="45">
        <v>661</v>
      </c>
      <c r="G665" s="138"/>
      <c r="H665" s="135">
        <v>1</v>
      </c>
      <c r="I665" s="46" t="e">
        <f t="shared" si="146"/>
        <v>#VALUE!</v>
      </c>
      <c r="J665" s="41" t="e">
        <f t="shared" si="152"/>
        <v>#VALUE!</v>
      </c>
      <c r="K665" s="41" t="e">
        <f t="shared" si="144"/>
        <v>#VALUE!</v>
      </c>
      <c r="L665" s="41" t="e">
        <f t="shared" si="144"/>
        <v>#VALUE!</v>
      </c>
      <c r="M665" s="41" t="e">
        <f t="shared" si="147"/>
        <v>#VALUE!</v>
      </c>
      <c r="N665" s="41" t="e">
        <f t="shared" si="148"/>
        <v>#VALUE!</v>
      </c>
      <c r="O665" s="41">
        <f t="shared" si="149"/>
        <v>0</v>
      </c>
      <c r="Q665" s="44" t="e">
        <f t="shared" si="150"/>
        <v>#VALUE!</v>
      </c>
      <c r="R665" s="44" t="e">
        <f t="shared" si="153"/>
        <v>#VALUE!</v>
      </c>
      <c r="S665" s="44" t="e">
        <f t="shared" si="151"/>
        <v>#VALUE!</v>
      </c>
      <c r="T665" s="41" t="e">
        <f t="shared" si="154"/>
        <v>#VALUE!</v>
      </c>
      <c r="U665" s="41" t="e">
        <f t="shared" si="155"/>
        <v>#VALUE!</v>
      </c>
      <c r="V665" s="41" t="e">
        <f t="shared" si="156"/>
        <v>#VALUE!</v>
      </c>
    </row>
    <row r="666" spans="2:22" x14ac:dyDescent="0.25">
      <c r="B666" s="41" t="b">
        <f t="shared" si="157"/>
        <v>0</v>
      </c>
      <c r="C666" s="41" t="e">
        <f t="shared" si="145"/>
        <v>#VALUE!</v>
      </c>
      <c r="E666" s="45">
        <v>662</v>
      </c>
      <c r="G666" s="138"/>
      <c r="H666" s="135">
        <v>1</v>
      </c>
      <c r="I666" s="46" t="e">
        <f t="shared" si="146"/>
        <v>#VALUE!</v>
      </c>
      <c r="J666" s="41" t="e">
        <f t="shared" si="152"/>
        <v>#VALUE!</v>
      </c>
      <c r="K666" s="41" t="e">
        <f t="shared" si="144"/>
        <v>#VALUE!</v>
      </c>
      <c r="L666" s="41" t="e">
        <f t="shared" si="144"/>
        <v>#VALUE!</v>
      </c>
      <c r="M666" s="41" t="e">
        <f t="shared" si="147"/>
        <v>#VALUE!</v>
      </c>
      <c r="N666" s="41" t="e">
        <f t="shared" si="148"/>
        <v>#VALUE!</v>
      </c>
      <c r="O666" s="41">
        <f t="shared" si="149"/>
        <v>0</v>
      </c>
      <c r="Q666" s="44" t="e">
        <f t="shared" si="150"/>
        <v>#VALUE!</v>
      </c>
      <c r="R666" s="44" t="e">
        <f t="shared" si="153"/>
        <v>#VALUE!</v>
      </c>
      <c r="S666" s="44" t="e">
        <f t="shared" si="151"/>
        <v>#VALUE!</v>
      </c>
      <c r="T666" s="41" t="e">
        <f t="shared" si="154"/>
        <v>#VALUE!</v>
      </c>
      <c r="U666" s="41" t="e">
        <f t="shared" si="155"/>
        <v>#VALUE!</v>
      </c>
      <c r="V666" s="41" t="e">
        <f t="shared" si="156"/>
        <v>#VALUE!</v>
      </c>
    </row>
    <row r="667" spans="2:22" x14ac:dyDescent="0.25">
      <c r="B667" s="41" t="b">
        <f t="shared" si="157"/>
        <v>0</v>
      </c>
      <c r="C667" s="41" t="e">
        <f t="shared" si="145"/>
        <v>#VALUE!</v>
      </c>
      <c r="E667" s="45">
        <v>663</v>
      </c>
      <c r="G667" s="138"/>
      <c r="H667" s="135">
        <v>1</v>
      </c>
      <c r="I667" s="46" t="e">
        <f t="shared" si="146"/>
        <v>#VALUE!</v>
      </c>
      <c r="J667" s="41" t="e">
        <f t="shared" si="152"/>
        <v>#VALUE!</v>
      </c>
      <c r="K667" s="41" t="e">
        <f t="shared" si="144"/>
        <v>#VALUE!</v>
      </c>
      <c r="L667" s="41" t="e">
        <f t="shared" si="144"/>
        <v>#VALUE!</v>
      </c>
      <c r="M667" s="41" t="e">
        <f t="shared" si="147"/>
        <v>#VALUE!</v>
      </c>
      <c r="N667" s="41" t="e">
        <f t="shared" si="148"/>
        <v>#VALUE!</v>
      </c>
      <c r="O667" s="41">
        <f t="shared" si="149"/>
        <v>0</v>
      </c>
      <c r="Q667" s="44" t="e">
        <f t="shared" si="150"/>
        <v>#VALUE!</v>
      </c>
      <c r="R667" s="44" t="e">
        <f t="shared" si="153"/>
        <v>#VALUE!</v>
      </c>
      <c r="S667" s="44" t="e">
        <f t="shared" si="151"/>
        <v>#VALUE!</v>
      </c>
      <c r="T667" s="41" t="e">
        <f t="shared" si="154"/>
        <v>#VALUE!</v>
      </c>
      <c r="U667" s="41" t="e">
        <f t="shared" si="155"/>
        <v>#VALUE!</v>
      </c>
      <c r="V667" s="41" t="e">
        <f t="shared" si="156"/>
        <v>#VALUE!</v>
      </c>
    </row>
    <row r="668" spans="2:22" x14ac:dyDescent="0.25">
      <c r="B668" s="41" t="b">
        <f t="shared" si="157"/>
        <v>0</v>
      </c>
      <c r="C668" s="41" t="e">
        <f t="shared" si="145"/>
        <v>#VALUE!</v>
      </c>
      <c r="E668" s="45">
        <v>664</v>
      </c>
      <c r="G668" s="138"/>
      <c r="H668" s="135">
        <v>1</v>
      </c>
      <c r="I668" s="46" t="e">
        <f t="shared" si="146"/>
        <v>#VALUE!</v>
      </c>
      <c r="J668" s="41" t="e">
        <f t="shared" si="152"/>
        <v>#VALUE!</v>
      </c>
      <c r="K668" s="41" t="e">
        <f t="shared" si="144"/>
        <v>#VALUE!</v>
      </c>
      <c r="L668" s="41" t="e">
        <f t="shared" si="144"/>
        <v>#VALUE!</v>
      </c>
      <c r="M668" s="41" t="e">
        <f t="shared" si="147"/>
        <v>#VALUE!</v>
      </c>
      <c r="N668" s="41" t="e">
        <f t="shared" si="148"/>
        <v>#VALUE!</v>
      </c>
      <c r="O668" s="41">
        <f t="shared" si="149"/>
        <v>0</v>
      </c>
      <c r="Q668" s="44" t="e">
        <f t="shared" si="150"/>
        <v>#VALUE!</v>
      </c>
      <c r="R668" s="44" t="e">
        <f t="shared" si="153"/>
        <v>#VALUE!</v>
      </c>
      <c r="S668" s="44" t="e">
        <f t="shared" si="151"/>
        <v>#VALUE!</v>
      </c>
      <c r="T668" s="41" t="e">
        <f t="shared" si="154"/>
        <v>#VALUE!</v>
      </c>
      <c r="U668" s="41" t="e">
        <f t="shared" si="155"/>
        <v>#VALUE!</v>
      </c>
      <c r="V668" s="41" t="e">
        <f t="shared" si="156"/>
        <v>#VALUE!</v>
      </c>
    </row>
    <row r="669" spans="2:22" x14ac:dyDescent="0.25">
      <c r="B669" s="41" t="b">
        <f t="shared" si="157"/>
        <v>0</v>
      </c>
      <c r="C669" s="41" t="e">
        <f t="shared" si="145"/>
        <v>#VALUE!</v>
      </c>
      <c r="E669" s="45">
        <v>665</v>
      </c>
      <c r="G669" s="138"/>
      <c r="H669" s="135">
        <v>1</v>
      </c>
      <c r="I669" s="46" t="e">
        <f t="shared" si="146"/>
        <v>#VALUE!</v>
      </c>
      <c r="J669" s="41" t="e">
        <f t="shared" si="152"/>
        <v>#VALUE!</v>
      </c>
      <c r="K669" s="41" t="e">
        <f t="shared" si="144"/>
        <v>#VALUE!</v>
      </c>
      <c r="L669" s="41" t="e">
        <f t="shared" si="144"/>
        <v>#VALUE!</v>
      </c>
      <c r="M669" s="41" t="e">
        <f t="shared" si="147"/>
        <v>#VALUE!</v>
      </c>
      <c r="N669" s="41" t="e">
        <f t="shared" si="148"/>
        <v>#VALUE!</v>
      </c>
      <c r="O669" s="41">
        <f t="shared" si="149"/>
        <v>0</v>
      </c>
      <c r="Q669" s="44" t="e">
        <f t="shared" si="150"/>
        <v>#VALUE!</v>
      </c>
      <c r="R669" s="44" t="e">
        <f t="shared" si="153"/>
        <v>#VALUE!</v>
      </c>
      <c r="S669" s="44" t="e">
        <f t="shared" si="151"/>
        <v>#VALUE!</v>
      </c>
      <c r="T669" s="41" t="e">
        <f t="shared" si="154"/>
        <v>#VALUE!</v>
      </c>
      <c r="U669" s="41" t="e">
        <f t="shared" si="155"/>
        <v>#VALUE!</v>
      </c>
      <c r="V669" s="41" t="e">
        <f t="shared" si="156"/>
        <v>#VALUE!</v>
      </c>
    </row>
    <row r="670" spans="2:22" x14ac:dyDescent="0.25">
      <c r="B670" s="41" t="b">
        <f t="shared" si="157"/>
        <v>0</v>
      </c>
      <c r="C670" s="41" t="e">
        <f t="shared" si="145"/>
        <v>#VALUE!</v>
      </c>
      <c r="E670" s="45">
        <v>666</v>
      </c>
      <c r="G670" s="138"/>
      <c r="H670" s="135">
        <v>1</v>
      </c>
      <c r="I670" s="46" t="e">
        <f t="shared" si="146"/>
        <v>#VALUE!</v>
      </c>
      <c r="J670" s="41" t="e">
        <f t="shared" si="152"/>
        <v>#VALUE!</v>
      </c>
      <c r="K670" s="41" t="e">
        <f t="shared" si="144"/>
        <v>#VALUE!</v>
      </c>
      <c r="L670" s="41" t="e">
        <f t="shared" si="144"/>
        <v>#VALUE!</v>
      </c>
      <c r="M670" s="41" t="e">
        <f t="shared" si="147"/>
        <v>#VALUE!</v>
      </c>
      <c r="N670" s="41" t="e">
        <f t="shared" si="148"/>
        <v>#VALUE!</v>
      </c>
      <c r="O670" s="41">
        <f t="shared" si="149"/>
        <v>0</v>
      </c>
      <c r="Q670" s="44" t="e">
        <f t="shared" si="150"/>
        <v>#VALUE!</v>
      </c>
      <c r="R670" s="44" t="e">
        <f t="shared" si="153"/>
        <v>#VALUE!</v>
      </c>
      <c r="S670" s="44" t="e">
        <f t="shared" si="151"/>
        <v>#VALUE!</v>
      </c>
      <c r="T670" s="41" t="e">
        <f t="shared" si="154"/>
        <v>#VALUE!</v>
      </c>
      <c r="U670" s="41" t="e">
        <f t="shared" si="155"/>
        <v>#VALUE!</v>
      </c>
      <c r="V670" s="41" t="e">
        <f t="shared" si="156"/>
        <v>#VALUE!</v>
      </c>
    </row>
    <row r="671" spans="2:22" x14ac:dyDescent="0.25">
      <c r="B671" s="41" t="b">
        <f t="shared" si="157"/>
        <v>0</v>
      </c>
      <c r="C671" s="41" t="e">
        <f t="shared" si="145"/>
        <v>#VALUE!</v>
      </c>
      <c r="E671" s="45">
        <v>667</v>
      </c>
      <c r="G671" s="138"/>
      <c r="H671" s="135">
        <v>1</v>
      </c>
      <c r="I671" s="46" t="e">
        <f t="shared" si="146"/>
        <v>#VALUE!</v>
      </c>
      <c r="J671" s="41" t="e">
        <f t="shared" si="152"/>
        <v>#VALUE!</v>
      </c>
      <c r="K671" s="41" t="e">
        <f t="shared" si="144"/>
        <v>#VALUE!</v>
      </c>
      <c r="L671" s="41" t="e">
        <f t="shared" si="144"/>
        <v>#VALUE!</v>
      </c>
      <c r="M671" s="41" t="e">
        <f t="shared" si="147"/>
        <v>#VALUE!</v>
      </c>
      <c r="N671" s="41" t="e">
        <f t="shared" si="148"/>
        <v>#VALUE!</v>
      </c>
      <c r="O671" s="41">
        <f t="shared" si="149"/>
        <v>0</v>
      </c>
      <c r="Q671" s="44" t="e">
        <f t="shared" si="150"/>
        <v>#VALUE!</v>
      </c>
      <c r="R671" s="44" t="e">
        <f t="shared" si="153"/>
        <v>#VALUE!</v>
      </c>
      <c r="S671" s="44" t="e">
        <f t="shared" si="151"/>
        <v>#VALUE!</v>
      </c>
      <c r="T671" s="41" t="e">
        <f t="shared" si="154"/>
        <v>#VALUE!</v>
      </c>
      <c r="U671" s="41" t="e">
        <f t="shared" si="155"/>
        <v>#VALUE!</v>
      </c>
      <c r="V671" s="41" t="e">
        <f t="shared" si="156"/>
        <v>#VALUE!</v>
      </c>
    </row>
    <row r="672" spans="2:22" x14ac:dyDescent="0.25">
      <c r="B672" s="41" t="b">
        <f t="shared" si="157"/>
        <v>0</v>
      </c>
      <c r="C672" s="41" t="e">
        <f t="shared" si="145"/>
        <v>#VALUE!</v>
      </c>
      <c r="E672" s="45">
        <v>668</v>
      </c>
      <c r="G672" s="138"/>
      <c r="H672" s="135">
        <v>1</v>
      </c>
      <c r="I672" s="46" t="e">
        <f t="shared" si="146"/>
        <v>#VALUE!</v>
      </c>
      <c r="J672" s="41" t="e">
        <f t="shared" si="152"/>
        <v>#VALUE!</v>
      </c>
      <c r="K672" s="41" t="e">
        <f t="shared" si="144"/>
        <v>#VALUE!</v>
      </c>
      <c r="L672" s="41" t="e">
        <f t="shared" si="144"/>
        <v>#VALUE!</v>
      </c>
      <c r="M672" s="41" t="e">
        <f t="shared" si="147"/>
        <v>#VALUE!</v>
      </c>
      <c r="N672" s="41" t="e">
        <f t="shared" si="148"/>
        <v>#VALUE!</v>
      </c>
      <c r="O672" s="41">
        <f t="shared" si="149"/>
        <v>0</v>
      </c>
      <c r="Q672" s="44" t="e">
        <f t="shared" si="150"/>
        <v>#VALUE!</v>
      </c>
      <c r="R672" s="44" t="e">
        <f t="shared" si="153"/>
        <v>#VALUE!</v>
      </c>
      <c r="S672" s="44" t="e">
        <f t="shared" si="151"/>
        <v>#VALUE!</v>
      </c>
      <c r="T672" s="41" t="e">
        <f t="shared" si="154"/>
        <v>#VALUE!</v>
      </c>
      <c r="U672" s="41" t="e">
        <f t="shared" si="155"/>
        <v>#VALUE!</v>
      </c>
      <c r="V672" s="41" t="e">
        <f t="shared" si="156"/>
        <v>#VALUE!</v>
      </c>
    </row>
    <row r="673" spans="2:22" x14ac:dyDescent="0.25">
      <c r="B673" s="41" t="b">
        <f t="shared" si="157"/>
        <v>0</v>
      </c>
      <c r="C673" s="41" t="e">
        <f t="shared" si="145"/>
        <v>#VALUE!</v>
      </c>
      <c r="E673" s="45">
        <v>669</v>
      </c>
      <c r="G673" s="138"/>
      <c r="H673" s="135">
        <v>1</v>
      </c>
      <c r="I673" s="46" t="e">
        <f t="shared" si="146"/>
        <v>#VALUE!</v>
      </c>
      <c r="J673" s="41" t="e">
        <f t="shared" si="152"/>
        <v>#VALUE!</v>
      </c>
      <c r="K673" s="41" t="e">
        <f t="shared" si="144"/>
        <v>#VALUE!</v>
      </c>
      <c r="L673" s="41" t="e">
        <f t="shared" si="144"/>
        <v>#VALUE!</v>
      </c>
      <c r="M673" s="41" t="e">
        <f t="shared" si="147"/>
        <v>#VALUE!</v>
      </c>
      <c r="N673" s="41" t="e">
        <f t="shared" si="148"/>
        <v>#VALUE!</v>
      </c>
      <c r="O673" s="41">
        <f t="shared" si="149"/>
        <v>0</v>
      </c>
      <c r="Q673" s="44" t="e">
        <f t="shared" si="150"/>
        <v>#VALUE!</v>
      </c>
      <c r="R673" s="44" t="e">
        <f t="shared" si="153"/>
        <v>#VALUE!</v>
      </c>
      <c r="S673" s="44" t="e">
        <f t="shared" si="151"/>
        <v>#VALUE!</v>
      </c>
      <c r="T673" s="41" t="e">
        <f t="shared" si="154"/>
        <v>#VALUE!</v>
      </c>
      <c r="U673" s="41" t="e">
        <f t="shared" si="155"/>
        <v>#VALUE!</v>
      </c>
      <c r="V673" s="41" t="e">
        <f t="shared" si="156"/>
        <v>#VALUE!</v>
      </c>
    </row>
    <row r="674" spans="2:22" x14ac:dyDescent="0.25">
      <c r="B674" s="41" t="b">
        <f t="shared" si="157"/>
        <v>0</v>
      </c>
      <c r="C674" s="41" t="e">
        <f t="shared" si="145"/>
        <v>#VALUE!</v>
      </c>
      <c r="E674" s="45">
        <v>670</v>
      </c>
      <c r="G674" s="138"/>
      <c r="H674" s="135">
        <v>1</v>
      </c>
      <c r="I674" s="46" t="e">
        <f t="shared" si="146"/>
        <v>#VALUE!</v>
      </c>
      <c r="J674" s="41" t="e">
        <f t="shared" si="152"/>
        <v>#VALUE!</v>
      </c>
      <c r="K674" s="41" t="e">
        <f t="shared" si="144"/>
        <v>#VALUE!</v>
      </c>
      <c r="L674" s="41" t="e">
        <f t="shared" si="144"/>
        <v>#VALUE!</v>
      </c>
      <c r="M674" s="41" t="e">
        <f t="shared" si="147"/>
        <v>#VALUE!</v>
      </c>
      <c r="N674" s="41" t="e">
        <f t="shared" si="148"/>
        <v>#VALUE!</v>
      </c>
      <c r="O674" s="41">
        <f t="shared" si="149"/>
        <v>0</v>
      </c>
      <c r="Q674" s="44" t="e">
        <f t="shared" si="150"/>
        <v>#VALUE!</v>
      </c>
      <c r="R674" s="44" t="e">
        <f t="shared" si="153"/>
        <v>#VALUE!</v>
      </c>
      <c r="S674" s="44" t="e">
        <f t="shared" si="151"/>
        <v>#VALUE!</v>
      </c>
      <c r="T674" s="41" t="e">
        <f t="shared" si="154"/>
        <v>#VALUE!</v>
      </c>
      <c r="U674" s="41" t="e">
        <f t="shared" si="155"/>
        <v>#VALUE!</v>
      </c>
      <c r="V674" s="41" t="e">
        <f t="shared" si="156"/>
        <v>#VALUE!</v>
      </c>
    </row>
    <row r="675" spans="2:22" x14ac:dyDescent="0.25">
      <c r="B675" s="41" t="b">
        <f t="shared" si="157"/>
        <v>0</v>
      </c>
      <c r="C675" s="41" t="e">
        <f t="shared" si="145"/>
        <v>#VALUE!</v>
      </c>
      <c r="E675" s="45">
        <v>671</v>
      </c>
      <c r="G675" s="138"/>
      <c r="H675" s="135">
        <v>1</v>
      </c>
      <c r="I675" s="46" t="e">
        <f t="shared" si="146"/>
        <v>#VALUE!</v>
      </c>
      <c r="J675" s="41" t="e">
        <f t="shared" si="152"/>
        <v>#VALUE!</v>
      </c>
      <c r="K675" s="41" t="e">
        <f t="shared" si="144"/>
        <v>#VALUE!</v>
      </c>
      <c r="L675" s="41" t="e">
        <f t="shared" si="144"/>
        <v>#VALUE!</v>
      </c>
      <c r="M675" s="41" t="e">
        <f t="shared" si="147"/>
        <v>#VALUE!</v>
      </c>
      <c r="N675" s="41" t="e">
        <f t="shared" si="148"/>
        <v>#VALUE!</v>
      </c>
      <c r="O675" s="41">
        <f t="shared" si="149"/>
        <v>0</v>
      </c>
      <c r="Q675" s="44" t="e">
        <f t="shared" si="150"/>
        <v>#VALUE!</v>
      </c>
      <c r="R675" s="44" t="e">
        <f t="shared" si="153"/>
        <v>#VALUE!</v>
      </c>
      <c r="S675" s="44" t="e">
        <f t="shared" si="151"/>
        <v>#VALUE!</v>
      </c>
      <c r="T675" s="41" t="e">
        <f t="shared" si="154"/>
        <v>#VALUE!</v>
      </c>
      <c r="U675" s="41" t="e">
        <f t="shared" si="155"/>
        <v>#VALUE!</v>
      </c>
      <c r="V675" s="41" t="e">
        <f t="shared" si="156"/>
        <v>#VALUE!</v>
      </c>
    </row>
    <row r="676" spans="2:22" x14ac:dyDescent="0.25">
      <c r="B676" s="41" t="b">
        <f t="shared" si="157"/>
        <v>0</v>
      </c>
      <c r="C676" s="41" t="e">
        <f t="shared" si="145"/>
        <v>#VALUE!</v>
      </c>
      <c r="E676" s="45">
        <v>672</v>
      </c>
      <c r="G676" s="138"/>
      <c r="H676" s="135">
        <v>1</v>
      </c>
      <c r="I676" s="46" t="e">
        <f t="shared" si="146"/>
        <v>#VALUE!</v>
      </c>
      <c r="J676" s="41" t="e">
        <f t="shared" si="152"/>
        <v>#VALUE!</v>
      </c>
      <c r="K676" s="41" t="e">
        <f t="shared" si="144"/>
        <v>#VALUE!</v>
      </c>
      <c r="L676" s="41" t="e">
        <f t="shared" si="144"/>
        <v>#VALUE!</v>
      </c>
      <c r="M676" s="41" t="e">
        <f t="shared" si="147"/>
        <v>#VALUE!</v>
      </c>
      <c r="N676" s="41" t="e">
        <f t="shared" si="148"/>
        <v>#VALUE!</v>
      </c>
      <c r="O676" s="41">
        <f t="shared" si="149"/>
        <v>0</v>
      </c>
      <c r="Q676" s="44" t="e">
        <f t="shared" si="150"/>
        <v>#VALUE!</v>
      </c>
      <c r="R676" s="44" t="e">
        <f t="shared" si="153"/>
        <v>#VALUE!</v>
      </c>
      <c r="S676" s="44" t="e">
        <f t="shared" si="151"/>
        <v>#VALUE!</v>
      </c>
      <c r="T676" s="41" t="e">
        <f t="shared" si="154"/>
        <v>#VALUE!</v>
      </c>
      <c r="U676" s="41" t="e">
        <f t="shared" si="155"/>
        <v>#VALUE!</v>
      </c>
      <c r="V676" s="41" t="e">
        <f t="shared" si="156"/>
        <v>#VALUE!</v>
      </c>
    </row>
    <row r="677" spans="2:22" x14ac:dyDescent="0.25">
      <c r="B677" s="41" t="b">
        <f t="shared" si="157"/>
        <v>0</v>
      </c>
      <c r="C677" s="41" t="e">
        <f t="shared" si="145"/>
        <v>#VALUE!</v>
      </c>
      <c r="E677" s="45">
        <v>673</v>
      </c>
      <c r="G677" s="138"/>
      <c r="H677" s="135">
        <v>1</v>
      </c>
      <c r="I677" s="46" t="e">
        <f t="shared" si="146"/>
        <v>#VALUE!</v>
      </c>
      <c r="J677" s="41" t="e">
        <f t="shared" si="152"/>
        <v>#VALUE!</v>
      </c>
      <c r="K677" s="41" t="e">
        <f t="shared" si="144"/>
        <v>#VALUE!</v>
      </c>
      <c r="L677" s="41" t="e">
        <f t="shared" si="144"/>
        <v>#VALUE!</v>
      </c>
      <c r="M677" s="41" t="e">
        <f t="shared" si="147"/>
        <v>#VALUE!</v>
      </c>
      <c r="N677" s="41" t="e">
        <f t="shared" si="148"/>
        <v>#VALUE!</v>
      </c>
      <c r="O677" s="41">
        <f t="shared" si="149"/>
        <v>0</v>
      </c>
      <c r="Q677" s="44" t="e">
        <f t="shared" si="150"/>
        <v>#VALUE!</v>
      </c>
      <c r="R677" s="44" t="e">
        <f t="shared" si="153"/>
        <v>#VALUE!</v>
      </c>
      <c r="S677" s="44" t="e">
        <f t="shared" si="151"/>
        <v>#VALUE!</v>
      </c>
      <c r="T677" s="41" t="e">
        <f t="shared" si="154"/>
        <v>#VALUE!</v>
      </c>
      <c r="U677" s="41" t="e">
        <f t="shared" si="155"/>
        <v>#VALUE!</v>
      </c>
      <c r="V677" s="41" t="e">
        <f t="shared" si="156"/>
        <v>#VALUE!</v>
      </c>
    </row>
    <row r="678" spans="2:22" x14ac:dyDescent="0.25">
      <c r="B678" s="41" t="b">
        <f t="shared" si="157"/>
        <v>0</v>
      </c>
      <c r="C678" s="41" t="e">
        <f t="shared" si="145"/>
        <v>#VALUE!</v>
      </c>
      <c r="E678" s="45">
        <v>674</v>
      </c>
      <c r="G678" s="138"/>
      <c r="H678" s="135">
        <v>1</v>
      </c>
      <c r="I678" s="46" t="e">
        <f t="shared" si="146"/>
        <v>#VALUE!</v>
      </c>
      <c r="J678" s="41" t="e">
        <f t="shared" si="152"/>
        <v>#VALUE!</v>
      </c>
      <c r="K678" s="41" t="e">
        <f t="shared" si="144"/>
        <v>#VALUE!</v>
      </c>
      <c r="L678" s="41" t="e">
        <f t="shared" si="144"/>
        <v>#VALUE!</v>
      </c>
      <c r="M678" s="41" t="e">
        <f t="shared" si="147"/>
        <v>#VALUE!</v>
      </c>
      <c r="N678" s="41" t="e">
        <f t="shared" si="148"/>
        <v>#VALUE!</v>
      </c>
      <c r="O678" s="41">
        <f t="shared" si="149"/>
        <v>0</v>
      </c>
      <c r="Q678" s="44" t="e">
        <f t="shared" si="150"/>
        <v>#VALUE!</v>
      </c>
      <c r="R678" s="44" t="e">
        <f t="shared" si="153"/>
        <v>#VALUE!</v>
      </c>
      <c r="S678" s="44" t="e">
        <f t="shared" si="151"/>
        <v>#VALUE!</v>
      </c>
      <c r="T678" s="41" t="e">
        <f t="shared" si="154"/>
        <v>#VALUE!</v>
      </c>
      <c r="U678" s="41" t="e">
        <f t="shared" si="155"/>
        <v>#VALUE!</v>
      </c>
      <c r="V678" s="41" t="e">
        <f t="shared" si="156"/>
        <v>#VALUE!</v>
      </c>
    </row>
    <row r="679" spans="2:22" x14ac:dyDescent="0.25">
      <c r="B679" s="41" t="b">
        <f t="shared" si="157"/>
        <v>0</v>
      </c>
      <c r="C679" s="41" t="e">
        <f t="shared" si="145"/>
        <v>#VALUE!</v>
      </c>
      <c r="E679" s="45">
        <v>675</v>
      </c>
      <c r="G679" s="138"/>
      <c r="H679" s="135">
        <v>1</v>
      </c>
      <c r="I679" s="46" t="e">
        <f t="shared" si="146"/>
        <v>#VALUE!</v>
      </c>
      <c r="J679" s="41" t="e">
        <f t="shared" si="152"/>
        <v>#VALUE!</v>
      </c>
      <c r="K679" s="41" t="e">
        <f t="shared" si="144"/>
        <v>#VALUE!</v>
      </c>
      <c r="L679" s="41" t="e">
        <f t="shared" si="144"/>
        <v>#VALUE!</v>
      </c>
      <c r="M679" s="41" t="e">
        <f t="shared" si="147"/>
        <v>#VALUE!</v>
      </c>
      <c r="N679" s="41" t="e">
        <f t="shared" si="148"/>
        <v>#VALUE!</v>
      </c>
      <c r="O679" s="41">
        <f t="shared" si="149"/>
        <v>0</v>
      </c>
      <c r="Q679" s="44" t="e">
        <f t="shared" si="150"/>
        <v>#VALUE!</v>
      </c>
      <c r="R679" s="44" t="e">
        <f t="shared" si="153"/>
        <v>#VALUE!</v>
      </c>
      <c r="S679" s="44" t="e">
        <f t="shared" si="151"/>
        <v>#VALUE!</v>
      </c>
      <c r="T679" s="41" t="e">
        <f t="shared" si="154"/>
        <v>#VALUE!</v>
      </c>
      <c r="U679" s="41" t="e">
        <f t="shared" si="155"/>
        <v>#VALUE!</v>
      </c>
      <c r="V679" s="41" t="e">
        <f t="shared" si="156"/>
        <v>#VALUE!</v>
      </c>
    </row>
    <row r="680" spans="2:22" x14ac:dyDescent="0.25">
      <c r="B680" s="41" t="b">
        <f t="shared" si="157"/>
        <v>0</v>
      </c>
      <c r="C680" s="41" t="e">
        <f t="shared" si="145"/>
        <v>#VALUE!</v>
      </c>
      <c r="E680" s="45">
        <v>676</v>
      </c>
      <c r="G680" s="138"/>
      <c r="H680" s="135">
        <v>1</v>
      </c>
      <c r="I680" s="46" t="e">
        <f t="shared" si="146"/>
        <v>#VALUE!</v>
      </c>
      <c r="J680" s="41" t="e">
        <f t="shared" si="152"/>
        <v>#VALUE!</v>
      </c>
      <c r="K680" s="41" t="e">
        <f t="shared" si="144"/>
        <v>#VALUE!</v>
      </c>
      <c r="L680" s="41" t="e">
        <f t="shared" si="144"/>
        <v>#VALUE!</v>
      </c>
      <c r="M680" s="41" t="e">
        <f t="shared" si="147"/>
        <v>#VALUE!</v>
      </c>
      <c r="N680" s="41" t="e">
        <f t="shared" si="148"/>
        <v>#VALUE!</v>
      </c>
      <c r="O680" s="41">
        <f t="shared" si="149"/>
        <v>0</v>
      </c>
      <c r="Q680" s="44" t="e">
        <f t="shared" si="150"/>
        <v>#VALUE!</v>
      </c>
      <c r="R680" s="44" t="e">
        <f t="shared" si="153"/>
        <v>#VALUE!</v>
      </c>
      <c r="S680" s="44" t="e">
        <f t="shared" si="151"/>
        <v>#VALUE!</v>
      </c>
      <c r="T680" s="41" t="e">
        <f t="shared" si="154"/>
        <v>#VALUE!</v>
      </c>
      <c r="U680" s="41" t="e">
        <f t="shared" si="155"/>
        <v>#VALUE!</v>
      </c>
      <c r="V680" s="41" t="e">
        <f t="shared" si="156"/>
        <v>#VALUE!</v>
      </c>
    </row>
    <row r="681" spans="2:22" x14ac:dyDescent="0.25">
      <c r="B681" s="41" t="b">
        <f t="shared" si="157"/>
        <v>0</v>
      </c>
      <c r="C681" s="41" t="e">
        <f t="shared" si="145"/>
        <v>#VALUE!</v>
      </c>
      <c r="E681" s="45">
        <v>677</v>
      </c>
      <c r="G681" s="138"/>
      <c r="H681" s="135">
        <v>1</v>
      </c>
      <c r="I681" s="46" t="e">
        <f t="shared" si="146"/>
        <v>#VALUE!</v>
      </c>
      <c r="J681" s="41" t="e">
        <f t="shared" si="152"/>
        <v>#VALUE!</v>
      </c>
      <c r="K681" s="41" t="e">
        <f t="shared" si="144"/>
        <v>#VALUE!</v>
      </c>
      <c r="L681" s="41" t="e">
        <f t="shared" si="144"/>
        <v>#VALUE!</v>
      </c>
      <c r="M681" s="41" t="e">
        <f t="shared" si="147"/>
        <v>#VALUE!</v>
      </c>
      <c r="N681" s="41" t="e">
        <f t="shared" si="148"/>
        <v>#VALUE!</v>
      </c>
      <c r="O681" s="41">
        <f t="shared" si="149"/>
        <v>0</v>
      </c>
      <c r="Q681" s="44" t="e">
        <f t="shared" si="150"/>
        <v>#VALUE!</v>
      </c>
      <c r="R681" s="44" t="e">
        <f t="shared" si="153"/>
        <v>#VALUE!</v>
      </c>
      <c r="S681" s="44" t="e">
        <f t="shared" si="151"/>
        <v>#VALUE!</v>
      </c>
      <c r="T681" s="41" t="e">
        <f t="shared" si="154"/>
        <v>#VALUE!</v>
      </c>
      <c r="U681" s="41" t="e">
        <f t="shared" si="155"/>
        <v>#VALUE!</v>
      </c>
      <c r="V681" s="41" t="e">
        <f t="shared" si="156"/>
        <v>#VALUE!</v>
      </c>
    </row>
    <row r="682" spans="2:22" x14ac:dyDescent="0.25">
      <c r="B682" s="41" t="b">
        <f t="shared" si="157"/>
        <v>0</v>
      </c>
      <c r="C682" s="41" t="e">
        <f t="shared" si="145"/>
        <v>#VALUE!</v>
      </c>
      <c r="E682" s="45">
        <v>678</v>
      </c>
      <c r="G682" s="138"/>
      <c r="H682" s="135">
        <v>1</v>
      </c>
      <c r="I682" s="46" t="e">
        <f t="shared" si="146"/>
        <v>#VALUE!</v>
      </c>
      <c r="J682" s="41" t="e">
        <f t="shared" si="152"/>
        <v>#VALUE!</v>
      </c>
      <c r="K682" s="41" t="e">
        <f t="shared" si="144"/>
        <v>#VALUE!</v>
      </c>
      <c r="L682" s="41" t="e">
        <f t="shared" si="144"/>
        <v>#VALUE!</v>
      </c>
      <c r="M682" s="41" t="e">
        <f t="shared" si="147"/>
        <v>#VALUE!</v>
      </c>
      <c r="N682" s="41" t="e">
        <f t="shared" si="148"/>
        <v>#VALUE!</v>
      </c>
      <c r="O682" s="41">
        <f t="shared" si="149"/>
        <v>0</v>
      </c>
      <c r="Q682" s="44" t="e">
        <f t="shared" si="150"/>
        <v>#VALUE!</v>
      </c>
      <c r="R682" s="44" t="e">
        <f t="shared" si="153"/>
        <v>#VALUE!</v>
      </c>
      <c r="S682" s="44" t="e">
        <f t="shared" si="151"/>
        <v>#VALUE!</v>
      </c>
      <c r="T682" s="41" t="e">
        <f t="shared" si="154"/>
        <v>#VALUE!</v>
      </c>
      <c r="U682" s="41" t="e">
        <f t="shared" si="155"/>
        <v>#VALUE!</v>
      </c>
      <c r="V682" s="41" t="e">
        <f t="shared" si="156"/>
        <v>#VALUE!</v>
      </c>
    </row>
    <row r="683" spans="2:22" x14ac:dyDescent="0.25">
      <c r="B683" s="41" t="b">
        <f t="shared" si="157"/>
        <v>0</v>
      </c>
      <c r="C683" s="41" t="e">
        <f t="shared" si="145"/>
        <v>#VALUE!</v>
      </c>
      <c r="E683" s="45">
        <v>679</v>
      </c>
      <c r="G683" s="138"/>
      <c r="H683" s="135">
        <v>1</v>
      </c>
      <c r="I683" s="46" t="e">
        <f t="shared" si="146"/>
        <v>#VALUE!</v>
      </c>
      <c r="J683" s="41" t="e">
        <f t="shared" si="152"/>
        <v>#VALUE!</v>
      </c>
      <c r="K683" s="41" t="e">
        <f t="shared" si="144"/>
        <v>#VALUE!</v>
      </c>
      <c r="L683" s="41" t="e">
        <f t="shared" si="144"/>
        <v>#VALUE!</v>
      </c>
      <c r="M683" s="41" t="e">
        <f t="shared" si="147"/>
        <v>#VALUE!</v>
      </c>
      <c r="N683" s="41" t="e">
        <f t="shared" si="148"/>
        <v>#VALUE!</v>
      </c>
      <c r="O683" s="41">
        <f t="shared" si="149"/>
        <v>0</v>
      </c>
      <c r="Q683" s="44" t="e">
        <f t="shared" si="150"/>
        <v>#VALUE!</v>
      </c>
      <c r="R683" s="44" t="e">
        <f t="shared" si="153"/>
        <v>#VALUE!</v>
      </c>
      <c r="S683" s="44" t="e">
        <f t="shared" si="151"/>
        <v>#VALUE!</v>
      </c>
      <c r="T683" s="41" t="e">
        <f t="shared" si="154"/>
        <v>#VALUE!</v>
      </c>
      <c r="U683" s="41" t="e">
        <f t="shared" si="155"/>
        <v>#VALUE!</v>
      </c>
      <c r="V683" s="41" t="e">
        <f t="shared" si="156"/>
        <v>#VALUE!</v>
      </c>
    </row>
    <row r="684" spans="2:22" x14ac:dyDescent="0.25">
      <c r="B684" s="41" t="b">
        <f t="shared" si="157"/>
        <v>0</v>
      </c>
      <c r="C684" s="41" t="e">
        <f t="shared" si="145"/>
        <v>#VALUE!</v>
      </c>
      <c r="E684" s="45">
        <v>680</v>
      </c>
      <c r="G684" s="138"/>
      <c r="H684" s="135">
        <v>1</v>
      </c>
      <c r="I684" s="46" t="e">
        <f t="shared" si="146"/>
        <v>#VALUE!</v>
      </c>
      <c r="J684" s="41" t="e">
        <f t="shared" si="152"/>
        <v>#VALUE!</v>
      </c>
      <c r="K684" s="41" t="e">
        <f t="shared" si="144"/>
        <v>#VALUE!</v>
      </c>
      <c r="L684" s="41" t="e">
        <f t="shared" si="144"/>
        <v>#VALUE!</v>
      </c>
      <c r="M684" s="41" t="e">
        <f t="shared" si="147"/>
        <v>#VALUE!</v>
      </c>
      <c r="N684" s="41" t="e">
        <f t="shared" si="148"/>
        <v>#VALUE!</v>
      </c>
      <c r="O684" s="41">
        <f t="shared" si="149"/>
        <v>0</v>
      </c>
      <c r="Q684" s="44" t="e">
        <f t="shared" si="150"/>
        <v>#VALUE!</v>
      </c>
      <c r="R684" s="44" t="e">
        <f t="shared" si="153"/>
        <v>#VALUE!</v>
      </c>
      <c r="S684" s="44" t="e">
        <f t="shared" si="151"/>
        <v>#VALUE!</v>
      </c>
      <c r="T684" s="41" t="e">
        <f t="shared" si="154"/>
        <v>#VALUE!</v>
      </c>
      <c r="U684" s="41" t="e">
        <f t="shared" si="155"/>
        <v>#VALUE!</v>
      </c>
      <c r="V684" s="41" t="e">
        <f t="shared" si="156"/>
        <v>#VALUE!</v>
      </c>
    </row>
    <row r="685" spans="2:22" x14ac:dyDescent="0.25">
      <c r="B685" s="41" t="b">
        <f t="shared" si="157"/>
        <v>0</v>
      </c>
      <c r="C685" s="41" t="e">
        <f t="shared" si="145"/>
        <v>#VALUE!</v>
      </c>
      <c r="E685" s="45">
        <v>681</v>
      </c>
      <c r="G685" s="138"/>
      <c r="H685" s="135">
        <v>1</v>
      </c>
      <c r="I685" s="46" t="e">
        <f t="shared" si="146"/>
        <v>#VALUE!</v>
      </c>
      <c r="J685" s="41" t="e">
        <f t="shared" si="152"/>
        <v>#VALUE!</v>
      </c>
      <c r="K685" s="41" t="e">
        <f t="shared" si="144"/>
        <v>#VALUE!</v>
      </c>
      <c r="L685" s="41" t="e">
        <f t="shared" si="144"/>
        <v>#VALUE!</v>
      </c>
      <c r="M685" s="41" t="e">
        <f t="shared" si="147"/>
        <v>#VALUE!</v>
      </c>
      <c r="N685" s="41" t="e">
        <f t="shared" si="148"/>
        <v>#VALUE!</v>
      </c>
      <c r="O685" s="41">
        <f t="shared" si="149"/>
        <v>0</v>
      </c>
      <c r="Q685" s="44" t="e">
        <f t="shared" si="150"/>
        <v>#VALUE!</v>
      </c>
      <c r="R685" s="44" t="e">
        <f t="shared" si="153"/>
        <v>#VALUE!</v>
      </c>
      <c r="S685" s="44" t="e">
        <f t="shared" si="151"/>
        <v>#VALUE!</v>
      </c>
      <c r="T685" s="41" t="e">
        <f t="shared" si="154"/>
        <v>#VALUE!</v>
      </c>
      <c r="U685" s="41" t="e">
        <f t="shared" si="155"/>
        <v>#VALUE!</v>
      </c>
      <c r="V685" s="41" t="e">
        <f t="shared" si="156"/>
        <v>#VALUE!</v>
      </c>
    </row>
    <row r="686" spans="2:22" x14ac:dyDescent="0.25">
      <c r="B686" s="41" t="b">
        <f t="shared" si="157"/>
        <v>0</v>
      </c>
      <c r="C686" s="41" t="e">
        <f t="shared" si="145"/>
        <v>#VALUE!</v>
      </c>
      <c r="E686" s="45">
        <v>682</v>
      </c>
      <c r="G686" s="138"/>
      <c r="H686" s="135">
        <v>1</v>
      </c>
      <c r="I686" s="46" t="e">
        <f t="shared" si="146"/>
        <v>#VALUE!</v>
      </c>
      <c r="J686" s="41" t="e">
        <f t="shared" si="152"/>
        <v>#VALUE!</v>
      </c>
      <c r="K686" s="41" t="e">
        <f t="shared" si="144"/>
        <v>#VALUE!</v>
      </c>
      <c r="L686" s="41" t="e">
        <f t="shared" si="144"/>
        <v>#VALUE!</v>
      </c>
      <c r="M686" s="41" t="e">
        <f t="shared" si="147"/>
        <v>#VALUE!</v>
      </c>
      <c r="N686" s="41" t="e">
        <f t="shared" si="148"/>
        <v>#VALUE!</v>
      </c>
      <c r="O686" s="41">
        <f t="shared" si="149"/>
        <v>0</v>
      </c>
      <c r="Q686" s="44" t="e">
        <f t="shared" si="150"/>
        <v>#VALUE!</v>
      </c>
      <c r="R686" s="44" t="e">
        <f t="shared" si="153"/>
        <v>#VALUE!</v>
      </c>
      <c r="S686" s="44" t="e">
        <f t="shared" si="151"/>
        <v>#VALUE!</v>
      </c>
      <c r="T686" s="41" t="e">
        <f t="shared" si="154"/>
        <v>#VALUE!</v>
      </c>
      <c r="U686" s="41" t="e">
        <f t="shared" si="155"/>
        <v>#VALUE!</v>
      </c>
      <c r="V686" s="41" t="e">
        <f t="shared" si="156"/>
        <v>#VALUE!</v>
      </c>
    </row>
    <row r="687" spans="2:22" x14ac:dyDescent="0.25">
      <c r="B687" s="41" t="b">
        <f t="shared" si="157"/>
        <v>0</v>
      </c>
      <c r="C687" s="41" t="e">
        <f t="shared" si="145"/>
        <v>#VALUE!</v>
      </c>
      <c r="E687" s="45">
        <v>683</v>
      </c>
      <c r="G687" s="138"/>
      <c r="H687" s="135">
        <v>1</v>
      </c>
      <c r="I687" s="46" t="e">
        <f t="shared" si="146"/>
        <v>#VALUE!</v>
      </c>
      <c r="J687" s="41" t="e">
        <f t="shared" si="152"/>
        <v>#VALUE!</v>
      </c>
      <c r="K687" s="41" t="e">
        <f t="shared" ref="K687:L750" si="158">N687-M687</f>
        <v>#VALUE!</v>
      </c>
      <c r="L687" s="41" t="e">
        <f t="shared" si="158"/>
        <v>#VALUE!</v>
      </c>
      <c r="M687" s="41" t="e">
        <f t="shared" si="147"/>
        <v>#VALUE!</v>
      </c>
      <c r="N687" s="41" t="e">
        <f t="shared" si="148"/>
        <v>#VALUE!</v>
      </c>
      <c r="O687" s="41">
        <f t="shared" si="149"/>
        <v>0</v>
      </c>
      <c r="Q687" s="44" t="e">
        <f t="shared" si="150"/>
        <v>#VALUE!</v>
      </c>
      <c r="R687" s="44" t="e">
        <f t="shared" si="153"/>
        <v>#VALUE!</v>
      </c>
      <c r="S687" s="44" t="e">
        <f t="shared" si="151"/>
        <v>#VALUE!</v>
      </c>
      <c r="T687" s="41" t="e">
        <f t="shared" si="154"/>
        <v>#VALUE!</v>
      </c>
      <c r="U687" s="41" t="e">
        <f t="shared" si="155"/>
        <v>#VALUE!</v>
      </c>
      <c r="V687" s="41" t="e">
        <f t="shared" si="156"/>
        <v>#VALUE!</v>
      </c>
    </row>
    <row r="688" spans="2:22" x14ac:dyDescent="0.25">
      <c r="B688" s="41" t="b">
        <f t="shared" si="157"/>
        <v>0</v>
      </c>
      <c r="C688" s="41" t="e">
        <f t="shared" si="145"/>
        <v>#VALUE!</v>
      </c>
      <c r="E688" s="45">
        <v>684</v>
      </c>
      <c r="G688" s="138"/>
      <c r="H688" s="135">
        <v>1</v>
      </c>
      <c r="I688" s="46" t="e">
        <f t="shared" si="146"/>
        <v>#VALUE!</v>
      </c>
      <c r="J688" s="41" t="e">
        <f t="shared" si="152"/>
        <v>#VALUE!</v>
      </c>
      <c r="K688" s="41" t="e">
        <f t="shared" si="158"/>
        <v>#VALUE!</v>
      </c>
      <c r="L688" s="41" t="e">
        <f t="shared" si="158"/>
        <v>#VALUE!</v>
      </c>
      <c r="M688" s="41" t="e">
        <f t="shared" si="147"/>
        <v>#VALUE!</v>
      </c>
      <c r="N688" s="41" t="e">
        <f t="shared" si="148"/>
        <v>#VALUE!</v>
      </c>
      <c r="O688" s="41">
        <f t="shared" si="149"/>
        <v>0</v>
      </c>
      <c r="Q688" s="44" t="e">
        <f t="shared" si="150"/>
        <v>#VALUE!</v>
      </c>
      <c r="R688" s="44" t="e">
        <f t="shared" si="153"/>
        <v>#VALUE!</v>
      </c>
      <c r="S688" s="44" t="e">
        <f t="shared" si="151"/>
        <v>#VALUE!</v>
      </c>
      <c r="T688" s="41" t="e">
        <f t="shared" si="154"/>
        <v>#VALUE!</v>
      </c>
      <c r="U688" s="41" t="e">
        <f t="shared" si="155"/>
        <v>#VALUE!</v>
      </c>
      <c r="V688" s="41" t="e">
        <f t="shared" si="156"/>
        <v>#VALUE!</v>
      </c>
    </row>
    <row r="689" spans="2:22" x14ac:dyDescent="0.25">
      <c r="B689" s="41" t="b">
        <f t="shared" si="157"/>
        <v>0</v>
      </c>
      <c r="C689" s="41" t="e">
        <f t="shared" si="145"/>
        <v>#VALUE!</v>
      </c>
      <c r="E689" s="45">
        <v>685</v>
      </c>
      <c r="G689" s="138"/>
      <c r="H689" s="135">
        <v>1</v>
      </c>
      <c r="I689" s="46" t="e">
        <f t="shared" si="146"/>
        <v>#VALUE!</v>
      </c>
      <c r="J689" s="41" t="e">
        <f t="shared" si="152"/>
        <v>#VALUE!</v>
      </c>
      <c r="K689" s="41" t="e">
        <f t="shared" si="158"/>
        <v>#VALUE!</v>
      </c>
      <c r="L689" s="41" t="e">
        <f t="shared" si="158"/>
        <v>#VALUE!</v>
      </c>
      <c r="M689" s="41" t="e">
        <f t="shared" si="147"/>
        <v>#VALUE!</v>
      </c>
      <c r="N689" s="41" t="e">
        <f t="shared" si="148"/>
        <v>#VALUE!</v>
      </c>
      <c r="O689" s="41">
        <f t="shared" si="149"/>
        <v>0</v>
      </c>
      <c r="Q689" s="44" t="e">
        <f t="shared" si="150"/>
        <v>#VALUE!</v>
      </c>
      <c r="R689" s="44" t="e">
        <f t="shared" si="153"/>
        <v>#VALUE!</v>
      </c>
      <c r="S689" s="44" t="e">
        <f t="shared" si="151"/>
        <v>#VALUE!</v>
      </c>
      <c r="T689" s="41" t="e">
        <f t="shared" si="154"/>
        <v>#VALUE!</v>
      </c>
      <c r="U689" s="41" t="e">
        <f t="shared" si="155"/>
        <v>#VALUE!</v>
      </c>
      <c r="V689" s="41" t="e">
        <f t="shared" si="156"/>
        <v>#VALUE!</v>
      </c>
    </row>
    <row r="690" spans="2:22" x14ac:dyDescent="0.25">
      <c r="B690" s="41" t="b">
        <f t="shared" si="157"/>
        <v>0</v>
      </c>
      <c r="C690" s="41" t="e">
        <f t="shared" si="145"/>
        <v>#VALUE!</v>
      </c>
      <c r="E690" s="45">
        <v>686</v>
      </c>
      <c r="G690" s="138"/>
      <c r="H690" s="135">
        <v>1</v>
      </c>
      <c r="I690" s="46" t="e">
        <f t="shared" si="146"/>
        <v>#VALUE!</v>
      </c>
      <c r="J690" s="41" t="e">
        <f t="shared" si="152"/>
        <v>#VALUE!</v>
      </c>
      <c r="K690" s="41" t="e">
        <f t="shared" si="158"/>
        <v>#VALUE!</v>
      </c>
      <c r="L690" s="41" t="e">
        <f t="shared" si="158"/>
        <v>#VALUE!</v>
      </c>
      <c r="M690" s="41" t="e">
        <f t="shared" si="147"/>
        <v>#VALUE!</v>
      </c>
      <c r="N690" s="41" t="e">
        <f t="shared" si="148"/>
        <v>#VALUE!</v>
      </c>
      <c r="O690" s="41">
        <f t="shared" si="149"/>
        <v>0</v>
      </c>
      <c r="Q690" s="44" t="e">
        <f t="shared" si="150"/>
        <v>#VALUE!</v>
      </c>
      <c r="R690" s="44" t="e">
        <f t="shared" si="153"/>
        <v>#VALUE!</v>
      </c>
      <c r="S690" s="44" t="e">
        <f t="shared" si="151"/>
        <v>#VALUE!</v>
      </c>
      <c r="T690" s="41" t="e">
        <f t="shared" si="154"/>
        <v>#VALUE!</v>
      </c>
      <c r="U690" s="41" t="e">
        <f t="shared" si="155"/>
        <v>#VALUE!</v>
      </c>
      <c r="V690" s="41" t="e">
        <f t="shared" si="156"/>
        <v>#VALUE!</v>
      </c>
    </row>
    <row r="691" spans="2:22" x14ac:dyDescent="0.25">
      <c r="B691" s="41" t="b">
        <f t="shared" si="157"/>
        <v>0</v>
      </c>
      <c r="C691" s="41" t="e">
        <f t="shared" si="145"/>
        <v>#VALUE!</v>
      </c>
      <c r="E691" s="45">
        <v>687</v>
      </c>
      <c r="G691" s="138"/>
      <c r="H691" s="135">
        <v>1</v>
      </c>
      <c r="I691" s="46" t="e">
        <f t="shared" si="146"/>
        <v>#VALUE!</v>
      </c>
      <c r="J691" s="41" t="e">
        <f t="shared" si="152"/>
        <v>#VALUE!</v>
      </c>
      <c r="K691" s="41" t="e">
        <f t="shared" si="158"/>
        <v>#VALUE!</v>
      </c>
      <c r="L691" s="41" t="e">
        <f t="shared" si="158"/>
        <v>#VALUE!</v>
      </c>
      <c r="M691" s="41" t="e">
        <f t="shared" si="147"/>
        <v>#VALUE!</v>
      </c>
      <c r="N691" s="41" t="e">
        <f t="shared" si="148"/>
        <v>#VALUE!</v>
      </c>
      <c r="O691" s="41">
        <f t="shared" si="149"/>
        <v>0</v>
      </c>
      <c r="Q691" s="44" t="e">
        <f t="shared" si="150"/>
        <v>#VALUE!</v>
      </c>
      <c r="R691" s="44" t="e">
        <f t="shared" si="153"/>
        <v>#VALUE!</v>
      </c>
      <c r="S691" s="44" t="e">
        <f t="shared" si="151"/>
        <v>#VALUE!</v>
      </c>
      <c r="T691" s="41" t="e">
        <f t="shared" si="154"/>
        <v>#VALUE!</v>
      </c>
      <c r="U691" s="41" t="e">
        <f t="shared" si="155"/>
        <v>#VALUE!</v>
      </c>
      <c r="V691" s="41" t="e">
        <f t="shared" si="156"/>
        <v>#VALUE!</v>
      </c>
    </row>
    <row r="692" spans="2:22" x14ac:dyDescent="0.25">
      <c r="B692" s="41" t="b">
        <f t="shared" si="157"/>
        <v>0</v>
      </c>
      <c r="C692" s="41" t="e">
        <f t="shared" si="145"/>
        <v>#VALUE!</v>
      </c>
      <c r="E692" s="45">
        <v>688</v>
      </c>
      <c r="G692" s="138"/>
      <c r="H692" s="135">
        <v>1</v>
      </c>
      <c r="I692" s="46" t="e">
        <f t="shared" si="146"/>
        <v>#VALUE!</v>
      </c>
      <c r="J692" s="41" t="e">
        <f t="shared" si="152"/>
        <v>#VALUE!</v>
      </c>
      <c r="K692" s="41" t="e">
        <f t="shared" si="158"/>
        <v>#VALUE!</v>
      </c>
      <c r="L692" s="41" t="e">
        <f t="shared" si="158"/>
        <v>#VALUE!</v>
      </c>
      <c r="M692" s="41" t="e">
        <f t="shared" si="147"/>
        <v>#VALUE!</v>
      </c>
      <c r="N692" s="41" t="e">
        <f t="shared" si="148"/>
        <v>#VALUE!</v>
      </c>
      <c r="O692" s="41">
        <f t="shared" si="149"/>
        <v>0</v>
      </c>
      <c r="Q692" s="44" t="e">
        <f t="shared" si="150"/>
        <v>#VALUE!</v>
      </c>
      <c r="R692" s="44" t="e">
        <f t="shared" si="153"/>
        <v>#VALUE!</v>
      </c>
      <c r="S692" s="44" t="e">
        <f t="shared" si="151"/>
        <v>#VALUE!</v>
      </c>
      <c r="T692" s="41" t="e">
        <f t="shared" si="154"/>
        <v>#VALUE!</v>
      </c>
      <c r="U692" s="41" t="e">
        <f t="shared" si="155"/>
        <v>#VALUE!</v>
      </c>
      <c r="V692" s="41" t="e">
        <f t="shared" si="156"/>
        <v>#VALUE!</v>
      </c>
    </row>
    <row r="693" spans="2:22" x14ac:dyDescent="0.25">
      <c r="B693" s="41" t="b">
        <f t="shared" si="157"/>
        <v>0</v>
      </c>
      <c r="C693" s="41" t="e">
        <f t="shared" si="145"/>
        <v>#VALUE!</v>
      </c>
      <c r="E693" s="45">
        <v>689</v>
      </c>
      <c r="G693" s="138"/>
      <c r="H693" s="135">
        <v>1</v>
      </c>
      <c r="I693" s="46" t="e">
        <f t="shared" si="146"/>
        <v>#VALUE!</v>
      </c>
      <c r="J693" s="41" t="e">
        <f t="shared" si="152"/>
        <v>#VALUE!</v>
      </c>
      <c r="K693" s="41" t="e">
        <f t="shared" si="158"/>
        <v>#VALUE!</v>
      </c>
      <c r="L693" s="41" t="e">
        <f t="shared" si="158"/>
        <v>#VALUE!</v>
      </c>
      <c r="M693" s="41" t="e">
        <f t="shared" si="147"/>
        <v>#VALUE!</v>
      </c>
      <c r="N693" s="41" t="e">
        <f t="shared" si="148"/>
        <v>#VALUE!</v>
      </c>
      <c r="O693" s="41">
        <f t="shared" si="149"/>
        <v>0</v>
      </c>
      <c r="Q693" s="44" t="e">
        <f t="shared" si="150"/>
        <v>#VALUE!</v>
      </c>
      <c r="R693" s="44" t="e">
        <f t="shared" si="153"/>
        <v>#VALUE!</v>
      </c>
      <c r="S693" s="44" t="e">
        <f t="shared" si="151"/>
        <v>#VALUE!</v>
      </c>
      <c r="T693" s="41" t="e">
        <f t="shared" si="154"/>
        <v>#VALUE!</v>
      </c>
      <c r="U693" s="41" t="e">
        <f t="shared" si="155"/>
        <v>#VALUE!</v>
      </c>
      <c r="V693" s="41" t="e">
        <f t="shared" si="156"/>
        <v>#VALUE!</v>
      </c>
    </row>
    <row r="694" spans="2:22" x14ac:dyDescent="0.25">
      <c r="B694" s="41" t="b">
        <f t="shared" si="157"/>
        <v>0</v>
      </c>
      <c r="C694" s="41" t="e">
        <f t="shared" ref="C694:C757" si="159">SUM(T694:V694)</f>
        <v>#VALUE!</v>
      </c>
      <c r="E694" s="45">
        <v>690</v>
      </c>
      <c r="G694" s="138"/>
      <c r="H694" s="135">
        <v>1</v>
      </c>
      <c r="I694" s="46" t="e">
        <f t="shared" si="146"/>
        <v>#VALUE!</v>
      </c>
      <c r="J694" s="41" t="e">
        <f t="shared" si="152"/>
        <v>#VALUE!</v>
      </c>
      <c r="K694" s="41" t="e">
        <f t="shared" si="158"/>
        <v>#VALUE!</v>
      </c>
      <c r="L694" s="41" t="e">
        <f t="shared" si="158"/>
        <v>#VALUE!</v>
      </c>
      <c r="M694" s="41" t="e">
        <f t="shared" si="147"/>
        <v>#VALUE!</v>
      </c>
      <c r="N694" s="41" t="e">
        <f t="shared" si="148"/>
        <v>#VALUE!</v>
      </c>
      <c r="O694" s="41">
        <f t="shared" si="149"/>
        <v>0</v>
      </c>
      <c r="Q694" s="44" t="e">
        <f t="shared" si="150"/>
        <v>#VALUE!</v>
      </c>
      <c r="R694" s="44" t="e">
        <f t="shared" si="153"/>
        <v>#VALUE!</v>
      </c>
      <c r="S694" s="44" t="e">
        <f t="shared" si="151"/>
        <v>#VALUE!</v>
      </c>
      <c r="T694" s="41" t="e">
        <f t="shared" si="154"/>
        <v>#VALUE!</v>
      </c>
      <c r="U694" s="41" t="e">
        <f t="shared" si="155"/>
        <v>#VALUE!</v>
      </c>
      <c r="V694" s="41" t="e">
        <f t="shared" si="156"/>
        <v>#VALUE!</v>
      </c>
    </row>
    <row r="695" spans="2:22" x14ac:dyDescent="0.25">
      <c r="B695" s="41" t="b">
        <f t="shared" si="157"/>
        <v>0</v>
      </c>
      <c r="C695" s="41" t="e">
        <f t="shared" si="159"/>
        <v>#VALUE!</v>
      </c>
      <c r="E695" s="45">
        <v>691</v>
      </c>
      <c r="G695" s="138"/>
      <c r="H695" s="135">
        <v>1</v>
      </c>
      <c r="I695" s="46" t="e">
        <f t="shared" si="146"/>
        <v>#VALUE!</v>
      </c>
      <c r="J695" s="41" t="e">
        <f t="shared" si="152"/>
        <v>#VALUE!</v>
      </c>
      <c r="K695" s="41" t="e">
        <f t="shared" si="158"/>
        <v>#VALUE!</v>
      </c>
      <c r="L695" s="41" t="e">
        <f t="shared" si="158"/>
        <v>#VALUE!</v>
      </c>
      <c r="M695" s="41" t="e">
        <f t="shared" si="147"/>
        <v>#VALUE!</v>
      </c>
      <c r="N695" s="41" t="e">
        <f t="shared" si="148"/>
        <v>#VALUE!</v>
      </c>
      <c r="O695" s="41">
        <f t="shared" si="149"/>
        <v>0</v>
      </c>
      <c r="Q695" s="44" t="e">
        <f t="shared" si="150"/>
        <v>#VALUE!</v>
      </c>
      <c r="R695" s="44" t="e">
        <f t="shared" si="153"/>
        <v>#VALUE!</v>
      </c>
      <c r="S695" s="44" t="e">
        <f t="shared" si="151"/>
        <v>#VALUE!</v>
      </c>
      <c r="T695" s="41" t="e">
        <f t="shared" si="154"/>
        <v>#VALUE!</v>
      </c>
      <c r="U695" s="41" t="e">
        <f t="shared" si="155"/>
        <v>#VALUE!</v>
      </c>
      <c r="V695" s="41" t="e">
        <f t="shared" si="156"/>
        <v>#VALUE!</v>
      </c>
    </row>
    <row r="696" spans="2:22" x14ac:dyDescent="0.25">
      <c r="B696" s="41" t="b">
        <f t="shared" si="157"/>
        <v>0</v>
      </c>
      <c r="C696" s="41" t="e">
        <f t="shared" si="159"/>
        <v>#VALUE!</v>
      </c>
      <c r="E696" s="45">
        <v>692</v>
      </c>
      <c r="G696" s="138"/>
      <c r="H696" s="135">
        <v>1</v>
      </c>
      <c r="I696" s="46" t="e">
        <f t="shared" si="146"/>
        <v>#VALUE!</v>
      </c>
      <c r="J696" s="41" t="e">
        <f t="shared" si="152"/>
        <v>#VALUE!</v>
      </c>
      <c r="K696" s="41" t="e">
        <f t="shared" si="158"/>
        <v>#VALUE!</v>
      </c>
      <c r="L696" s="41" t="e">
        <f t="shared" si="158"/>
        <v>#VALUE!</v>
      </c>
      <c r="M696" s="41" t="e">
        <f t="shared" si="147"/>
        <v>#VALUE!</v>
      </c>
      <c r="N696" s="41" t="e">
        <f t="shared" si="148"/>
        <v>#VALUE!</v>
      </c>
      <c r="O696" s="41">
        <f t="shared" si="149"/>
        <v>0</v>
      </c>
      <c r="Q696" s="44" t="e">
        <f t="shared" si="150"/>
        <v>#VALUE!</v>
      </c>
      <c r="R696" s="44" t="e">
        <f t="shared" si="153"/>
        <v>#VALUE!</v>
      </c>
      <c r="S696" s="44" t="e">
        <f t="shared" si="151"/>
        <v>#VALUE!</v>
      </c>
      <c r="T696" s="41" t="e">
        <f t="shared" si="154"/>
        <v>#VALUE!</v>
      </c>
      <c r="U696" s="41" t="e">
        <f t="shared" si="155"/>
        <v>#VALUE!</v>
      </c>
      <c r="V696" s="41" t="e">
        <f t="shared" si="156"/>
        <v>#VALUE!</v>
      </c>
    </row>
    <row r="697" spans="2:22" x14ac:dyDescent="0.25">
      <c r="B697" s="41" t="b">
        <f t="shared" si="157"/>
        <v>0</v>
      </c>
      <c r="C697" s="41" t="e">
        <f t="shared" si="159"/>
        <v>#VALUE!</v>
      </c>
      <c r="E697" s="45">
        <v>693</v>
      </c>
      <c r="G697" s="138"/>
      <c r="H697" s="135">
        <v>1</v>
      </c>
      <c r="I697" s="46" t="e">
        <f t="shared" si="146"/>
        <v>#VALUE!</v>
      </c>
      <c r="J697" s="41" t="e">
        <f t="shared" si="152"/>
        <v>#VALUE!</v>
      </c>
      <c r="K697" s="41" t="e">
        <f t="shared" si="158"/>
        <v>#VALUE!</v>
      </c>
      <c r="L697" s="41" t="e">
        <f t="shared" si="158"/>
        <v>#VALUE!</v>
      </c>
      <c r="M697" s="41" t="e">
        <f t="shared" si="147"/>
        <v>#VALUE!</v>
      </c>
      <c r="N697" s="41" t="e">
        <f t="shared" si="148"/>
        <v>#VALUE!</v>
      </c>
      <c r="O697" s="41">
        <f t="shared" si="149"/>
        <v>0</v>
      </c>
      <c r="Q697" s="44" t="e">
        <f t="shared" si="150"/>
        <v>#VALUE!</v>
      </c>
      <c r="R697" s="44" t="e">
        <f t="shared" si="153"/>
        <v>#VALUE!</v>
      </c>
      <c r="S697" s="44" t="e">
        <f t="shared" si="151"/>
        <v>#VALUE!</v>
      </c>
      <c r="T697" s="41" t="e">
        <f t="shared" si="154"/>
        <v>#VALUE!</v>
      </c>
      <c r="U697" s="41" t="e">
        <f t="shared" si="155"/>
        <v>#VALUE!</v>
      </c>
      <c r="V697" s="41" t="e">
        <f t="shared" si="156"/>
        <v>#VALUE!</v>
      </c>
    </row>
    <row r="698" spans="2:22" x14ac:dyDescent="0.25">
      <c r="B698" s="41" t="b">
        <f t="shared" si="157"/>
        <v>0</v>
      </c>
      <c r="C698" s="41" t="e">
        <f t="shared" si="159"/>
        <v>#VALUE!</v>
      </c>
      <c r="E698" s="45">
        <v>694</v>
      </c>
      <c r="G698" s="138"/>
      <c r="H698" s="135">
        <v>1</v>
      </c>
      <c r="I698" s="46" t="e">
        <f t="shared" si="146"/>
        <v>#VALUE!</v>
      </c>
      <c r="J698" s="41" t="e">
        <f t="shared" si="152"/>
        <v>#VALUE!</v>
      </c>
      <c r="K698" s="41" t="e">
        <f t="shared" si="158"/>
        <v>#VALUE!</v>
      </c>
      <c r="L698" s="41" t="e">
        <f t="shared" si="158"/>
        <v>#VALUE!</v>
      </c>
      <c r="M698" s="41" t="e">
        <f t="shared" si="147"/>
        <v>#VALUE!</v>
      </c>
      <c r="N698" s="41" t="e">
        <f t="shared" si="148"/>
        <v>#VALUE!</v>
      </c>
      <c r="O698" s="41">
        <f t="shared" si="149"/>
        <v>0</v>
      </c>
      <c r="Q698" s="44" t="e">
        <f t="shared" si="150"/>
        <v>#VALUE!</v>
      </c>
      <c r="R698" s="44" t="e">
        <f t="shared" si="153"/>
        <v>#VALUE!</v>
      </c>
      <c r="S698" s="44" t="e">
        <f t="shared" si="151"/>
        <v>#VALUE!</v>
      </c>
      <c r="T698" s="41" t="e">
        <f t="shared" si="154"/>
        <v>#VALUE!</v>
      </c>
      <c r="U698" s="41" t="e">
        <f t="shared" si="155"/>
        <v>#VALUE!</v>
      </c>
      <c r="V698" s="41" t="e">
        <f t="shared" si="156"/>
        <v>#VALUE!</v>
      </c>
    </row>
    <row r="699" spans="2:22" x14ac:dyDescent="0.25">
      <c r="B699" s="41" t="b">
        <f t="shared" si="157"/>
        <v>0</v>
      </c>
      <c r="C699" s="41" t="e">
        <f t="shared" si="159"/>
        <v>#VALUE!</v>
      </c>
      <c r="E699" s="45">
        <v>695</v>
      </c>
      <c r="G699" s="138"/>
      <c r="H699" s="135">
        <v>1</v>
      </c>
      <c r="I699" s="46" t="e">
        <f t="shared" si="146"/>
        <v>#VALUE!</v>
      </c>
      <c r="J699" s="41" t="e">
        <f t="shared" si="152"/>
        <v>#VALUE!</v>
      </c>
      <c r="K699" s="41" t="e">
        <f t="shared" si="158"/>
        <v>#VALUE!</v>
      </c>
      <c r="L699" s="41" t="e">
        <f t="shared" si="158"/>
        <v>#VALUE!</v>
      </c>
      <c r="M699" s="41" t="e">
        <f t="shared" si="147"/>
        <v>#VALUE!</v>
      </c>
      <c r="N699" s="41" t="e">
        <f t="shared" si="148"/>
        <v>#VALUE!</v>
      </c>
      <c r="O699" s="41">
        <f t="shared" si="149"/>
        <v>0</v>
      </c>
      <c r="Q699" s="44" t="e">
        <f t="shared" si="150"/>
        <v>#VALUE!</v>
      </c>
      <c r="R699" s="44" t="e">
        <f t="shared" si="153"/>
        <v>#VALUE!</v>
      </c>
      <c r="S699" s="44" t="e">
        <f t="shared" si="151"/>
        <v>#VALUE!</v>
      </c>
      <c r="T699" s="41" t="e">
        <f t="shared" si="154"/>
        <v>#VALUE!</v>
      </c>
      <c r="U699" s="41" t="e">
        <f t="shared" si="155"/>
        <v>#VALUE!</v>
      </c>
      <c r="V699" s="41" t="e">
        <f t="shared" si="156"/>
        <v>#VALUE!</v>
      </c>
    </row>
    <row r="700" spans="2:22" x14ac:dyDescent="0.25">
      <c r="B700" s="41" t="b">
        <f t="shared" si="157"/>
        <v>0</v>
      </c>
      <c r="C700" s="41" t="e">
        <f t="shared" si="159"/>
        <v>#VALUE!</v>
      </c>
      <c r="E700" s="45">
        <v>696</v>
      </c>
      <c r="G700" s="138"/>
      <c r="H700" s="135">
        <v>1</v>
      </c>
      <c r="I700" s="46" t="e">
        <f t="shared" si="146"/>
        <v>#VALUE!</v>
      </c>
      <c r="J700" s="41" t="e">
        <f t="shared" si="152"/>
        <v>#VALUE!</v>
      </c>
      <c r="K700" s="41" t="e">
        <f t="shared" si="158"/>
        <v>#VALUE!</v>
      </c>
      <c r="L700" s="41" t="e">
        <f t="shared" si="158"/>
        <v>#VALUE!</v>
      </c>
      <c r="M700" s="41" t="e">
        <f t="shared" si="147"/>
        <v>#VALUE!</v>
      </c>
      <c r="N700" s="41" t="e">
        <f t="shared" si="148"/>
        <v>#VALUE!</v>
      </c>
      <c r="O700" s="41">
        <f t="shared" si="149"/>
        <v>0</v>
      </c>
      <c r="Q700" s="44" t="e">
        <f t="shared" si="150"/>
        <v>#VALUE!</v>
      </c>
      <c r="R700" s="44" t="e">
        <f t="shared" si="153"/>
        <v>#VALUE!</v>
      </c>
      <c r="S700" s="44" t="e">
        <f t="shared" si="151"/>
        <v>#VALUE!</v>
      </c>
      <c r="T700" s="41" t="e">
        <f t="shared" si="154"/>
        <v>#VALUE!</v>
      </c>
      <c r="U700" s="41" t="e">
        <f t="shared" si="155"/>
        <v>#VALUE!</v>
      </c>
      <c r="V700" s="41" t="e">
        <f t="shared" si="156"/>
        <v>#VALUE!</v>
      </c>
    </row>
    <row r="701" spans="2:22" x14ac:dyDescent="0.25">
      <c r="B701" s="41" t="b">
        <f t="shared" si="157"/>
        <v>0</v>
      </c>
      <c r="C701" s="41" t="e">
        <f t="shared" si="159"/>
        <v>#VALUE!</v>
      </c>
      <c r="E701" s="45">
        <v>697</v>
      </c>
      <c r="G701" s="138"/>
      <c r="H701" s="135">
        <v>1</v>
      </c>
      <c r="I701" s="46" t="e">
        <f t="shared" si="146"/>
        <v>#VALUE!</v>
      </c>
      <c r="J701" s="41" t="e">
        <f t="shared" si="152"/>
        <v>#VALUE!</v>
      </c>
      <c r="K701" s="41" t="e">
        <f t="shared" si="158"/>
        <v>#VALUE!</v>
      </c>
      <c r="L701" s="41" t="e">
        <f t="shared" si="158"/>
        <v>#VALUE!</v>
      </c>
      <c r="M701" s="41" t="e">
        <f t="shared" si="147"/>
        <v>#VALUE!</v>
      </c>
      <c r="N701" s="41" t="e">
        <f t="shared" si="148"/>
        <v>#VALUE!</v>
      </c>
      <c r="O701" s="41">
        <f t="shared" si="149"/>
        <v>0</v>
      </c>
      <c r="Q701" s="44" t="e">
        <f t="shared" si="150"/>
        <v>#VALUE!</v>
      </c>
      <c r="R701" s="44" t="e">
        <f t="shared" si="153"/>
        <v>#VALUE!</v>
      </c>
      <c r="S701" s="44" t="e">
        <f t="shared" si="151"/>
        <v>#VALUE!</v>
      </c>
      <c r="T701" s="41" t="e">
        <f t="shared" si="154"/>
        <v>#VALUE!</v>
      </c>
      <c r="U701" s="41" t="e">
        <f t="shared" si="155"/>
        <v>#VALUE!</v>
      </c>
      <c r="V701" s="41" t="e">
        <f t="shared" si="156"/>
        <v>#VALUE!</v>
      </c>
    </row>
    <row r="702" spans="2:22" x14ac:dyDescent="0.25">
      <c r="B702" s="41" t="b">
        <f t="shared" si="157"/>
        <v>0</v>
      </c>
      <c r="C702" s="41" t="e">
        <f t="shared" si="159"/>
        <v>#VALUE!</v>
      </c>
      <c r="E702" s="45">
        <v>698</v>
      </c>
      <c r="G702" s="138"/>
      <c r="H702" s="135">
        <v>1</v>
      </c>
      <c r="I702" s="46" t="e">
        <f t="shared" si="146"/>
        <v>#VALUE!</v>
      </c>
      <c r="J702" s="41" t="e">
        <f t="shared" si="152"/>
        <v>#VALUE!</v>
      </c>
      <c r="K702" s="41" t="e">
        <f t="shared" si="158"/>
        <v>#VALUE!</v>
      </c>
      <c r="L702" s="41" t="e">
        <f t="shared" si="158"/>
        <v>#VALUE!</v>
      </c>
      <c r="M702" s="41" t="e">
        <f t="shared" si="147"/>
        <v>#VALUE!</v>
      </c>
      <c r="N702" s="41" t="e">
        <f t="shared" si="148"/>
        <v>#VALUE!</v>
      </c>
      <c r="O702" s="41">
        <f t="shared" si="149"/>
        <v>0</v>
      </c>
      <c r="Q702" s="44" t="e">
        <f t="shared" si="150"/>
        <v>#VALUE!</v>
      </c>
      <c r="R702" s="44" t="e">
        <f t="shared" si="153"/>
        <v>#VALUE!</v>
      </c>
      <c r="S702" s="44" t="e">
        <f t="shared" si="151"/>
        <v>#VALUE!</v>
      </c>
      <c r="T702" s="41" t="e">
        <f t="shared" si="154"/>
        <v>#VALUE!</v>
      </c>
      <c r="U702" s="41" t="e">
        <f t="shared" si="155"/>
        <v>#VALUE!</v>
      </c>
      <c r="V702" s="41" t="e">
        <f t="shared" si="156"/>
        <v>#VALUE!</v>
      </c>
    </row>
    <row r="703" spans="2:22" x14ac:dyDescent="0.25">
      <c r="B703" s="41" t="b">
        <f t="shared" si="157"/>
        <v>0</v>
      </c>
      <c r="C703" s="41" t="e">
        <f t="shared" si="159"/>
        <v>#VALUE!</v>
      </c>
      <c r="E703" s="45">
        <v>699</v>
      </c>
      <c r="G703" s="138"/>
      <c r="H703" s="135">
        <v>1</v>
      </c>
      <c r="I703" s="46" t="e">
        <f t="shared" si="146"/>
        <v>#VALUE!</v>
      </c>
      <c r="J703" s="41" t="e">
        <f t="shared" si="152"/>
        <v>#VALUE!</v>
      </c>
      <c r="K703" s="41" t="e">
        <f t="shared" si="158"/>
        <v>#VALUE!</v>
      </c>
      <c r="L703" s="41" t="e">
        <f t="shared" si="158"/>
        <v>#VALUE!</v>
      </c>
      <c r="M703" s="41" t="e">
        <f t="shared" si="147"/>
        <v>#VALUE!</v>
      </c>
      <c r="N703" s="41" t="e">
        <f t="shared" si="148"/>
        <v>#VALUE!</v>
      </c>
      <c r="O703" s="41">
        <f t="shared" si="149"/>
        <v>0</v>
      </c>
      <c r="Q703" s="44" t="e">
        <f t="shared" si="150"/>
        <v>#VALUE!</v>
      </c>
      <c r="R703" s="44" t="e">
        <f t="shared" si="153"/>
        <v>#VALUE!</v>
      </c>
      <c r="S703" s="44" t="e">
        <f t="shared" si="151"/>
        <v>#VALUE!</v>
      </c>
      <c r="T703" s="41" t="e">
        <f t="shared" si="154"/>
        <v>#VALUE!</v>
      </c>
      <c r="U703" s="41" t="e">
        <f t="shared" si="155"/>
        <v>#VALUE!</v>
      </c>
      <c r="V703" s="41" t="e">
        <f t="shared" si="156"/>
        <v>#VALUE!</v>
      </c>
    </row>
    <row r="704" spans="2:22" x14ac:dyDescent="0.25">
      <c r="B704" s="41" t="b">
        <f t="shared" si="157"/>
        <v>0</v>
      </c>
      <c r="C704" s="41" t="e">
        <f t="shared" si="159"/>
        <v>#VALUE!</v>
      </c>
      <c r="E704" s="45">
        <v>700</v>
      </c>
      <c r="G704" s="138"/>
      <c r="H704" s="135">
        <v>1</v>
      </c>
      <c r="I704" s="46" t="e">
        <f t="shared" si="146"/>
        <v>#VALUE!</v>
      </c>
      <c r="J704" s="41" t="e">
        <f t="shared" si="152"/>
        <v>#VALUE!</v>
      </c>
      <c r="K704" s="41" t="e">
        <f t="shared" si="158"/>
        <v>#VALUE!</v>
      </c>
      <c r="L704" s="41" t="e">
        <f t="shared" si="158"/>
        <v>#VALUE!</v>
      </c>
      <c r="M704" s="41" t="e">
        <f t="shared" si="147"/>
        <v>#VALUE!</v>
      </c>
      <c r="N704" s="41" t="e">
        <f t="shared" si="148"/>
        <v>#VALUE!</v>
      </c>
      <c r="O704" s="41">
        <f t="shared" si="149"/>
        <v>0</v>
      </c>
      <c r="Q704" s="44" t="e">
        <f t="shared" si="150"/>
        <v>#VALUE!</v>
      </c>
      <c r="R704" s="44" t="e">
        <f t="shared" si="153"/>
        <v>#VALUE!</v>
      </c>
      <c r="S704" s="44" t="e">
        <f t="shared" si="151"/>
        <v>#VALUE!</v>
      </c>
      <c r="T704" s="41" t="e">
        <f t="shared" si="154"/>
        <v>#VALUE!</v>
      </c>
      <c r="U704" s="41" t="e">
        <f t="shared" si="155"/>
        <v>#VALUE!</v>
      </c>
      <c r="V704" s="41" t="e">
        <f t="shared" si="156"/>
        <v>#VALUE!</v>
      </c>
    </row>
    <row r="705" spans="2:22" x14ac:dyDescent="0.25">
      <c r="B705" s="41" t="b">
        <f t="shared" si="157"/>
        <v>0</v>
      </c>
      <c r="C705" s="41" t="e">
        <f t="shared" si="159"/>
        <v>#VALUE!</v>
      </c>
      <c r="E705" s="45">
        <v>701</v>
      </c>
      <c r="G705" s="138"/>
      <c r="H705" s="135">
        <v>1</v>
      </c>
      <c r="I705" s="46" t="e">
        <f t="shared" si="146"/>
        <v>#VALUE!</v>
      </c>
      <c r="J705" s="41" t="e">
        <f t="shared" si="152"/>
        <v>#VALUE!</v>
      </c>
      <c r="K705" s="41" t="e">
        <f t="shared" si="158"/>
        <v>#VALUE!</v>
      </c>
      <c r="L705" s="41" t="e">
        <f t="shared" si="158"/>
        <v>#VALUE!</v>
      </c>
      <c r="M705" s="41" t="e">
        <f t="shared" si="147"/>
        <v>#VALUE!</v>
      </c>
      <c r="N705" s="41" t="e">
        <f t="shared" si="148"/>
        <v>#VALUE!</v>
      </c>
      <c r="O705" s="41">
        <f t="shared" si="149"/>
        <v>0</v>
      </c>
      <c r="Q705" s="44" t="e">
        <f t="shared" si="150"/>
        <v>#VALUE!</v>
      </c>
      <c r="R705" s="44" t="e">
        <f t="shared" si="153"/>
        <v>#VALUE!</v>
      </c>
      <c r="S705" s="44" t="e">
        <f t="shared" si="151"/>
        <v>#VALUE!</v>
      </c>
      <c r="T705" s="41" t="e">
        <f t="shared" si="154"/>
        <v>#VALUE!</v>
      </c>
      <c r="U705" s="41" t="e">
        <f t="shared" si="155"/>
        <v>#VALUE!</v>
      </c>
      <c r="V705" s="41" t="e">
        <f t="shared" si="156"/>
        <v>#VALUE!</v>
      </c>
    </row>
    <row r="706" spans="2:22" x14ac:dyDescent="0.25">
      <c r="B706" s="41" t="b">
        <f t="shared" si="157"/>
        <v>0</v>
      </c>
      <c r="C706" s="41" t="e">
        <f t="shared" si="159"/>
        <v>#VALUE!</v>
      </c>
      <c r="E706" s="45">
        <v>702</v>
      </c>
      <c r="G706" s="138"/>
      <c r="H706" s="135">
        <v>1</v>
      </c>
      <c r="I706" s="46" t="e">
        <f t="shared" si="146"/>
        <v>#VALUE!</v>
      </c>
      <c r="J706" s="41" t="e">
        <f t="shared" si="152"/>
        <v>#VALUE!</v>
      </c>
      <c r="K706" s="41" t="e">
        <f t="shared" si="158"/>
        <v>#VALUE!</v>
      </c>
      <c r="L706" s="41" t="e">
        <f t="shared" si="158"/>
        <v>#VALUE!</v>
      </c>
      <c r="M706" s="41" t="e">
        <f t="shared" si="147"/>
        <v>#VALUE!</v>
      </c>
      <c r="N706" s="41" t="e">
        <f t="shared" si="148"/>
        <v>#VALUE!</v>
      </c>
      <c r="O706" s="41">
        <f t="shared" si="149"/>
        <v>0</v>
      </c>
      <c r="Q706" s="44" t="e">
        <f t="shared" si="150"/>
        <v>#VALUE!</v>
      </c>
      <c r="R706" s="44" t="e">
        <f t="shared" si="153"/>
        <v>#VALUE!</v>
      </c>
      <c r="S706" s="44" t="e">
        <f t="shared" si="151"/>
        <v>#VALUE!</v>
      </c>
      <c r="T706" s="41" t="e">
        <f t="shared" si="154"/>
        <v>#VALUE!</v>
      </c>
      <c r="U706" s="41" t="e">
        <f t="shared" si="155"/>
        <v>#VALUE!</v>
      </c>
      <c r="V706" s="41" t="e">
        <f t="shared" si="156"/>
        <v>#VALUE!</v>
      </c>
    </row>
    <row r="707" spans="2:22" x14ac:dyDescent="0.25">
      <c r="B707" s="41" t="b">
        <f t="shared" si="157"/>
        <v>0</v>
      </c>
      <c r="C707" s="41" t="e">
        <f t="shared" si="159"/>
        <v>#VALUE!</v>
      </c>
      <c r="E707" s="45">
        <v>703</v>
      </c>
      <c r="G707" s="138"/>
      <c r="H707" s="135">
        <v>1</v>
      </c>
      <c r="I707" s="46" t="e">
        <f t="shared" si="146"/>
        <v>#VALUE!</v>
      </c>
      <c r="J707" s="41" t="e">
        <f t="shared" si="152"/>
        <v>#VALUE!</v>
      </c>
      <c r="K707" s="41" t="e">
        <f t="shared" si="158"/>
        <v>#VALUE!</v>
      </c>
      <c r="L707" s="41" t="e">
        <f t="shared" si="158"/>
        <v>#VALUE!</v>
      </c>
      <c r="M707" s="41" t="e">
        <f t="shared" si="147"/>
        <v>#VALUE!</v>
      </c>
      <c r="N707" s="41" t="e">
        <f t="shared" si="148"/>
        <v>#VALUE!</v>
      </c>
      <c r="O707" s="41">
        <f t="shared" si="149"/>
        <v>0</v>
      </c>
      <c r="Q707" s="44" t="e">
        <f t="shared" si="150"/>
        <v>#VALUE!</v>
      </c>
      <c r="R707" s="44" t="e">
        <f t="shared" si="153"/>
        <v>#VALUE!</v>
      </c>
      <c r="S707" s="44" t="e">
        <f t="shared" si="151"/>
        <v>#VALUE!</v>
      </c>
      <c r="T707" s="41" t="e">
        <f t="shared" si="154"/>
        <v>#VALUE!</v>
      </c>
      <c r="U707" s="41" t="e">
        <f t="shared" si="155"/>
        <v>#VALUE!</v>
      </c>
      <c r="V707" s="41" t="e">
        <f t="shared" si="156"/>
        <v>#VALUE!</v>
      </c>
    </row>
    <row r="708" spans="2:22" x14ac:dyDescent="0.25">
      <c r="B708" s="41" t="b">
        <f t="shared" si="157"/>
        <v>0</v>
      </c>
      <c r="C708" s="41" t="e">
        <f t="shared" si="159"/>
        <v>#VALUE!</v>
      </c>
      <c r="E708" s="45">
        <v>704</v>
      </c>
      <c r="G708" s="138"/>
      <c r="H708" s="135">
        <v>1</v>
      </c>
      <c r="I708" s="46" t="e">
        <f t="shared" ref="I708:I771" si="160">RIGHT(G708,J708)</f>
        <v>#VALUE!</v>
      </c>
      <c r="J708" s="41" t="e">
        <f t="shared" si="152"/>
        <v>#VALUE!</v>
      </c>
      <c r="K708" s="41" t="e">
        <f t="shared" si="158"/>
        <v>#VALUE!</v>
      </c>
      <c r="L708" s="41" t="e">
        <f t="shared" si="158"/>
        <v>#VALUE!</v>
      </c>
      <c r="M708" s="41" t="e">
        <f t="shared" ref="M708:M771" si="161">SEARCH("-",G708,2)</f>
        <v>#VALUE!</v>
      </c>
      <c r="N708" s="41" t="e">
        <f t="shared" ref="N708:N771" si="162">SEARCH("-",G708,M708+1)</f>
        <v>#VALUE!</v>
      </c>
      <c r="O708" s="41">
        <f t="shared" ref="O708:O771" si="163">LEN(G708)</f>
        <v>0</v>
      </c>
      <c r="Q708" s="44" t="e">
        <f t="shared" ref="Q708:Q771" si="164">LEFT(G708,M708-1)</f>
        <v>#VALUE!</v>
      </c>
      <c r="R708" s="44" t="e">
        <f t="shared" si="153"/>
        <v>#VALUE!</v>
      </c>
      <c r="S708" s="44" t="e">
        <f t="shared" ref="S708:S771" si="165">RIGHT(G708,L708)</f>
        <v>#VALUE!</v>
      </c>
      <c r="T708" s="41" t="e">
        <f t="shared" si="154"/>
        <v>#VALUE!</v>
      </c>
      <c r="U708" s="41" t="e">
        <f t="shared" si="155"/>
        <v>#VALUE!</v>
      </c>
      <c r="V708" s="41" t="e">
        <f t="shared" si="156"/>
        <v>#VALUE!</v>
      </c>
    </row>
    <row r="709" spans="2:22" x14ac:dyDescent="0.25">
      <c r="B709" s="41" t="b">
        <f t="shared" si="157"/>
        <v>0</v>
      </c>
      <c r="C709" s="41" t="e">
        <f t="shared" si="159"/>
        <v>#VALUE!</v>
      </c>
      <c r="E709" s="45">
        <v>705</v>
      </c>
      <c r="G709" s="138"/>
      <c r="H709" s="135">
        <v>1</v>
      </c>
      <c r="I709" s="46" t="e">
        <f t="shared" si="160"/>
        <v>#VALUE!</v>
      </c>
      <c r="J709" s="41" t="e">
        <f t="shared" ref="J709:J772" si="166">O709-M709</f>
        <v>#VALUE!</v>
      </c>
      <c r="K709" s="41" t="e">
        <f t="shared" si="158"/>
        <v>#VALUE!</v>
      </c>
      <c r="L709" s="41" t="e">
        <f t="shared" si="158"/>
        <v>#VALUE!</v>
      </c>
      <c r="M709" s="41" t="e">
        <f t="shared" si="161"/>
        <v>#VALUE!</v>
      </c>
      <c r="N709" s="41" t="e">
        <f t="shared" si="162"/>
        <v>#VALUE!</v>
      </c>
      <c r="O709" s="41">
        <f t="shared" si="163"/>
        <v>0</v>
      </c>
      <c r="Q709" s="44" t="e">
        <f t="shared" si="164"/>
        <v>#VALUE!</v>
      </c>
      <c r="R709" s="44" t="e">
        <f t="shared" ref="R709:R772" si="167">LEFT(I709,K709-1)</f>
        <v>#VALUE!</v>
      </c>
      <c r="S709" s="44" t="e">
        <f t="shared" si="165"/>
        <v>#VALUE!</v>
      </c>
      <c r="T709" s="41" t="e">
        <f t="shared" ref="T709:T772" si="168">Q709*1*H709</f>
        <v>#VALUE!</v>
      </c>
      <c r="U709" s="41" t="e">
        <f t="shared" ref="U709:U772" si="169">R709*1*H709</f>
        <v>#VALUE!</v>
      </c>
      <c r="V709" s="41" t="e">
        <f t="shared" ref="V709:V772" si="170">S709*1*H709</f>
        <v>#VALUE!</v>
      </c>
    </row>
    <row r="710" spans="2:22" x14ac:dyDescent="0.25">
      <c r="B710" s="41" t="b">
        <f t="shared" si="157"/>
        <v>0</v>
      </c>
      <c r="C710" s="41" t="e">
        <f t="shared" si="159"/>
        <v>#VALUE!</v>
      </c>
      <c r="E710" s="45">
        <v>706</v>
      </c>
      <c r="G710" s="138"/>
      <c r="H710" s="135">
        <v>1</v>
      </c>
      <c r="I710" s="46" t="e">
        <f t="shared" si="160"/>
        <v>#VALUE!</v>
      </c>
      <c r="J710" s="41" t="e">
        <f t="shared" si="166"/>
        <v>#VALUE!</v>
      </c>
      <c r="K710" s="41" t="e">
        <f t="shared" si="158"/>
        <v>#VALUE!</v>
      </c>
      <c r="L710" s="41" t="e">
        <f t="shared" si="158"/>
        <v>#VALUE!</v>
      </c>
      <c r="M710" s="41" t="e">
        <f t="shared" si="161"/>
        <v>#VALUE!</v>
      </c>
      <c r="N710" s="41" t="e">
        <f t="shared" si="162"/>
        <v>#VALUE!</v>
      </c>
      <c r="O710" s="41">
        <f t="shared" si="163"/>
        <v>0</v>
      </c>
      <c r="Q710" s="44" t="e">
        <f t="shared" si="164"/>
        <v>#VALUE!</v>
      </c>
      <c r="R710" s="44" t="e">
        <f t="shared" si="167"/>
        <v>#VALUE!</v>
      </c>
      <c r="S710" s="44" t="e">
        <f t="shared" si="165"/>
        <v>#VALUE!</v>
      </c>
      <c r="T710" s="41" t="e">
        <f t="shared" si="168"/>
        <v>#VALUE!</v>
      </c>
      <c r="U710" s="41" t="e">
        <f t="shared" si="169"/>
        <v>#VALUE!</v>
      </c>
      <c r="V710" s="41" t="e">
        <f t="shared" si="170"/>
        <v>#VALUE!</v>
      </c>
    </row>
    <row r="711" spans="2:22" x14ac:dyDescent="0.25">
      <c r="B711" s="41" t="b">
        <f t="shared" si="157"/>
        <v>0</v>
      </c>
      <c r="C711" s="41" t="e">
        <f t="shared" si="159"/>
        <v>#VALUE!</v>
      </c>
      <c r="E711" s="45">
        <v>707</v>
      </c>
      <c r="G711" s="138"/>
      <c r="H711" s="135">
        <v>1</v>
      </c>
      <c r="I711" s="46" t="e">
        <f t="shared" si="160"/>
        <v>#VALUE!</v>
      </c>
      <c r="J711" s="41" t="e">
        <f t="shared" si="166"/>
        <v>#VALUE!</v>
      </c>
      <c r="K711" s="41" t="e">
        <f t="shared" si="158"/>
        <v>#VALUE!</v>
      </c>
      <c r="L711" s="41" t="e">
        <f t="shared" si="158"/>
        <v>#VALUE!</v>
      </c>
      <c r="M711" s="41" t="e">
        <f t="shared" si="161"/>
        <v>#VALUE!</v>
      </c>
      <c r="N711" s="41" t="e">
        <f t="shared" si="162"/>
        <v>#VALUE!</v>
      </c>
      <c r="O711" s="41">
        <f t="shared" si="163"/>
        <v>0</v>
      </c>
      <c r="Q711" s="44" t="e">
        <f t="shared" si="164"/>
        <v>#VALUE!</v>
      </c>
      <c r="R711" s="44" t="e">
        <f t="shared" si="167"/>
        <v>#VALUE!</v>
      </c>
      <c r="S711" s="44" t="e">
        <f t="shared" si="165"/>
        <v>#VALUE!</v>
      </c>
      <c r="T711" s="41" t="e">
        <f t="shared" si="168"/>
        <v>#VALUE!</v>
      </c>
      <c r="U711" s="41" t="e">
        <f t="shared" si="169"/>
        <v>#VALUE!</v>
      </c>
      <c r="V711" s="41" t="e">
        <f t="shared" si="170"/>
        <v>#VALUE!</v>
      </c>
    </row>
    <row r="712" spans="2:22" x14ac:dyDescent="0.25">
      <c r="B712" s="41" t="b">
        <f t="shared" si="157"/>
        <v>0</v>
      </c>
      <c r="C712" s="41" t="e">
        <f t="shared" si="159"/>
        <v>#VALUE!</v>
      </c>
      <c r="E712" s="45">
        <v>708</v>
      </c>
      <c r="G712" s="138"/>
      <c r="H712" s="135">
        <v>1</v>
      </c>
      <c r="I712" s="46" t="e">
        <f t="shared" si="160"/>
        <v>#VALUE!</v>
      </c>
      <c r="J712" s="41" t="e">
        <f t="shared" si="166"/>
        <v>#VALUE!</v>
      </c>
      <c r="K712" s="41" t="e">
        <f t="shared" si="158"/>
        <v>#VALUE!</v>
      </c>
      <c r="L712" s="41" t="e">
        <f t="shared" si="158"/>
        <v>#VALUE!</v>
      </c>
      <c r="M712" s="41" t="e">
        <f t="shared" si="161"/>
        <v>#VALUE!</v>
      </c>
      <c r="N712" s="41" t="e">
        <f t="shared" si="162"/>
        <v>#VALUE!</v>
      </c>
      <c r="O712" s="41">
        <f t="shared" si="163"/>
        <v>0</v>
      </c>
      <c r="Q712" s="44" t="e">
        <f t="shared" si="164"/>
        <v>#VALUE!</v>
      </c>
      <c r="R712" s="44" t="e">
        <f t="shared" si="167"/>
        <v>#VALUE!</v>
      </c>
      <c r="S712" s="44" t="e">
        <f t="shared" si="165"/>
        <v>#VALUE!</v>
      </c>
      <c r="T712" s="41" t="e">
        <f t="shared" si="168"/>
        <v>#VALUE!</v>
      </c>
      <c r="U712" s="41" t="e">
        <f t="shared" si="169"/>
        <v>#VALUE!</v>
      </c>
      <c r="V712" s="41" t="e">
        <f t="shared" si="170"/>
        <v>#VALUE!</v>
      </c>
    </row>
    <row r="713" spans="2:22" x14ac:dyDescent="0.25">
      <c r="B713" s="41" t="b">
        <f t="shared" si="157"/>
        <v>0</v>
      </c>
      <c r="C713" s="41" t="e">
        <f t="shared" si="159"/>
        <v>#VALUE!</v>
      </c>
      <c r="E713" s="45">
        <v>709</v>
      </c>
      <c r="G713" s="138"/>
      <c r="H713" s="135">
        <v>1</v>
      </c>
      <c r="I713" s="46" t="e">
        <f t="shared" si="160"/>
        <v>#VALUE!</v>
      </c>
      <c r="J713" s="41" t="e">
        <f t="shared" si="166"/>
        <v>#VALUE!</v>
      </c>
      <c r="K713" s="41" t="e">
        <f t="shared" si="158"/>
        <v>#VALUE!</v>
      </c>
      <c r="L713" s="41" t="e">
        <f t="shared" si="158"/>
        <v>#VALUE!</v>
      </c>
      <c r="M713" s="41" t="e">
        <f t="shared" si="161"/>
        <v>#VALUE!</v>
      </c>
      <c r="N713" s="41" t="e">
        <f t="shared" si="162"/>
        <v>#VALUE!</v>
      </c>
      <c r="O713" s="41">
        <f t="shared" si="163"/>
        <v>0</v>
      </c>
      <c r="Q713" s="44" t="e">
        <f t="shared" si="164"/>
        <v>#VALUE!</v>
      </c>
      <c r="R713" s="44" t="e">
        <f t="shared" si="167"/>
        <v>#VALUE!</v>
      </c>
      <c r="S713" s="44" t="e">
        <f t="shared" si="165"/>
        <v>#VALUE!</v>
      </c>
      <c r="T713" s="41" t="e">
        <f t="shared" si="168"/>
        <v>#VALUE!</v>
      </c>
      <c r="U713" s="41" t="e">
        <f t="shared" si="169"/>
        <v>#VALUE!</v>
      </c>
      <c r="V713" s="41" t="e">
        <f t="shared" si="170"/>
        <v>#VALUE!</v>
      </c>
    </row>
    <row r="714" spans="2:22" x14ac:dyDescent="0.25">
      <c r="B714" s="41" t="b">
        <f t="shared" si="157"/>
        <v>0</v>
      </c>
      <c r="C714" s="41" t="e">
        <f t="shared" si="159"/>
        <v>#VALUE!</v>
      </c>
      <c r="E714" s="45">
        <v>710</v>
      </c>
      <c r="G714" s="138"/>
      <c r="H714" s="135">
        <v>1</v>
      </c>
      <c r="I714" s="46" t="e">
        <f t="shared" si="160"/>
        <v>#VALUE!</v>
      </c>
      <c r="J714" s="41" t="e">
        <f t="shared" si="166"/>
        <v>#VALUE!</v>
      </c>
      <c r="K714" s="41" t="e">
        <f t="shared" si="158"/>
        <v>#VALUE!</v>
      </c>
      <c r="L714" s="41" t="e">
        <f t="shared" si="158"/>
        <v>#VALUE!</v>
      </c>
      <c r="M714" s="41" t="e">
        <f t="shared" si="161"/>
        <v>#VALUE!</v>
      </c>
      <c r="N714" s="41" t="e">
        <f t="shared" si="162"/>
        <v>#VALUE!</v>
      </c>
      <c r="O714" s="41">
        <f t="shared" si="163"/>
        <v>0</v>
      </c>
      <c r="Q714" s="44" t="e">
        <f t="shared" si="164"/>
        <v>#VALUE!</v>
      </c>
      <c r="R714" s="44" t="e">
        <f t="shared" si="167"/>
        <v>#VALUE!</v>
      </c>
      <c r="S714" s="44" t="e">
        <f t="shared" si="165"/>
        <v>#VALUE!</v>
      </c>
      <c r="T714" s="41" t="e">
        <f t="shared" si="168"/>
        <v>#VALUE!</v>
      </c>
      <c r="U714" s="41" t="e">
        <f t="shared" si="169"/>
        <v>#VALUE!</v>
      </c>
      <c r="V714" s="41" t="e">
        <f t="shared" si="170"/>
        <v>#VALUE!</v>
      </c>
    </row>
    <row r="715" spans="2:22" x14ac:dyDescent="0.25">
      <c r="B715" s="41" t="b">
        <f t="shared" si="157"/>
        <v>0</v>
      </c>
      <c r="C715" s="41" t="e">
        <f t="shared" si="159"/>
        <v>#VALUE!</v>
      </c>
      <c r="E715" s="45">
        <v>711</v>
      </c>
      <c r="G715" s="138"/>
      <c r="H715" s="135">
        <v>1</v>
      </c>
      <c r="I715" s="46" t="e">
        <f t="shared" si="160"/>
        <v>#VALUE!</v>
      </c>
      <c r="J715" s="41" t="e">
        <f t="shared" si="166"/>
        <v>#VALUE!</v>
      </c>
      <c r="K715" s="41" t="e">
        <f t="shared" si="158"/>
        <v>#VALUE!</v>
      </c>
      <c r="L715" s="41" t="e">
        <f t="shared" si="158"/>
        <v>#VALUE!</v>
      </c>
      <c r="M715" s="41" t="e">
        <f t="shared" si="161"/>
        <v>#VALUE!</v>
      </c>
      <c r="N715" s="41" t="e">
        <f t="shared" si="162"/>
        <v>#VALUE!</v>
      </c>
      <c r="O715" s="41">
        <f t="shared" si="163"/>
        <v>0</v>
      </c>
      <c r="Q715" s="44" t="e">
        <f t="shared" si="164"/>
        <v>#VALUE!</v>
      </c>
      <c r="R715" s="44" t="e">
        <f t="shared" si="167"/>
        <v>#VALUE!</v>
      </c>
      <c r="S715" s="44" t="e">
        <f t="shared" si="165"/>
        <v>#VALUE!</v>
      </c>
      <c r="T715" s="41" t="e">
        <f t="shared" si="168"/>
        <v>#VALUE!</v>
      </c>
      <c r="U715" s="41" t="e">
        <f t="shared" si="169"/>
        <v>#VALUE!</v>
      </c>
      <c r="V715" s="41" t="e">
        <f t="shared" si="170"/>
        <v>#VALUE!</v>
      </c>
    </row>
    <row r="716" spans="2:22" x14ac:dyDescent="0.25">
      <c r="B716" s="41" t="b">
        <f t="shared" si="157"/>
        <v>0</v>
      </c>
      <c r="C716" s="41" t="e">
        <f t="shared" si="159"/>
        <v>#VALUE!</v>
      </c>
      <c r="E716" s="45">
        <v>712</v>
      </c>
      <c r="G716" s="138"/>
      <c r="H716" s="135">
        <v>1</v>
      </c>
      <c r="I716" s="46" t="e">
        <f t="shared" si="160"/>
        <v>#VALUE!</v>
      </c>
      <c r="J716" s="41" t="e">
        <f t="shared" si="166"/>
        <v>#VALUE!</v>
      </c>
      <c r="K716" s="41" t="e">
        <f t="shared" si="158"/>
        <v>#VALUE!</v>
      </c>
      <c r="L716" s="41" t="e">
        <f t="shared" si="158"/>
        <v>#VALUE!</v>
      </c>
      <c r="M716" s="41" t="e">
        <f t="shared" si="161"/>
        <v>#VALUE!</v>
      </c>
      <c r="N716" s="41" t="e">
        <f t="shared" si="162"/>
        <v>#VALUE!</v>
      </c>
      <c r="O716" s="41">
        <f t="shared" si="163"/>
        <v>0</v>
      </c>
      <c r="Q716" s="44" t="e">
        <f t="shared" si="164"/>
        <v>#VALUE!</v>
      </c>
      <c r="R716" s="44" t="e">
        <f t="shared" si="167"/>
        <v>#VALUE!</v>
      </c>
      <c r="S716" s="44" t="e">
        <f t="shared" si="165"/>
        <v>#VALUE!</v>
      </c>
      <c r="T716" s="41" t="e">
        <f t="shared" si="168"/>
        <v>#VALUE!</v>
      </c>
      <c r="U716" s="41" t="e">
        <f t="shared" si="169"/>
        <v>#VALUE!</v>
      </c>
      <c r="V716" s="41" t="e">
        <f t="shared" si="170"/>
        <v>#VALUE!</v>
      </c>
    </row>
    <row r="717" spans="2:22" x14ac:dyDescent="0.25">
      <c r="B717" s="41" t="b">
        <f t="shared" si="157"/>
        <v>0</v>
      </c>
      <c r="C717" s="41" t="e">
        <f t="shared" si="159"/>
        <v>#VALUE!</v>
      </c>
      <c r="E717" s="45">
        <v>713</v>
      </c>
      <c r="G717" s="138"/>
      <c r="H717" s="135">
        <v>1</v>
      </c>
      <c r="I717" s="46" t="e">
        <f t="shared" si="160"/>
        <v>#VALUE!</v>
      </c>
      <c r="J717" s="41" t="e">
        <f t="shared" si="166"/>
        <v>#VALUE!</v>
      </c>
      <c r="K717" s="41" t="e">
        <f t="shared" si="158"/>
        <v>#VALUE!</v>
      </c>
      <c r="L717" s="41" t="e">
        <f t="shared" si="158"/>
        <v>#VALUE!</v>
      </c>
      <c r="M717" s="41" t="e">
        <f t="shared" si="161"/>
        <v>#VALUE!</v>
      </c>
      <c r="N717" s="41" t="e">
        <f t="shared" si="162"/>
        <v>#VALUE!</v>
      </c>
      <c r="O717" s="41">
        <f t="shared" si="163"/>
        <v>0</v>
      </c>
      <c r="Q717" s="44" t="e">
        <f t="shared" si="164"/>
        <v>#VALUE!</v>
      </c>
      <c r="R717" s="44" t="e">
        <f t="shared" si="167"/>
        <v>#VALUE!</v>
      </c>
      <c r="S717" s="44" t="e">
        <f t="shared" si="165"/>
        <v>#VALUE!</v>
      </c>
      <c r="T717" s="41" t="e">
        <f t="shared" si="168"/>
        <v>#VALUE!</v>
      </c>
      <c r="U717" s="41" t="e">
        <f t="shared" si="169"/>
        <v>#VALUE!</v>
      </c>
      <c r="V717" s="41" t="e">
        <f t="shared" si="170"/>
        <v>#VALUE!</v>
      </c>
    </row>
    <row r="718" spans="2:22" x14ac:dyDescent="0.25">
      <c r="B718" s="41" t="b">
        <f t="shared" ref="B718:B781" si="171">ISNUMBER(C718)</f>
        <v>0</v>
      </c>
      <c r="C718" s="41" t="e">
        <f t="shared" si="159"/>
        <v>#VALUE!</v>
      </c>
      <c r="E718" s="45">
        <v>714</v>
      </c>
      <c r="G718" s="138"/>
      <c r="H718" s="135">
        <v>1</v>
      </c>
      <c r="I718" s="46" t="e">
        <f t="shared" si="160"/>
        <v>#VALUE!</v>
      </c>
      <c r="J718" s="41" t="e">
        <f t="shared" si="166"/>
        <v>#VALUE!</v>
      </c>
      <c r="K718" s="41" t="e">
        <f t="shared" si="158"/>
        <v>#VALUE!</v>
      </c>
      <c r="L718" s="41" t="e">
        <f t="shared" si="158"/>
        <v>#VALUE!</v>
      </c>
      <c r="M718" s="41" t="e">
        <f t="shared" si="161"/>
        <v>#VALUE!</v>
      </c>
      <c r="N718" s="41" t="e">
        <f t="shared" si="162"/>
        <v>#VALUE!</v>
      </c>
      <c r="O718" s="41">
        <f t="shared" si="163"/>
        <v>0</v>
      </c>
      <c r="Q718" s="44" t="e">
        <f t="shared" si="164"/>
        <v>#VALUE!</v>
      </c>
      <c r="R718" s="44" t="e">
        <f t="shared" si="167"/>
        <v>#VALUE!</v>
      </c>
      <c r="S718" s="44" t="e">
        <f t="shared" si="165"/>
        <v>#VALUE!</v>
      </c>
      <c r="T718" s="41" t="e">
        <f t="shared" si="168"/>
        <v>#VALUE!</v>
      </c>
      <c r="U718" s="41" t="e">
        <f t="shared" si="169"/>
        <v>#VALUE!</v>
      </c>
      <c r="V718" s="41" t="e">
        <f t="shared" si="170"/>
        <v>#VALUE!</v>
      </c>
    </row>
    <row r="719" spans="2:22" x14ac:dyDescent="0.25">
      <c r="B719" s="41" t="b">
        <f t="shared" si="171"/>
        <v>0</v>
      </c>
      <c r="C719" s="41" t="e">
        <f t="shared" si="159"/>
        <v>#VALUE!</v>
      </c>
      <c r="E719" s="45">
        <v>715</v>
      </c>
      <c r="G719" s="138"/>
      <c r="H719" s="135">
        <v>1</v>
      </c>
      <c r="I719" s="46" t="e">
        <f t="shared" si="160"/>
        <v>#VALUE!</v>
      </c>
      <c r="J719" s="41" t="e">
        <f t="shared" si="166"/>
        <v>#VALUE!</v>
      </c>
      <c r="K719" s="41" t="e">
        <f t="shared" si="158"/>
        <v>#VALUE!</v>
      </c>
      <c r="L719" s="41" t="e">
        <f t="shared" si="158"/>
        <v>#VALUE!</v>
      </c>
      <c r="M719" s="41" t="e">
        <f t="shared" si="161"/>
        <v>#VALUE!</v>
      </c>
      <c r="N719" s="41" t="e">
        <f t="shared" si="162"/>
        <v>#VALUE!</v>
      </c>
      <c r="O719" s="41">
        <f t="shared" si="163"/>
        <v>0</v>
      </c>
      <c r="Q719" s="44" t="e">
        <f t="shared" si="164"/>
        <v>#VALUE!</v>
      </c>
      <c r="R719" s="44" t="e">
        <f t="shared" si="167"/>
        <v>#VALUE!</v>
      </c>
      <c r="S719" s="44" t="e">
        <f t="shared" si="165"/>
        <v>#VALUE!</v>
      </c>
      <c r="T719" s="41" t="e">
        <f t="shared" si="168"/>
        <v>#VALUE!</v>
      </c>
      <c r="U719" s="41" t="e">
        <f t="shared" si="169"/>
        <v>#VALUE!</v>
      </c>
      <c r="V719" s="41" t="e">
        <f t="shared" si="170"/>
        <v>#VALUE!</v>
      </c>
    </row>
    <row r="720" spans="2:22" x14ac:dyDescent="0.25">
      <c r="B720" s="41" t="b">
        <f t="shared" si="171"/>
        <v>0</v>
      </c>
      <c r="C720" s="41" t="e">
        <f t="shared" si="159"/>
        <v>#VALUE!</v>
      </c>
      <c r="E720" s="45">
        <v>716</v>
      </c>
      <c r="G720" s="138"/>
      <c r="H720" s="135">
        <v>1</v>
      </c>
      <c r="I720" s="46" t="e">
        <f t="shared" si="160"/>
        <v>#VALUE!</v>
      </c>
      <c r="J720" s="41" t="e">
        <f t="shared" si="166"/>
        <v>#VALUE!</v>
      </c>
      <c r="K720" s="41" t="e">
        <f t="shared" si="158"/>
        <v>#VALUE!</v>
      </c>
      <c r="L720" s="41" t="e">
        <f t="shared" si="158"/>
        <v>#VALUE!</v>
      </c>
      <c r="M720" s="41" t="e">
        <f t="shared" si="161"/>
        <v>#VALUE!</v>
      </c>
      <c r="N720" s="41" t="e">
        <f t="shared" si="162"/>
        <v>#VALUE!</v>
      </c>
      <c r="O720" s="41">
        <f t="shared" si="163"/>
        <v>0</v>
      </c>
      <c r="Q720" s="44" t="e">
        <f t="shared" si="164"/>
        <v>#VALUE!</v>
      </c>
      <c r="R720" s="44" t="e">
        <f t="shared" si="167"/>
        <v>#VALUE!</v>
      </c>
      <c r="S720" s="44" t="e">
        <f t="shared" si="165"/>
        <v>#VALUE!</v>
      </c>
      <c r="T720" s="41" t="e">
        <f t="shared" si="168"/>
        <v>#VALUE!</v>
      </c>
      <c r="U720" s="41" t="e">
        <f t="shared" si="169"/>
        <v>#VALUE!</v>
      </c>
      <c r="V720" s="41" t="e">
        <f t="shared" si="170"/>
        <v>#VALUE!</v>
      </c>
    </row>
    <row r="721" spans="2:22" x14ac:dyDescent="0.25">
      <c r="B721" s="41" t="b">
        <f t="shared" si="171"/>
        <v>0</v>
      </c>
      <c r="C721" s="41" t="e">
        <f t="shared" si="159"/>
        <v>#VALUE!</v>
      </c>
      <c r="E721" s="45">
        <v>717</v>
      </c>
      <c r="G721" s="138"/>
      <c r="H721" s="135">
        <v>1</v>
      </c>
      <c r="I721" s="46" t="e">
        <f t="shared" si="160"/>
        <v>#VALUE!</v>
      </c>
      <c r="J721" s="41" t="e">
        <f t="shared" si="166"/>
        <v>#VALUE!</v>
      </c>
      <c r="K721" s="41" t="e">
        <f t="shared" si="158"/>
        <v>#VALUE!</v>
      </c>
      <c r="L721" s="41" t="e">
        <f t="shared" si="158"/>
        <v>#VALUE!</v>
      </c>
      <c r="M721" s="41" t="e">
        <f t="shared" si="161"/>
        <v>#VALUE!</v>
      </c>
      <c r="N721" s="41" t="e">
        <f t="shared" si="162"/>
        <v>#VALUE!</v>
      </c>
      <c r="O721" s="41">
        <f t="shared" si="163"/>
        <v>0</v>
      </c>
      <c r="Q721" s="44" t="e">
        <f t="shared" si="164"/>
        <v>#VALUE!</v>
      </c>
      <c r="R721" s="44" t="e">
        <f t="shared" si="167"/>
        <v>#VALUE!</v>
      </c>
      <c r="S721" s="44" t="e">
        <f t="shared" si="165"/>
        <v>#VALUE!</v>
      </c>
      <c r="T721" s="41" t="e">
        <f t="shared" si="168"/>
        <v>#VALUE!</v>
      </c>
      <c r="U721" s="41" t="e">
        <f t="shared" si="169"/>
        <v>#VALUE!</v>
      </c>
      <c r="V721" s="41" t="e">
        <f t="shared" si="170"/>
        <v>#VALUE!</v>
      </c>
    </row>
    <row r="722" spans="2:22" x14ac:dyDescent="0.25">
      <c r="B722" s="41" t="b">
        <f t="shared" si="171"/>
        <v>0</v>
      </c>
      <c r="C722" s="41" t="e">
        <f t="shared" si="159"/>
        <v>#VALUE!</v>
      </c>
      <c r="E722" s="45">
        <v>718</v>
      </c>
      <c r="G722" s="138"/>
      <c r="H722" s="135">
        <v>1</v>
      </c>
      <c r="I722" s="46" t="e">
        <f t="shared" si="160"/>
        <v>#VALUE!</v>
      </c>
      <c r="J722" s="41" t="e">
        <f t="shared" si="166"/>
        <v>#VALUE!</v>
      </c>
      <c r="K722" s="41" t="e">
        <f t="shared" si="158"/>
        <v>#VALUE!</v>
      </c>
      <c r="L722" s="41" t="e">
        <f t="shared" si="158"/>
        <v>#VALUE!</v>
      </c>
      <c r="M722" s="41" t="e">
        <f t="shared" si="161"/>
        <v>#VALUE!</v>
      </c>
      <c r="N722" s="41" t="e">
        <f t="shared" si="162"/>
        <v>#VALUE!</v>
      </c>
      <c r="O722" s="41">
        <f t="shared" si="163"/>
        <v>0</v>
      </c>
      <c r="Q722" s="44" t="e">
        <f t="shared" si="164"/>
        <v>#VALUE!</v>
      </c>
      <c r="R722" s="44" t="e">
        <f t="shared" si="167"/>
        <v>#VALUE!</v>
      </c>
      <c r="S722" s="44" t="e">
        <f t="shared" si="165"/>
        <v>#VALUE!</v>
      </c>
      <c r="T722" s="41" t="e">
        <f t="shared" si="168"/>
        <v>#VALUE!</v>
      </c>
      <c r="U722" s="41" t="e">
        <f t="shared" si="169"/>
        <v>#VALUE!</v>
      </c>
      <c r="V722" s="41" t="e">
        <f t="shared" si="170"/>
        <v>#VALUE!</v>
      </c>
    </row>
    <row r="723" spans="2:22" x14ac:dyDescent="0.25">
      <c r="B723" s="41" t="b">
        <f t="shared" si="171"/>
        <v>0</v>
      </c>
      <c r="C723" s="41" t="e">
        <f t="shared" si="159"/>
        <v>#VALUE!</v>
      </c>
      <c r="E723" s="45">
        <v>719</v>
      </c>
      <c r="G723" s="138"/>
      <c r="H723" s="135">
        <v>1</v>
      </c>
      <c r="I723" s="46" t="e">
        <f t="shared" si="160"/>
        <v>#VALUE!</v>
      </c>
      <c r="J723" s="41" t="e">
        <f t="shared" si="166"/>
        <v>#VALUE!</v>
      </c>
      <c r="K723" s="41" t="e">
        <f t="shared" si="158"/>
        <v>#VALUE!</v>
      </c>
      <c r="L723" s="41" t="e">
        <f t="shared" si="158"/>
        <v>#VALUE!</v>
      </c>
      <c r="M723" s="41" t="e">
        <f t="shared" si="161"/>
        <v>#VALUE!</v>
      </c>
      <c r="N723" s="41" t="e">
        <f t="shared" si="162"/>
        <v>#VALUE!</v>
      </c>
      <c r="O723" s="41">
        <f t="shared" si="163"/>
        <v>0</v>
      </c>
      <c r="Q723" s="44" t="e">
        <f t="shared" si="164"/>
        <v>#VALUE!</v>
      </c>
      <c r="R723" s="44" t="e">
        <f t="shared" si="167"/>
        <v>#VALUE!</v>
      </c>
      <c r="S723" s="44" t="e">
        <f t="shared" si="165"/>
        <v>#VALUE!</v>
      </c>
      <c r="T723" s="41" t="e">
        <f t="shared" si="168"/>
        <v>#VALUE!</v>
      </c>
      <c r="U723" s="41" t="e">
        <f t="shared" si="169"/>
        <v>#VALUE!</v>
      </c>
      <c r="V723" s="41" t="e">
        <f t="shared" si="170"/>
        <v>#VALUE!</v>
      </c>
    </row>
    <row r="724" spans="2:22" x14ac:dyDescent="0.25">
      <c r="B724" s="41" t="b">
        <f t="shared" si="171"/>
        <v>0</v>
      </c>
      <c r="C724" s="41" t="e">
        <f t="shared" si="159"/>
        <v>#VALUE!</v>
      </c>
      <c r="E724" s="45">
        <v>720</v>
      </c>
      <c r="G724" s="138"/>
      <c r="H724" s="135">
        <v>1</v>
      </c>
      <c r="I724" s="46" t="e">
        <f t="shared" si="160"/>
        <v>#VALUE!</v>
      </c>
      <c r="J724" s="41" t="e">
        <f t="shared" si="166"/>
        <v>#VALUE!</v>
      </c>
      <c r="K724" s="41" t="e">
        <f t="shared" si="158"/>
        <v>#VALUE!</v>
      </c>
      <c r="L724" s="41" t="e">
        <f t="shared" si="158"/>
        <v>#VALUE!</v>
      </c>
      <c r="M724" s="41" t="e">
        <f t="shared" si="161"/>
        <v>#VALUE!</v>
      </c>
      <c r="N724" s="41" t="e">
        <f t="shared" si="162"/>
        <v>#VALUE!</v>
      </c>
      <c r="O724" s="41">
        <f t="shared" si="163"/>
        <v>0</v>
      </c>
      <c r="Q724" s="44" t="e">
        <f t="shared" si="164"/>
        <v>#VALUE!</v>
      </c>
      <c r="R724" s="44" t="e">
        <f t="shared" si="167"/>
        <v>#VALUE!</v>
      </c>
      <c r="S724" s="44" t="e">
        <f t="shared" si="165"/>
        <v>#VALUE!</v>
      </c>
      <c r="T724" s="41" t="e">
        <f t="shared" si="168"/>
        <v>#VALUE!</v>
      </c>
      <c r="U724" s="41" t="e">
        <f t="shared" si="169"/>
        <v>#VALUE!</v>
      </c>
      <c r="V724" s="41" t="e">
        <f t="shared" si="170"/>
        <v>#VALUE!</v>
      </c>
    </row>
    <row r="725" spans="2:22" x14ac:dyDescent="0.25">
      <c r="B725" s="41" t="b">
        <f t="shared" si="171"/>
        <v>0</v>
      </c>
      <c r="C725" s="41" t="e">
        <f t="shared" si="159"/>
        <v>#VALUE!</v>
      </c>
      <c r="E725" s="45">
        <v>721</v>
      </c>
      <c r="G725" s="138"/>
      <c r="H725" s="135">
        <v>1</v>
      </c>
      <c r="I725" s="46" t="e">
        <f t="shared" si="160"/>
        <v>#VALUE!</v>
      </c>
      <c r="J725" s="41" t="e">
        <f t="shared" si="166"/>
        <v>#VALUE!</v>
      </c>
      <c r="K725" s="41" t="e">
        <f t="shared" si="158"/>
        <v>#VALUE!</v>
      </c>
      <c r="L725" s="41" t="e">
        <f t="shared" si="158"/>
        <v>#VALUE!</v>
      </c>
      <c r="M725" s="41" t="e">
        <f t="shared" si="161"/>
        <v>#VALUE!</v>
      </c>
      <c r="N725" s="41" t="e">
        <f t="shared" si="162"/>
        <v>#VALUE!</v>
      </c>
      <c r="O725" s="41">
        <f t="shared" si="163"/>
        <v>0</v>
      </c>
      <c r="Q725" s="44" t="e">
        <f t="shared" si="164"/>
        <v>#VALUE!</v>
      </c>
      <c r="R725" s="44" t="e">
        <f t="shared" si="167"/>
        <v>#VALUE!</v>
      </c>
      <c r="S725" s="44" t="e">
        <f t="shared" si="165"/>
        <v>#VALUE!</v>
      </c>
      <c r="T725" s="41" t="e">
        <f t="shared" si="168"/>
        <v>#VALUE!</v>
      </c>
      <c r="U725" s="41" t="e">
        <f t="shared" si="169"/>
        <v>#VALUE!</v>
      </c>
      <c r="V725" s="41" t="e">
        <f t="shared" si="170"/>
        <v>#VALUE!</v>
      </c>
    </row>
    <row r="726" spans="2:22" x14ac:dyDescent="0.25">
      <c r="B726" s="41" t="b">
        <f t="shared" si="171"/>
        <v>0</v>
      </c>
      <c r="C726" s="41" t="e">
        <f t="shared" si="159"/>
        <v>#VALUE!</v>
      </c>
      <c r="E726" s="45">
        <v>722</v>
      </c>
      <c r="G726" s="138"/>
      <c r="H726" s="135">
        <v>1</v>
      </c>
      <c r="I726" s="46" t="e">
        <f t="shared" si="160"/>
        <v>#VALUE!</v>
      </c>
      <c r="J726" s="41" t="e">
        <f t="shared" si="166"/>
        <v>#VALUE!</v>
      </c>
      <c r="K726" s="41" t="e">
        <f t="shared" si="158"/>
        <v>#VALUE!</v>
      </c>
      <c r="L726" s="41" t="e">
        <f t="shared" si="158"/>
        <v>#VALUE!</v>
      </c>
      <c r="M726" s="41" t="e">
        <f t="shared" si="161"/>
        <v>#VALUE!</v>
      </c>
      <c r="N726" s="41" t="e">
        <f t="shared" si="162"/>
        <v>#VALUE!</v>
      </c>
      <c r="O726" s="41">
        <f t="shared" si="163"/>
        <v>0</v>
      </c>
      <c r="Q726" s="44" t="e">
        <f t="shared" si="164"/>
        <v>#VALUE!</v>
      </c>
      <c r="R726" s="44" t="e">
        <f t="shared" si="167"/>
        <v>#VALUE!</v>
      </c>
      <c r="S726" s="44" t="e">
        <f t="shared" si="165"/>
        <v>#VALUE!</v>
      </c>
      <c r="T726" s="41" t="e">
        <f t="shared" si="168"/>
        <v>#VALUE!</v>
      </c>
      <c r="U726" s="41" t="e">
        <f t="shared" si="169"/>
        <v>#VALUE!</v>
      </c>
      <c r="V726" s="41" t="e">
        <f t="shared" si="170"/>
        <v>#VALUE!</v>
      </c>
    </row>
    <row r="727" spans="2:22" x14ac:dyDescent="0.25">
      <c r="B727" s="41" t="b">
        <f t="shared" si="171"/>
        <v>0</v>
      </c>
      <c r="C727" s="41" t="e">
        <f t="shared" si="159"/>
        <v>#VALUE!</v>
      </c>
      <c r="E727" s="45">
        <v>723</v>
      </c>
      <c r="G727" s="138"/>
      <c r="H727" s="135">
        <v>1</v>
      </c>
      <c r="I727" s="46" t="e">
        <f t="shared" si="160"/>
        <v>#VALUE!</v>
      </c>
      <c r="J727" s="41" t="e">
        <f t="shared" si="166"/>
        <v>#VALUE!</v>
      </c>
      <c r="K727" s="41" t="e">
        <f t="shared" si="158"/>
        <v>#VALUE!</v>
      </c>
      <c r="L727" s="41" t="e">
        <f t="shared" si="158"/>
        <v>#VALUE!</v>
      </c>
      <c r="M727" s="41" t="e">
        <f t="shared" si="161"/>
        <v>#VALUE!</v>
      </c>
      <c r="N727" s="41" t="e">
        <f t="shared" si="162"/>
        <v>#VALUE!</v>
      </c>
      <c r="O727" s="41">
        <f t="shared" si="163"/>
        <v>0</v>
      </c>
      <c r="Q727" s="44" t="e">
        <f t="shared" si="164"/>
        <v>#VALUE!</v>
      </c>
      <c r="R727" s="44" t="e">
        <f t="shared" si="167"/>
        <v>#VALUE!</v>
      </c>
      <c r="S727" s="44" t="e">
        <f t="shared" si="165"/>
        <v>#VALUE!</v>
      </c>
      <c r="T727" s="41" t="e">
        <f t="shared" si="168"/>
        <v>#VALUE!</v>
      </c>
      <c r="U727" s="41" t="e">
        <f t="shared" si="169"/>
        <v>#VALUE!</v>
      </c>
      <c r="V727" s="41" t="e">
        <f t="shared" si="170"/>
        <v>#VALUE!</v>
      </c>
    </row>
    <row r="728" spans="2:22" x14ac:dyDescent="0.25">
      <c r="B728" s="41" t="b">
        <f t="shared" si="171"/>
        <v>0</v>
      </c>
      <c r="C728" s="41" t="e">
        <f t="shared" si="159"/>
        <v>#VALUE!</v>
      </c>
      <c r="E728" s="45">
        <v>724</v>
      </c>
      <c r="G728" s="138"/>
      <c r="H728" s="135">
        <v>1</v>
      </c>
      <c r="I728" s="46" t="e">
        <f t="shared" si="160"/>
        <v>#VALUE!</v>
      </c>
      <c r="J728" s="41" t="e">
        <f t="shared" si="166"/>
        <v>#VALUE!</v>
      </c>
      <c r="K728" s="41" t="e">
        <f t="shared" si="158"/>
        <v>#VALUE!</v>
      </c>
      <c r="L728" s="41" t="e">
        <f t="shared" si="158"/>
        <v>#VALUE!</v>
      </c>
      <c r="M728" s="41" t="e">
        <f t="shared" si="161"/>
        <v>#VALUE!</v>
      </c>
      <c r="N728" s="41" t="e">
        <f t="shared" si="162"/>
        <v>#VALUE!</v>
      </c>
      <c r="O728" s="41">
        <f t="shared" si="163"/>
        <v>0</v>
      </c>
      <c r="Q728" s="44" t="e">
        <f t="shared" si="164"/>
        <v>#VALUE!</v>
      </c>
      <c r="R728" s="44" t="e">
        <f t="shared" si="167"/>
        <v>#VALUE!</v>
      </c>
      <c r="S728" s="44" t="e">
        <f t="shared" si="165"/>
        <v>#VALUE!</v>
      </c>
      <c r="T728" s="41" t="e">
        <f t="shared" si="168"/>
        <v>#VALUE!</v>
      </c>
      <c r="U728" s="41" t="e">
        <f t="shared" si="169"/>
        <v>#VALUE!</v>
      </c>
      <c r="V728" s="41" t="e">
        <f t="shared" si="170"/>
        <v>#VALUE!</v>
      </c>
    </row>
    <row r="729" spans="2:22" x14ac:dyDescent="0.25">
      <c r="B729" s="41" t="b">
        <f t="shared" si="171"/>
        <v>0</v>
      </c>
      <c r="C729" s="41" t="e">
        <f t="shared" si="159"/>
        <v>#VALUE!</v>
      </c>
      <c r="E729" s="45">
        <v>725</v>
      </c>
      <c r="G729" s="138"/>
      <c r="H729" s="135">
        <v>1</v>
      </c>
      <c r="I729" s="46" t="e">
        <f t="shared" si="160"/>
        <v>#VALUE!</v>
      </c>
      <c r="J729" s="41" t="e">
        <f t="shared" si="166"/>
        <v>#VALUE!</v>
      </c>
      <c r="K729" s="41" t="e">
        <f t="shared" si="158"/>
        <v>#VALUE!</v>
      </c>
      <c r="L729" s="41" t="e">
        <f t="shared" si="158"/>
        <v>#VALUE!</v>
      </c>
      <c r="M729" s="41" t="e">
        <f t="shared" si="161"/>
        <v>#VALUE!</v>
      </c>
      <c r="N729" s="41" t="e">
        <f t="shared" si="162"/>
        <v>#VALUE!</v>
      </c>
      <c r="O729" s="41">
        <f t="shared" si="163"/>
        <v>0</v>
      </c>
      <c r="Q729" s="44" t="e">
        <f t="shared" si="164"/>
        <v>#VALUE!</v>
      </c>
      <c r="R729" s="44" t="e">
        <f t="shared" si="167"/>
        <v>#VALUE!</v>
      </c>
      <c r="S729" s="44" t="e">
        <f t="shared" si="165"/>
        <v>#VALUE!</v>
      </c>
      <c r="T729" s="41" t="e">
        <f t="shared" si="168"/>
        <v>#VALUE!</v>
      </c>
      <c r="U729" s="41" t="e">
        <f t="shared" si="169"/>
        <v>#VALUE!</v>
      </c>
      <c r="V729" s="41" t="e">
        <f t="shared" si="170"/>
        <v>#VALUE!</v>
      </c>
    </row>
    <row r="730" spans="2:22" x14ac:dyDescent="0.25">
      <c r="B730" s="41" t="b">
        <f t="shared" si="171"/>
        <v>0</v>
      </c>
      <c r="C730" s="41" t="e">
        <f t="shared" si="159"/>
        <v>#VALUE!</v>
      </c>
      <c r="E730" s="45">
        <v>726</v>
      </c>
      <c r="G730" s="138"/>
      <c r="H730" s="135">
        <v>1</v>
      </c>
      <c r="I730" s="46" t="e">
        <f t="shared" si="160"/>
        <v>#VALUE!</v>
      </c>
      <c r="J730" s="41" t="e">
        <f t="shared" si="166"/>
        <v>#VALUE!</v>
      </c>
      <c r="K730" s="41" t="e">
        <f t="shared" si="158"/>
        <v>#VALUE!</v>
      </c>
      <c r="L730" s="41" t="e">
        <f t="shared" si="158"/>
        <v>#VALUE!</v>
      </c>
      <c r="M730" s="41" t="e">
        <f t="shared" si="161"/>
        <v>#VALUE!</v>
      </c>
      <c r="N730" s="41" t="e">
        <f t="shared" si="162"/>
        <v>#VALUE!</v>
      </c>
      <c r="O730" s="41">
        <f t="shared" si="163"/>
        <v>0</v>
      </c>
      <c r="Q730" s="44" t="e">
        <f t="shared" si="164"/>
        <v>#VALUE!</v>
      </c>
      <c r="R730" s="44" t="e">
        <f t="shared" si="167"/>
        <v>#VALUE!</v>
      </c>
      <c r="S730" s="44" t="e">
        <f t="shared" si="165"/>
        <v>#VALUE!</v>
      </c>
      <c r="T730" s="41" t="e">
        <f t="shared" si="168"/>
        <v>#VALUE!</v>
      </c>
      <c r="U730" s="41" t="e">
        <f t="shared" si="169"/>
        <v>#VALUE!</v>
      </c>
      <c r="V730" s="41" t="e">
        <f t="shared" si="170"/>
        <v>#VALUE!</v>
      </c>
    </row>
    <row r="731" spans="2:22" x14ac:dyDescent="0.25">
      <c r="B731" s="41" t="b">
        <f t="shared" si="171"/>
        <v>0</v>
      </c>
      <c r="C731" s="41" t="e">
        <f t="shared" si="159"/>
        <v>#VALUE!</v>
      </c>
      <c r="E731" s="45">
        <v>727</v>
      </c>
      <c r="G731" s="138"/>
      <c r="H731" s="135">
        <v>1</v>
      </c>
      <c r="I731" s="46" t="e">
        <f t="shared" si="160"/>
        <v>#VALUE!</v>
      </c>
      <c r="J731" s="41" t="e">
        <f t="shared" si="166"/>
        <v>#VALUE!</v>
      </c>
      <c r="K731" s="41" t="e">
        <f t="shared" si="158"/>
        <v>#VALUE!</v>
      </c>
      <c r="L731" s="41" t="e">
        <f t="shared" si="158"/>
        <v>#VALUE!</v>
      </c>
      <c r="M731" s="41" t="e">
        <f t="shared" si="161"/>
        <v>#VALUE!</v>
      </c>
      <c r="N731" s="41" t="e">
        <f t="shared" si="162"/>
        <v>#VALUE!</v>
      </c>
      <c r="O731" s="41">
        <f t="shared" si="163"/>
        <v>0</v>
      </c>
      <c r="Q731" s="44" t="e">
        <f t="shared" si="164"/>
        <v>#VALUE!</v>
      </c>
      <c r="R731" s="44" t="e">
        <f t="shared" si="167"/>
        <v>#VALUE!</v>
      </c>
      <c r="S731" s="44" t="e">
        <f t="shared" si="165"/>
        <v>#VALUE!</v>
      </c>
      <c r="T731" s="41" t="e">
        <f t="shared" si="168"/>
        <v>#VALUE!</v>
      </c>
      <c r="U731" s="41" t="e">
        <f t="shared" si="169"/>
        <v>#VALUE!</v>
      </c>
      <c r="V731" s="41" t="e">
        <f t="shared" si="170"/>
        <v>#VALUE!</v>
      </c>
    </row>
    <row r="732" spans="2:22" x14ac:dyDescent="0.25">
      <c r="B732" s="41" t="b">
        <f t="shared" si="171"/>
        <v>0</v>
      </c>
      <c r="C732" s="41" t="e">
        <f t="shared" si="159"/>
        <v>#VALUE!</v>
      </c>
      <c r="E732" s="45">
        <v>728</v>
      </c>
      <c r="G732" s="138"/>
      <c r="H732" s="135">
        <v>1</v>
      </c>
      <c r="I732" s="46" t="e">
        <f t="shared" si="160"/>
        <v>#VALUE!</v>
      </c>
      <c r="J732" s="41" t="e">
        <f t="shared" si="166"/>
        <v>#VALUE!</v>
      </c>
      <c r="K732" s="41" t="e">
        <f t="shared" si="158"/>
        <v>#VALUE!</v>
      </c>
      <c r="L732" s="41" t="e">
        <f t="shared" si="158"/>
        <v>#VALUE!</v>
      </c>
      <c r="M732" s="41" t="e">
        <f t="shared" si="161"/>
        <v>#VALUE!</v>
      </c>
      <c r="N732" s="41" t="e">
        <f t="shared" si="162"/>
        <v>#VALUE!</v>
      </c>
      <c r="O732" s="41">
        <f t="shared" si="163"/>
        <v>0</v>
      </c>
      <c r="Q732" s="44" t="e">
        <f t="shared" si="164"/>
        <v>#VALUE!</v>
      </c>
      <c r="R732" s="44" t="e">
        <f t="shared" si="167"/>
        <v>#VALUE!</v>
      </c>
      <c r="S732" s="44" t="e">
        <f t="shared" si="165"/>
        <v>#VALUE!</v>
      </c>
      <c r="T732" s="41" t="e">
        <f t="shared" si="168"/>
        <v>#VALUE!</v>
      </c>
      <c r="U732" s="41" t="e">
        <f t="shared" si="169"/>
        <v>#VALUE!</v>
      </c>
      <c r="V732" s="41" t="e">
        <f t="shared" si="170"/>
        <v>#VALUE!</v>
      </c>
    </row>
    <row r="733" spans="2:22" x14ac:dyDescent="0.25">
      <c r="B733" s="41" t="b">
        <f t="shared" si="171"/>
        <v>0</v>
      </c>
      <c r="C733" s="41" t="e">
        <f t="shared" si="159"/>
        <v>#VALUE!</v>
      </c>
      <c r="E733" s="45">
        <v>729</v>
      </c>
      <c r="G733" s="138"/>
      <c r="H733" s="135">
        <v>1</v>
      </c>
      <c r="I733" s="46" t="e">
        <f t="shared" si="160"/>
        <v>#VALUE!</v>
      </c>
      <c r="J733" s="41" t="e">
        <f t="shared" si="166"/>
        <v>#VALUE!</v>
      </c>
      <c r="K733" s="41" t="e">
        <f t="shared" si="158"/>
        <v>#VALUE!</v>
      </c>
      <c r="L733" s="41" t="e">
        <f t="shared" si="158"/>
        <v>#VALUE!</v>
      </c>
      <c r="M733" s="41" t="e">
        <f t="shared" si="161"/>
        <v>#VALUE!</v>
      </c>
      <c r="N733" s="41" t="e">
        <f t="shared" si="162"/>
        <v>#VALUE!</v>
      </c>
      <c r="O733" s="41">
        <f t="shared" si="163"/>
        <v>0</v>
      </c>
      <c r="Q733" s="44" t="e">
        <f t="shared" si="164"/>
        <v>#VALUE!</v>
      </c>
      <c r="R733" s="44" t="e">
        <f t="shared" si="167"/>
        <v>#VALUE!</v>
      </c>
      <c r="S733" s="44" t="e">
        <f t="shared" si="165"/>
        <v>#VALUE!</v>
      </c>
      <c r="T733" s="41" t="e">
        <f t="shared" si="168"/>
        <v>#VALUE!</v>
      </c>
      <c r="U733" s="41" t="e">
        <f t="shared" si="169"/>
        <v>#VALUE!</v>
      </c>
      <c r="V733" s="41" t="e">
        <f t="shared" si="170"/>
        <v>#VALUE!</v>
      </c>
    </row>
    <row r="734" spans="2:22" x14ac:dyDescent="0.25">
      <c r="B734" s="41" t="b">
        <f t="shared" si="171"/>
        <v>0</v>
      </c>
      <c r="C734" s="41" t="e">
        <f t="shared" si="159"/>
        <v>#VALUE!</v>
      </c>
      <c r="E734" s="45">
        <v>730</v>
      </c>
      <c r="G734" s="138"/>
      <c r="H734" s="135">
        <v>1</v>
      </c>
      <c r="I734" s="46" t="e">
        <f t="shared" si="160"/>
        <v>#VALUE!</v>
      </c>
      <c r="J734" s="41" t="e">
        <f t="shared" si="166"/>
        <v>#VALUE!</v>
      </c>
      <c r="K734" s="41" t="e">
        <f t="shared" si="158"/>
        <v>#VALUE!</v>
      </c>
      <c r="L734" s="41" t="e">
        <f t="shared" si="158"/>
        <v>#VALUE!</v>
      </c>
      <c r="M734" s="41" t="e">
        <f t="shared" si="161"/>
        <v>#VALUE!</v>
      </c>
      <c r="N734" s="41" t="e">
        <f t="shared" si="162"/>
        <v>#VALUE!</v>
      </c>
      <c r="O734" s="41">
        <f t="shared" si="163"/>
        <v>0</v>
      </c>
      <c r="Q734" s="44" t="e">
        <f t="shared" si="164"/>
        <v>#VALUE!</v>
      </c>
      <c r="R734" s="44" t="e">
        <f t="shared" si="167"/>
        <v>#VALUE!</v>
      </c>
      <c r="S734" s="44" t="e">
        <f t="shared" si="165"/>
        <v>#VALUE!</v>
      </c>
      <c r="T734" s="41" t="e">
        <f t="shared" si="168"/>
        <v>#VALUE!</v>
      </c>
      <c r="U734" s="41" t="e">
        <f t="shared" si="169"/>
        <v>#VALUE!</v>
      </c>
      <c r="V734" s="41" t="e">
        <f t="shared" si="170"/>
        <v>#VALUE!</v>
      </c>
    </row>
    <row r="735" spans="2:22" x14ac:dyDescent="0.25">
      <c r="B735" s="41" t="b">
        <f t="shared" si="171"/>
        <v>0</v>
      </c>
      <c r="C735" s="41" t="e">
        <f t="shared" si="159"/>
        <v>#VALUE!</v>
      </c>
      <c r="E735" s="45">
        <v>731</v>
      </c>
      <c r="G735" s="138"/>
      <c r="H735" s="135">
        <v>1</v>
      </c>
      <c r="I735" s="46" t="e">
        <f t="shared" si="160"/>
        <v>#VALUE!</v>
      </c>
      <c r="J735" s="41" t="e">
        <f t="shared" si="166"/>
        <v>#VALUE!</v>
      </c>
      <c r="K735" s="41" t="e">
        <f t="shared" si="158"/>
        <v>#VALUE!</v>
      </c>
      <c r="L735" s="41" t="e">
        <f t="shared" si="158"/>
        <v>#VALUE!</v>
      </c>
      <c r="M735" s="41" t="e">
        <f t="shared" si="161"/>
        <v>#VALUE!</v>
      </c>
      <c r="N735" s="41" t="e">
        <f t="shared" si="162"/>
        <v>#VALUE!</v>
      </c>
      <c r="O735" s="41">
        <f t="shared" si="163"/>
        <v>0</v>
      </c>
      <c r="Q735" s="44" t="e">
        <f t="shared" si="164"/>
        <v>#VALUE!</v>
      </c>
      <c r="R735" s="44" t="e">
        <f t="shared" si="167"/>
        <v>#VALUE!</v>
      </c>
      <c r="S735" s="44" t="e">
        <f t="shared" si="165"/>
        <v>#VALUE!</v>
      </c>
      <c r="T735" s="41" t="e">
        <f t="shared" si="168"/>
        <v>#VALUE!</v>
      </c>
      <c r="U735" s="41" t="e">
        <f t="shared" si="169"/>
        <v>#VALUE!</v>
      </c>
      <c r="V735" s="41" t="e">
        <f t="shared" si="170"/>
        <v>#VALUE!</v>
      </c>
    </row>
    <row r="736" spans="2:22" x14ac:dyDescent="0.25">
      <c r="B736" s="41" t="b">
        <f t="shared" si="171"/>
        <v>0</v>
      </c>
      <c r="C736" s="41" t="e">
        <f t="shared" si="159"/>
        <v>#VALUE!</v>
      </c>
      <c r="E736" s="45">
        <v>732</v>
      </c>
      <c r="G736" s="138"/>
      <c r="H736" s="135">
        <v>1</v>
      </c>
      <c r="I736" s="46" t="e">
        <f t="shared" si="160"/>
        <v>#VALUE!</v>
      </c>
      <c r="J736" s="41" t="e">
        <f t="shared" si="166"/>
        <v>#VALUE!</v>
      </c>
      <c r="K736" s="41" t="e">
        <f t="shared" si="158"/>
        <v>#VALUE!</v>
      </c>
      <c r="L736" s="41" t="e">
        <f t="shared" si="158"/>
        <v>#VALUE!</v>
      </c>
      <c r="M736" s="41" t="e">
        <f t="shared" si="161"/>
        <v>#VALUE!</v>
      </c>
      <c r="N736" s="41" t="e">
        <f t="shared" si="162"/>
        <v>#VALUE!</v>
      </c>
      <c r="O736" s="41">
        <f t="shared" si="163"/>
        <v>0</v>
      </c>
      <c r="Q736" s="44" t="e">
        <f t="shared" si="164"/>
        <v>#VALUE!</v>
      </c>
      <c r="R736" s="44" t="e">
        <f t="shared" si="167"/>
        <v>#VALUE!</v>
      </c>
      <c r="S736" s="44" t="e">
        <f t="shared" si="165"/>
        <v>#VALUE!</v>
      </c>
      <c r="T736" s="41" t="e">
        <f t="shared" si="168"/>
        <v>#VALUE!</v>
      </c>
      <c r="U736" s="41" t="e">
        <f t="shared" si="169"/>
        <v>#VALUE!</v>
      </c>
      <c r="V736" s="41" t="e">
        <f t="shared" si="170"/>
        <v>#VALUE!</v>
      </c>
    </row>
    <row r="737" spans="2:22" x14ac:dyDescent="0.25">
      <c r="B737" s="41" t="b">
        <f t="shared" si="171"/>
        <v>0</v>
      </c>
      <c r="C737" s="41" t="e">
        <f t="shared" si="159"/>
        <v>#VALUE!</v>
      </c>
      <c r="E737" s="45">
        <v>733</v>
      </c>
      <c r="G737" s="138"/>
      <c r="H737" s="135">
        <v>1</v>
      </c>
      <c r="I737" s="46" t="e">
        <f t="shared" si="160"/>
        <v>#VALUE!</v>
      </c>
      <c r="J737" s="41" t="e">
        <f t="shared" si="166"/>
        <v>#VALUE!</v>
      </c>
      <c r="K737" s="41" t="e">
        <f t="shared" si="158"/>
        <v>#VALUE!</v>
      </c>
      <c r="L737" s="41" t="e">
        <f t="shared" si="158"/>
        <v>#VALUE!</v>
      </c>
      <c r="M737" s="41" t="e">
        <f t="shared" si="161"/>
        <v>#VALUE!</v>
      </c>
      <c r="N737" s="41" t="e">
        <f t="shared" si="162"/>
        <v>#VALUE!</v>
      </c>
      <c r="O737" s="41">
        <f t="shared" si="163"/>
        <v>0</v>
      </c>
      <c r="Q737" s="44" t="e">
        <f t="shared" si="164"/>
        <v>#VALUE!</v>
      </c>
      <c r="R737" s="44" t="e">
        <f t="shared" si="167"/>
        <v>#VALUE!</v>
      </c>
      <c r="S737" s="44" t="e">
        <f t="shared" si="165"/>
        <v>#VALUE!</v>
      </c>
      <c r="T737" s="41" t="e">
        <f t="shared" si="168"/>
        <v>#VALUE!</v>
      </c>
      <c r="U737" s="41" t="e">
        <f t="shared" si="169"/>
        <v>#VALUE!</v>
      </c>
      <c r="V737" s="41" t="e">
        <f t="shared" si="170"/>
        <v>#VALUE!</v>
      </c>
    </row>
    <row r="738" spans="2:22" x14ac:dyDescent="0.25">
      <c r="B738" s="41" t="b">
        <f t="shared" si="171"/>
        <v>0</v>
      </c>
      <c r="C738" s="41" t="e">
        <f t="shared" si="159"/>
        <v>#VALUE!</v>
      </c>
      <c r="E738" s="45">
        <v>734</v>
      </c>
      <c r="G738" s="138"/>
      <c r="H738" s="135">
        <v>1</v>
      </c>
      <c r="I738" s="46" t="e">
        <f t="shared" si="160"/>
        <v>#VALUE!</v>
      </c>
      <c r="J738" s="41" t="e">
        <f t="shared" si="166"/>
        <v>#VALUE!</v>
      </c>
      <c r="K738" s="41" t="e">
        <f t="shared" si="158"/>
        <v>#VALUE!</v>
      </c>
      <c r="L738" s="41" t="e">
        <f t="shared" si="158"/>
        <v>#VALUE!</v>
      </c>
      <c r="M738" s="41" t="e">
        <f t="shared" si="161"/>
        <v>#VALUE!</v>
      </c>
      <c r="N738" s="41" t="e">
        <f t="shared" si="162"/>
        <v>#VALUE!</v>
      </c>
      <c r="O738" s="41">
        <f t="shared" si="163"/>
        <v>0</v>
      </c>
      <c r="Q738" s="44" t="e">
        <f t="shared" si="164"/>
        <v>#VALUE!</v>
      </c>
      <c r="R738" s="44" t="e">
        <f t="shared" si="167"/>
        <v>#VALUE!</v>
      </c>
      <c r="S738" s="44" t="e">
        <f t="shared" si="165"/>
        <v>#VALUE!</v>
      </c>
      <c r="T738" s="41" t="e">
        <f t="shared" si="168"/>
        <v>#VALUE!</v>
      </c>
      <c r="U738" s="41" t="e">
        <f t="shared" si="169"/>
        <v>#VALUE!</v>
      </c>
      <c r="V738" s="41" t="e">
        <f t="shared" si="170"/>
        <v>#VALUE!</v>
      </c>
    </row>
    <row r="739" spans="2:22" x14ac:dyDescent="0.25">
      <c r="B739" s="41" t="b">
        <f t="shared" si="171"/>
        <v>0</v>
      </c>
      <c r="C739" s="41" t="e">
        <f t="shared" si="159"/>
        <v>#VALUE!</v>
      </c>
      <c r="E739" s="45">
        <v>735</v>
      </c>
      <c r="G739" s="138"/>
      <c r="H739" s="135">
        <v>1</v>
      </c>
      <c r="I739" s="46" t="e">
        <f t="shared" si="160"/>
        <v>#VALUE!</v>
      </c>
      <c r="J739" s="41" t="e">
        <f t="shared" si="166"/>
        <v>#VALUE!</v>
      </c>
      <c r="K739" s="41" t="e">
        <f t="shared" si="158"/>
        <v>#VALUE!</v>
      </c>
      <c r="L739" s="41" t="e">
        <f t="shared" si="158"/>
        <v>#VALUE!</v>
      </c>
      <c r="M739" s="41" t="e">
        <f t="shared" si="161"/>
        <v>#VALUE!</v>
      </c>
      <c r="N739" s="41" t="e">
        <f t="shared" si="162"/>
        <v>#VALUE!</v>
      </c>
      <c r="O739" s="41">
        <f t="shared" si="163"/>
        <v>0</v>
      </c>
      <c r="Q739" s="44" t="e">
        <f t="shared" si="164"/>
        <v>#VALUE!</v>
      </c>
      <c r="R739" s="44" t="e">
        <f t="shared" si="167"/>
        <v>#VALUE!</v>
      </c>
      <c r="S739" s="44" t="e">
        <f t="shared" si="165"/>
        <v>#VALUE!</v>
      </c>
      <c r="T739" s="41" t="e">
        <f t="shared" si="168"/>
        <v>#VALUE!</v>
      </c>
      <c r="U739" s="41" t="e">
        <f t="shared" si="169"/>
        <v>#VALUE!</v>
      </c>
      <c r="V739" s="41" t="e">
        <f t="shared" si="170"/>
        <v>#VALUE!</v>
      </c>
    </row>
    <row r="740" spans="2:22" x14ac:dyDescent="0.25">
      <c r="B740" s="41" t="b">
        <f t="shared" si="171"/>
        <v>0</v>
      </c>
      <c r="C740" s="41" t="e">
        <f t="shared" si="159"/>
        <v>#VALUE!</v>
      </c>
      <c r="E740" s="45">
        <v>736</v>
      </c>
      <c r="G740" s="138"/>
      <c r="H740" s="135">
        <v>1</v>
      </c>
      <c r="I740" s="46" t="e">
        <f t="shared" si="160"/>
        <v>#VALUE!</v>
      </c>
      <c r="J740" s="41" t="e">
        <f t="shared" si="166"/>
        <v>#VALUE!</v>
      </c>
      <c r="K740" s="41" t="e">
        <f t="shared" si="158"/>
        <v>#VALUE!</v>
      </c>
      <c r="L740" s="41" t="e">
        <f t="shared" si="158"/>
        <v>#VALUE!</v>
      </c>
      <c r="M740" s="41" t="e">
        <f t="shared" si="161"/>
        <v>#VALUE!</v>
      </c>
      <c r="N740" s="41" t="e">
        <f t="shared" si="162"/>
        <v>#VALUE!</v>
      </c>
      <c r="O740" s="41">
        <f t="shared" si="163"/>
        <v>0</v>
      </c>
      <c r="Q740" s="44" t="e">
        <f t="shared" si="164"/>
        <v>#VALUE!</v>
      </c>
      <c r="R740" s="44" t="e">
        <f t="shared" si="167"/>
        <v>#VALUE!</v>
      </c>
      <c r="S740" s="44" t="e">
        <f t="shared" si="165"/>
        <v>#VALUE!</v>
      </c>
      <c r="T740" s="41" t="e">
        <f t="shared" si="168"/>
        <v>#VALUE!</v>
      </c>
      <c r="U740" s="41" t="e">
        <f t="shared" si="169"/>
        <v>#VALUE!</v>
      </c>
      <c r="V740" s="41" t="e">
        <f t="shared" si="170"/>
        <v>#VALUE!</v>
      </c>
    </row>
    <row r="741" spans="2:22" x14ac:dyDescent="0.25">
      <c r="B741" s="41" t="b">
        <f t="shared" si="171"/>
        <v>0</v>
      </c>
      <c r="C741" s="41" t="e">
        <f t="shared" si="159"/>
        <v>#VALUE!</v>
      </c>
      <c r="E741" s="45">
        <v>737</v>
      </c>
      <c r="G741" s="138"/>
      <c r="H741" s="135">
        <v>1</v>
      </c>
      <c r="I741" s="46" t="e">
        <f t="shared" si="160"/>
        <v>#VALUE!</v>
      </c>
      <c r="J741" s="41" t="e">
        <f t="shared" si="166"/>
        <v>#VALUE!</v>
      </c>
      <c r="K741" s="41" t="e">
        <f t="shared" si="158"/>
        <v>#VALUE!</v>
      </c>
      <c r="L741" s="41" t="e">
        <f t="shared" si="158"/>
        <v>#VALUE!</v>
      </c>
      <c r="M741" s="41" t="e">
        <f t="shared" si="161"/>
        <v>#VALUE!</v>
      </c>
      <c r="N741" s="41" t="e">
        <f t="shared" si="162"/>
        <v>#VALUE!</v>
      </c>
      <c r="O741" s="41">
        <f t="shared" si="163"/>
        <v>0</v>
      </c>
      <c r="Q741" s="44" t="e">
        <f t="shared" si="164"/>
        <v>#VALUE!</v>
      </c>
      <c r="R741" s="44" t="e">
        <f t="shared" si="167"/>
        <v>#VALUE!</v>
      </c>
      <c r="S741" s="44" t="e">
        <f t="shared" si="165"/>
        <v>#VALUE!</v>
      </c>
      <c r="T741" s="41" t="e">
        <f t="shared" si="168"/>
        <v>#VALUE!</v>
      </c>
      <c r="U741" s="41" t="e">
        <f t="shared" si="169"/>
        <v>#VALUE!</v>
      </c>
      <c r="V741" s="41" t="e">
        <f t="shared" si="170"/>
        <v>#VALUE!</v>
      </c>
    </row>
    <row r="742" spans="2:22" x14ac:dyDescent="0.25">
      <c r="B742" s="41" t="b">
        <f t="shared" si="171"/>
        <v>0</v>
      </c>
      <c r="C742" s="41" t="e">
        <f t="shared" si="159"/>
        <v>#VALUE!</v>
      </c>
      <c r="E742" s="45">
        <v>738</v>
      </c>
      <c r="G742" s="138"/>
      <c r="H742" s="135">
        <v>1</v>
      </c>
      <c r="I742" s="46" t="e">
        <f t="shared" si="160"/>
        <v>#VALUE!</v>
      </c>
      <c r="J742" s="41" t="e">
        <f t="shared" si="166"/>
        <v>#VALUE!</v>
      </c>
      <c r="K742" s="41" t="e">
        <f t="shared" si="158"/>
        <v>#VALUE!</v>
      </c>
      <c r="L742" s="41" t="e">
        <f t="shared" si="158"/>
        <v>#VALUE!</v>
      </c>
      <c r="M742" s="41" t="e">
        <f t="shared" si="161"/>
        <v>#VALUE!</v>
      </c>
      <c r="N742" s="41" t="e">
        <f t="shared" si="162"/>
        <v>#VALUE!</v>
      </c>
      <c r="O742" s="41">
        <f t="shared" si="163"/>
        <v>0</v>
      </c>
      <c r="Q742" s="44" t="e">
        <f t="shared" si="164"/>
        <v>#VALUE!</v>
      </c>
      <c r="R742" s="44" t="e">
        <f t="shared" si="167"/>
        <v>#VALUE!</v>
      </c>
      <c r="S742" s="44" t="e">
        <f t="shared" si="165"/>
        <v>#VALUE!</v>
      </c>
      <c r="T742" s="41" t="e">
        <f t="shared" si="168"/>
        <v>#VALUE!</v>
      </c>
      <c r="U742" s="41" t="e">
        <f t="shared" si="169"/>
        <v>#VALUE!</v>
      </c>
      <c r="V742" s="41" t="e">
        <f t="shared" si="170"/>
        <v>#VALUE!</v>
      </c>
    </row>
    <row r="743" spans="2:22" x14ac:dyDescent="0.25">
      <c r="B743" s="41" t="b">
        <f t="shared" si="171"/>
        <v>0</v>
      </c>
      <c r="C743" s="41" t="e">
        <f t="shared" si="159"/>
        <v>#VALUE!</v>
      </c>
      <c r="E743" s="45">
        <v>739</v>
      </c>
      <c r="G743" s="138"/>
      <c r="H743" s="135">
        <v>1</v>
      </c>
      <c r="I743" s="46" t="e">
        <f t="shared" si="160"/>
        <v>#VALUE!</v>
      </c>
      <c r="J743" s="41" t="e">
        <f t="shared" si="166"/>
        <v>#VALUE!</v>
      </c>
      <c r="K743" s="41" t="e">
        <f t="shared" si="158"/>
        <v>#VALUE!</v>
      </c>
      <c r="L743" s="41" t="e">
        <f t="shared" si="158"/>
        <v>#VALUE!</v>
      </c>
      <c r="M743" s="41" t="e">
        <f t="shared" si="161"/>
        <v>#VALUE!</v>
      </c>
      <c r="N743" s="41" t="e">
        <f t="shared" si="162"/>
        <v>#VALUE!</v>
      </c>
      <c r="O743" s="41">
        <f t="shared" si="163"/>
        <v>0</v>
      </c>
      <c r="Q743" s="44" t="e">
        <f t="shared" si="164"/>
        <v>#VALUE!</v>
      </c>
      <c r="R743" s="44" t="e">
        <f t="shared" si="167"/>
        <v>#VALUE!</v>
      </c>
      <c r="S743" s="44" t="e">
        <f t="shared" si="165"/>
        <v>#VALUE!</v>
      </c>
      <c r="T743" s="41" t="e">
        <f t="shared" si="168"/>
        <v>#VALUE!</v>
      </c>
      <c r="U743" s="41" t="e">
        <f t="shared" si="169"/>
        <v>#VALUE!</v>
      </c>
      <c r="V743" s="41" t="e">
        <f t="shared" si="170"/>
        <v>#VALUE!</v>
      </c>
    </row>
    <row r="744" spans="2:22" x14ac:dyDescent="0.25">
      <c r="B744" s="41" t="b">
        <f t="shared" si="171"/>
        <v>0</v>
      </c>
      <c r="C744" s="41" t="e">
        <f t="shared" si="159"/>
        <v>#VALUE!</v>
      </c>
      <c r="E744" s="45">
        <v>740</v>
      </c>
      <c r="G744" s="138"/>
      <c r="H744" s="135">
        <v>1</v>
      </c>
      <c r="I744" s="46" t="e">
        <f t="shared" si="160"/>
        <v>#VALUE!</v>
      </c>
      <c r="J744" s="41" t="e">
        <f t="shared" si="166"/>
        <v>#VALUE!</v>
      </c>
      <c r="K744" s="41" t="e">
        <f t="shared" si="158"/>
        <v>#VALUE!</v>
      </c>
      <c r="L744" s="41" t="e">
        <f t="shared" si="158"/>
        <v>#VALUE!</v>
      </c>
      <c r="M744" s="41" t="e">
        <f t="shared" si="161"/>
        <v>#VALUE!</v>
      </c>
      <c r="N744" s="41" t="e">
        <f t="shared" si="162"/>
        <v>#VALUE!</v>
      </c>
      <c r="O744" s="41">
        <f t="shared" si="163"/>
        <v>0</v>
      </c>
      <c r="Q744" s="44" t="e">
        <f t="shared" si="164"/>
        <v>#VALUE!</v>
      </c>
      <c r="R744" s="44" t="e">
        <f t="shared" si="167"/>
        <v>#VALUE!</v>
      </c>
      <c r="S744" s="44" t="e">
        <f t="shared" si="165"/>
        <v>#VALUE!</v>
      </c>
      <c r="T744" s="41" t="e">
        <f t="shared" si="168"/>
        <v>#VALUE!</v>
      </c>
      <c r="U744" s="41" t="e">
        <f t="shared" si="169"/>
        <v>#VALUE!</v>
      </c>
      <c r="V744" s="41" t="e">
        <f t="shared" si="170"/>
        <v>#VALUE!</v>
      </c>
    </row>
    <row r="745" spans="2:22" x14ac:dyDescent="0.25">
      <c r="B745" s="41" t="b">
        <f t="shared" si="171"/>
        <v>0</v>
      </c>
      <c r="C745" s="41" t="e">
        <f t="shared" si="159"/>
        <v>#VALUE!</v>
      </c>
      <c r="E745" s="45">
        <v>741</v>
      </c>
      <c r="G745" s="138"/>
      <c r="H745" s="135">
        <v>1</v>
      </c>
      <c r="I745" s="46" t="e">
        <f t="shared" si="160"/>
        <v>#VALUE!</v>
      </c>
      <c r="J745" s="41" t="e">
        <f t="shared" si="166"/>
        <v>#VALUE!</v>
      </c>
      <c r="K745" s="41" t="e">
        <f t="shared" si="158"/>
        <v>#VALUE!</v>
      </c>
      <c r="L745" s="41" t="e">
        <f t="shared" si="158"/>
        <v>#VALUE!</v>
      </c>
      <c r="M745" s="41" t="e">
        <f t="shared" si="161"/>
        <v>#VALUE!</v>
      </c>
      <c r="N745" s="41" t="e">
        <f t="shared" si="162"/>
        <v>#VALUE!</v>
      </c>
      <c r="O745" s="41">
        <f t="shared" si="163"/>
        <v>0</v>
      </c>
      <c r="Q745" s="44" t="e">
        <f t="shared" si="164"/>
        <v>#VALUE!</v>
      </c>
      <c r="R745" s="44" t="e">
        <f t="shared" si="167"/>
        <v>#VALUE!</v>
      </c>
      <c r="S745" s="44" t="e">
        <f t="shared" si="165"/>
        <v>#VALUE!</v>
      </c>
      <c r="T745" s="41" t="e">
        <f t="shared" si="168"/>
        <v>#VALUE!</v>
      </c>
      <c r="U745" s="41" t="e">
        <f t="shared" si="169"/>
        <v>#VALUE!</v>
      </c>
      <c r="V745" s="41" t="e">
        <f t="shared" si="170"/>
        <v>#VALUE!</v>
      </c>
    </row>
    <row r="746" spans="2:22" x14ac:dyDescent="0.25">
      <c r="B746" s="41" t="b">
        <f t="shared" si="171"/>
        <v>0</v>
      </c>
      <c r="C746" s="41" t="e">
        <f t="shared" si="159"/>
        <v>#VALUE!</v>
      </c>
      <c r="E746" s="45">
        <v>742</v>
      </c>
      <c r="G746" s="138"/>
      <c r="H746" s="135">
        <v>1</v>
      </c>
      <c r="I746" s="46" t="e">
        <f t="shared" si="160"/>
        <v>#VALUE!</v>
      </c>
      <c r="J746" s="41" t="e">
        <f t="shared" si="166"/>
        <v>#VALUE!</v>
      </c>
      <c r="K746" s="41" t="e">
        <f t="shared" si="158"/>
        <v>#VALUE!</v>
      </c>
      <c r="L746" s="41" t="e">
        <f t="shared" si="158"/>
        <v>#VALUE!</v>
      </c>
      <c r="M746" s="41" t="e">
        <f t="shared" si="161"/>
        <v>#VALUE!</v>
      </c>
      <c r="N746" s="41" t="e">
        <f t="shared" si="162"/>
        <v>#VALUE!</v>
      </c>
      <c r="O746" s="41">
        <f t="shared" si="163"/>
        <v>0</v>
      </c>
      <c r="Q746" s="44" t="e">
        <f t="shared" si="164"/>
        <v>#VALUE!</v>
      </c>
      <c r="R746" s="44" t="e">
        <f t="shared" si="167"/>
        <v>#VALUE!</v>
      </c>
      <c r="S746" s="44" t="e">
        <f t="shared" si="165"/>
        <v>#VALUE!</v>
      </c>
      <c r="T746" s="41" t="e">
        <f t="shared" si="168"/>
        <v>#VALUE!</v>
      </c>
      <c r="U746" s="41" t="e">
        <f t="shared" si="169"/>
        <v>#VALUE!</v>
      </c>
      <c r="V746" s="41" t="e">
        <f t="shared" si="170"/>
        <v>#VALUE!</v>
      </c>
    </row>
    <row r="747" spans="2:22" x14ac:dyDescent="0.25">
      <c r="B747" s="41" t="b">
        <f t="shared" si="171"/>
        <v>0</v>
      </c>
      <c r="C747" s="41" t="e">
        <f t="shared" si="159"/>
        <v>#VALUE!</v>
      </c>
      <c r="E747" s="45">
        <v>743</v>
      </c>
      <c r="G747" s="138"/>
      <c r="H747" s="135">
        <v>1</v>
      </c>
      <c r="I747" s="46" t="e">
        <f t="shared" si="160"/>
        <v>#VALUE!</v>
      </c>
      <c r="J747" s="41" t="e">
        <f t="shared" si="166"/>
        <v>#VALUE!</v>
      </c>
      <c r="K747" s="41" t="e">
        <f t="shared" si="158"/>
        <v>#VALUE!</v>
      </c>
      <c r="L747" s="41" t="e">
        <f t="shared" si="158"/>
        <v>#VALUE!</v>
      </c>
      <c r="M747" s="41" t="e">
        <f t="shared" si="161"/>
        <v>#VALUE!</v>
      </c>
      <c r="N747" s="41" t="e">
        <f t="shared" si="162"/>
        <v>#VALUE!</v>
      </c>
      <c r="O747" s="41">
        <f t="shared" si="163"/>
        <v>0</v>
      </c>
      <c r="Q747" s="44" t="e">
        <f t="shared" si="164"/>
        <v>#VALUE!</v>
      </c>
      <c r="R747" s="44" t="e">
        <f t="shared" si="167"/>
        <v>#VALUE!</v>
      </c>
      <c r="S747" s="44" t="e">
        <f t="shared" si="165"/>
        <v>#VALUE!</v>
      </c>
      <c r="T747" s="41" t="e">
        <f t="shared" si="168"/>
        <v>#VALUE!</v>
      </c>
      <c r="U747" s="41" t="e">
        <f t="shared" si="169"/>
        <v>#VALUE!</v>
      </c>
      <c r="V747" s="41" t="e">
        <f t="shared" si="170"/>
        <v>#VALUE!</v>
      </c>
    </row>
    <row r="748" spans="2:22" x14ac:dyDescent="0.25">
      <c r="B748" s="41" t="b">
        <f t="shared" si="171"/>
        <v>0</v>
      </c>
      <c r="C748" s="41" t="e">
        <f t="shared" si="159"/>
        <v>#VALUE!</v>
      </c>
      <c r="E748" s="45">
        <v>744</v>
      </c>
      <c r="G748" s="138"/>
      <c r="H748" s="135">
        <v>1</v>
      </c>
      <c r="I748" s="46" t="e">
        <f t="shared" si="160"/>
        <v>#VALUE!</v>
      </c>
      <c r="J748" s="41" t="e">
        <f t="shared" si="166"/>
        <v>#VALUE!</v>
      </c>
      <c r="K748" s="41" t="e">
        <f t="shared" si="158"/>
        <v>#VALUE!</v>
      </c>
      <c r="L748" s="41" t="e">
        <f t="shared" si="158"/>
        <v>#VALUE!</v>
      </c>
      <c r="M748" s="41" t="e">
        <f t="shared" si="161"/>
        <v>#VALUE!</v>
      </c>
      <c r="N748" s="41" t="e">
        <f t="shared" si="162"/>
        <v>#VALUE!</v>
      </c>
      <c r="O748" s="41">
        <f t="shared" si="163"/>
        <v>0</v>
      </c>
      <c r="Q748" s="44" t="e">
        <f t="shared" si="164"/>
        <v>#VALUE!</v>
      </c>
      <c r="R748" s="44" t="e">
        <f t="shared" si="167"/>
        <v>#VALUE!</v>
      </c>
      <c r="S748" s="44" t="e">
        <f t="shared" si="165"/>
        <v>#VALUE!</v>
      </c>
      <c r="T748" s="41" t="e">
        <f t="shared" si="168"/>
        <v>#VALUE!</v>
      </c>
      <c r="U748" s="41" t="e">
        <f t="shared" si="169"/>
        <v>#VALUE!</v>
      </c>
      <c r="V748" s="41" t="e">
        <f t="shared" si="170"/>
        <v>#VALUE!</v>
      </c>
    </row>
    <row r="749" spans="2:22" x14ac:dyDescent="0.25">
      <c r="B749" s="41" t="b">
        <f t="shared" si="171"/>
        <v>0</v>
      </c>
      <c r="C749" s="41" t="e">
        <f t="shared" si="159"/>
        <v>#VALUE!</v>
      </c>
      <c r="E749" s="45">
        <v>745</v>
      </c>
      <c r="G749" s="138"/>
      <c r="H749" s="135">
        <v>1</v>
      </c>
      <c r="I749" s="46" t="e">
        <f t="shared" si="160"/>
        <v>#VALUE!</v>
      </c>
      <c r="J749" s="41" t="e">
        <f t="shared" si="166"/>
        <v>#VALUE!</v>
      </c>
      <c r="K749" s="41" t="e">
        <f t="shared" si="158"/>
        <v>#VALUE!</v>
      </c>
      <c r="L749" s="41" t="e">
        <f t="shared" si="158"/>
        <v>#VALUE!</v>
      </c>
      <c r="M749" s="41" t="e">
        <f t="shared" si="161"/>
        <v>#VALUE!</v>
      </c>
      <c r="N749" s="41" t="e">
        <f t="shared" si="162"/>
        <v>#VALUE!</v>
      </c>
      <c r="O749" s="41">
        <f t="shared" si="163"/>
        <v>0</v>
      </c>
      <c r="Q749" s="44" t="e">
        <f t="shared" si="164"/>
        <v>#VALUE!</v>
      </c>
      <c r="R749" s="44" t="e">
        <f t="shared" si="167"/>
        <v>#VALUE!</v>
      </c>
      <c r="S749" s="44" t="e">
        <f t="shared" si="165"/>
        <v>#VALUE!</v>
      </c>
      <c r="T749" s="41" t="e">
        <f t="shared" si="168"/>
        <v>#VALUE!</v>
      </c>
      <c r="U749" s="41" t="e">
        <f t="shared" si="169"/>
        <v>#VALUE!</v>
      </c>
      <c r="V749" s="41" t="e">
        <f t="shared" si="170"/>
        <v>#VALUE!</v>
      </c>
    </row>
    <row r="750" spans="2:22" x14ac:dyDescent="0.25">
      <c r="B750" s="41" t="b">
        <f t="shared" si="171"/>
        <v>0</v>
      </c>
      <c r="C750" s="41" t="e">
        <f t="shared" si="159"/>
        <v>#VALUE!</v>
      </c>
      <c r="E750" s="45">
        <v>746</v>
      </c>
      <c r="G750" s="138"/>
      <c r="H750" s="135">
        <v>1</v>
      </c>
      <c r="I750" s="46" t="e">
        <f t="shared" si="160"/>
        <v>#VALUE!</v>
      </c>
      <c r="J750" s="41" t="e">
        <f t="shared" si="166"/>
        <v>#VALUE!</v>
      </c>
      <c r="K750" s="41" t="e">
        <f t="shared" si="158"/>
        <v>#VALUE!</v>
      </c>
      <c r="L750" s="41" t="e">
        <f t="shared" si="158"/>
        <v>#VALUE!</v>
      </c>
      <c r="M750" s="41" t="e">
        <f t="shared" si="161"/>
        <v>#VALUE!</v>
      </c>
      <c r="N750" s="41" t="e">
        <f t="shared" si="162"/>
        <v>#VALUE!</v>
      </c>
      <c r="O750" s="41">
        <f t="shared" si="163"/>
        <v>0</v>
      </c>
      <c r="Q750" s="44" t="e">
        <f t="shared" si="164"/>
        <v>#VALUE!</v>
      </c>
      <c r="R750" s="44" t="e">
        <f t="shared" si="167"/>
        <v>#VALUE!</v>
      </c>
      <c r="S750" s="44" t="e">
        <f t="shared" si="165"/>
        <v>#VALUE!</v>
      </c>
      <c r="T750" s="41" t="e">
        <f t="shared" si="168"/>
        <v>#VALUE!</v>
      </c>
      <c r="U750" s="41" t="e">
        <f t="shared" si="169"/>
        <v>#VALUE!</v>
      </c>
      <c r="V750" s="41" t="e">
        <f t="shared" si="170"/>
        <v>#VALUE!</v>
      </c>
    </row>
    <row r="751" spans="2:22" x14ac:dyDescent="0.25">
      <c r="B751" s="41" t="b">
        <f t="shared" si="171"/>
        <v>0</v>
      </c>
      <c r="C751" s="41" t="e">
        <f t="shared" si="159"/>
        <v>#VALUE!</v>
      </c>
      <c r="E751" s="45">
        <v>747</v>
      </c>
      <c r="G751" s="138"/>
      <c r="H751" s="135">
        <v>1</v>
      </c>
      <c r="I751" s="46" t="e">
        <f t="shared" si="160"/>
        <v>#VALUE!</v>
      </c>
      <c r="J751" s="41" t="e">
        <f t="shared" si="166"/>
        <v>#VALUE!</v>
      </c>
      <c r="K751" s="41" t="e">
        <f t="shared" ref="K751:L814" si="172">N751-M751</f>
        <v>#VALUE!</v>
      </c>
      <c r="L751" s="41" t="e">
        <f t="shared" si="172"/>
        <v>#VALUE!</v>
      </c>
      <c r="M751" s="41" t="e">
        <f t="shared" si="161"/>
        <v>#VALUE!</v>
      </c>
      <c r="N751" s="41" t="e">
        <f t="shared" si="162"/>
        <v>#VALUE!</v>
      </c>
      <c r="O751" s="41">
        <f t="shared" si="163"/>
        <v>0</v>
      </c>
      <c r="Q751" s="44" t="e">
        <f t="shared" si="164"/>
        <v>#VALUE!</v>
      </c>
      <c r="R751" s="44" t="e">
        <f t="shared" si="167"/>
        <v>#VALUE!</v>
      </c>
      <c r="S751" s="44" t="e">
        <f t="shared" si="165"/>
        <v>#VALUE!</v>
      </c>
      <c r="T751" s="41" t="e">
        <f t="shared" si="168"/>
        <v>#VALUE!</v>
      </c>
      <c r="U751" s="41" t="e">
        <f t="shared" si="169"/>
        <v>#VALUE!</v>
      </c>
      <c r="V751" s="41" t="e">
        <f t="shared" si="170"/>
        <v>#VALUE!</v>
      </c>
    </row>
    <row r="752" spans="2:22" x14ac:dyDescent="0.25">
      <c r="B752" s="41" t="b">
        <f t="shared" si="171"/>
        <v>0</v>
      </c>
      <c r="C752" s="41" t="e">
        <f t="shared" si="159"/>
        <v>#VALUE!</v>
      </c>
      <c r="E752" s="45">
        <v>748</v>
      </c>
      <c r="G752" s="138"/>
      <c r="H752" s="135">
        <v>1</v>
      </c>
      <c r="I752" s="46" t="e">
        <f t="shared" si="160"/>
        <v>#VALUE!</v>
      </c>
      <c r="J752" s="41" t="e">
        <f t="shared" si="166"/>
        <v>#VALUE!</v>
      </c>
      <c r="K752" s="41" t="e">
        <f t="shared" si="172"/>
        <v>#VALUE!</v>
      </c>
      <c r="L752" s="41" t="e">
        <f t="shared" si="172"/>
        <v>#VALUE!</v>
      </c>
      <c r="M752" s="41" t="e">
        <f t="shared" si="161"/>
        <v>#VALUE!</v>
      </c>
      <c r="N752" s="41" t="e">
        <f t="shared" si="162"/>
        <v>#VALUE!</v>
      </c>
      <c r="O752" s="41">
        <f t="shared" si="163"/>
        <v>0</v>
      </c>
      <c r="Q752" s="44" t="e">
        <f t="shared" si="164"/>
        <v>#VALUE!</v>
      </c>
      <c r="R752" s="44" t="e">
        <f t="shared" si="167"/>
        <v>#VALUE!</v>
      </c>
      <c r="S752" s="44" t="e">
        <f t="shared" si="165"/>
        <v>#VALUE!</v>
      </c>
      <c r="T752" s="41" t="e">
        <f t="shared" si="168"/>
        <v>#VALUE!</v>
      </c>
      <c r="U752" s="41" t="e">
        <f t="shared" si="169"/>
        <v>#VALUE!</v>
      </c>
      <c r="V752" s="41" t="e">
        <f t="shared" si="170"/>
        <v>#VALUE!</v>
      </c>
    </row>
    <row r="753" spans="2:22" x14ac:dyDescent="0.25">
      <c r="B753" s="41" t="b">
        <f t="shared" si="171"/>
        <v>0</v>
      </c>
      <c r="C753" s="41" t="e">
        <f t="shared" si="159"/>
        <v>#VALUE!</v>
      </c>
      <c r="E753" s="45">
        <v>749</v>
      </c>
      <c r="G753" s="138"/>
      <c r="H753" s="135">
        <v>1</v>
      </c>
      <c r="I753" s="46" t="e">
        <f t="shared" si="160"/>
        <v>#VALUE!</v>
      </c>
      <c r="J753" s="41" t="e">
        <f t="shared" si="166"/>
        <v>#VALUE!</v>
      </c>
      <c r="K753" s="41" t="e">
        <f t="shared" si="172"/>
        <v>#VALUE!</v>
      </c>
      <c r="L753" s="41" t="e">
        <f t="shared" si="172"/>
        <v>#VALUE!</v>
      </c>
      <c r="M753" s="41" t="e">
        <f t="shared" si="161"/>
        <v>#VALUE!</v>
      </c>
      <c r="N753" s="41" t="e">
        <f t="shared" si="162"/>
        <v>#VALUE!</v>
      </c>
      <c r="O753" s="41">
        <f t="shared" si="163"/>
        <v>0</v>
      </c>
      <c r="Q753" s="44" t="e">
        <f t="shared" si="164"/>
        <v>#VALUE!</v>
      </c>
      <c r="R753" s="44" t="e">
        <f t="shared" si="167"/>
        <v>#VALUE!</v>
      </c>
      <c r="S753" s="44" t="e">
        <f t="shared" si="165"/>
        <v>#VALUE!</v>
      </c>
      <c r="T753" s="41" t="e">
        <f t="shared" si="168"/>
        <v>#VALUE!</v>
      </c>
      <c r="U753" s="41" t="e">
        <f t="shared" si="169"/>
        <v>#VALUE!</v>
      </c>
      <c r="V753" s="41" t="e">
        <f t="shared" si="170"/>
        <v>#VALUE!</v>
      </c>
    </row>
    <row r="754" spans="2:22" x14ac:dyDescent="0.25">
      <c r="B754" s="41" t="b">
        <f t="shared" si="171"/>
        <v>0</v>
      </c>
      <c r="C754" s="41" t="e">
        <f t="shared" si="159"/>
        <v>#VALUE!</v>
      </c>
      <c r="E754" s="45">
        <v>750</v>
      </c>
      <c r="G754" s="138"/>
      <c r="H754" s="135">
        <v>1</v>
      </c>
      <c r="I754" s="46" t="e">
        <f t="shared" si="160"/>
        <v>#VALUE!</v>
      </c>
      <c r="J754" s="41" t="e">
        <f t="shared" si="166"/>
        <v>#VALUE!</v>
      </c>
      <c r="K754" s="41" t="e">
        <f t="shared" si="172"/>
        <v>#VALUE!</v>
      </c>
      <c r="L754" s="41" t="e">
        <f t="shared" si="172"/>
        <v>#VALUE!</v>
      </c>
      <c r="M754" s="41" t="e">
        <f t="shared" si="161"/>
        <v>#VALUE!</v>
      </c>
      <c r="N754" s="41" t="e">
        <f t="shared" si="162"/>
        <v>#VALUE!</v>
      </c>
      <c r="O754" s="41">
        <f t="shared" si="163"/>
        <v>0</v>
      </c>
      <c r="Q754" s="44" t="e">
        <f t="shared" si="164"/>
        <v>#VALUE!</v>
      </c>
      <c r="R754" s="44" t="e">
        <f t="shared" si="167"/>
        <v>#VALUE!</v>
      </c>
      <c r="S754" s="44" t="e">
        <f t="shared" si="165"/>
        <v>#VALUE!</v>
      </c>
      <c r="T754" s="41" t="e">
        <f t="shared" si="168"/>
        <v>#VALUE!</v>
      </c>
      <c r="U754" s="41" t="e">
        <f t="shared" si="169"/>
        <v>#VALUE!</v>
      </c>
      <c r="V754" s="41" t="e">
        <f t="shared" si="170"/>
        <v>#VALUE!</v>
      </c>
    </row>
    <row r="755" spans="2:22" x14ac:dyDescent="0.25">
      <c r="B755" s="41" t="b">
        <f t="shared" si="171"/>
        <v>0</v>
      </c>
      <c r="C755" s="41" t="e">
        <f t="shared" si="159"/>
        <v>#VALUE!</v>
      </c>
      <c r="E755" s="45">
        <v>751</v>
      </c>
      <c r="G755" s="138"/>
      <c r="H755" s="135">
        <v>1</v>
      </c>
      <c r="I755" s="46" t="e">
        <f t="shared" si="160"/>
        <v>#VALUE!</v>
      </c>
      <c r="J755" s="41" t="e">
        <f t="shared" si="166"/>
        <v>#VALUE!</v>
      </c>
      <c r="K755" s="41" t="e">
        <f t="shared" si="172"/>
        <v>#VALUE!</v>
      </c>
      <c r="L755" s="41" t="e">
        <f t="shared" si="172"/>
        <v>#VALUE!</v>
      </c>
      <c r="M755" s="41" t="e">
        <f t="shared" si="161"/>
        <v>#VALUE!</v>
      </c>
      <c r="N755" s="41" t="e">
        <f t="shared" si="162"/>
        <v>#VALUE!</v>
      </c>
      <c r="O755" s="41">
        <f t="shared" si="163"/>
        <v>0</v>
      </c>
      <c r="Q755" s="44" t="e">
        <f t="shared" si="164"/>
        <v>#VALUE!</v>
      </c>
      <c r="R755" s="44" t="e">
        <f t="shared" si="167"/>
        <v>#VALUE!</v>
      </c>
      <c r="S755" s="44" t="e">
        <f t="shared" si="165"/>
        <v>#VALUE!</v>
      </c>
      <c r="T755" s="41" t="e">
        <f t="shared" si="168"/>
        <v>#VALUE!</v>
      </c>
      <c r="U755" s="41" t="e">
        <f t="shared" si="169"/>
        <v>#VALUE!</v>
      </c>
      <c r="V755" s="41" t="e">
        <f t="shared" si="170"/>
        <v>#VALUE!</v>
      </c>
    </row>
    <row r="756" spans="2:22" x14ac:dyDescent="0.25">
      <c r="B756" s="41" t="b">
        <f t="shared" si="171"/>
        <v>0</v>
      </c>
      <c r="C756" s="41" t="e">
        <f t="shared" si="159"/>
        <v>#VALUE!</v>
      </c>
      <c r="E756" s="45">
        <v>752</v>
      </c>
      <c r="G756" s="138"/>
      <c r="H756" s="135">
        <v>1</v>
      </c>
      <c r="I756" s="46" t="e">
        <f t="shared" si="160"/>
        <v>#VALUE!</v>
      </c>
      <c r="J756" s="41" t="e">
        <f t="shared" si="166"/>
        <v>#VALUE!</v>
      </c>
      <c r="K756" s="41" t="e">
        <f t="shared" si="172"/>
        <v>#VALUE!</v>
      </c>
      <c r="L756" s="41" t="e">
        <f t="shared" si="172"/>
        <v>#VALUE!</v>
      </c>
      <c r="M756" s="41" t="e">
        <f t="shared" si="161"/>
        <v>#VALUE!</v>
      </c>
      <c r="N756" s="41" t="e">
        <f t="shared" si="162"/>
        <v>#VALUE!</v>
      </c>
      <c r="O756" s="41">
        <f t="shared" si="163"/>
        <v>0</v>
      </c>
      <c r="Q756" s="44" t="e">
        <f t="shared" si="164"/>
        <v>#VALUE!</v>
      </c>
      <c r="R756" s="44" t="e">
        <f t="shared" si="167"/>
        <v>#VALUE!</v>
      </c>
      <c r="S756" s="44" t="e">
        <f t="shared" si="165"/>
        <v>#VALUE!</v>
      </c>
      <c r="T756" s="41" t="e">
        <f t="shared" si="168"/>
        <v>#VALUE!</v>
      </c>
      <c r="U756" s="41" t="e">
        <f t="shared" si="169"/>
        <v>#VALUE!</v>
      </c>
      <c r="V756" s="41" t="e">
        <f t="shared" si="170"/>
        <v>#VALUE!</v>
      </c>
    </row>
    <row r="757" spans="2:22" x14ac:dyDescent="0.25">
      <c r="B757" s="41" t="b">
        <f t="shared" si="171"/>
        <v>0</v>
      </c>
      <c r="C757" s="41" t="e">
        <f t="shared" si="159"/>
        <v>#VALUE!</v>
      </c>
      <c r="E757" s="45">
        <v>753</v>
      </c>
      <c r="G757" s="138"/>
      <c r="H757" s="135">
        <v>1</v>
      </c>
      <c r="I757" s="46" t="e">
        <f t="shared" si="160"/>
        <v>#VALUE!</v>
      </c>
      <c r="J757" s="41" t="e">
        <f t="shared" si="166"/>
        <v>#VALUE!</v>
      </c>
      <c r="K757" s="41" t="e">
        <f t="shared" si="172"/>
        <v>#VALUE!</v>
      </c>
      <c r="L757" s="41" t="e">
        <f t="shared" si="172"/>
        <v>#VALUE!</v>
      </c>
      <c r="M757" s="41" t="e">
        <f t="shared" si="161"/>
        <v>#VALUE!</v>
      </c>
      <c r="N757" s="41" t="e">
        <f t="shared" si="162"/>
        <v>#VALUE!</v>
      </c>
      <c r="O757" s="41">
        <f t="shared" si="163"/>
        <v>0</v>
      </c>
      <c r="Q757" s="44" t="e">
        <f t="shared" si="164"/>
        <v>#VALUE!</v>
      </c>
      <c r="R757" s="44" t="e">
        <f t="shared" si="167"/>
        <v>#VALUE!</v>
      </c>
      <c r="S757" s="44" t="e">
        <f t="shared" si="165"/>
        <v>#VALUE!</v>
      </c>
      <c r="T757" s="41" t="e">
        <f t="shared" si="168"/>
        <v>#VALUE!</v>
      </c>
      <c r="U757" s="41" t="e">
        <f t="shared" si="169"/>
        <v>#VALUE!</v>
      </c>
      <c r="V757" s="41" t="e">
        <f t="shared" si="170"/>
        <v>#VALUE!</v>
      </c>
    </row>
    <row r="758" spans="2:22" x14ac:dyDescent="0.25">
      <c r="B758" s="41" t="b">
        <f t="shared" si="171"/>
        <v>0</v>
      </c>
      <c r="C758" s="41" t="e">
        <f t="shared" ref="C758:C821" si="173">SUM(T758:V758)</f>
        <v>#VALUE!</v>
      </c>
      <c r="E758" s="45">
        <v>754</v>
      </c>
      <c r="G758" s="138"/>
      <c r="H758" s="135">
        <v>1</v>
      </c>
      <c r="I758" s="46" t="e">
        <f t="shared" si="160"/>
        <v>#VALUE!</v>
      </c>
      <c r="J758" s="41" t="e">
        <f t="shared" si="166"/>
        <v>#VALUE!</v>
      </c>
      <c r="K758" s="41" t="e">
        <f t="shared" si="172"/>
        <v>#VALUE!</v>
      </c>
      <c r="L758" s="41" t="e">
        <f t="shared" si="172"/>
        <v>#VALUE!</v>
      </c>
      <c r="M758" s="41" t="e">
        <f t="shared" si="161"/>
        <v>#VALUE!</v>
      </c>
      <c r="N758" s="41" t="e">
        <f t="shared" si="162"/>
        <v>#VALUE!</v>
      </c>
      <c r="O758" s="41">
        <f t="shared" si="163"/>
        <v>0</v>
      </c>
      <c r="Q758" s="44" t="e">
        <f t="shared" si="164"/>
        <v>#VALUE!</v>
      </c>
      <c r="R758" s="44" t="e">
        <f t="shared" si="167"/>
        <v>#VALUE!</v>
      </c>
      <c r="S758" s="44" t="e">
        <f t="shared" si="165"/>
        <v>#VALUE!</v>
      </c>
      <c r="T758" s="41" t="e">
        <f t="shared" si="168"/>
        <v>#VALUE!</v>
      </c>
      <c r="U758" s="41" t="e">
        <f t="shared" si="169"/>
        <v>#VALUE!</v>
      </c>
      <c r="V758" s="41" t="e">
        <f t="shared" si="170"/>
        <v>#VALUE!</v>
      </c>
    </row>
    <row r="759" spans="2:22" x14ac:dyDescent="0.25">
      <c r="B759" s="41" t="b">
        <f t="shared" si="171"/>
        <v>0</v>
      </c>
      <c r="C759" s="41" t="e">
        <f t="shared" si="173"/>
        <v>#VALUE!</v>
      </c>
      <c r="E759" s="45">
        <v>755</v>
      </c>
      <c r="G759" s="138"/>
      <c r="H759" s="135">
        <v>1</v>
      </c>
      <c r="I759" s="46" t="e">
        <f t="shared" si="160"/>
        <v>#VALUE!</v>
      </c>
      <c r="J759" s="41" t="e">
        <f t="shared" si="166"/>
        <v>#VALUE!</v>
      </c>
      <c r="K759" s="41" t="e">
        <f t="shared" si="172"/>
        <v>#VALUE!</v>
      </c>
      <c r="L759" s="41" t="e">
        <f t="shared" si="172"/>
        <v>#VALUE!</v>
      </c>
      <c r="M759" s="41" t="e">
        <f t="shared" si="161"/>
        <v>#VALUE!</v>
      </c>
      <c r="N759" s="41" t="e">
        <f t="shared" si="162"/>
        <v>#VALUE!</v>
      </c>
      <c r="O759" s="41">
        <f t="shared" si="163"/>
        <v>0</v>
      </c>
      <c r="Q759" s="44" t="e">
        <f t="shared" si="164"/>
        <v>#VALUE!</v>
      </c>
      <c r="R759" s="44" t="e">
        <f t="shared" si="167"/>
        <v>#VALUE!</v>
      </c>
      <c r="S759" s="44" t="e">
        <f t="shared" si="165"/>
        <v>#VALUE!</v>
      </c>
      <c r="T759" s="41" t="e">
        <f t="shared" si="168"/>
        <v>#VALUE!</v>
      </c>
      <c r="U759" s="41" t="e">
        <f t="shared" si="169"/>
        <v>#VALUE!</v>
      </c>
      <c r="V759" s="41" t="e">
        <f t="shared" si="170"/>
        <v>#VALUE!</v>
      </c>
    </row>
    <row r="760" spans="2:22" x14ac:dyDescent="0.25">
      <c r="B760" s="41" t="b">
        <f t="shared" si="171"/>
        <v>0</v>
      </c>
      <c r="C760" s="41" t="e">
        <f t="shared" si="173"/>
        <v>#VALUE!</v>
      </c>
      <c r="E760" s="45">
        <v>756</v>
      </c>
      <c r="G760" s="138"/>
      <c r="H760" s="135">
        <v>1</v>
      </c>
      <c r="I760" s="46" t="e">
        <f t="shared" si="160"/>
        <v>#VALUE!</v>
      </c>
      <c r="J760" s="41" t="e">
        <f t="shared" si="166"/>
        <v>#VALUE!</v>
      </c>
      <c r="K760" s="41" t="e">
        <f t="shared" si="172"/>
        <v>#VALUE!</v>
      </c>
      <c r="L760" s="41" t="e">
        <f t="shared" si="172"/>
        <v>#VALUE!</v>
      </c>
      <c r="M760" s="41" t="e">
        <f t="shared" si="161"/>
        <v>#VALUE!</v>
      </c>
      <c r="N760" s="41" t="e">
        <f t="shared" si="162"/>
        <v>#VALUE!</v>
      </c>
      <c r="O760" s="41">
        <f t="shared" si="163"/>
        <v>0</v>
      </c>
      <c r="Q760" s="44" t="e">
        <f t="shared" si="164"/>
        <v>#VALUE!</v>
      </c>
      <c r="R760" s="44" t="e">
        <f t="shared" si="167"/>
        <v>#VALUE!</v>
      </c>
      <c r="S760" s="44" t="e">
        <f t="shared" si="165"/>
        <v>#VALUE!</v>
      </c>
      <c r="T760" s="41" t="e">
        <f t="shared" si="168"/>
        <v>#VALUE!</v>
      </c>
      <c r="U760" s="41" t="e">
        <f t="shared" si="169"/>
        <v>#VALUE!</v>
      </c>
      <c r="V760" s="41" t="e">
        <f t="shared" si="170"/>
        <v>#VALUE!</v>
      </c>
    </row>
    <row r="761" spans="2:22" x14ac:dyDescent="0.25">
      <c r="B761" s="41" t="b">
        <f t="shared" si="171"/>
        <v>0</v>
      </c>
      <c r="C761" s="41" t="e">
        <f t="shared" si="173"/>
        <v>#VALUE!</v>
      </c>
      <c r="E761" s="45">
        <v>757</v>
      </c>
      <c r="G761" s="138"/>
      <c r="H761" s="135">
        <v>1</v>
      </c>
      <c r="I761" s="46" t="e">
        <f t="shared" si="160"/>
        <v>#VALUE!</v>
      </c>
      <c r="J761" s="41" t="e">
        <f t="shared" si="166"/>
        <v>#VALUE!</v>
      </c>
      <c r="K761" s="41" t="e">
        <f t="shared" si="172"/>
        <v>#VALUE!</v>
      </c>
      <c r="L761" s="41" t="e">
        <f t="shared" si="172"/>
        <v>#VALUE!</v>
      </c>
      <c r="M761" s="41" t="e">
        <f t="shared" si="161"/>
        <v>#VALUE!</v>
      </c>
      <c r="N761" s="41" t="e">
        <f t="shared" si="162"/>
        <v>#VALUE!</v>
      </c>
      <c r="O761" s="41">
        <f t="shared" si="163"/>
        <v>0</v>
      </c>
      <c r="Q761" s="44" t="e">
        <f t="shared" si="164"/>
        <v>#VALUE!</v>
      </c>
      <c r="R761" s="44" t="e">
        <f t="shared" si="167"/>
        <v>#VALUE!</v>
      </c>
      <c r="S761" s="44" t="e">
        <f t="shared" si="165"/>
        <v>#VALUE!</v>
      </c>
      <c r="T761" s="41" t="e">
        <f t="shared" si="168"/>
        <v>#VALUE!</v>
      </c>
      <c r="U761" s="41" t="e">
        <f t="shared" si="169"/>
        <v>#VALUE!</v>
      </c>
      <c r="V761" s="41" t="e">
        <f t="shared" si="170"/>
        <v>#VALUE!</v>
      </c>
    </row>
    <row r="762" spans="2:22" x14ac:dyDescent="0.25">
      <c r="B762" s="41" t="b">
        <f t="shared" si="171"/>
        <v>0</v>
      </c>
      <c r="C762" s="41" t="e">
        <f t="shared" si="173"/>
        <v>#VALUE!</v>
      </c>
      <c r="E762" s="45">
        <v>758</v>
      </c>
      <c r="G762" s="138"/>
      <c r="H762" s="135">
        <v>1</v>
      </c>
      <c r="I762" s="46" t="e">
        <f t="shared" si="160"/>
        <v>#VALUE!</v>
      </c>
      <c r="J762" s="41" t="e">
        <f t="shared" si="166"/>
        <v>#VALUE!</v>
      </c>
      <c r="K762" s="41" t="e">
        <f t="shared" si="172"/>
        <v>#VALUE!</v>
      </c>
      <c r="L762" s="41" t="e">
        <f t="shared" si="172"/>
        <v>#VALUE!</v>
      </c>
      <c r="M762" s="41" t="e">
        <f t="shared" si="161"/>
        <v>#VALUE!</v>
      </c>
      <c r="N762" s="41" t="e">
        <f t="shared" si="162"/>
        <v>#VALUE!</v>
      </c>
      <c r="O762" s="41">
        <f t="shared" si="163"/>
        <v>0</v>
      </c>
      <c r="Q762" s="44" t="e">
        <f t="shared" si="164"/>
        <v>#VALUE!</v>
      </c>
      <c r="R762" s="44" t="e">
        <f t="shared" si="167"/>
        <v>#VALUE!</v>
      </c>
      <c r="S762" s="44" t="e">
        <f t="shared" si="165"/>
        <v>#VALUE!</v>
      </c>
      <c r="T762" s="41" t="e">
        <f t="shared" si="168"/>
        <v>#VALUE!</v>
      </c>
      <c r="U762" s="41" t="e">
        <f t="shared" si="169"/>
        <v>#VALUE!</v>
      </c>
      <c r="V762" s="41" t="e">
        <f t="shared" si="170"/>
        <v>#VALUE!</v>
      </c>
    </row>
    <row r="763" spans="2:22" x14ac:dyDescent="0.25">
      <c r="B763" s="41" t="b">
        <f t="shared" si="171"/>
        <v>0</v>
      </c>
      <c r="C763" s="41" t="e">
        <f t="shared" si="173"/>
        <v>#VALUE!</v>
      </c>
      <c r="E763" s="45">
        <v>759</v>
      </c>
      <c r="G763" s="138"/>
      <c r="H763" s="135">
        <v>1</v>
      </c>
      <c r="I763" s="46" t="e">
        <f t="shared" si="160"/>
        <v>#VALUE!</v>
      </c>
      <c r="J763" s="41" t="e">
        <f t="shared" si="166"/>
        <v>#VALUE!</v>
      </c>
      <c r="K763" s="41" t="e">
        <f t="shared" si="172"/>
        <v>#VALUE!</v>
      </c>
      <c r="L763" s="41" t="e">
        <f t="shared" si="172"/>
        <v>#VALUE!</v>
      </c>
      <c r="M763" s="41" t="e">
        <f t="shared" si="161"/>
        <v>#VALUE!</v>
      </c>
      <c r="N763" s="41" t="e">
        <f t="shared" si="162"/>
        <v>#VALUE!</v>
      </c>
      <c r="O763" s="41">
        <f t="shared" si="163"/>
        <v>0</v>
      </c>
      <c r="Q763" s="44" t="e">
        <f t="shared" si="164"/>
        <v>#VALUE!</v>
      </c>
      <c r="R763" s="44" t="e">
        <f t="shared" si="167"/>
        <v>#VALUE!</v>
      </c>
      <c r="S763" s="44" t="e">
        <f t="shared" si="165"/>
        <v>#VALUE!</v>
      </c>
      <c r="T763" s="41" t="e">
        <f t="shared" si="168"/>
        <v>#VALUE!</v>
      </c>
      <c r="U763" s="41" t="e">
        <f t="shared" si="169"/>
        <v>#VALUE!</v>
      </c>
      <c r="V763" s="41" t="e">
        <f t="shared" si="170"/>
        <v>#VALUE!</v>
      </c>
    </row>
    <row r="764" spans="2:22" x14ac:dyDescent="0.25">
      <c r="B764" s="41" t="b">
        <f t="shared" si="171"/>
        <v>0</v>
      </c>
      <c r="C764" s="41" t="e">
        <f t="shared" si="173"/>
        <v>#VALUE!</v>
      </c>
      <c r="E764" s="45">
        <v>760</v>
      </c>
      <c r="G764" s="138"/>
      <c r="H764" s="135">
        <v>1</v>
      </c>
      <c r="I764" s="46" t="e">
        <f t="shared" si="160"/>
        <v>#VALUE!</v>
      </c>
      <c r="J764" s="41" t="e">
        <f t="shared" si="166"/>
        <v>#VALUE!</v>
      </c>
      <c r="K764" s="41" t="e">
        <f t="shared" si="172"/>
        <v>#VALUE!</v>
      </c>
      <c r="L764" s="41" t="e">
        <f t="shared" si="172"/>
        <v>#VALUE!</v>
      </c>
      <c r="M764" s="41" t="e">
        <f t="shared" si="161"/>
        <v>#VALUE!</v>
      </c>
      <c r="N764" s="41" t="e">
        <f t="shared" si="162"/>
        <v>#VALUE!</v>
      </c>
      <c r="O764" s="41">
        <f t="shared" si="163"/>
        <v>0</v>
      </c>
      <c r="Q764" s="44" t="e">
        <f t="shared" si="164"/>
        <v>#VALUE!</v>
      </c>
      <c r="R764" s="44" t="e">
        <f t="shared" si="167"/>
        <v>#VALUE!</v>
      </c>
      <c r="S764" s="44" t="e">
        <f t="shared" si="165"/>
        <v>#VALUE!</v>
      </c>
      <c r="T764" s="41" t="e">
        <f t="shared" si="168"/>
        <v>#VALUE!</v>
      </c>
      <c r="U764" s="41" t="e">
        <f t="shared" si="169"/>
        <v>#VALUE!</v>
      </c>
      <c r="V764" s="41" t="e">
        <f t="shared" si="170"/>
        <v>#VALUE!</v>
      </c>
    </row>
    <row r="765" spans="2:22" x14ac:dyDescent="0.25">
      <c r="B765" s="41" t="b">
        <f t="shared" si="171"/>
        <v>0</v>
      </c>
      <c r="C765" s="41" t="e">
        <f t="shared" si="173"/>
        <v>#VALUE!</v>
      </c>
      <c r="E765" s="45">
        <v>761</v>
      </c>
      <c r="G765" s="138"/>
      <c r="H765" s="135">
        <v>1</v>
      </c>
      <c r="I765" s="46" t="e">
        <f t="shared" si="160"/>
        <v>#VALUE!</v>
      </c>
      <c r="J765" s="41" t="e">
        <f t="shared" si="166"/>
        <v>#VALUE!</v>
      </c>
      <c r="K765" s="41" t="e">
        <f t="shared" si="172"/>
        <v>#VALUE!</v>
      </c>
      <c r="L765" s="41" t="e">
        <f t="shared" si="172"/>
        <v>#VALUE!</v>
      </c>
      <c r="M765" s="41" t="e">
        <f t="shared" si="161"/>
        <v>#VALUE!</v>
      </c>
      <c r="N765" s="41" t="e">
        <f t="shared" si="162"/>
        <v>#VALUE!</v>
      </c>
      <c r="O765" s="41">
        <f t="shared" si="163"/>
        <v>0</v>
      </c>
      <c r="Q765" s="44" t="e">
        <f t="shared" si="164"/>
        <v>#VALUE!</v>
      </c>
      <c r="R765" s="44" t="e">
        <f t="shared" si="167"/>
        <v>#VALUE!</v>
      </c>
      <c r="S765" s="44" t="e">
        <f t="shared" si="165"/>
        <v>#VALUE!</v>
      </c>
      <c r="T765" s="41" t="e">
        <f t="shared" si="168"/>
        <v>#VALUE!</v>
      </c>
      <c r="U765" s="41" t="e">
        <f t="shared" si="169"/>
        <v>#VALUE!</v>
      </c>
      <c r="V765" s="41" t="e">
        <f t="shared" si="170"/>
        <v>#VALUE!</v>
      </c>
    </row>
    <row r="766" spans="2:22" x14ac:dyDescent="0.25">
      <c r="B766" s="41" t="b">
        <f t="shared" si="171"/>
        <v>0</v>
      </c>
      <c r="C766" s="41" t="e">
        <f t="shared" si="173"/>
        <v>#VALUE!</v>
      </c>
      <c r="E766" s="45">
        <v>762</v>
      </c>
      <c r="G766" s="138"/>
      <c r="H766" s="135">
        <v>1</v>
      </c>
      <c r="I766" s="46" t="e">
        <f t="shared" si="160"/>
        <v>#VALUE!</v>
      </c>
      <c r="J766" s="41" t="e">
        <f t="shared" si="166"/>
        <v>#VALUE!</v>
      </c>
      <c r="K766" s="41" t="e">
        <f t="shared" si="172"/>
        <v>#VALUE!</v>
      </c>
      <c r="L766" s="41" t="e">
        <f t="shared" si="172"/>
        <v>#VALUE!</v>
      </c>
      <c r="M766" s="41" t="e">
        <f t="shared" si="161"/>
        <v>#VALUE!</v>
      </c>
      <c r="N766" s="41" t="e">
        <f t="shared" si="162"/>
        <v>#VALUE!</v>
      </c>
      <c r="O766" s="41">
        <f t="shared" si="163"/>
        <v>0</v>
      </c>
      <c r="Q766" s="44" t="e">
        <f t="shared" si="164"/>
        <v>#VALUE!</v>
      </c>
      <c r="R766" s="44" t="e">
        <f t="shared" si="167"/>
        <v>#VALUE!</v>
      </c>
      <c r="S766" s="44" t="e">
        <f t="shared" si="165"/>
        <v>#VALUE!</v>
      </c>
      <c r="T766" s="41" t="e">
        <f t="shared" si="168"/>
        <v>#VALUE!</v>
      </c>
      <c r="U766" s="41" t="e">
        <f t="shared" si="169"/>
        <v>#VALUE!</v>
      </c>
      <c r="V766" s="41" t="e">
        <f t="shared" si="170"/>
        <v>#VALUE!</v>
      </c>
    </row>
    <row r="767" spans="2:22" x14ac:dyDescent="0.25">
      <c r="B767" s="41" t="b">
        <f t="shared" si="171"/>
        <v>0</v>
      </c>
      <c r="C767" s="41" t="e">
        <f t="shared" si="173"/>
        <v>#VALUE!</v>
      </c>
      <c r="E767" s="45">
        <v>763</v>
      </c>
      <c r="G767" s="138"/>
      <c r="H767" s="135">
        <v>1</v>
      </c>
      <c r="I767" s="46" t="e">
        <f t="shared" si="160"/>
        <v>#VALUE!</v>
      </c>
      <c r="J767" s="41" t="e">
        <f t="shared" si="166"/>
        <v>#VALUE!</v>
      </c>
      <c r="K767" s="41" t="e">
        <f t="shared" si="172"/>
        <v>#VALUE!</v>
      </c>
      <c r="L767" s="41" t="e">
        <f t="shared" si="172"/>
        <v>#VALUE!</v>
      </c>
      <c r="M767" s="41" t="e">
        <f t="shared" si="161"/>
        <v>#VALUE!</v>
      </c>
      <c r="N767" s="41" t="e">
        <f t="shared" si="162"/>
        <v>#VALUE!</v>
      </c>
      <c r="O767" s="41">
        <f t="shared" si="163"/>
        <v>0</v>
      </c>
      <c r="Q767" s="44" t="e">
        <f t="shared" si="164"/>
        <v>#VALUE!</v>
      </c>
      <c r="R767" s="44" t="e">
        <f t="shared" si="167"/>
        <v>#VALUE!</v>
      </c>
      <c r="S767" s="44" t="e">
        <f t="shared" si="165"/>
        <v>#VALUE!</v>
      </c>
      <c r="T767" s="41" t="e">
        <f t="shared" si="168"/>
        <v>#VALUE!</v>
      </c>
      <c r="U767" s="41" t="e">
        <f t="shared" si="169"/>
        <v>#VALUE!</v>
      </c>
      <c r="V767" s="41" t="e">
        <f t="shared" si="170"/>
        <v>#VALUE!</v>
      </c>
    </row>
    <row r="768" spans="2:22" x14ac:dyDescent="0.25">
      <c r="B768" s="41" t="b">
        <f t="shared" si="171"/>
        <v>0</v>
      </c>
      <c r="C768" s="41" t="e">
        <f t="shared" si="173"/>
        <v>#VALUE!</v>
      </c>
      <c r="E768" s="45">
        <v>764</v>
      </c>
      <c r="G768" s="138"/>
      <c r="H768" s="135">
        <v>1</v>
      </c>
      <c r="I768" s="46" t="e">
        <f t="shared" si="160"/>
        <v>#VALUE!</v>
      </c>
      <c r="J768" s="41" t="e">
        <f t="shared" si="166"/>
        <v>#VALUE!</v>
      </c>
      <c r="K768" s="41" t="e">
        <f t="shared" si="172"/>
        <v>#VALUE!</v>
      </c>
      <c r="L768" s="41" t="e">
        <f t="shared" si="172"/>
        <v>#VALUE!</v>
      </c>
      <c r="M768" s="41" t="e">
        <f t="shared" si="161"/>
        <v>#VALUE!</v>
      </c>
      <c r="N768" s="41" t="e">
        <f t="shared" si="162"/>
        <v>#VALUE!</v>
      </c>
      <c r="O768" s="41">
        <f t="shared" si="163"/>
        <v>0</v>
      </c>
      <c r="Q768" s="44" t="e">
        <f t="shared" si="164"/>
        <v>#VALUE!</v>
      </c>
      <c r="R768" s="44" t="e">
        <f t="shared" si="167"/>
        <v>#VALUE!</v>
      </c>
      <c r="S768" s="44" t="e">
        <f t="shared" si="165"/>
        <v>#VALUE!</v>
      </c>
      <c r="T768" s="41" t="e">
        <f t="shared" si="168"/>
        <v>#VALUE!</v>
      </c>
      <c r="U768" s="41" t="e">
        <f t="shared" si="169"/>
        <v>#VALUE!</v>
      </c>
      <c r="V768" s="41" t="e">
        <f t="shared" si="170"/>
        <v>#VALUE!</v>
      </c>
    </row>
    <row r="769" spans="2:22" x14ac:dyDescent="0.25">
      <c r="B769" s="41" t="b">
        <f t="shared" si="171"/>
        <v>0</v>
      </c>
      <c r="C769" s="41" t="e">
        <f t="shared" si="173"/>
        <v>#VALUE!</v>
      </c>
      <c r="E769" s="45">
        <v>765</v>
      </c>
      <c r="G769" s="138"/>
      <c r="H769" s="135">
        <v>1</v>
      </c>
      <c r="I769" s="46" t="e">
        <f t="shared" si="160"/>
        <v>#VALUE!</v>
      </c>
      <c r="J769" s="41" t="e">
        <f t="shared" si="166"/>
        <v>#VALUE!</v>
      </c>
      <c r="K769" s="41" t="e">
        <f t="shared" si="172"/>
        <v>#VALUE!</v>
      </c>
      <c r="L769" s="41" t="e">
        <f t="shared" si="172"/>
        <v>#VALUE!</v>
      </c>
      <c r="M769" s="41" t="e">
        <f t="shared" si="161"/>
        <v>#VALUE!</v>
      </c>
      <c r="N769" s="41" t="e">
        <f t="shared" si="162"/>
        <v>#VALUE!</v>
      </c>
      <c r="O769" s="41">
        <f t="shared" si="163"/>
        <v>0</v>
      </c>
      <c r="Q769" s="44" t="e">
        <f t="shared" si="164"/>
        <v>#VALUE!</v>
      </c>
      <c r="R769" s="44" t="e">
        <f t="shared" si="167"/>
        <v>#VALUE!</v>
      </c>
      <c r="S769" s="44" t="e">
        <f t="shared" si="165"/>
        <v>#VALUE!</v>
      </c>
      <c r="T769" s="41" t="e">
        <f t="shared" si="168"/>
        <v>#VALUE!</v>
      </c>
      <c r="U769" s="41" t="e">
        <f t="shared" si="169"/>
        <v>#VALUE!</v>
      </c>
      <c r="V769" s="41" t="e">
        <f t="shared" si="170"/>
        <v>#VALUE!</v>
      </c>
    </row>
    <row r="770" spans="2:22" x14ac:dyDescent="0.25">
      <c r="B770" s="41" t="b">
        <f t="shared" si="171"/>
        <v>0</v>
      </c>
      <c r="C770" s="41" t="e">
        <f t="shared" si="173"/>
        <v>#VALUE!</v>
      </c>
      <c r="E770" s="45">
        <v>766</v>
      </c>
      <c r="G770" s="138"/>
      <c r="H770" s="135">
        <v>1</v>
      </c>
      <c r="I770" s="46" t="e">
        <f t="shared" si="160"/>
        <v>#VALUE!</v>
      </c>
      <c r="J770" s="41" t="e">
        <f t="shared" si="166"/>
        <v>#VALUE!</v>
      </c>
      <c r="K770" s="41" t="e">
        <f t="shared" si="172"/>
        <v>#VALUE!</v>
      </c>
      <c r="L770" s="41" t="e">
        <f t="shared" si="172"/>
        <v>#VALUE!</v>
      </c>
      <c r="M770" s="41" t="e">
        <f t="shared" si="161"/>
        <v>#VALUE!</v>
      </c>
      <c r="N770" s="41" t="e">
        <f t="shared" si="162"/>
        <v>#VALUE!</v>
      </c>
      <c r="O770" s="41">
        <f t="shared" si="163"/>
        <v>0</v>
      </c>
      <c r="Q770" s="44" t="e">
        <f t="shared" si="164"/>
        <v>#VALUE!</v>
      </c>
      <c r="R770" s="44" t="e">
        <f t="shared" si="167"/>
        <v>#VALUE!</v>
      </c>
      <c r="S770" s="44" t="e">
        <f t="shared" si="165"/>
        <v>#VALUE!</v>
      </c>
      <c r="T770" s="41" t="e">
        <f t="shared" si="168"/>
        <v>#VALUE!</v>
      </c>
      <c r="U770" s="41" t="e">
        <f t="shared" si="169"/>
        <v>#VALUE!</v>
      </c>
      <c r="V770" s="41" t="e">
        <f t="shared" si="170"/>
        <v>#VALUE!</v>
      </c>
    </row>
    <row r="771" spans="2:22" x14ac:dyDescent="0.25">
      <c r="B771" s="41" t="b">
        <f t="shared" si="171"/>
        <v>0</v>
      </c>
      <c r="C771" s="41" t="e">
        <f t="shared" si="173"/>
        <v>#VALUE!</v>
      </c>
      <c r="E771" s="45">
        <v>767</v>
      </c>
      <c r="G771" s="138"/>
      <c r="H771" s="135">
        <v>1</v>
      </c>
      <c r="I771" s="46" t="e">
        <f t="shared" si="160"/>
        <v>#VALUE!</v>
      </c>
      <c r="J771" s="41" t="e">
        <f t="shared" si="166"/>
        <v>#VALUE!</v>
      </c>
      <c r="K771" s="41" t="e">
        <f t="shared" si="172"/>
        <v>#VALUE!</v>
      </c>
      <c r="L771" s="41" t="e">
        <f t="shared" si="172"/>
        <v>#VALUE!</v>
      </c>
      <c r="M771" s="41" t="e">
        <f t="shared" si="161"/>
        <v>#VALUE!</v>
      </c>
      <c r="N771" s="41" t="e">
        <f t="shared" si="162"/>
        <v>#VALUE!</v>
      </c>
      <c r="O771" s="41">
        <f t="shared" si="163"/>
        <v>0</v>
      </c>
      <c r="Q771" s="44" t="e">
        <f t="shared" si="164"/>
        <v>#VALUE!</v>
      </c>
      <c r="R771" s="44" t="e">
        <f t="shared" si="167"/>
        <v>#VALUE!</v>
      </c>
      <c r="S771" s="44" t="e">
        <f t="shared" si="165"/>
        <v>#VALUE!</v>
      </c>
      <c r="T771" s="41" t="e">
        <f t="shared" si="168"/>
        <v>#VALUE!</v>
      </c>
      <c r="U771" s="41" t="e">
        <f t="shared" si="169"/>
        <v>#VALUE!</v>
      </c>
      <c r="V771" s="41" t="e">
        <f t="shared" si="170"/>
        <v>#VALUE!</v>
      </c>
    </row>
    <row r="772" spans="2:22" x14ac:dyDescent="0.25">
      <c r="B772" s="41" t="b">
        <f t="shared" si="171"/>
        <v>0</v>
      </c>
      <c r="C772" s="41" t="e">
        <f t="shared" si="173"/>
        <v>#VALUE!</v>
      </c>
      <c r="E772" s="45">
        <v>768</v>
      </c>
      <c r="G772" s="138"/>
      <c r="H772" s="135">
        <v>1</v>
      </c>
      <c r="I772" s="46" t="e">
        <f t="shared" ref="I772:I835" si="174">RIGHT(G772,J772)</f>
        <v>#VALUE!</v>
      </c>
      <c r="J772" s="41" t="e">
        <f t="shared" si="166"/>
        <v>#VALUE!</v>
      </c>
      <c r="K772" s="41" t="e">
        <f t="shared" si="172"/>
        <v>#VALUE!</v>
      </c>
      <c r="L772" s="41" t="e">
        <f t="shared" si="172"/>
        <v>#VALUE!</v>
      </c>
      <c r="M772" s="41" t="e">
        <f t="shared" ref="M772:M835" si="175">SEARCH("-",G772,2)</f>
        <v>#VALUE!</v>
      </c>
      <c r="N772" s="41" t="e">
        <f t="shared" ref="N772:N835" si="176">SEARCH("-",G772,M772+1)</f>
        <v>#VALUE!</v>
      </c>
      <c r="O772" s="41">
        <f t="shared" ref="O772:O835" si="177">LEN(G772)</f>
        <v>0</v>
      </c>
      <c r="Q772" s="44" t="e">
        <f t="shared" ref="Q772:Q835" si="178">LEFT(G772,M772-1)</f>
        <v>#VALUE!</v>
      </c>
      <c r="R772" s="44" t="e">
        <f t="shared" si="167"/>
        <v>#VALUE!</v>
      </c>
      <c r="S772" s="44" t="e">
        <f t="shared" ref="S772:S835" si="179">RIGHT(G772,L772)</f>
        <v>#VALUE!</v>
      </c>
      <c r="T772" s="41" t="e">
        <f t="shared" si="168"/>
        <v>#VALUE!</v>
      </c>
      <c r="U772" s="41" t="e">
        <f t="shared" si="169"/>
        <v>#VALUE!</v>
      </c>
      <c r="V772" s="41" t="e">
        <f t="shared" si="170"/>
        <v>#VALUE!</v>
      </c>
    </row>
    <row r="773" spans="2:22" x14ac:dyDescent="0.25">
      <c r="B773" s="41" t="b">
        <f t="shared" si="171"/>
        <v>0</v>
      </c>
      <c r="C773" s="41" t="e">
        <f t="shared" si="173"/>
        <v>#VALUE!</v>
      </c>
      <c r="E773" s="45">
        <v>769</v>
      </c>
      <c r="G773" s="138"/>
      <c r="H773" s="135">
        <v>1</v>
      </c>
      <c r="I773" s="46" t="e">
        <f t="shared" si="174"/>
        <v>#VALUE!</v>
      </c>
      <c r="J773" s="41" t="e">
        <f t="shared" ref="J773:J836" si="180">O773-M773</f>
        <v>#VALUE!</v>
      </c>
      <c r="K773" s="41" t="e">
        <f t="shared" si="172"/>
        <v>#VALUE!</v>
      </c>
      <c r="L773" s="41" t="e">
        <f t="shared" si="172"/>
        <v>#VALUE!</v>
      </c>
      <c r="M773" s="41" t="e">
        <f t="shared" si="175"/>
        <v>#VALUE!</v>
      </c>
      <c r="N773" s="41" t="e">
        <f t="shared" si="176"/>
        <v>#VALUE!</v>
      </c>
      <c r="O773" s="41">
        <f t="shared" si="177"/>
        <v>0</v>
      </c>
      <c r="Q773" s="44" t="e">
        <f t="shared" si="178"/>
        <v>#VALUE!</v>
      </c>
      <c r="R773" s="44" t="e">
        <f t="shared" ref="R773:R836" si="181">LEFT(I773,K773-1)</f>
        <v>#VALUE!</v>
      </c>
      <c r="S773" s="44" t="e">
        <f t="shared" si="179"/>
        <v>#VALUE!</v>
      </c>
      <c r="T773" s="41" t="e">
        <f t="shared" ref="T773:T836" si="182">Q773*1*H773</f>
        <v>#VALUE!</v>
      </c>
      <c r="U773" s="41" t="e">
        <f t="shared" ref="U773:U836" si="183">R773*1*H773</f>
        <v>#VALUE!</v>
      </c>
      <c r="V773" s="41" t="e">
        <f t="shared" ref="V773:V836" si="184">S773*1*H773</f>
        <v>#VALUE!</v>
      </c>
    </row>
    <row r="774" spans="2:22" x14ac:dyDescent="0.25">
      <c r="B774" s="41" t="b">
        <f t="shared" si="171"/>
        <v>0</v>
      </c>
      <c r="C774" s="41" t="e">
        <f t="shared" si="173"/>
        <v>#VALUE!</v>
      </c>
      <c r="E774" s="45">
        <v>770</v>
      </c>
      <c r="G774" s="138"/>
      <c r="H774" s="135">
        <v>1</v>
      </c>
      <c r="I774" s="46" t="e">
        <f t="shared" si="174"/>
        <v>#VALUE!</v>
      </c>
      <c r="J774" s="41" t="e">
        <f t="shared" si="180"/>
        <v>#VALUE!</v>
      </c>
      <c r="K774" s="41" t="e">
        <f t="shared" si="172"/>
        <v>#VALUE!</v>
      </c>
      <c r="L774" s="41" t="e">
        <f t="shared" si="172"/>
        <v>#VALUE!</v>
      </c>
      <c r="M774" s="41" t="e">
        <f t="shared" si="175"/>
        <v>#VALUE!</v>
      </c>
      <c r="N774" s="41" t="e">
        <f t="shared" si="176"/>
        <v>#VALUE!</v>
      </c>
      <c r="O774" s="41">
        <f t="shared" si="177"/>
        <v>0</v>
      </c>
      <c r="Q774" s="44" t="e">
        <f t="shared" si="178"/>
        <v>#VALUE!</v>
      </c>
      <c r="R774" s="44" t="e">
        <f t="shared" si="181"/>
        <v>#VALUE!</v>
      </c>
      <c r="S774" s="44" t="e">
        <f t="shared" si="179"/>
        <v>#VALUE!</v>
      </c>
      <c r="T774" s="41" t="e">
        <f t="shared" si="182"/>
        <v>#VALUE!</v>
      </c>
      <c r="U774" s="41" t="e">
        <f t="shared" si="183"/>
        <v>#VALUE!</v>
      </c>
      <c r="V774" s="41" t="e">
        <f t="shared" si="184"/>
        <v>#VALUE!</v>
      </c>
    </row>
    <row r="775" spans="2:22" x14ac:dyDescent="0.25">
      <c r="B775" s="41" t="b">
        <f t="shared" si="171"/>
        <v>0</v>
      </c>
      <c r="C775" s="41" t="e">
        <f t="shared" si="173"/>
        <v>#VALUE!</v>
      </c>
      <c r="E775" s="45">
        <v>771</v>
      </c>
      <c r="G775" s="138"/>
      <c r="H775" s="135">
        <v>1</v>
      </c>
      <c r="I775" s="46" t="e">
        <f t="shared" si="174"/>
        <v>#VALUE!</v>
      </c>
      <c r="J775" s="41" t="e">
        <f t="shared" si="180"/>
        <v>#VALUE!</v>
      </c>
      <c r="K775" s="41" t="e">
        <f t="shared" si="172"/>
        <v>#VALUE!</v>
      </c>
      <c r="L775" s="41" t="e">
        <f t="shared" si="172"/>
        <v>#VALUE!</v>
      </c>
      <c r="M775" s="41" t="e">
        <f t="shared" si="175"/>
        <v>#VALUE!</v>
      </c>
      <c r="N775" s="41" t="e">
        <f t="shared" si="176"/>
        <v>#VALUE!</v>
      </c>
      <c r="O775" s="41">
        <f t="shared" si="177"/>
        <v>0</v>
      </c>
      <c r="Q775" s="44" t="e">
        <f t="shared" si="178"/>
        <v>#VALUE!</v>
      </c>
      <c r="R775" s="44" t="e">
        <f t="shared" si="181"/>
        <v>#VALUE!</v>
      </c>
      <c r="S775" s="44" t="e">
        <f t="shared" si="179"/>
        <v>#VALUE!</v>
      </c>
      <c r="T775" s="41" t="e">
        <f t="shared" si="182"/>
        <v>#VALUE!</v>
      </c>
      <c r="U775" s="41" t="e">
        <f t="shared" si="183"/>
        <v>#VALUE!</v>
      </c>
      <c r="V775" s="41" t="e">
        <f t="shared" si="184"/>
        <v>#VALUE!</v>
      </c>
    </row>
    <row r="776" spans="2:22" x14ac:dyDescent="0.25">
      <c r="B776" s="41" t="b">
        <f t="shared" si="171"/>
        <v>0</v>
      </c>
      <c r="C776" s="41" t="e">
        <f t="shared" si="173"/>
        <v>#VALUE!</v>
      </c>
      <c r="E776" s="45">
        <v>772</v>
      </c>
      <c r="G776" s="138"/>
      <c r="H776" s="135">
        <v>1</v>
      </c>
      <c r="I776" s="46" t="e">
        <f t="shared" si="174"/>
        <v>#VALUE!</v>
      </c>
      <c r="J776" s="41" t="e">
        <f t="shared" si="180"/>
        <v>#VALUE!</v>
      </c>
      <c r="K776" s="41" t="e">
        <f t="shared" si="172"/>
        <v>#VALUE!</v>
      </c>
      <c r="L776" s="41" t="e">
        <f t="shared" si="172"/>
        <v>#VALUE!</v>
      </c>
      <c r="M776" s="41" t="e">
        <f t="shared" si="175"/>
        <v>#VALUE!</v>
      </c>
      <c r="N776" s="41" t="e">
        <f t="shared" si="176"/>
        <v>#VALUE!</v>
      </c>
      <c r="O776" s="41">
        <f t="shared" si="177"/>
        <v>0</v>
      </c>
      <c r="Q776" s="44" t="e">
        <f t="shared" si="178"/>
        <v>#VALUE!</v>
      </c>
      <c r="R776" s="44" t="e">
        <f t="shared" si="181"/>
        <v>#VALUE!</v>
      </c>
      <c r="S776" s="44" t="e">
        <f t="shared" si="179"/>
        <v>#VALUE!</v>
      </c>
      <c r="T776" s="41" t="e">
        <f t="shared" si="182"/>
        <v>#VALUE!</v>
      </c>
      <c r="U776" s="41" t="e">
        <f t="shared" si="183"/>
        <v>#VALUE!</v>
      </c>
      <c r="V776" s="41" t="e">
        <f t="shared" si="184"/>
        <v>#VALUE!</v>
      </c>
    </row>
    <row r="777" spans="2:22" x14ac:dyDescent="0.25">
      <c r="B777" s="41" t="b">
        <f t="shared" si="171"/>
        <v>0</v>
      </c>
      <c r="C777" s="41" t="e">
        <f t="shared" si="173"/>
        <v>#VALUE!</v>
      </c>
      <c r="E777" s="45">
        <v>773</v>
      </c>
      <c r="G777" s="138"/>
      <c r="H777" s="135">
        <v>1</v>
      </c>
      <c r="I777" s="46" t="e">
        <f t="shared" si="174"/>
        <v>#VALUE!</v>
      </c>
      <c r="J777" s="41" t="e">
        <f t="shared" si="180"/>
        <v>#VALUE!</v>
      </c>
      <c r="K777" s="41" t="e">
        <f t="shared" si="172"/>
        <v>#VALUE!</v>
      </c>
      <c r="L777" s="41" t="e">
        <f t="shared" si="172"/>
        <v>#VALUE!</v>
      </c>
      <c r="M777" s="41" t="e">
        <f t="shared" si="175"/>
        <v>#VALUE!</v>
      </c>
      <c r="N777" s="41" t="e">
        <f t="shared" si="176"/>
        <v>#VALUE!</v>
      </c>
      <c r="O777" s="41">
        <f t="shared" si="177"/>
        <v>0</v>
      </c>
      <c r="Q777" s="44" t="e">
        <f t="shared" si="178"/>
        <v>#VALUE!</v>
      </c>
      <c r="R777" s="44" t="e">
        <f t="shared" si="181"/>
        <v>#VALUE!</v>
      </c>
      <c r="S777" s="44" t="e">
        <f t="shared" si="179"/>
        <v>#VALUE!</v>
      </c>
      <c r="T777" s="41" t="e">
        <f t="shared" si="182"/>
        <v>#VALUE!</v>
      </c>
      <c r="U777" s="41" t="e">
        <f t="shared" si="183"/>
        <v>#VALUE!</v>
      </c>
      <c r="V777" s="41" t="e">
        <f t="shared" si="184"/>
        <v>#VALUE!</v>
      </c>
    </row>
    <row r="778" spans="2:22" x14ac:dyDescent="0.25">
      <c r="B778" s="41" t="b">
        <f t="shared" si="171"/>
        <v>0</v>
      </c>
      <c r="C778" s="41" t="e">
        <f t="shared" si="173"/>
        <v>#VALUE!</v>
      </c>
      <c r="E778" s="45">
        <v>774</v>
      </c>
      <c r="G778" s="138"/>
      <c r="H778" s="135">
        <v>1</v>
      </c>
      <c r="I778" s="46" t="e">
        <f t="shared" si="174"/>
        <v>#VALUE!</v>
      </c>
      <c r="J778" s="41" t="e">
        <f t="shared" si="180"/>
        <v>#VALUE!</v>
      </c>
      <c r="K778" s="41" t="e">
        <f t="shared" si="172"/>
        <v>#VALUE!</v>
      </c>
      <c r="L778" s="41" t="e">
        <f t="shared" si="172"/>
        <v>#VALUE!</v>
      </c>
      <c r="M778" s="41" t="e">
        <f t="shared" si="175"/>
        <v>#VALUE!</v>
      </c>
      <c r="N778" s="41" t="e">
        <f t="shared" si="176"/>
        <v>#VALUE!</v>
      </c>
      <c r="O778" s="41">
        <f t="shared" si="177"/>
        <v>0</v>
      </c>
      <c r="Q778" s="44" t="e">
        <f t="shared" si="178"/>
        <v>#VALUE!</v>
      </c>
      <c r="R778" s="44" t="e">
        <f t="shared" si="181"/>
        <v>#VALUE!</v>
      </c>
      <c r="S778" s="44" t="e">
        <f t="shared" si="179"/>
        <v>#VALUE!</v>
      </c>
      <c r="T778" s="41" t="e">
        <f t="shared" si="182"/>
        <v>#VALUE!</v>
      </c>
      <c r="U778" s="41" t="e">
        <f t="shared" si="183"/>
        <v>#VALUE!</v>
      </c>
      <c r="V778" s="41" t="e">
        <f t="shared" si="184"/>
        <v>#VALUE!</v>
      </c>
    </row>
    <row r="779" spans="2:22" x14ac:dyDescent="0.25">
      <c r="B779" s="41" t="b">
        <f t="shared" si="171"/>
        <v>0</v>
      </c>
      <c r="C779" s="41" t="e">
        <f t="shared" si="173"/>
        <v>#VALUE!</v>
      </c>
      <c r="E779" s="45">
        <v>775</v>
      </c>
      <c r="G779" s="138"/>
      <c r="H779" s="135">
        <v>1</v>
      </c>
      <c r="I779" s="46" t="e">
        <f t="shared" si="174"/>
        <v>#VALUE!</v>
      </c>
      <c r="J779" s="41" t="e">
        <f t="shared" si="180"/>
        <v>#VALUE!</v>
      </c>
      <c r="K779" s="41" t="e">
        <f t="shared" si="172"/>
        <v>#VALUE!</v>
      </c>
      <c r="L779" s="41" t="e">
        <f t="shared" si="172"/>
        <v>#VALUE!</v>
      </c>
      <c r="M779" s="41" t="e">
        <f t="shared" si="175"/>
        <v>#VALUE!</v>
      </c>
      <c r="N779" s="41" t="e">
        <f t="shared" si="176"/>
        <v>#VALUE!</v>
      </c>
      <c r="O779" s="41">
        <f t="shared" si="177"/>
        <v>0</v>
      </c>
      <c r="Q779" s="44" t="e">
        <f t="shared" si="178"/>
        <v>#VALUE!</v>
      </c>
      <c r="R779" s="44" t="e">
        <f t="shared" si="181"/>
        <v>#VALUE!</v>
      </c>
      <c r="S779" s="44" t="e">
        <f t="shared" si="179"/>
        <v>#VALUE!</v>
      </c>
      <c r="T779" s="41" t="e">
        <f t="shared" si="182"/>
        <v>#VALUE!</v>
      </c>
      <c r="U779" s="41" t="e">
        <f t="shared" si="183"/>
        <v>#VALUE!</v>
      </c>
      <c r="V779" s="41" t="e">
        <f t="shared" si="184"/>
        <v>#VALUE!</v>
      </c>
    </row>
    <row r="780" spans="2:22" x14ac:dyDescent="0.25">
      <c r="B780" s="41" t="b">
        <f t="shared" si="171"/>
        <v>0</v>
      </c>
      <c r="C780" s="41" t="e">
        <f t="shared" si="173"/>
        <v>#VALUE!</v>
      </c>
      <c r="E780" s="45">
        <v>776</v>
      </c>
      <c r="G780" s="138"/>
      <c r="H780" s="135">
        <v>1</v>
      </c>
      <c r="I780" s="46" t="e">
        <f t="shared" si="174"/>
        <v>#VALUE!</v>
      </c>
      <c r="J780" s="41" t="e">
        <f t="shared" si="180"/>
        <v>#VALUE!</v>
      </c>
      <c r="K780" s="41" t="e">
        <f t="shared" si="172"/>
        <v>#VALUE!</v>
      </c>
      <c r="L780" s="41" t="e">
        <f t="shared" si="172"/>
        <v>#VALUE!</v>
      </c>
      <c r="M780" s="41" t="e">
        <f t="shared" si="175"/>
        <v>#VALUE!</v>
      </c>
      <c r="N780" s="41" t="e">
        <f t="shared" si="176"/>
        <v>#VALUE!</v>
      </c>
      <c r="O780" s="41">
        <f t="shared" si="177"/>
        <v>0</v>
      </c>
      <c r="Q780" s="44" t="e">
        <f t="shared" si="178"/>
        <v>#VALUE!</v>
      </c>
      <c r="R780" s="44" t="e">
        <f t="shared" si="181"/>
        <v>#VALUE!</v>
      </c>
      <c r="S780" s="44" t="e">
        <f t="shared" si="179"/>
        <v>#VALUE!</v>
      </c>
      <c r="T780" s="41" t="e">
        <f t="shared" si="182"/>
        <v>#VALUE!</v>
      </c>
      <c r="U780" s="41" t="e">
        <f t="shared" si="183"/>
        <v>#VALUE!</v>
      </c>
      <c r="V780" s="41" t="e">
        <f t="shared" si="184"/>
        <v>#VALUE!</v>
      </c>
    </row>
    <row r="781" spans="2:22" x14ac:dyDescent="0.25">
      <c r="B781" s="41" t="b">
        <f t="shared" si="171"/>
        <v>0</v>
      </c>
      <c r="C781" s="41" t="e">
        <f t="shared" si="173"/>
        <v>#VALUE!</v>
      </c>
      <c r="E781" s="45">
        <v>777</v>
      </c>
      <c r="G781" s="138"/>
      <c r="H781" s="135">
        <v>1</v>
      </c>
      <c r="I781" s="46" t="e">
        <f t="shared" si="174"/>
        <v>#VALUE!</v>
      </c>
      <c r="J781" s="41" t="e">
        <f t="shared" si="180"/>
        <v>#VALUE!</v>
      </c>
      <c r="K781" s="41" t="e">
        <f t="shared" si="172"/>
        <v>#VALUE!</v>
      </c>
      <c r="L781" s="41" t="e">
        <f t="shared" si="172"/>
        <v>#VALUE!</v>
      </c>
      <c r="M781" s="41" t="e">
        <f t="shared" si="175"/>
        <v>#VALUE!</v>
      </c>
      <c r="N781" s="41" t="e">
        <f t="shared" si="176"/>
        <v>#VALUE!</v>
      </c>
      <c r="O781" s="41">
        <f t="shared" si="177"/>
        <v>0</v>
      </c>
      <c r="Q781" s="44" t="e">
        <f t="shared" si="178"/>
        <v>#VALUE!</v>
      </c>
      <c r="R781" s="44" t="e">
        <f t="shared" si="181"/>
        <v>#VALUE!</v>
      </c>
      <c r="S781" s="44" t="e">
        <f t="shared" si="179"/>
        <v>#VALUE!</v>
      </c>
      <c r="T781" s="41" t="e">
        <f t="shared" si="182"/>
        <v>#VALUE!</v>
      </c>
      <c r="U781" s="41" t="e">
        <f t="shared" si="183"/>
        <v>#VALUE!</v>
      </c>
      <c r="V781" s="41" t="e">
        <f t="shared" si="184"/>
        <v>#VALUE!</v>
      </c>
    </row>
    <row r="782" spans="2:22" x14ac:dyDescent="0.25">
      <c r="B782" s="41" t="b">
        <f t="shared" ref="B782:B845" si="185">ISNUMBER(C782)</f>
        <v>0</v>
      </c>
      <c r="C782" s="41" t="e">
        <f t="shared" si="173"/>
        <v>#VALUE!</v>
      </c>
      <c r="E782" s="45">
        <v>778</v>
      </c>
      <c r="G782" s="138"/>
      <c r="H782" s="135">
        <v>1</v>
      </c>
      <c r="I782" s="46" t="e">
        <f t="shared" si="174"/>
        <v>#VALUE!</v>
      </c>
      <c r="J782" s="41" t="e">
        <f t="shared" si="180"/>
        <v>#VALUE!</v>
      </c>
      <c r="K782" s="41" t="e">
        <f t="shared" si="172"/>
        <v>#VALUE!</v>
      </c>
      <c r="L782" s="41" t="e">
        <f t="shared" si="172"/>
        <v>#VALUE!</v>
      </c>
      <c r="M782" s="41" t="e">
        <f t="shared" si="175"/>
        <v>#VALUE!</v>
      </c>
      <c r="N782" s="41" t="e">
        <f t="shared" si="176"/>
        <v>#VALUE!</v>
      </c>
      <c r="O782" s="41">
        <f t="shared" si="177"/>
        <v>0</v>
      </c>
      <c r="Q782" s="44" t="e">
        <f t="shared" si="178"/>
        <v>#VALUE!</v>
      </c>
      <c r="R782" s="44" t="e">
        <f t="shared" si="181"/>
        <v>#VALUE!</v>
      </c>
      <c r="S782" s="44" t="e">
        <f t="shared" si="179"/>
        <v>#VALUE!</v>
      </c>
      <c r="T782" s="41" t="e">
        <f t="shared" si="182"/>
        <v>#VALUE!</v>
      </c>
      <c r="U782" s="41" t="e">
        <f t="shared" si="183"/>
        <v>#VALUE!</v>
      </c>
      <c r="V782" s="41" t="e">
        <f t="shared" si="184"/>
        <v>#VALUE!</v>
      </c>
    </row>
    <row r="783" spans="2:22" x14ac:dyDescent="0.25">
      <c r="B783" s="41" t="b">
        <f t="shared" si="185"/>
        <v>0</v>
      </c>
      <c r="C783" s="41" t="e">
        <f t="shared" si="173"/>
        <v>#VALUE!</v>
      </c>
      <c r="E783" s="45">
        <v>779</v>
      </c>
      <c r="G783" s="138"/>
      <c r="H783" s="135">
        <v>1</v>
      </c>
      <c r="I783" s="46" t="e">
        <f t="shared" si="174"/>
        <v>#VALUE!</v>
      </c>
      <c r="J783" s="41" t="e">
        <f t="shared" si="180"/>
        <v>#VALUE!</v>
      </c>
      <c r="K783" s="41" t="e">
        <f t="shared" si="172"/>
        <v>#VALUE!</v>
      </c>
      <c r="L783" s="41" t="e">
        <f t="shared" si="172"/>
        <v>#VALUE!</v>
      </c>
      <c r="M783" s="41" t="e">
        <f t="shared" si="175"/>
        <v>#VALUE!</v>
      </c>
      <c r="N783" s="41" t="e">
        <f t="shared" si="176"/>
        <v>#VALUE!</v>
      </c>
      <c r="O783" s="41">
        <f t="shared" si="177"/>
        <v>0</v>
      </c>
      <c r="Q783" s="44" t="e">
        <f t="shared" si="178"/>
        <v>#VALUE!</v>
      </c>
      <c r="R783" s="44" t="e">
        <f t="shared" si="181"/>
        <v>#VALUE!</v>
      </c>
      <c r="S783" s="44" t="e">
        <f t="shared" si="179"/>
        <v>#VALUE!</v>
      </c>
      <c r="T783" s="41" t="e">
        <f t="shared" si="182"/>
        <v>#VALUE!</v>
      </c>
      <c r="U783" s="41" t="e">
        <f t="shared" si="183"/>
        <v>#VALUE!</v>
      </c>
      <c r="V783" s="41" t="e">
        <f t="shared" si="184"/>
        <v>#VALUE!</v>
      </c>
    </row>
    <row r="784" spans="2:22" x14ac:dyDescent="0.25">
      <c r="B784" s="41" t="b">
        <f t="shared" si="185"/>
        <v>0</v>
      </c>
      <c r="C784" s="41" t="e">
        <f t="shared" si="173"/>
        <v>#VALUE!</v>
      </c>
      <c r="E784" s="45">
        <v>780</v>
      </c>
      <c r="G784" s="138"/>
      <c r="H784" s="135">
        <v>1</v>
      </c>
      <c r="I784" s="46" t="e">
        <f t="shared" si="174"/>
        <v>#VALUE!</v>
      </c>
      <c r="J784" s="41" t="e">
        <f t="shared" si="180"/>
        <v>#VALUE!</v>
      </c>
      <c r="K784" s="41" t="e">
        <f t="shared" si="172"/>
        <v>#VALUE!</v>
      </c>
      <c r="L784" s="41" t="e">
        <f t="shared" si="172"/>
        <v>#VALUE!</v>
      </c>
      <c r="M784" s="41" t="e">
        <f t="shared" si="175"/>
        <v>#VALUE!</v>
      </c>
      <c r="N784" s="41" t="e">
        <f t="shared" si="176"/>
        <v>#VALUE!</v>
      </c>
      <c r="O784" s="41">
        <f t="shared" si="177"/>
        <v>0</v>
      </c>
      <c r="Q784" s="44" t="e">
        <f t="shared" si="178"/>
        <v>#VALUE!</v>
      </c>
      <c r="R784" s="44" t="e">
        <f t="shared" si="181"/>
        <v>#VALUE!</v>
      </c>
      <c r="S784" s="44" t="e">
        <f t="shared" si="179"/>
        <v>#VALUE!</v>
      </c>
      <c r="T784" s="41" t="e">
        <f t="shared" si="182"/>
        <v>#VALUE!</v>
      </c>
      <c r="U784" s="41" t="e">
        <f t="shared" si="183"/>
        <v>#VALUE!</v>
      </c>
      <c r="V784" s="41" t="e">
        <f t="shared" si="184"/>
        <v>#VALUE!</v>
      </c>
    </row>
    <row r="785" spans="2:22" x14ac:dyDescent="0.25">
      <c r="B785" s="41" t="b">
        <f t="shared" si="185"/>
        <v>0</v>
      </c>
      <c r="C785" s="41" t="e">
        <f t="shared" si="173"/>
        <v>#VALUE!</v>
      </c>
      <c r="E785" s="45">
        <v>781</v>
      </c>
      <c r="G785" s="138"/>
      <c r="H785" s="135">
        <v>1</v>
      </c>
      <c r="I785" s="46" t="e">
        <f t="shared" si="174"/>
        <v>#VALUE!</v>
      </c>
      <c r="J785" s="41" t="e">
        <f t="shared" si="180"/>
        <v>#VALUE!</v>
      </c>
      <c r="K785" s="41" t="e">
        <f t="shared" si="172"/>
        <v>#VALUE!</v>
      </c>
      <c r="L785" s="41" t="e">
        <f t="shared" si="172"/>
        <v>#VALUE!</v>
      </c>
      <c r="M785" s="41" t="e">
        <f t="shared" si="175"/>
        <v>#VALUE!</v>
      </c>
      <c r="N785" s="41" t="e">
        <f t="shared" si="176"/>
        <v>#VALUE!</v>
      </c>
      <c r="O785" s="41">
        <f t="shared" si="177"/>
        <v>0</v>
      </c>
      <c r="Q785" s="44" t="e">
        <f t="shared" si="178"/>
        <v>#VALUE!</v>
      </c>
      <c r="R785" s="44" t="e">
        <f t="shared" si="181"/>
        <v>#VALUE!</v>
      </c>
      <c r="S785" s="44" t="e">
        <f t="shared" si="179"/>
        <v>#VALUE!</v>
      </c>
      <c r="T785" s="41" t="e">
        <f t="shared" si="182"/>
        <v>#VALUE!</v>
      </c>
      <c r="U785" s="41" t="e">
        <f t="shared" si="183"/>
        <v>#VALUE!</v>
      </c>
      <c r="V785" s="41" t="e">
        <f t="shared" si="184"/>
        <v>#VALUE!</v>
      </c>
    </row>
    <row r="786" spans="2:22" x14ac:dyDescent="0.25">
      <c r="B786" s="41" t="b">
        <f t="shared" si="185"/>
        <v>0</v>
      </c>
      <c r="C786" s="41" t="e">
        <f t="shared" si="173"/>
        <v>#VALUE!</v>
      </c>
      <c r="E786" s="45">
        <v>782</v>
      </c>
      <c r="G786" s="138"/>
      <c r="H786" s="135">
        <v>1</v>
      </c>
      <c r="I786" s="46" t="e">
        <f t="shared" si="174"/>
        <v>#VALUE!</v>
      </c>
      <c r="J786" s="41" t="e">
        <f t="shared" si="180"/>
        <v>#VALUE!</v>
      </c>
      <c r="K786" s="41" t="e">
        <f t="shared" si="172"/>
        <v>#VALUE!</v>
      </c>
      <c r="L786" s="41" t="e">
        <f t="shared" si="172"/>
        <v>#VALUE!</v>
      </c>
      <c r="M786" s="41" t="e">
        <f t="shared" si="175"/>
        <v>#VALUE!</v>
      </c>
      <c r="N786" s="41" t="e">
        <f t="shared" si="176"/>
        <v>#VALUE!</v>
      </c>
      <c r="O786" s="41">
        <f t="shared" si="177"/>
        <v>0</v>
      </c>
      <c r="Q786" s="44" t="e">
        <f t="shared" si="178"/>
        <v>#VALUE!</v>
      </c>
      <c r="R786" s="44" t="e">
        <f t="shared" si="181"/>
        <v>#VALUE!</v>
      </c>
      <c r="S786" s="44" t="e">
        <f t="shared" si="179"/>
        <v>#VALUE!</v>
      </c>
      <c r="T786" s="41" t="e">
        <f t="shared" si="182"/>
        <v>#VALUE!</v>
      </c>
      <c r="U786" s="41" t="e">
        <f t="shared" si="183"/>
        <v>#VALUE!</v>
      </c>
      <c r="V786" s="41" t="e">
        <f t="shared" si="184"/>
        <v>#VALUE!</v>
      </c>
    </row>
    <row r="787" spans="2:22" x14ac:dyDescent="0.25">
      <c r="B787" s="41" t="b">
        <f t="shared" si="185"/>
        <v>0</v>
      </c>
      <c r="C787" s="41" t="e">
        <f t="shared" si="173"/>
        <v>#VALUE!</v>
      </c>
      <c r="E787" s="45">
        <v>783</v>
      </c>
      <c r="G787" s="138"/>
      <c r="H787" s="135">
        <v>1</v>
      </c>
      <c r="I787" s="46" t="e">
        <f t="shared" si="174"/>
        <v>#VALUE!</v>
      </c>
      <c r="J787" s="41" t="e">
        <f t="shared" si="180"/>
        <v>#VALUE!</v>
      </c>
      <c r="K787" s="41" t="e">
        <f t="shared" si="172"/>
        <v>#VALUE!</v>
      </c>
      <c r="L787" s="41" t="e">
        <f t="shared" si="172"/>
        <v>#VALUE!</v>
      </c>
      <c r="M787" s="41" t="e">
        <f t="shared" si="175"/>
        <v>#VALUE!</v>
      </c>
      <c r="N787" s="41" t="e">
        <f t="shared" si="176"/>
        <v>#VALUE!</v>
      </c>
      <c r="O787" s="41">
        <f t="shared" si="177"/>
        <v>0</v>
      </c>
      <c r="Q787" s="44" t="e">
        <f t="shared" si="178"/>
        <v>#VALUE!</v>
      </c>
      <c r="R787" s="44" t="e">
        <f t="shared" si="181"/>
        <v>#VALUE!</v>
      </c>
      <c r="S787" s="44" t="e">
        <f t="shared" si="179"/>
        <v>#VALUE!</v>
      </c>
      <c r="T787" s="41" t="e">
        <f t="shared" si="182"/>
        <v>#VALUE!</v>
      </c>
      <c r="U787" s="41" t="e">
        <f t="shared" si="183"/>
        <v>#VALUE!</v>
      </c>
      <c r="V787" s="41" t="e">
        <f t="shared" si="184"/>
        <v>#VALUE!</v>
      </c>
    </row>
    <row r="788" spans="2:22" x14ac:dyDescent="0.25">
      <c r="B788" s="41" t="b">
        <f t="shared" si="185"/>
        <v>0</v>
      </c>
      <c r="C788" s="41" t="e">
        <f t="shared" si="173"/>
        <v>#VALUE!</v>
      </c>
      <c r="E788" s="45">
        <v>784</v>
      </c>
      <c r="G788" s="138"/>
      <c r="H788" s="135">
        <v>1</v>
      </c>
      <c r="I788" s="46" t="e">
        <f t="shared" si="174"/>
        <v>#VALUE!</v>
      </c>
      <c r="J788" s="41" t="e">
        <f t="shared" si="180"/>
        <v>#VALUE!</v>
      </c>
      <c r="K788" s="41" t="e">
        <f t="shared" si="172"/>
        <v>#VALUE!</v>
      </c>
      <c r="L788" s="41" t="e">
        <f t="shared" si="172"/>
        <v>#VALUE!</v>
      </c>
      <c r="M788" s="41" t="e">
        <f t="shared" si="175"/>
        <v>#VALUE!</v>
      </c>
      <c r="N788" s="41" t="e">
        <f t="shared" si="176"/>
        <v>#VALUE!</v>
      </c>
      <c r="O788" s="41">
        <f t="shared" si="177"/>
        <v>0</v>
      </c>
      <c r="Q788" s="44" t="e">
        <f t="shared" si="178"/>
        <v>#VALUE!</v>
      </c>
      <c r="R788" s="44" t="e">
        <f t="shared" si="181"/>
        <v>#VALUE!</v>
      </c>
      <c r="S788" s="44" t="e">
        <f t="shared" si="179"/>
        <v>#VALUE!</v>
      </c>
      <c r="T788" s="41" t="e">
        <f t="shared" si="182"/>
        <v>#VALUE!</v>
      </c>
      <c r="U788" s="41" t="e">
        <f t="shared" si="183"/>
        <v>#VALUE!</v>
      </c>
      <c r="V788" s="41" t="e">
        <f t="shared" si="184"/>
        <v>#VALUE!</v>
      </c>
    </row>
    <row r="789" spans="2:22" x14ac:dyDescent="0.25">
      <c r="B789" s="41" t="b">
        <f t="shared" si="185"/>
        <v>0</v>
      </c>
      <c r="C789" s="41" t="e">
        <f t="shared" si="173"/>
        <v>#VALUE!</v>
      </c>
      <c r="E789" s="45">
        <v>785</v>
      </c>
      <c r="G789" s="138"/>
      <c r="H789" s="135">
        <v>1</v>
      </c>
      <c r="I789" s="46" t="e">
        <f t="shared" si="174"/>
        <v>#VALUE!</v>
      </c>
      <c r="J789" s="41" t="e">
        <f t="shared" si="180"/>
        <v>#VALUE!</v>
      </c>
      <c r="K789" s="41" t="e">
        <f t="shared" si="172"/>
        <v>#VALUE!</v>
      </c>
      <c r="L789" s="41" t="e">
        <f t="shared" si="172"/>
        <v>#VALUE!</v>
      </c>
      <c r="M789" s="41" t="e">
        <f t="shared" si="175"/>
        <v>#VALUE!</v>
      </c>
      <c r="N789" s="41" t="e">
        <f t="shared" si="176"/>
        <v>#VALUE!</v>
      </c>
      <c r="O789" s="41">
        <f t="shared" si="177"/>
        <v>0</v>
      </c>
      <c r="Q789" s="44" t="e">
        <f t="shared" si="178"/>
        <v>#VALUE!</v>
      </c>
      <c r="R789" s="44" t="e">
        <f t="shared" si="181"/>
        <v>#VALUE!</v>
      </c>
      <c r="S789" s="44" t="e">
        <f t="shared" si="179"/>
        <v>#VALUE!</v>
      </c>
      <c r="T789" s="41" t="e">
        <f t="shared" si="182"/>
        <v>#VALUE!</v>
      </c>
      <c r="U789" s="41" t="e">
        <f t="shared" si="183"/>
        <v>#VALUE!</v>
      </c>
      <c r="V789" s="41" t="e">
        <f t="shared" si="184"/>
        <v>#VALUE!</v>
      </c>
    </row>
    <row r="790" spans="2:22" x14ac:dyDescent="0.25">
      <c r="B790" s="41" t="b">
        <f t="shared" si="185"/>
        <v>0</v>
      </c>
      <c r="C790" s="41" t="e">
        <f t="shared" si="173"/>
        <v>#VALUE!</v>
      </c>
      <c r="E790" s="45">
        <v>786</v>
      </c>
      <c r="G790" s="138"/>
      <c r="H790" s="135">
        <v>1</v>
      </c>
      <c r="I790" s="46" t="e">
        <f t="shared" si="174"/>
        <v>#VALUE!</v>
      </c>
      <c r="J790" s="41" t="e">
        <f t="shared" si="180"/>
        <v>#VALUE!</v>
      </c>
      <c r="K790" s="41" t="e">
        <f t="shared" si="172"/>
        <v>#VALUE!</v>
      </c>
      <c r="L790" s="41" t="e">
        <f t="shared" si="172"/>
        <v>#VALUE!</v>
      </c>
      <c r="M790" s="41" t="e">
        <f t="shared" si="175"/>
        <v>#VALUE!</v>
      </c>
      <c r="N790" s="41" t="e">
        <f t="shared" si="176"/>
        <v>#VALUE!</v>
      </c>
      <c r="O790" s="41">
        <f t="shared" si="177"/>
        <v>0</v>
      </c>
      <c r="Q790" s="44" t="e">
        <f t="shared" si="178"/>
        <v>#VALUE!</v>
      </c>
      <c r="R790" s="44" t="e">
        <f t="shared" si="181"/>
        <v>#VALUE!</v>
      </c>
      <c r="S790" s="44" t="e">
        <f t="shared" si="179"/>
        <v>#VALUE!</v>
      </c>
      <c r="T790" s="41" t="e">
        <f t="shared" si="182"/>
        <v>#VALUE!</v>
      </c>
      <c r="U790" s="41" t="e">
        <f t="shared" si="183"/>
        <v>#VALUE!</v>
      </c>
      <c r="V790" s="41" t="e">
        <f t="shared" si="184"/>
        <v>#VALUE!</v>
      </c>
    </row>
    <row r="791" spans="2:22" x14ac:dyDescent="0.25">
      <c r="B791" s="41" t="b">
        <f t="shared" si="185"/>
        <v>0</v>
      </c>
      <c r="C791" s="41" t="e">
        <f t="shared" si="173"/>
        <v>#VALUE!</v>
      </c>
      <c r="E791" s="45">
        <v>787</v>
      </c>
      <c r="G791" s="138"/>
      <c r="H791" s="135">
        <v>1</v>
      </c>
      <c r="I791" s="46" t="e">
        <f t="shared" si="174"/>
        <v>#VALUE!</v>
      </c>
      <c r="J791" s="41" t="e">
        <f t="shared" si="180"/>
        <v>#VALUE!</v>
      </c>
      <c r="K791" s="41" t="e">
        <f t="shared" si="172"/>
        <v>#VALUE!</v>
      </c>
      <c r="L791" s="41" t="e">
        <f t="shared" si="172"/>
        <v>#VALUE!</v>
      </c>
      <c r="M791" s="41" t="e">
        <f t="shared" si="175"/>
        <v>#VALUE!</v>
      </c>
      <c r="N791" s="41" t="e">
        <f t="shared" si="176"/>
        <v>#VALUE!</v>
      </c>
      <c r="O791" s="41">
        <f t="shared" si="177"/>
        <v>0</v>
      </c>
      <c r="Q791" s="44" t="e">
        <f t="shared" si="178"/>
        <v>#VALUE!</v>
      </c>
      <c r="R791" s="44" t="e">
        <f t="shared" si="181"/>
        <v>#VALUE!</v>
      </c>
      <c r="S791" s="44" t="e">
        <f t="shared" si="179"/>
        <v>#VALUE!</v>
      </c>
      <c r="T791" s="41" t="e">
        <f t="shared" si="182"/>
        <v>#VALUE!</v>
      </c>
      <c r="U791" s="41" t="e">
        <f t="shared" si="183"/>
        <v>#VALUE!</v>
      </c>
      <c r="V791" s="41" t="e">
        <f t="shared" si="184"/>
        <v>#VALUE!</v>
      </c>
    </row>
    <row r="792" spans="2:22" x14ac:dyDescent="0.25">
      <c r="B792" s="41" t="b">
        <f t="shared" si="185"/>
        <v>0</v>
      </c>
      <c r="C792" s="41" t="e">
        <f t="shared" si="173"/>
        <v>#VALUE!</v>
      </c>
      <c r="E792" s="45">
        <v>788</v>
      </c>
      <c r="G792" s="138"/>
      <c r="H792" s="135">
        <v>1</v>
      </c>
      <c r="I792" s="46" t="e">
        <f t="shared" si="174"/>
        <v>#VALUE!</v>
      </c>
      <c r="J792" s="41" t="e">
        <f t="shared" si="180"/>
        <v>#VALUE!</v>
      </c>
      <c r="K792" s="41" t="e">
        <f t="shared" si="172"/>
        <v>#VALUE!</v>
      </c>
      <c r="L792" s="41" t="e">
        <f t="shared" si="172"/>
        <v>#VALUE!</v>
      </c>
      <c r="M792" s="41" t="e">
        <f t="shared" si="175"/>
        <v>#VALUE!</v>
      </c>
      <c r="N792" s="41" t="e">
        <f t="shared" si="176"/>
        <v>#VALUE!</v>
      </c>
      <c r="O792" s="41">
        <f t="shared" si="177"/>
        <v>0</v>
      </c>
      <c r="Q792" s="44" t="e">
        <f t="shared" si="178"/>
        <v>#VALUE!</v>
      </c>
      <c r="R792" s="44" t="e">
        <f t="shared" si="181"/>
        <v>#VALUE!</v>
      </c>
      <c r="S792" s="44" t="e">
        <f t="shared" si="179"/>
        <v>#VALUE!</v>
      </c>
      <c r="T792" s="41" t="e">
        <f t="shared" si="182"/>
        <v>#VALUE!</v>
      </c>
      <c r="U792" s="41" t="e">
        <f t="shared" si="183"/>
        <v>#VALUE!</v>
      </c>
      <c r="V792" s="41" t="e">
        <f t="shared" si="184"/>
        <v>#VALUE!</v>
      </c>
    </row>
    <row r="793" spans="2:22" x14ac:dyDescent="0.25">
      <c r="B793" s="41" t="b">
        <f t="shared" si="185"/>
        <v>0</v>
      </c>
      <c r="C793" s="41" t="e">
        <f t="shared" si="173"/>
        <v>#VALUE!</v>
      </c>
      <c r="E793" s="45">
        <v>789</v>
      </c>
      <c r="G793" s="138"/>
      <c r="H793" s="135">
        <v>1</v>
      </c>
      <c r="I793" s="46" t="e">
        <f t="shared" si="174"/>
        <v>#VALUE!</v>
      </c>
      <c r="J793" s="41" t="e">
        <f t="shared" si="180"/>
        <v>#VALUE!</v>
      </c>
      <c r="K793" s="41" t="e">
        <f t="shared" si="172"/>
        <v>#VALUE!</v>
      </c>
      <c r="L793" s="41" t="e">
        <f t="shared" si="172"/>
        <v>#VALUE!</v>
      </c>
      <c r="M793" s="41" t="e">
        <f t="shared" si="175"/>
        <v>#VALUE!</v>
      </c>
      <c r="N793" s="41" t="e">
        <f t="shared" si="176"/>
        <v>#VALUE!</v>
      </c>
      <c r="O793" s="41">
        <f t="shared" si="177"/>
        <v>0</v>
      </c>
      <c r="Q793" s="44" t="e">
        <f t="shared" si="178"/>
        <v>#VALUE!</v>
      </c>
      <c r="R793" s="44" t="e">
        <f t="shared" si="181"/>
        <v>#VALUE!</v>
      </c>
      <c r="S793" s="44" t="e">
        <f t="shared" si="179"/>
        <v>#VALUE!</v>
      </c>
      <c r="T793" s="41" t="e">
        <f t="shared" si="182"/>
        <v>#VALUE!</v>
      </c>
      <c r="U793" s="41" t="e">
        <f t="shared" si="183"/>
        <v>#VALUE!</v>
      </c>
      <c r="V793" s="41" t="e">
        <f t="shared" si="184"/>
        <v>#VALUE!</v>
      </c>
    </row>
    <row r="794" spans="2:22" x14ac:dyDescent="0.25">
      <c r="B794" s="41" t="b">
        <f t="shared" si="185"/>
        <v>0</v>
      </c>
      <c r="C794" s="41" t="e">
        <f t="shared" si="173"/>
        <v>#VALUE!</v>
      </c>
      <c r="E794" s="45">
        <v>790</v>
      </c>
      <c r="G794" s="138"/>
      <c r="H794" s="135">
        <v>1</v>
      </c>
      <c r="I794" s="46" t="e">
        <f t="shared" si="174"/>
        <v>#VALUE!</v>
      </c>
      <c r="J794" s="41" t="e">
        <f t="shared" si="180"/>
        <v>#VALUE!</v>
      </c>
      <c r="K794" s="41" t="e">
        <f t="shared" si="172"/>
        <v>#VALUE!</v>
      </c>
      <c r="L794" s="41" t="e">
        <f t="shared" si="172"/>
        <v>#VALUE!</v>
      </c>
      <c r="M794" s="41" t="e">
        <f t="shared" si="175"/>
        <v>#VALUE!</v>
      </c>
      <c r="N794" s="41" t="e">
        <f t="shared" si="176"/>
        <v>#VALUE!</v>
      </c>
      <c r="O794" s="41">
        <f t="shared" si="177"/>
        <v>0</v>
      </c>
      <c r="Q794" s="44" t="e">
        <f t="shared" si="178"/>
        <v>#VALUE!</v>
      </c>
      <c r="R794" s="44" t="e">
        <f t="shared" si="181"/>
        <v>#VALUE!</v>
      </c>
      <c r="S794" s="44" t="e">
        <f t="shared" si="179"/>
        <v>#VALUE!</v>
      </c>
      <c r="T794" s="41" t="e">
        <f t="shared" si="182"/>
        <v>#VALUE!</v>
      </c>
      <c r="U794" s="41" t="e">
        <f t="shared" si="183"/>
        <v>#VALUE!</v>
      </c>
      <c r="V794" s="41" t="e">
        <f t="shared" si="184"/>
        <v>#VALUE!</v>
      </c>
    </row>
    <row r="795" spans="2:22" x14ac:dyDescent="0.25">
      <c r="B795" s="41" t="b">
        <f t="shared" si="185"/>
        <v>0</v>
      </c>
      <c r="C795" s="41" t="e">
        <f t="shared" si="173"/>
        <v>#VALUE!</v>
      </c>
      <c r="E795" s="45">
        <v>791</v>
      </c>
      <c r="G795" s="138"/>
      <c r="H795" s="135">
        <v>1</v>
      </c>
      <c r="I795" s="46" t="e">
        <f t="shared" si="174"/>
        <v>#VALUE!</v>
      </c>
      <c r="J795" s="41" t="e">
        <f t="shared" si="180"/>
        <v>#VALUE!</v>
      </c>
      <c r="K795" s="41" t="e">
        <f t="shared" si="172"/>
        <v>#VALUE!</v>
      </c>
      <c r="L795" s="41" t="e">
        <f t="shared" si="172"/>
        <v>#VALUE!</v>
      </c>
      <c r="M795" s="41" t="e">
        <f t="shared" si="175"/>
        <v>#VALUE!</v>
      </c>
      <c r="N795" s="41" t="e">
        <f t="shared" si="176"/>
        <v>#VALUE!</v>
      </c>
      <c r="O795" s="41">
        <f t="shared" si="177"/>
        <v>0</v>
      </c>
      <c r="Q795" s="44" t="e">
        <f t="shared" si="178"/>
        <v>#VALUE!</v>
      </c>
      <c r="R795" s="44" t="e">
        <f t="shared" si="181"/>
        <v>#VALUE!</v>
      </c>
      <c r="S795" s="44" t="e">
        <f t="shared" si="179"/>
        <v>#VALUE!</v>
      </c>
      <c r="T795" s="41" t="e">
        <f t="shared" si="182"/>
        <v>#VALUE!</v>
      </c>
      <c r="U795" s="41" t="e">
        <f t="shared" si="183"/>
        <v>#VALUE!</v>
      </c>
      <c r="V795" s="41" t="e">
        <f t="shared" si="184"/>
        <v>#VALUE!</v>
      </c>
    </row>
    <row r="796" spans="2:22" x14ac:dyDescent="0.25">
      <c r="B796" s="41" t="b">
        <f t="shared" si="185"/>
        <v>0</v>
      </c>
      <c r="C796" s="41" t="e">
        <f t="shared" si="173"/>
        <v>#VALUE!</v>
      </c>
      <c r="E796" s="45">
        <v>792</v>
      </c>
      <c r="G796" s="138"/>
      <c r="H796" s="135">
        <v>1</v>
      </c>
      <c r="I796" s="46" t="e">
        <f t="shared" si="174"/>
        <v>#VALUE!</v>
      </c>
      <c r="J796" s="41" t="e">
        <f t="shared" si="180"/>
        <v>#VALUE!</v>
      </c>
      <c r="K796" s="41" t="e">
        <f t="shared" si="172"/>
        <v>#VALUE!</v>
      </c>
      <c r="L796" s="41" t="e">
        <f t="shared" si="172"/>
        <v>#VALUE!</v>
      </c>
      <c r="M796" s="41" t="e">
        <f t="shared" si="175"/>
        <v>#VALUE!</v>
      </c>
      <c r="N796" s="41" t="e">
        <f t="shared" si="176"/>
        <v>#VALUE!</v>
      </c>
      <c r="O796" s="41">
        <f t="shared" si="177"/>
        <v>0</v>
      </c>
      <c r="Q796" s="44" t="e">
        <f t="shared" si="178"/>
        <v>#VALUE!</v>
      </c>
      <c r="R796" s="44" t="e">
        <f t="shared" si="181"/>
        <v>#VALUE!</v>
      </c>
      <c r="S796" s="44" t="e">
        <f t="shared" si="179"/>
        <v>#VALUE!</v>
      </c>
      <c r="T796" s="41" t="e">
        <f t="shared" si="182"/>
        <v>#VALUE!</v>
      </c>
      <c r="U796" s="41" t="e">
        <f t="shared" si="183"/>
        <v>#VALUE!</v>
      </c>
      <c r="V796" s="41" t="e">
        <f t="shared" si="184"/>
        <v>#VALUE!</v>
      </c>
    </row>
    <row r="797" spans="2:22" x14ac:dyDescent="0.25">
      <c r="B797" s="41" t="b">
        <f t="shared" si="185"/>
        <v>0</v>
      </c>
      <c r="C797" s="41" t="e">
        <f t="shared" si="173"/>
        <v>#VALUE!</v>
      </c>
      <c r="E797" s="45">
        <v>793</v>
      </c>
      <c r="G797" s="138"/>
      <c r="H797" s="135">
        <v>1</v>
      </c>
      <c r="I797" s="46" t="e">
        <f t="shared" si="174"/>
        <v>#VALUE!</v>
      </c>
      <c r="J797" s="41" t="e">
        <f t="shared" si="180"/>
        <v>#VALUE!</v>
      </c>
      <c r="K797" s="41" t="e">
        <f t="shared" si="172"/>
        <v>#VALUE!</v>
      </c>
      <c r="L797" s="41" t="e">
        <f t="shared" si="172"/>
        <v>#VALUE!</v>
      </c>
      <c r="M797" s="41" t="e">
        <f t="shared" si="175"/>
        <v>#VALUE!</v>
      </c>
      <c r="N797" s="41" t="e">
        <f t="shared" si="176"/>
        <v>#VALUE!</v>
      </c>
      <c r="O797" s="41">
        <f t="shared" si="177"/>
        <v>0</v>
      </c>
      <c r="Q797" s="44" t="e">
        <f t="shared" si="178"/>
        <v>#VALUE!</v>
      </c>
      <c r="R797" s="44" t="e">
        <f t="shared" si="181"/>
        <v>#VALUE!</v>
      </c>
      <c r="S797" s="44" t="e">
        <f t="shared" si="179"/>
        <v>#VALUE!</v>
      </c>
      <c r="T797" s="41" t="e">
        <f t="shared" si="182"/>
        <v>#VALUE!</v>
      </c>
      <c r="U797" s="41" t="e">
        <f t="shared" si="183"/>
        <v>#VALUE!</v>
      </c>
      <c r="V797" s="41" t="e">
        <f t="shared" si="184"/>
        <v>#VALUE!</v>
      </c>
    </row>
    <row r="798" spans="2:22" x14ac:dyDescent="0.25">
      <c r="B798" s="41" t="b">
        <f t="shared" si="185"/>
        <v>0</v>
      </c>
      <c r="C798" s="41" t="e">
        <f t="shared" si="173"/>
        <v>#VALUE!</v>
      </c>
      <c r="E798" s="45">
        <v>794</v>
      </c>
      <c r="G798" s="138"/>
      <c r="H798" s="135">
        <v>1</v>
      </c>
      <c r="I798" s="46" t="e">
        <f t="shared" si="174"/>
        <v>#VALUE!</v>
      </c>
      <c r="J798" s="41" t="e">
        <f t="shared" si="180"/>
        <v>#VALUE!</v>
      </c>
      <c r="K798" s="41" t="e">
        <f t="shared" si="172"/>
        <v>#VALUE!</v>
      </c>
      <c r="L798" s="41" t="e">
        <f t="shared" si="172"/>
        <v>#VALUE!</v>
      </c>
      <c r="M798" s="41" t="e">
        <f t="shared" si="175"/>
        <v>#VALUE!</v>
      </c>
      <c r="N798" s="41" t="e">
        <f t="shared" si="176"/>
        <v>#VALUE!</v>
      </c>
      <c r="O798" s="41">
        <f t="shared" si="177"/>
        <v>0</v>
      </c>
      <c r="Q798" s="44" t="e">
        <f t="shared" si="178"/>
        <v>#VALUE!</v>
      </c>
      <c r="R798" s="44" t="e">
        <f t="shared" si="181"/>
        <v>#VALUE!</v>
      </c>
      <c r="S798" s="44" t="e">
        <f t="shared" si="179"/>
        <v>#VALUE!</v>
      </c>
      <c r="T798" s="41" t="e">
        <f t="shared" si="182"/>
        <v>#VALUE!</v>
      </c>
      <c r="U798" s="41" t="e">
        <f t="shared" si="183"/>
        <v>#VALUE!</v>
      </c>
      <c r="V798" s="41" t="e">
        <f t="shared" si="184"/>
        <v>#VALUE!</v>
      </c>
    </row>
    <row r="799" spans="2:22" x14ac:dyDescent="0.25">
      <c r="B799" s="41" t="b">
        <f t="shared" si="185"/>
        <v>0</v>
      </c>
      <c r="C799" s="41" t="e">
        <f t="shared" si="173"/>
        <v>#VALUE!</v>
      </c>
      <c r="E799" s="45">
        <v>795</v>
      </c>
      <c r="G799" s="138"/>
      <c r="H799" s="135">
        <v>1</v>
      </c>
      <c r="I799" s="46" t="e">
        <f t="shared" si="174"/>
        <v>#VALUE!</v>
      </c>
      <c r="J799" s="41" t="e">
        <f t="shared" si="180"/>
        <v>#VALUE!</v>
      </c>
      <c r="K799" s="41" t="e">
        <f t="shared" si="172"/>
        <v>#VALUE!</v>
      </c>
      <c r="L799" s="41" t="e">
        <f t="shared" si="172"/>
        <v>#VALUE!</v>
      </c>
      <c r="M799" s="41" t="e">
        <f t="shared" si="175"/>
        <v>#VALUE!</v>
      </c>
      <c r="N799" s="41" t="e">
        <f t="shared" si="176"/>
        <v>#VALUE!</v>
      </c>
      <c r="O799" s="41">
        <f t="shared" si="177"/>
        <v>0</v>
      </c>
      <c r="Q799" s="44" t="e">
        <f t="shared" si="178"/>
        <v>#VALUE!</v>
      </c>
      <c r="R799" s="44" t="e">
        <f t="shared" si="181"/>
        <v>#VALUE!</v>
      </c>
      <c r="S799" s="44" t="e">
        <f t="shared" si="179"/>
        <v>#VALUE!</v>
      </c>
      <c r="T799" s="41" t="e">
        <f t="shared" si="182"/>
        <v>#VALUE!</v>
      </c>
      <c r="U799" s="41" t="e">
        <f t="shared" si="183"/>
        <v>#VALUE!</v>
      </c>
      <c r="V799" s="41" t="e">
        <f t="shared" si="184"/>
        <v>#VALUE!</v>
      </c>
    </row>
    <row r="800" spans="2:22" x14ac:dyDescent="0.25">
      <c r="B800" s="41" t="b">
        <f t="shared" si="185"/>
        <v>0</v>
      </c>
      <c r="C800" s="41" t="e">
        <f t="shared" si="173"/>
        <v>#VALUE!</v>
      </c>
      <c r="E800" s="45">
        <v>796</v>
      </c>
      <c r="G800" s="138"/>
      <c r="H800" s="135">
        <v>1</v>
      </c>
      <c r="I800" s="46" t="e">
        <f t="shared" si="174"/>
        <v>#VALUE!</v>
      </c>
      <c r="J800" s="41" t="e">
        <f t="shared" si="180"/>
        <v>#VALUE!</v>
      </c>
      <c r="K800" s="41" t="e">
        <f t="shared" si="172"/>
        <v>#VALUE!</v>
      </c>
      <c r="L800" s="41" t="e">
        <f t="shared" si="172"/>
        <v>#VALUE!</v>
      </c>
      <c r="M800" s="41" t="e">
        <f t="shared" si="175"/>
        <v>#VALUE!</v>
      </c>
      <c r="N800" s="41" t="e">
        <f t="shared" si="176"/>
        <v>#VALUE!</v>
      </c>
      <c r="O800" s="41">
        <f t="shared" si="177"/>
        <v>0</v>
      </c>
      <c r="Q800" s="44" t="e">
        <f t="shared" si="178"/>
        <v>#VALUE!</v>
      </c>
      <c r="R800" s="44" t="e">
        <f t="shared" si="181"/>
        <v>#VALUE!</v>
      </c>
      <c r="S800" s="44" t="e">
        <f t="shared" si="179"/>
        <v>#VALUE!</v>
      </c>
      <c r="T800" s="41" t="e">
        <f t="shared" si="182"/>
        <v>#VALUE!</v>
      </c>
      <c r="U800" s="41" t="e">
        <f t="shared" si="183"/>
        <v>#VALUE!</v>
      </c>
      <c r="V800" s="41" t="e">
        <f t="shared" si="184"/>
        <v>#VALUE!</v>
      </c>
    </row>
    <row r="801" spans="2:22" x14ac:dyDescent="0.25">
      <c r="B801" s="41" t="b">
        <f t="shared" si="185"/>
        <v>0</v>
      </c>
      <c r="C801" s="41" t="e">
        <f t="shared" si="173"/>
        <v>#VALUE!</v>
      </c>
      <c r="E801" s="45">
        <v>797</v>
      </c>
      <c r="G801" s="138"/>
      <c r="H801" s="135">
        <v>1</v>
      </c>
      <c r="I801" s="46" t="e">
        <f t="shared" si="174"/>
        <v>#VALUE!</v>
      </c>
      <c r="J801" s="41" t="e">
        <f t="shared" si="180"/>
        <v>#VALUE!</v>
      </c>
      <c r="K801" s="41" t="e">
        <f t="shared" si="172"/>
        <v>#VALUE!</v>
      </c>
      <c r="L801" s="41" t="e">
        <f t="shared" si="172"/>
        <v>#VALUE!</v>
      </c>
      <c r="M801" s="41" t="e">
        <f t="shared" si="175"/>
        <v>#VALUE!</v>
      </c>
      <c r="N801" s="41" t="e">
        <f t="shared" si="176"/>
        <v>#VALUE!</v>
      </c>
      <c r="O801" s="41">
        <f t="shared" si="177"/>
        <v>0</v>
      </c>
      <c r="Q801" s="44" t="e">
        <f t="shared" si="178"/>
        <v>#VALUE!</v>
      </c>
      <c r="R801" s="44" t="e">
        <f t="shared" si="181"/>
        <v>#VALUE!</v>
      </c>
      <c r="S801" s="44" t="e">
        <f t="shared" si="179"/>
        <v>#VALUE!</v>
      </c>
      <c r="T801" s="41" t="e">
        <f t="shared" si="182"/>
        <v>#VALUE!</v>
      </c>
      <c r="U801" s="41" t="e">
        <f t="shared" si="183"/>
        <v>#VALUE!</v>
      </c>
      <c r="V801" s="41" t="e">
        <f t="shared" si="184"/>
        <v>#VALUE!</v>
      </c>
    </row>
    <row r="802" spans="2:22" x14ac:dyDescent="0.25">
      <c r="B802" s="41" t="b">
        <f t="shared" si="185"/>
        <v>0</v>
      </c>
      <c r="C802" s="41" t="e">
        <f t="shared" si="173"/>
        <v>#VALUE!</v>
      </c>
      <c r="E802" s="45">
        <v>798</v>
      </c>
      <c r="G802" s="138"/>
      <c r="H802" s="135">
        <v>1</v>
      </c>
      <c r="I802" s="46" t="e">
        <f t="shared" si="174"/>
        <v>#VALUE!</v>
      </c>
      <c r="J802" s="41" t="e">
        <f t="shared" si="180"/>
        <v>#VALUE!</v>
      </c>
      <c r="K802" s="41" t="e">
        <f t="shared" si="172"/>
        <v>#VALUE!</v>
      </c>
      <c r="L802" s="41" t="e">
        <f t="shared" si="172"/>
        <v>#VALUE!</v>
      </c>
      <c r="M802" s="41" t="e">
        <f t="shared" si="175"/>
        <v>#VALUE!</v>
      </c>
      <c r="N802" s="41" t="e">
        <f t="shared" si="176"/>
        <v>#VALUE!</v>
      </c>
      <c r="O802" s="41">
        <f t="shared" si="177"/>
        <v>0</v>
      </c>
      <c r="Q802" s="44" t="e">
        <f t="shared" si="178"/>
        <v>#VALUE!</v>
      </c>
      <c r="R802" s="44" t="e">
        <f t="shared" si="181"/>
        <v>#VALUE!</v>
      </c>
      <c r="S802" s="44" t="e">
        <f t="shared" si="179"/>
        <v>#VALUE!</v>
      </c>
      <c r="T802" s="41" t="e">
        <f t="shared" si="182"/>
        <v>#VALUE!</v>
      </c>
      <c r="U802" s="41" t="e">
        <f t="shared" si="183"/>
        <v>#VALUE!</v>
      </c>
      <c r="V802" s="41" t="e">
        <f t="shared" si="184"/>
        <v>#VALUE!</v>
      </c>
    </row>
    <row r="803" spans="2:22" x14ac:dyDescent="0.25">
      <c r="B803" s="41" t="b">
        <f t="shared" si="185"/>
        <v>0</v>
      </c>
      <c r="C803" s="41" t="e">
        <f t="shared" si="173"/>
        <v>#VALUE!</v>
      </c>
      <c r="E803" s="45">
        <v>799</v>
      </c>
      <c r="G803" s="138"/>
      <c r="H803" s="135">
        <v>1</v>
      </c>
      <c r="I803" s="46" t="e">
        <f t="shared" si="174"/>
        <v>#VALUE!</v>
      </c>
      <c r="J803" s="41" t="e">
        <f t="shared" si="180"/>
        <v>#VALUE!</v>
      </c>
      <c r="K803" s="41" t="e">
        <f t="shared" si="172"/>
        <v>#VALUE!</v>
      </c>
      <c r="L803" s="41" t="e">
        <f t="shared" si="172"/>
        <v>#VALUE!</v>
      </c>
      <c r="M803" s="41" t="e">
        <f t="shared" si="175"/>
        <v>#VALUE!</v>
      </c>
      <c r="N803" s="41" t="e">
        <f t="shared" si="176"/>
        <v>#VALUE!</v>
      </c>
      <c r="O803" s="41">
        <f t="shared" si="177"/>
        <v>0</v>
      </c>
      <c r="Q803" s="44" t="e">
        <f t="shared" si="178"/>
        <v>#VALUE!</v>
      </c>
      <c r="R803" s="44" t="e">
        <f t="shared" si="181"/>
        <v>#VALUE!</v>
      </c>
      <c r="S803" s="44" t="e">
        <f t="shared" si="179"/>
        <v>#VALUE!</v>
      </c>
      <c r="T803" s="41" t="e">
        <f t="shared" si="182"/>
        <v>#VALUE!</v>
      </c>
      <c r="U803" s="41" t="e">
        <f t="shared" si="183"/>
        <v>#VALUE!</v>
      </c>
      <c r="V803" s="41" t="e">
        <f t="shared" si="184"/>
        <v>#VALUE!</v>
      </c>
    </row>
    <row r="804" spans="2:22" x14ac:dyDescent="0.25">
      <c r="B804" s="41" t="b">
        <f t="shared" si="185"/>
        <v>0</v>
      </c>
      <c r="C804" s="41" t="e">
        <f t="shared" si="173"/>
        <v>#VALUE!</v>
      </c>
      <c r="E804" s="45">
        <v>800</v>
      </c>
      <c r="G804" s="138"/>
      <c r="H804" s="135">
        <v>1</v>
      </c>
      <c r="I804" s="46" t="e">
        <f t="shared" si="174"/>
        <v>#VALUE!</v>
      </c>
      <c r="J804" s="41" t="e">
        <f t="shared" si="180"/>
        <v>#VALUE!</v>
      </c>
      <c r="K804" s="41" t="e">
        <f t="shared" si="172"/>
        <v>#VALUE!</v>
      </c>
      <c r="L804" s="41" t="e">
        <f t="shared" si="172"/>
        <v>#VALUE!</v>
      </c>
      <c r="M804" s="41" t="e">
        <f t="shared" si="175"/>
        <v>#VALUE!</v>
      </c>
      <c r="N804" s="41" t="e">
        <f t="shared" si="176"/>
        <v>#VALUE!</v>
      </c>
      <c r="O804" s="41">
        <f t="shared" si="177"/>
        <v>0</v>
      </c>
      <c r="Q804" s="44" t="e">
        <f t="shared" si="178"/>
        <v>#VALUE!</v>
      </c>
      <c r="R804" s="44" t="e">
        <f t="shared" si="181"/>
        <v>#VALUE!</v>
      </c>
      <c r="S804" s="44" t="e">
        <f t="shared" si="179"/>
        <v>#VALUE!</v>
      </c>
      <c r="T804" s="41" t="e">
        <f t="shared" si="182"/>
        <v>#VALUE!</v>
      </c>
      <c r="U804" s="41" t="e">
        <f t="shared" si="183"/>
        <v>#VALUE!</v>
      </c>
      <c r="V804" s="41" t="e">
        <f t="shared" si="184"/>
        <v>#VALUE!</v>
      </c>
    </row>
    <row r="805" spans="2:22" x14ac:dyDescent="0.25">
      <c r="B805" s="41" t="b">
        <f t="shared" si="185"/>
        <v>0</v>
      </c>
      <c r="C805" s="41" t="e">
        <f t="shared" si="173"/>
        <v>#VALUE!</v>
      </c>
      <c r="E805" s="45">
        <v>801</v>
      </c>
      <c r="G805" s="138"/>
      <c r="H805" s="135">
        <v>1</v>
      </c>
      <c r="I805" s="46" t="e">
        <f t="shared" si="174"/>
        <v>#VALUE!</v>
      </c>
      <c r="J805" s="41" t="e">
        <f t="shared" si="180"/>
        <v>#VALUE!</v>
      </c>
      <c r="K805" s="41" t="e">
        <f t="shared" si="172"/>
        <v>#VALUE!</v>
      </c>
      <c r="L805" s="41" t="e">
        <f t="shared" si="172"/>
        <v>#VALUE!</v>
      </c>
      <c r="M805" s="41" t="e">
        <f t="shared" si="175"/>
        <v>#VALUE!</v>
      </c>
      <c r="N805" s="41" t="e">
        <f t="shared" si="176"/>
        <v>#VALUE!</v>
      </c>
      <c r="O805" s="41">
        <f t="shared" si="177"/>
        <v>0</v>
      </c>
      <c r="Q805" s="44" t="e">
        <f t="shared" si="178"/>
        <v>#VALUE!</v>
      </c>
      <c r="R805" s="44" t="e">
        <f t="shared" si="181"/>
        <v>#VALUE!</v>
      </c>
      <c r="S805" s="44" t="e">
        <f t="shared" si="179"/>
        <v>#VALUE!</v>
      </c>
      <c r="T805" s="41" t="e">
        <f t="shared" si="182"/>
        <v>#VALUE!</v>
      </c>
      <c r="U805" s="41" t="e">
        <f t="shared" si="183"/>
        <v>#VALUE!</v>
      </c>
      <c r="V805" s="41" t="e">
        <f t="shared" si="184"/>
        <v>#VALUE!</v>
      </c>
    </row>
    <row r="806" spans="2:22" x14ac:dyDescent="0.25">
      <c r="B806" s="41" t="b">
        <f t="shared" si="185"/>
        <v>0</v>
      </c>
      <c r="C806" s="41" t="e">
        <f t="shared" si="173"/>
        <v>#VALUE!</v>
      </c>
      <c r="E806" s="45">
        <v>802</v>
      </c>
      <c r="G806" s="138"/>
      <c r="H806" s="135">
        <v>1</v>
      </c>
      <c r="I806" s="46" t="e">
        <f t="shared" si="174"/>
        <v>#VALUE!</v>
      </c>
      <c r="J806" s="41" t="e">
        <f t="shared" si="180"/>
        <v>#VALUE!</v>
      </c>
      <c r="K806" s="41" t="e">
        <f t="shared" si="172"/>
        <v>#VALUE!</v>
      </c>
      <c r="L806" s="41" t="e">
        <f t="shared" si="172"/>
        <v>#VALUE!</v>
      </c>
      <c r="M806" s="41" t="e">
        <f t="shared" si="175"/>
        <v>#VALUE!</v>
      </c>
      <c r="N806" s="41" t="e">
        <f t="shared" si="176"/>
        <v>#VALUE!</v>
      </c>
      <c r="O806" s="41">
        <f t="shared" si="177"/>
        <v>0</v>
      </c>
      <c r="Q806" s="44" t="e">
        <f t="shared" si="178"/>
        <v>#VALUE!</v>
      </c>
      <c r="R806" s="44" t="e">
        <f t="shared" si="181"/>
        <v>#VALUE!</v>
      </c>
      <c r="S806" s="44" t="e">
        <f t="shared" si="179"/>
        <v>#VALUE!</v>
      </c>
      <c r="T806" s="41" t="e">
        <f t="shared" si="182"/>
        <v>#VALUE!</v>
      </c>
      <c r="U806" s="41" t="e">
        <f t="shared" si="183"/>
        <v>#VALUE!</v>
      </c>
      <c r="V806" s="41" t="e">
        <f t="shared" si="184"/>
        <v>#VALUE!</v>
      </c>
    </row>
    <row r="807" spans="2:22" x14ac:dyDescent="0.25">
      <c r="B807" s="41" t="b">
        <f t="shared" si="185"/>
        <v>0</v>
      </c>
      <c r="C807" s="41" t="e">
        <f t="shared" si="173"/>
        <v>#VALUE!</v>
      </c>
      <c r="E807" s="45">
        <v>803</v>
      </c>
      <c r="G807" s="138"/>
      <c r="H807" s="135">
        <v>1</v>
      </c>
      <c r="I807" s="46" t="e">
        <f t="shared" si="174"/>
        <v>#VALUE!</v>
      </c>
      <c r="J807" s="41" t="e">
        <f t="shared" si="180"/>
        <v>#VALUE!</v>
      </c>
      <c r="K807" s="41" t="e">
        <f t="shared" si="172"/>
        <v>#VALUE!</v>
      </c>
      <c r="L807" s="41" t="e">
        <f t="shared" si="172"/>
        <v>#VALUE!</v>
      </c>
      <c r="M807" s="41" t="e">
        <f t="shared" si="175"/>
        <v>#VALUE!</v>
      </c>
      <c r="N807" s="41" t="e">
        <f t="shared" si="176"/>
        <v>#VALUE!</v>
      </c>
      <c r="O807" s="41">
        <f t="shared" si="177"/>
        <v>0</v>
      </c>
      <c r="Q807" s="44" t="e">
        <f t="shared" si="178"/>
        <v>#VALUE!</v>
      </c>
      <c r="R807" s="44" t="e">
        <f t="shared" si="181"/>
        <v>#VALUE!</v>
      </c>
      <c r="S807" s="44" t="e">
        <f t="shared" si="179"/>
        <v>#VALUE!</v>
      </c>
      <c r="T807" s="41" t="e">
        <f t="shared" si="182"/>
        <v>#VALUE!</v>
      </c>
      <c r="U807" s="41" t="e">
        <f t="shared" si="183"/>
        <v>#VALUE!</v>
      </c>
      <c r="V807" s="41" t="e">
        <f t="shared" si="184"/>
        <v>#VALUE!</v>
      </c>
    </row>
    <row r="808" spans="2:22" x14ac:dyDescent="0.25">
      <c r="B808" s="41" t="b">
        <f t="shared" si="185"/>
        <v>0</v>
      </c>
      <c r="C808" s="41" t="e">
        <f t="shared" si="173"/>
        <v>#VALUE!</v>
      </c>
      <c r="E808" s="45">
        <v>804</v>
      </c>
      <c r="G808" s="138"/>
      <c r="H808" s="135">
        <v>1</v>
      </c>
      <c r="I808" s="46" t="e">
        <f t="shared" si="174"/>
        <v>#VALUE!</v>
      </c>
      <c r="J808" s="41" t="e">
        <f t="shared" si="180"/>
        <v>#VALUE!</v>
      </c>
      <c r="K808" s="41" t="e">
        <f t="shared" si="172"/>
        <v>#VALUE!</v>
      </c>
      <c r="L808" s="41" t="e">
        <f t="shared" si="172"/>
        <v>#VALUE!</v>
      </c>
      <c r="M808" s="41" t="e">
        <f t="shared" si="175"/>
        <v>#VALUE!</v>
      </c>
      <c r="N808" s="41" t="e">
        <f t="shared" si="176"/>
        <v>#VALUE!</v>
      </c>
      <c r="O808" s="41">
        <f t="shared" si="177"/>
        <v>0</v>
      </c>
      <c r="Q808" s="44" t="e">
        <f t="shared" si="178"/>
        <v>#VALUE!</v>
      </c>
      <c r="R808" s="44" t="e">
        <f t="shared" si="181"/>
        <v>#VALUE!</v>
      </c>
      <c r="S808" s="44" t="e">
        <f t="shared" si="179"/>
        <v>#VALUE!</v>
      </c>
      <c r="T808" s="41" t="e">
        <f t="shared" si="182"/>
        <v>#VALUE!</v>
      </c>
      <c r="U808" s="41" t="e">
        <f t="shared" si="183"/>
        <v>#VALUE!</v>
      </c>
      <c r="V808" s="41" t="e">
        <f t="shared" si="184"/>
        <v>#VALUE!</v>
      </c>
    </row>
    <row r="809" spans="2:22" x14ac:dyDescent="0.25">
      <c r="B809" s="41" t="b">
        <f t="shared" si="185"/>
        <v>0</v>
      </c>
      <c r="C809" s="41" t="e">
        <f t="shared" si="173"/>
        <v>#VALUE!</v>
      </c>
      <c r="E809" s="45">
        <v>805</v>
      </c>
      <c r="G809" s="138"/>
      <c r="H809" s="135">
        <v>1</v>
      </c>
      <c r="I809" s="46" t="e">
        <f t="shared" si="174"/>
        <v>#VALUE!</v>
      </c>
      <c r="J809" s="41" t="e">
        <f t="shared" si="180"/>
        <v>#VALUE!</v>
      </c>
      <c r="K809" s="41" t="e">
        <f t="shared" si="172"/>
        <v>#VALUE!</v>
      </c>
      <c r="L809" s="41" t="e">
        <f t="shared" si="172"/>
        <v>#VALUE!</v>
      </c>
      <c r="M809" s="41" t="e">
        <f t="shared" si="175"/>
        <v>#VALUE!</v>
      </c>
      <c r="N809" s="41" t="e">
        <f t="shared" si="176"/>
        <v>#VALUE!</v>
      </c>
      <c r="O809" s="41">
        <f t="shared" si="177"/>
        <v>0</v>
      </c>
      <c r="Q809" s="44" t="e">
        <f t="shared" si="178"/>
        <v>#VALUE!</v>
      </c>
      <c r="R809" s="44" t="e">
        <f t="shared" si="181"/>
        <v>#VALUE!</v>
      </c>
      <c r="S809" s="44" t="e">
        <f t="shared" si="179"/>
        <v>#VALUE!</v>
      </c>
      <c r="T809" s="41" t="e">
        <f t="shared" si="182"/>
        <v>#VALUE!</v>
      </c>
      <c r="U809" s="41" t="e">
        <f t="shared" si="183"/>
        <v>#VALUE!</v>
      </c>
      <c r="V809" s="41" t="e">
        <f t="shared" si="184"/>
        <v>#VALUE!</v>
      </c>
    </row>
    <row r="810" spans="2:22" x14ac:dyDescent="0.25">
      <c r="B810" s="41" t="b">
        <f t="shared" si="185"/>
        <v>0</v>
      </c>
      <c r="C810" s="41" t="e">
        <f t="shared" si="173"/>
        <v>#VALUE!</v>
      </c>
      <c r="E810" s="45">
        <v>806</v>
      </c>
      <c r="G810" s="138"/>
      <c r="H810" s="135">
        <v>1</v>
      </c>
      <c r="I810" s="46" t="e">
        <f t="shared" si="174"/>
        <v>#VALUE!</v>
      </c>
      <c r="J810" s="41" t="e">
        <f t="shared" si="180"/>
        <v>#VALUE!</v>
      </c>
      <c r="K810" s="41" t="e">
        <f t="shared" si="172"/>
        <v>#VALUE!</v>
      </c>
      <c r="L810" s="41" t="e">
        <f t="shared" si="172"/>
        <v>#VALUE!</v>
      </c>
      <c r="M810" s="41" t="e">
        <f t="shared" si="175"/>
        <v>#VALUE!</v>
      </c>
      <c r="N810" s="41" t="e">
        <f t="shared" si="176"/>
        <v>#VALUE!</v>
      </c>
      <c r="O810" s="41">
        <f t="shared" si="177"/>
        <v>0</v>
      </c>
      <c r="Q810" s="44" t="e">
        <f t="shared" si="178"/>
        <v>#VALUE!</v>
      </c>
      <c r="R810" s="44" t="e">
        <f t="shared" si="181"/>
        <v>#VALUE!</v>
      </c>
      <c r="S810" s="44" t="e">
        <f t="shared" si="179"/>
        <v>#VALUE!</v>
      </c>
      <c r="T810" s="41" t="e">
        <f t="shared" si="182"/>
        <v>#VALUE!</v>
      </c>
      <c r="U810" s="41" t="e">
        <f t="shared" si="183"/>
        <v>#VALUE!</v>
      </c>
      <c r="V810" s="41" t="e">
        <f t="shared" si="184"/>
        <v>#VALUE!</v>
      </c>
    </row>
    <row r="811" spans="2:22" x14ac:dyDescent="0.25">
      <c r="B811" s="41" t="b">
        <f t="shared" si="185"/>
        <v>0</v>
      </c>
      <c r="C811" s="41" t="e">
        <f t="shared" si="173"/>
        <v>#VALUE!</v>
      </c>
      <c r="E811" s="45">
        <v>807</v>
      </c>
      <c r="G811" s="138"/>
      <c r="H811" s="135">
        <v>1</v>
      </c>
      <c r="I811" s="46" t="e">
        <f t="shared" si="174"/>
        <v>#VALUE!</v>
      </c>
      <c r="J811" s="41" t="e">
        <f t="shared" si="180"/>
        <v>#VALUE!</v>
      </c>
      <c r="K811" s="41" t="e">
        <f t="shared" si="172"/>
        <v>#VALUE!</v>
      </c>
      <c r="L811" s="41" t="e">
        <f t="shared" si="172"/>
        <v>#VALUE!</v>
      </c>
      <c r="M811" s="41" t="e">
        <f t="shared" si="175"/>
        <v>#VALUE!</v>
      </c>
      <c r="N811" s="41" t="e">
        <f t="shared" si="176"/>
        <v>#VALUE!</v>
      </c>
      <c r="O811" s="41">
        <f t="shared" si="177"/>
        <v>0</v>
      </c>
      <c r="Q811" s="44" t="e">
        <f t="shared" si="178"/>
        <v>#VALUE!</v>
      </c>
      <c r="R811" s="44" t="e">
        <f t="shared" si="181"/>
        <v>#VALUE!</v>
      </c>
      <c r="S811" s="44" t="e">
        <f t="shared" si="179"/>
        <v>#VALUE!</v>
      </c>
      <c r="T811" s="41" t="e">
        <f t="shared" si="182"/>
        <v>#VALUE!</v>
      </c>
      <c r="U811" s="41" t="e">
        <f t="shared" si="183"/>
        <v>#VALUE!</v>
      </c>
      <c r="V811" s="41" t="e">
        <f t="shared" si="184"/>
        <v>#VALUE!</v>
      </c>
    </row>
    <row r="812" spans="2:22" x14ac:dyDescent="0.25">
      <c r="B812" s="41" t="b">
        <f t="shared" si="185"/>
        <v>0</v>
      </c>
      <c r="C812" s="41" t="e">
        <f t="shared" si="173"/>
        <v>#VALUE!</v>
      </c>
      <c r="E812" s="45">
        <v>808</v>
      </c>
      <c r="G812" s="138"/>
      <c r="H812" s="135">
        <v>1</v>
      </c>
      <c r="I812" s="46" t="e">
        <f t="shared" si="174"/>
        <v>#VALUE!</v>
      </c>
      <c r="J812" s="41" t="e">
        <f t="shared" si="180"/>
        <v>#VALUE!</v>
      </c>
      <c r="K812" s="41" t="e">
        <f t="shared" si="172"/>
        <v>#VALUE!</v>
      </c>
      <c r="L812" s="41" t="e">
        <f t="shared" si="172"/>
        <v>#VALUE!</v>
      </c>
      <c r="M812" s="41" t="e">
        <f t="shared" si="175"/>
        <v>#VALUE!</v>
      </c>
      <c r="N812" s="41" t="e">
        <f t="shared" si="176"/>
        <v>#VALUE!</v>
      </c>
      <c r="O812" s="41">
        <f t="shared" si="177"/>
        <v>0</v>
      </c>
      <c r="Q812" s="44" t="e">
        <f t="shared" si="178"/>
        <v>#VALUE!</v>
      </c>
      <c r="R812" s="44" t="e">
        <f t="shared" si="181"/>
        <v>#VALUE!</v>
      </c>
      <c r="S812" s="44" t="e">
        <f t="shared" si="179"/>
        <v>#VALUE!</v>
      </c>
      <c r="T812" s="41" t="e">
        <f t="shared" si="182"/>
        <v>#VALUE!</v>
      </c>
      <c r="U812" s="41" t="e">
        <f t="shared" si="183"/>
        <v>#VALUE!</v>
      </c>
      <c r="V812" s="41" t="e">
        <f t="shared" si="184"/>
        <v>#VALUE!</v>
      </c>
    </row>
    <row r="813" spans="2:22" x14ac:dyDescent="0.25">
      <c r="B813" s="41" t="b">
        <f t="shared" si="185"/>
        <v>0</v>
      </c>
      <c r="C813" s="41" t="e">
        <f t="shared" si="173"/>
        <v>#VALUE!</v>
      </c>
      <c r="E813" s="45">
        <v>809</v>
      </c>
      <c r="G813" s="138"/>
      <c r="H813" s="135">
        <v>1</v>
      </c>
      <c r="I813" s="46" t="e">
        <f t="shared" si="174"/>
        <v>#VALUE!</v>
      </c>
      <c r="J813" s="41" t="e">
        <f t="shared" si="180"/>
        <v>#VALUE!</v>
      </c>
      <c r="K813" s="41" t="e">
        <f t="shared" si="172"/>
        <v>#VALUE!</v>
      </c>
      <c r="L813" s="41" t="e">
        <f t="shared" si="172"/>
        <v>#VALUE!</v>
      </c>
      <c r="M813" s="41" t="e">
        <f t="shared" si="175"/>
        <v>#VALUE!</v>
      </c>
      <c r="N813" s="41" t="e">
        <f t="shared" si="176"/>
        <v>#VALUE!</v>
      </c>
      <c r="O813" s="41">
        <f t="shared" si="177"/>
        <v>0</v>
      </c>
      <c r="Q813" s="44" t="e">
        <f t="shared" si="178"/>
        <v>#VALUE!</v>
      </c>
      <c r="R813" s="44" t="e">
        <f t="shared" si="181"/>
        <v>#VALUE!</v>
      </c>
      <c r="S813" s="44" t="e">
        <f t="shared" si="179"/>
        <v>#VALUE!</v>
      </c>
      <c r="T813" s="41" t="e">
        <f t="shared" si="182"/>
        <v>#VALUE!</v>
      </c>
      <c r="U813" s="41" t="e">
        <f t="shared" si="183"/>
        <v>#VALUE!</v>
      </c>
      <c r="V813" s="41" t="e">
        <f t="shared" si="184"/>
        <v>#VALUE!</v>
      </c>
    </row>
    <row r="814" spans="2:22" x14ac:dyDescent="0.25">
      <c r="B814" s="41" t="b">
        <f t="shared" si="185"/>
        <v>0</v>
      </c>
      <c r="C814" s="41" t="e">
        <f t="shared" si="173"/>
        <v>#VALUE!</v>
      </c>
      <c r="E814" s="45">
        <v>810</v>
      </c>
      <c r="G814" s="138"/>
      <c r="H814" s="135">
        <v>1</v>
      </c>
      <c r="I814" s="46" t="e">
        <f t="shared" si="174"/>
        <v>#VALUE!</v>
      </c>
      <c r="J814" s="41" t="e">
        <f t="shared" si="180"/>
        <v>#VALUE!</v>
      </c>
      <c r="K814" s="41" t="e">
        <f t="shared" si="172"/>
        <v>#VALUE!</v>
      </c>
      <c r="L814" s="41" t="e">
        <f t="shared" si="172"/>
        <v>#VALUE!</v>
      </c>
      <c r="M814" s="41" t="e">
        <f t="shared" si="175"/>
        <v>#VALUE!</v>
      </c>
      <c r="N814" s="41" t="e">
        <f t="shared" si="176"/>
        <v>#VALUE!</v>
      </c>
      <c r="O814" s="41">
        <f t="shared" si="177"/>
        <v>0</v>
      </c>
      <c r="Q814" s="44" t="e">
        <f t="shared" si="178"/>
        <v>#VALUE!</v>
      </c>
      <c r="R814" s="44" t="e">
        <f t="shared" si="181"/>
        <v>#VALUE!</v>
      </c>
      <c r="S814" s="44" t="e">
        <f t="shared" si="179"/>
        <v>#VALUE!</v>
      </c>
      <c r="T814" s="41" t="e">
        <f t="shared" si="182"/>
        <v>#VALUE!</v>
      </c>
      <c r="U814" s="41" t="e">
        <f t="shared" si="183"/>
        <v>#VALUE!</v>
      </c>
      <c r="V814" s="41" t="e">
        <f t="shared" si="184"/>
        <v>#VALUE!</v>
      </c>
    </row>
    <row r="815" spans="2:22" x14ac:dyDescent="0.25">
      <c r="B815" s="41" t="b">
        <f t="shared" si="185"/>
        <v>0</v>
      </c>
      <c r="C815" s="41" t="e">
        <f t="shared" si="173"/>
        <v>#VALUE!</v>
      </c>
      <c r="E815" s="45">
        <v>811</v>
      </c>
      <c r="G815" s="138"/>
      <c r="H815" s="135">
        <v>1</v>
      </c>
      <c r="I815" s="46" t="e">
        <f t="shared" si="174"/>
        <v>#VALUE!</v>
      </c>
      <c r="J815" s="41" t="e">
        <f t="shared" si="180"/>
        <v>#VALUE!</v>
      </c>
      <c r="K815" s="41" t="e">
        <f t="shared" ref="K815:L878" si="186">N815-M815</f>
        <v>#VALUE!</v>
      </c>
      <c r="L815" s="41" t="e">
        <f t="shared" si="186"/>
        <v>#VALUE!</v>
      </c>
      <c r="M815" s="41" t="e">
        <f t="shared" si="175"/>
        <v>#VALUE!</v>
      </c>
      <c r="N815" s="41" t="e">
        <f t="shared" si="176"/>
        <v>#VALUE!</v>
      </c>
      <c r="O815" s="41">
        <f t="shared" si="177"/>
        <v>0</v>
      </c>
      <c r="Q815" s="44" t="e">
        <f t="shared" si="178"/>
        <v>#VALUE!</v>
      </c>
      <c r="R815" s="44" t="e">
        <f t="shared" si="181"/>
        <v>#VALUE!</v>
      </c>
      <c r="S815" s="44" t="e">
        <f t="shared" si="179"/>
        <v>#VALUE!</v>
      </c>
      <c r="T815" s="41" t="e">
        <f t="shared" si="182"/>
        <v>#VALUE!</v>
      </c>
      <c r="U815" s="41" t="e">
        <f t="shared" si="183"/>
        <v>#VALUE!</v>
      </c>
      <c r="V815" s="41" t="e">
        <f t="shared" si="184"/>
        <v>#VALUE!</v>
      </c>
    </row>
    <row r="816" spans="2:22" x14ac:dyDescent="0.25">
      <c r="B816" s="41" t="b">
        <f t="shared" si="185"/>
        <v>0</v>
      </c>
      <c r="C816" s="41" t="e">
        <f t="shared" si="173"/>
        <v>#VALUE!</v>
      </c>
      <c r="E816" s="45">
        <v>812</v>
      </c>
      <c r="G816" s="138"/>
      <c r="H816" s="135">
        <v>1</v>
      </c>
      <c r="I816" s="46" t="e">
        <f t="shared" si="174"/>
        <v>#VALUE!</v>
      </c>
      <c r="J816" s="41" t="e">
        <f t="shared" si="180"/>
        <v>#VALUE!</v>
      </c>
      <c r="K816" s="41" t="e">
        <f t="shared" si="186"/>
        <v>#VALUE!</v>
      </c>
      <c r="L816" s="41" t="e">
        <f t="shared" si="186"/>
        <v>#VALUE!</v>
      </c>
      <c r="M816" s="41" t="e">
        <f t="shared" si="175"/>
        <v>#VALUE!</v>
      </c>
      <c r="N816" s="41" t="e">
        <f t="shared" si="176"/>
        <v>#VALUE!</v>
      </c>
      <c r="O816" s="41">
        <f t="shared" si="177"/>
        <v>0</v>
      </c>
      <c r="Q816" s="44" t="e">
        <f t="shared" si="178"/>
        <v>#VALUE!</v>
      </c>
      <c r="R816" s="44" t="e">
        <f t="shared" si="181"/>
        <v>#VALUE!</v>
      </c>
      <c r="S816" s="44" t="e">
        <f t="shared" si="179"/>
        <v>#VALUE!</v>
      </c>
      <c r="T816" s="41" t="e">
        <f t="shared" si="182"/>
        <v>#VALUE!</v>
      </c>
      <c r="U816" s="41" t="e">
        <f t="shared" si="183"/>
        <v>#VALUE!</v>
      </c>
      <c r="V816" s="41" t="e">
        <f t="shared" si="184"/>
        <v>#VALUE!</v>
      </c>
    </row>
    <row r="817" spans="2:22" x14ac:dyDescent="0.25">
      <c r="B817" s="41" t="b">
        <f t="shared" si="185"/>
        <v>0</v>
      </c>
      <c r="C817" s="41" t="e">
        <f t="shared" si="173"/>
        <v>#VALUE!</v>
      </c>
      <c r="E817" s="45">
        <v>813</v>
      </c>
      <c r="G817" s="138"/>
      <c r="H817" s="135">
        <v>1</v>
      </c>
      <c r="I817" s="46" t="e">
        <f t="shared" si="174"/>
        <v>#VALUE!</v>
      </c>
      <c r="J817" s="41" t="e">
        <f t="shared" si="180"/>
        <v>#VALUE!</v>
      </c>
      <c r="K817" s="41" t="e">
        <f t="shared" si="186"/>
        <v>#VALUE!</v>
      </c>
      <c r="L817" s="41" t="e">
        <f t="shared" si="186"/>
        <v>#VALUE!</v>
      </c>
      <c r="M817" s="41" t="e">
        <f t="shared" si="175"/>
        <v>#VALUE!</v>
      </c>
      <c r="N817" s="41" t="e">
        <f t="shared" si="176"/>
        <v>#VALUE!</v>
      </c>
      <c r="O817" s="41">
        <f t="shared" si="177"/>
        <v>0</v>
      </c>
      <c r="Q817" s="44" t="e">
        <f t="shared" si="178"/>
        <v>#VALUE!</v>
      </c>
      <c r="R817" s="44" t="e">
        <f t="shared" si="181"/>
        <v>#VALUE!</v>
      </c>
      <c r="S817" s="44" t="e">
        <f t="shared" si="179"/>
        <v>#VALUE!</v>
      </c>
      <c r="T817" s="41" t="e">
        <f t="shared" si="182"/>
        <v>#VALUE!</v>
      </c>
      <c r="U817" s="41" t="e">
        <f t="shared" si="183"/>
        <v>#VALUE!</v>
      </c>
      <c r="V817" s="41" t="e">
        <f t="shared" si="184"/>
        <v>#VALUE!</v>
      </c>
    </row>
    <row r="818" spans="2:22" x14ac:dyDescent="0.25">
      <c r="B818" s="41" t="b">
        <f t="shared" si="185"/>
        <v>0</v>
      </c>
      <c r="C818" s="41" t="e">
        <f t="shared" si="173"/>
        <v>#VALUE!</v>
      </c>
      <c r="E818" s="45">
        <v>814</v>
      </c>
      <c r="G818" s="138"/>
      <c r="H818" s="135">
        <v>1</v>
      </c>
      <c r="I818" s="46" t="e">
        <f t="shared" si="174"/>
        <v>#VALUE!</v>
      </c>
      <c r="J818" s="41" t="e">
        <f t="shared" si="180"/>
        <v>#VALUE!</v>
      </c>
      <c r="K818" s="41" t="e">
        <f t="shared" si="186"/>
        <v>#VALUE!</v>
      </c>
      <c r="L818" s="41" t="e">
        <f t="shared" si="186"/>
        <v>#VALUE!</v>
      </c>
      <c r="M818" s="41" t="e">
        <f t="shared" si="175"/>
        <v>#VALUE!</v>
      </c>
      <c r="N818" s="41" t="e">
        <f t="shared" si="176"/>
        <v>#VALUE!</v>
      </c>
      <c r="O818" s="41">
        <f t="shared" si="177"/>
        <v>0</v>
      </c>
      <c r="Q818" s="44" t="e">
        <f t="shared" si="178"/>
        <v>#VALUE!</v>
      </c>
      <c r="R818" s="44" t="e">
        <f t="shared" si="181"/>
        <v>#VALUE!</v>
      </c>
      <c r="S818" s="44" t="e">
        <f t="shared" si="179"/>
        <v>#VALUE!</v>
      </c>
      <c r="T818" s="41" t="e">
        <f t="shared" si="182"/>
        <v>#VALUE!</v>
      </c>
      <c r="U818" s="41" t="e">
        <f t="shared" si="183"/>
        <v>#VALUE!</v>
      </c>
      <c r="V818" s="41" t="e">
        <f t="shared" si="184"/>
        <v>#VALUE!</v>
      </c>
    </row>
    <row r="819" spans="2:22" x14ac:dyDescent="0.25">
      <c r="B819" s="41" t="b">
        <f t="shared" si="185"/>
        <v>0</v>
      </c>
      <c r="C819" s="41" t="e">
        <f t="shared" si="173"/>
        <v>#VALUE!</v>
      </c>
      <c r="E819" s="45">
        <v>815</v>
      </c>
      <c r="G819" s="138"/>
      <c r="H819" s="135">
        <v>1</v>
      </c>
      <c r="I819" s="46" t="e">
        <f t="shared" si="174"/>
        <v>#VALUE!</v>
      </c>
      <c r="J819" s="41" t="e">
        <f t="shared" si="180"/>
        <v>#VALUE!</v>
      </c>
      <c r="K819" s="41" t="e">
        <f t="shared" si="186"/>
        <v>#VALUE!</v>
      </c>
      <c r="L819" s="41" t="e">
        <f t="shared" si="186"/>
        <v>#VALUE!</v>
      </c>
      <c r="M819" s="41" t="e">
        <f t="shared" si="175"/>
        <v>#VALUE!</v>
      </c>
      <c r="N819" s="41" t="e">
        <f t="shared" si="176"/>
        <v>#VALUE!</v>
      </c>
      <c r="O819" s="41">
        <f t="shared" si="177"/>
        <v>0</v>
      </c>
      <c r="Q819" s="44" t="e">
        <f t="shared" si="178"/>
        <v>#VALUE!</v>
      </c>
      <c r="R819" s="44" t="e">
        <f t="shared" si="181"/>
        <v>#VALUE!</v>
      </c>
      <c r="S819" s="44" t="e">
        <f t="shared" si="179"/>
        <v>#VALUE!</v>
      </c>
      <c r="T819" s="41" t="e">
        <f t="shared" si="182"/>
        <v>#VALUE!</v>
      </c>
      <c r="U819" s="41" t="e">
        <f t="shared" si="183"/>
        <v>#VALUE!</v>
      </c>
      <c r="V819" s="41" t="e">
        <f t="shared" si="184"/>
        <v>#VALUE!</v>
      </c>
    </row>
    <row r="820" spans="2:22" x14ac:dyDescent="0.25">
      <c r="B820" s="41" t="b">
        <f t="shared" si="185"/>
        <v>0</v>
      </c>
      <c r="C820" s="41" t="e">
        <f t="shared" si="173"/>
        <v>#VALUE!</v>
      </c>
      <c r="E820" s="45">
        <v>816</v>
      </c>
      <c r="G820" s="138"/>
      <c r="H820" s="135">
        <v>1</v>
      </c>
      <c r="I820" s="46" t="e">
        <f t="shared" si="174"/>
        <v>#VALUE!</v>
      </c>
      <c r="J820" s="41" t="e">
        <f t="shared" si="180"/>
        <v>#VALUE!</v>
      </c>
      <c r="K820" s="41" t="e">
        <f t="shared" si="186"/>
        <v>#VALUE!</v>
      </c>
      <c r="L820" s="41" t="e">
        <f t="shared" si="186"/>
        <v>#VALUE!</v>
      </c>
      <c r="M820" s="41" t="e">
        <f t="shared" si="175"/>
        <v>#VALUE!</v>
      </c>
      <c r="N820" s="41" t="e">
        <f t="shared" si="176"/>
        <v>#VALUE!</v>
      </c>
      <c r="O820" s="41">
        <f t="shared" si="177"/>
        <v>0</v>
      </c>
      <c r="Q820" s="44" t="e">
        <f t="shared" si="178"/>
        <v>#VALUE!</v>
      </c>
      <c r="R820" s="44" t="e">
        <f t="shared" si="181"/>
        <v>#VALUE!</v>
      </c>
      <c r="S820" s="44" t="e">
        <f t="shared" si="179"/>
        <v>#VALUE!</v>
      </c>
      <c r="T820" s="41" t="e">
        <f t="shared" si="182"/>
        <v>#VALUE!</v>
      </c>
      <c r="U820" s="41" t="e">
        <f t="shared" si="183"/>
        <v>#VALUE!</v>
      </c>
      <c r="V820" s="41" t="e">
        <f t="shared" si="184"/>
        <v>#VALUE!</v>
      </c>
    </row>
    <row r="821" spans="2:22" x14ac:dyDescent="0.25">
      <c r="B821" s="41" t="b">
        <f t="shared" si="185"/>
        <v>0</v>
      </c>
      <c r="C821" s="41" t="e">
        <f t="shared" si="173"/>
        <v>#VALUE!</v>
      </c>
      <c r="E821" s="45">
        <v>817</v>
      </c>
      <c r="G821" s="138"/>
      <c r="H821" s="135">
        <v>1</v>
      </c>
      <c r="I821" s="46" t="e">
        <f t="shared" si="174"/>
        <v>#VALUE!</v>
      </c>
      <c r="J821" s="41" t="e">
        <f t="shared" si="180"/>
        <v>#VALUE!</v>
      </c>
      <c r="K821" s="41" t="e">
        <f t="shared" si="186"/>
        <v>#VALUE!</v>
      </c>
      <c r="L821" s="41" t="e">
        <f t="shared" si="186"/>
        <v>#VALUE!</v>
      </c>
      <c r="M821" s="41" t="e">
        <f t="shared" si="175"/>
        <v>#VALUE!</v>
      </c>
      <c r="N821" s="41" t="e">
        <f t="shared" si="176"/>
        <v>#VALUE!</v>
      </c>
      <c r="O821" s="41">
        <f t="shared" si="177"/>
        <v>0</v>
      </c>
      <c r="Q821" s="44" t="e">
        <f t="shared" si="178"/>
        <v>#VALUE!</v>
      </c>
      <c r="R821" s="44" t="e">
        <f t="shared" si="181"/>
        <v>#VALUE!</v>
      </c>
      <c r="S821" s="44" t="e">
        <f t="shared" si="179"/>
        <v>#VALUE!</v>
      </c>
      <c r="T821" s="41" t="e">
        <f t="shared" si="182"/>
        <v>#VALUE!</v>
      </c>
      <c r="U821" s="41" t="e">
        <f t="shared" si="183"/>
        <v>#VALUE!</v>
      </c>
      <c r="V821" s="41" t="e">
        <f t="shared" si="184"/>
        <v>#VALUE!</v>
      </c>
    </row>
    <row r="822" spans="2:22" x14ac:dyDescent="0.25">
      <c r="B822" s="41" t="b">
        <f t="shared" si="185"/>
        <v>0</v>
      </c>
      <c r="C822" s="41" t="e">
        <f t="shared" ref="C822:C885" si="187">SUM(T822:V822)</f>
        <v>#VALUE!</v>
      </c>
      <c r="E822" s="45">
        <v>818</v>
      </c>
      <c r="G822" s="138"/>
      <c r="H822" s="135">
        <v>1</v>
      </c>
      <c r="I822" s="46" t="e">
        <f t="shared" si="174"/>
        <v>#VALUE!</v>
      </c>
      <c r="J822" s="41" t="e">
        <f t="shared" si="180"/>
        <v>#VALUE!</v>
      </c>
      <c r="K822" s="41" t="e">
        <f t="shared" si="186"/>
        <v>#VALUE!</v>
      </c>
      <c r="L822" s="41" t="e">
        <f t="shared" si="186"/>
        <v>#VALUE!</v>
      </c>
      <c r="M822" s="41" t="e">
        <f t="shared" si="175"/>
        <v>#VALUE!</v>
      </c>
      <c r="N822" s="41" t="e">
        <f t="shared" si="176"/>
        <v>#VALUE!</v>
      </c>
      <c r="O822" s="41">
        <f t="shared" si="177"/>
        <v>0</v>
      </c>
      <c r="Q822" s="44" t="e">
        <f t="shared" si="178"/>
        <v>#VALUE!</v>
      </c>
      <c r="R822" s="44" t="e">
        <f t="shared" si="181"/>
        <v>#VALUE!</v>
      </c>
      <c r="S822" s="44" t="e">
        <f t="shared" si="179"/>
        <v>#VALUE!</v>
      </c>
      <c r="T822" s="41" t="e">
        <f t="shared" si="182"/>
        <v>#VALUE!</v>
      </c>
      <c r="U822" s="41" t="e">
        <f t="shared" si="183"/>
        <v>#VALUE!</v>
      </c>
      <c r="V822" s="41" t="e">
        <f t="shared" si="184"/>
        <v>#VALUE!</v>
      </c>
    </row>
    <row r="823" spans="2:22" x14ac:dyDescent="0.25">
      <c r="B823" s="41" t="b">
        <f t="shared" si="185"/>
        <v>0</v>
      </c>
      <c r="C823" s="41" t="e">
        <f t="shared" si="187"/>
        <v>#VALUE!</v>
      </c>
      <c r="E823" s="45">
        <v>819</v>
      </c>
      <c r="G823" s="138"/>
      <c r="H823" s="135">
        <v>1</v>
      </c>
      <c r="I823" s="46" t="e">
        <f t="shared" si="174"/>
        <v>#VALUE!</v>
      </c>
      <c r="J823" s="41" t="e">
        <f t="shared" si="180"/>
        <v>#VALUE!</v>
      </c>
      <c r="K823" s="41" t="e">
        <f t="shared" si="186"/>
        <v>#VALUE!</v>
      </c>
      <c r="L823" s="41" t="e">
        <f t="shared" si="186"/>
        <v>#VALUE!</v>
      </c>
      <c r="M823" s="41" t="e">
        <f t="shared" si="175"/>
        <v>#VALUE!</v>
      </c>
      <c r="N823" s="41" t="e">
        <f t="shared" si="176"/>
        <v>#VALUE!</v>
      </c>
      <c r="O823" s="41">
        <f t="shared" si="177"/>
        <v>0</v>
      </c>
      <c r="Q823" s="44" t="e">
        <f t="shared" si="178"/>
        <v>#VALUE!</v>
      </c>
      <c r="R823" s="44" t="e">
        <f t="shared" si="181"/>
        <v>#VALUE!</v>
      </c>
      <c r="S823" s="44" t="e">
        <f t="shared" si="179"/>
        <v>#VALUE!</v>
      </c>
      <c r="T823" s="41" t="e">
        <f t="shared" si="182"/>
        <v>#VALUE!</v>
      </c>
      <c r="U823" s="41" t="e">
        <f t="shared" si="183"/>
        <v>#VALUE!</v>
      </c>
      <c r="V823" s="41" t="e">
        <f t="shared" si="184"/>
        <v>#VALUE!</v>
      </c>
    </row>
    <row r="824" spans="2:22" x14ac:dyDescent="0.25">
      <c r="B824" s="41" t="b">
        <f t="shared" si="185"/>
        <v>0</v>
      </c>
      <c r="C824" s="41" t="e">
        <f t="shared" si="187"/>
        <v>#VALUE!</v>
      </c>
      <c r="E824" s="45">
        <v>820</v>
      </c>
      <c r="G824" s="138"/>
      <c r="H824" s="135">
        <v>1</v>
      </c>
      <c r="I824" s="46" t="e">
        <f t="shared" si="174"/>
        <v>#VALUE!</v>
      </c>
      <c r="J824" s="41" t="e">
        <f t="shared" si="180"/>
        <v>#VALUE!</v>
      </c>
      <c r="K824" s="41" t="e">
        <f t="shared" si="186"/>
        <v>#VALUE!</v>
      </c>
      <c r="L824" s="41" t="e">
        <f t="shared" si="186"/>
        <v>#VALUE!</v>
      </c>
      <c r="M824" s="41" t="e">
        <f t="shared" si="175"/>
        <v>#VALUE!</v>
      </c>
      <c r="N824" s="41" t="e">
        <f t="shared" si="176"/>
        <v>#VALUE!</v>
      </c>
      <c r="O824" s="41">
        <f t="shared" si="177"/>
        <v>0</v>
      </c>
      <c r="Q824" s="44" t="e">
        <f t="shared" si="178"/>
        <v>#VALUE!</v>
      </c>
      <c r="R824" s="44" t="e">
        <f t="shared" si="181"/>
        <v>#VALUE!</v>
      </c>
      <c r="S824" s="44" t="e">
        <f t="shared" si="179"/>
        <v>#VALUE!</v>
      </c>
      <c r="T824" s="41" t="e">
        <f t="shared" si="182"/>
        <v>#VALUE!</v>
      </c>
      <c r="U824" s="41" t="e">
        <f t="shared" si="183"/>
        <v>#VALUE!</v>
      </c>
      <c r="V824" s="41" t="e">
        <f t="shared" si="184"/>
        <v>#VALUE!</v>
      </c>
    </row>
    <row r="825" spans="2:22" x14ac:dyDescent="0.25">
      <c r="B825" s="41" t="b">
        <f t="shared" si="185"/>
        <v>0</v>
      </c>
      <c r="C825" s="41" t="e">
        <f t="shared" si="187"/>
        <v>#VALUE!</v>
      </c>
      <c r="E825" s="45">
        <v>821</v>
      </c>
      <c r="G825" s="138"/>
      <c r="H825" s="135">
        <v>1</v>
      </c>
      <c r="I825" s="46" t="e">
        <f t="shared" si="174"/>
        <v>#VALUE!</v>
      </c>
      <c r="J825" s="41" t="e">
        <f t="shared" si="180"/>
        <v>#VALUE!</v>
      </c>
      <c r="K825" s="41" t="e">
        <f t="shared" si="186"/>
        <v>#VALUE!</v>
      </c>
      <c r="L825" s="41" t="e">
        <f t="shared" si="186"/>
        <v>#VALUE!</v>
      </c>
      <c r="M825" s="41" t="e">
        <f t="shared" si="175"/>
        <v>#VALUE!</v>
      </c>
      <c r="N825" s="41" t="e">
        <f t="shared" si="176"/>
        <v>#VALUE!</v>
      </c>
      <c r="O825" s="41">
        <f t="shared" si="177"/>
        <v>0</v>
      </c>
      <c r="Q825" s="44" t="e">
        <f t="shared" si="178"/>
        <v>#VALUE!</v>
      </c>
      <c r="R825" s="44" t="e">
        <f t="shared" si="181"/>
        <v>#VALUE!</v>
      </c>
      <c r="S825" s="44" t="e">
        <f t="shared" si="179"/>
        <v>#VALUE!</v>
      </c>
      <c r="T825" s="41" t="e">
        <f t="shared" si="182"/>
        <v>#VALUE!</v>
      </c>
      <c r="U825" s="41" t="e">
        <f t="shared" si="183"/>
        <v>#VALUE!</v>
      </c>
      <c r="V825" s="41" t="e">
        <f t="shared" si="184"/>
        <v>#VALUE!</v>
      </c>
    </row>
    <row r="826" spans="2:22" x14ac:dyDescent="0.25">
      <c r="B826" s="41" t="b">
        <f t="shared" si="185"/>
        <v>0</v>
      </c>
      <c r="C826" s="41" t="e">
        <f t="shared" si="187"/>
        <v>#VALUE!</v>
      </c>
      <c r="E826" s="45">
        <v>822</v>
      </c>
      <c r="G826" s="138"/>
      <c r="H826" s="135">
        <v>1</v>
      </c>
      <c r="I826" s="46" t="e">
        <f t="shared" si="174"/>
        <v>#VALUE!</v>
      </c>
      <c r="J826" s="41" t="e">
        <f t="shared" si="180"/>
        <v>#VALUE!</v>
      </c>
      <c r="K826" s="41" t="e">
        <f t="shared" si="186"/>
        <v>#VALUE!</v>
      </c>
      <c r="L826" s="41" t="e">
        <f t="shared" si="186"/>
        <v>#VALUE!</v>
      </c>
      <c r="M826" s="41" t="e">
        <f t="shared" si="175"/>
        <v>#VALUE!</v>
      </c>
      <c r="N826" s="41" t="e">
        <f t="shared" si="176"/>
        <v>#VALUE!</v>
      </c>
      <c r="O826" s="41">
        <f t="shared" si="177"/>
        <v>0</v>
      </c>
      <c r="Q826" s="44" t="e">
        <f t="shared" si="178"/>
        <v>#VALUE!</v>
      </c>
      <c r="R826" s="44" t="e">
        <f t="shared" si="181"/>
        <v>#VALUE!</v>
      </c>
      <c r="S826" s="44" t="e">
        <f t="shared" si="179"/>
        <v>#VALUE!</v>
      </c>
      <c r="T826" s="41" t="e">
        <f t="shared" si="182"/>
        <v>#VALUE!</v>
      </c>
      <c r="U826" s="41" t="e">
        <f t="shared" si="183"/>
        <v>#VALUE!</v>
      </c>
      <c r="V826" s="41" t="e">
        <f t="shared" si="184"/>
        <v>#VALUE!</v>
      </c>
    </row>
    <row r="827" spans="2:22" x14ac:dyDescent="0.25">
      <c r="B827" s="41" t="b">
        <f t="shared" si="185"/>
        <v>0</v>
      </c>
      <c r="C827" s="41" t="e">
        <f t="shared" si="187"/>
        <v>#VALUE!</v>
      </c>
      <c r="E827" s="45">
        <v>823</v>
      </c>
      <c r="G827" s="138"/>
      <c r="H827" s="135">
        <v>1</v>
      </c>
      <c r="I827" s="46" t="e">
        <f t="shared" si="174"/>
        <v>#VALUE!</v>
      </c>
      <c r="J827" s="41" t="e">
        <f t="shared" si="180"/>
        <v>#VALUE!</v>
      </c>
      <c r="K827" s="41" t="e">
        <f t="shared" si="186"/>
        <v>#VALUE!</v>
      </c>
      <c r="L827" s="41" t="e">
        <f t="shared" si="186"/>
        <v>#VALUE!</v>
      </c>
      <c r="M827" s="41" t="e">
        <f t="shared" si="175"/>
        <v>#VALUE!</v>
      </c>
      <c r="N827" s="41" t="e">
        <f t="shared" si="176"/>
        <v>#VALUE!</v>
      </c>
      <c r="O827" s="41">
        <f t="shared" si="177"/>
        <v>0</v>
      </c>
      <c r="Q827" s="44" t="e">
        <f t="shared" si="178"/>
        <v>#VALUE!</v>
      </c>
      <c r="R827" s="44" t="e">
        <f t="shared" si="181"/>
        <v>#VALUE!</v>
      </c>
      <c r="S827" s="44" t="e">
        <f t="shared" si="179"/>
        <v>#VALUE!</v>
      </c>
      <c r="T827" s="41" t="e">
        <f t="shared" si="182"/>
        <v>#VALUE!</v>
      </c>
      <c r="U827" s="41" t="e">
        <f t="shared" si="183"/>
        <v>#VALUE!</v>
      </c>
      <c r="V827" s="41" t="e">
        <f t="shared" si="184"/>
        <v>#VALUE!</v>
      </c>
    </row>
    <row r="828" spans="2:22" x14ac:dyDescent="0.25">
      <c r="B828" s="41" t="b">
        <f t="shared" si="185"/>
        <v>0</v>
      </c>
      <c r="C828" s="41" t="e">
        <f t="shared" si="187"/>
        <v>#VALUE!</v>
      </c>
      <c r="E828" s="45">
        <v>824</v>
      </c>
      <c r="G828" s="138"/>
      <c r="H828" s="135">
        <v>1</v>
      </c>
      <c r="I828" s="46" t="e">
        <f t="shared" si="174"/>
        <v>#VALUE!</v>
      </c>
      <c r="J828" s="41" t="e">
        <f t="shared" si="180"/>
        <v>#VALUE!</v>
      </c>
      <c r="K828" s="41" t="e">
        <f t="shared" si="186"/>
        <v>#VALUE!</v>
      </c>
      <c r="L828" s="41" t="e">
        <f t="shared" si="186"/>
        <v>#VALUE!</v>
      </c>
      <c r="M828" s="41" t="e">
        <f t="shared" si="175"/>
        <v>#VALUE!</v>
      </c>
      <c r="N828" s="41" t="e">
        <f t="shared" si="176"/>
        <v>#VALUE!</v>
      </c>
      <c r="O828" s="41">
        <f t="shared" si="177"/>
        <v>0</v>
      </c>
      <c r="Q828" s="44" t="e">
        <f t="shared" si="178"/>
        <v>#VALUE!</v>
      </c>
      <c r="R828" s="44" t="e">
        <f t="shared" si="181"/>
        <v>#VALUE!</v>
      </c>
      <c r="S828" s="44" t="e">
        <f t="shared" si="179"/>
        <v>#VALUE!</v>
      </c>
      <c r="T828" s="41" t="e">
        <f t="shared" si="182"/>
        <v>#VALUE!</v>
      </c>
      <c r="U828" s="41" t="e">
        <f t="shared" si="183"/>
        <v>#VALUE!</v>
      </c>
      <c r="V828" s="41" t="e">
        <f t="shared" si="184"/>
        <v>#VALUE!</v>
      </c>
    </row>
    <row r="829" spans="2:22" x14ac:dyDescent="0.25">
      <c r="B829" s="41" t="b">
        <f t="shared" si="185"/>
        <v>0</v>
      </c>
      <c r="C829" s="41" t="e">
        <f t="shared" si="187"/>
        <v>#VALUE!</v>
      </c>
      <c r="E829" s="45">
        <v>825</v>
      </c>
      <c r="G829" s="138"/>
      <c r="H829" s="135">
        <v>1</v>
      </c>
      <c r="I829" s="46" t="e">
        <f t="shared" si="174"/>
        <v>#VALUE!</v>
      </c>
      <c r="J829" s="41" t="e">
        <f t="shared" si="180"/>
        <v>#VALUE!</v>
      </c>
      <c r="K829" s="41" t="e">
        <f t="shared" si="186"/>
        <v>#VALUE!</v>
      </c>
      <c r="L829" s="41" t="e">
        <f t="shared" si="186"/>
        <v>#VALUE!</v>
      </c>
      <c r="M829" s="41" t="e">
        <f t="shared" si="175"/>
        <v>#VALUE!</v>
      </c>
      <c r="N829" s="41" t="e">
        <f t="shared" si="176"/>
        <v>#VALUE!</v>
      </c>
      <c r="O829" s="41">
        <f t="shared" si="177"/>
        <v>0</v>
      </c>
      <c r="Q829" s="44" t="e">
        <f t="shared" si="178"/>
        <v>#VALUE!</v>
      </c>
      <c r="R829" s="44" t="e">
        <f t="shared" si="181"/>
        <v>#VALUE!</v>
      </c>
      <c r="S829" s="44" t="e">
        <f t="shared" si="179"/>
        <v>#VALUE!</v>
      </c>
      <c r="T829" s="41" t="e">
        <f t="shared" si="182"/>
        <v>#VALUE!</v>
      </c>
      <c r="U829" s="41" t="e">
        <f t="shared" si="183"/>
        <v>#VALUE!</v>
      </c>
      <c r="V829" s="41" t="e">
        <f t="shared" si="184"/>
        <v>#VALUE!</v>
      </c>
    </row>
    <row r="830" spans="2:22" x14ac:dyDescent="0.25">
      <c r="B830" s="41" t="b">
        <f t="shared" si="185"/>
        <v>0</v>
      </c>
      <c r="C830" s="41" t="e">
        <f t="shared" si="187"/>
        <v>#VALUE!</v>
      </c>
      <c r="E830" s="45">
        <v>826</v>
      </c>
      <c r="G830" s="138"/>
      <c r="H830" s="135">
        <v>1</v>
      </c>
      <c r="I830" s="46" t="e">
        <f t="shared" si="174"/>
        <v>#VALUE!</v>
      </c>
      <c r="J830" s="41" t="e">
        <f t="shared" si="180"/>
        <v>#VALUE!</v>
      </c>
      <c r="K830" s="41" t="e">
        <f t="shared" si="186"/>
        <v>#VALUE!</v>
      </c>
      <c r="L830" s="41" t="e">
        <f t="shared" si="186"/>
        <v>#VALUE!</v>
      </c>
      <c r="M830" s="41" t="e">
        <f t="shared" si="175"/>
        <v>#VALUE!</v>
      </c>
      <c r="N830" s="41" t="e">
        <f t="shared" si="176"/>
        <v>#VALUE!</v>
      </c>
      <c r="O830" s="41">
        <f t="shared" si="177"/>
        <v>0</v>
      </c>
      <c r="Q830" s="44" t="e">
        <f t="shared" si="178"/>
        <v>#VALUE!</v>
      </c>
      <c r="R830" s="44" t="e">
        <f t="shared" si="181"/>
        <v>#VALUE!</v>
      </c>
      <c r="S830" s="44" t="e">
        <f t="shared" si="179"/>
        <v>#VALUE!</v>
      </c>
      <c r="T830" s="41" t="e">
        <f t="shared" si="182"/>
        <v>#VALUE!</v>
      </c>
      <c r="U830" s="41" t="e">
        <f t="shared" si="183"/>
        <v>#VALUE!</v>
      </c>
      <c r="V830" s="41" t="e">
        <f t="shared" si="184"/>
        <v>#VALUE!</v>
      </c>
    </row>
    <row r="831" spans="2:22" x14ac:dyDescent="0.25">
      <c r="B831" s="41" t="b">
        <f t="shared" si="185"/>
        <v>0</v>
      </c>
      <c r="C831" s="41" t="e">
        <f t="shared" si="187"/>
        <v>#VALUE!</v>
      </c>
      <c r="E831" s="45">
        <v>827</v>
      </c>
      <c r="G831" s="138"/>
      <c r="H831" s="135">
        <v>1</v>
      </c>
      <c r="I831" s="46" t="e">
        <f t="shared" si="174"/>
        <v>#VALUE!</v>
      </c>
      <c r="J831" s="41" t="e">
        <f t="shared" si="180"/>
        <v>#VALUE!</v>
      </c>
      <c r="K831" s="41" t="e">
        <f t="shared" si="186"/>
        <v>#VALUE!</v>
      </c>
      <c r="L831" s="41" t="e">
        <f t="shared" si="186"/>
        <v>#VALUE!</v>
      </c>
      <c r="M831" s="41" t="e">
        <f t="shared" si="175"/>
        <v>#VALUE!</v>
      </c>
      <c r="N831" s="41" t="e">
        <f t="shared" si="176"/>
        <v>#VALUE!</v>
      </c>
      <c r="O831" s="41">
        <f t="shared" si="177"/>
        <v>0</v>
      </c>
      <c r="Q831" s="44" t="e">
        <f t="shared" si="178"/>
        <v>#VALUE!</v>
      </c>
      <c r="R831" s="44" t="e">
        <f t="shared" si="181"/>
        <v>#VALUE!</v>
      </c>
      <c r="S831" s="44" t="e">
        <f t="shared" si="179"/>
        <v>#VALUE!</v>
      </c>
      <c r="T831" s="41" t="e">
        <f t="shared" si="182"/>
        <v>#VALUE!</v>
      </c>
      <c r="U831" s="41" t="e">
        <f t="shared" si="183"/>
        <v>#VALUE!</v>
      </c>
      <c r="V831" s="41" t="e">
        <f t="shared" si="184"/>
        <v>#VALUE!</v>
      </c>
    </row>
    <row r="832" spans="2:22" x14ac:dyDescent="0.25">
      <c r="B832" s="41" t="b">
        <f t="shared" si="185"/>
        <v>0</v>
      </c>
      <c r="C832" s="41" t="e">
        <f t="shared" si="187"/>
        <v>#VALUE!</v>
      </c>
      <c r="E832" s="45">
        <v>828</v>
      </c>
      <c r="G832" s="138"/>
      <c r="H832" s="135">
        <v>1</v>
      </c>
      <c r="I832" s="46" t="e">
        <f t="shared" si="174"/>
        <v>#VALUE!</v>
      </c>
      <c r="J832" s="41" t="e">
        <f t="shared" si="180"/>
        <v>#VALUE!</v>
      </c>
      <c r="K832" s="41" t="e">
        <f t="shared" si="186"/>
        <v>#VALUE!</v>
      </c>
      <c r="L832" s="41" t="e">
        <f t="shared" si="186"/>
        <v>#VALUE!</v>
      </c>
      <c r="M832" s="41" t="e">
        <f t="shared" si="175"/>
        <v>#VALUE!</v>
      </c>
      <c r="N832" s="41" t="e">
        <f t="shared" si="176"/>
        <v>#VALUE!</v>
      </c>
      <c r="O832" s="41">
        <f t="shared" si="177"/>
        <v>0</v>
      </c>
      <c r="Q832" s="44" t="e">
        <f t="shared" si="178"/>
        <v>#VALUE!</v>
      </c>
      <c r="R832" s="44" t="e">
        <f t="shared" si="181"/>
        <v>#VALUE!</v>
      </c>
      <c r="S832" s="44" t="e">
        <f t="shared" si="179"/>
        <v>#VALUE!</v>
      </c>
      <c r="T832" s="41" t="e">
        <f t="shared" si="182"/>
        <v>#VALUE!</v>
      </c>
      <c r="U832" s="41" t="e">
        <f t="shared" si="183"/>
        <v>#VALUE!</v>
      </c>
      <c r="V832" s="41" t="e">
        <f t="shared" si="184"/>
        <v>#VALUE!</v>
      </c>
    </row>
    <row r="833" spans="2:22" x14ac:dyDescent="0.25">
      <c r="B833" s="41" t="b">
        <f t="shared" si="185"/>
        <v>0</v>
      </c>
      <c r="C833" s="41" t="e">
        <f t="shared" si="187"/>
        <v>#VALUE!</v>
      </c>
      <c r="E833" s="45">
        <v>829</v>
      </c>
      <c r="G833" s="138"/>
      <c r="H833" s="135">
        <v>1</v>
      </c>
      <c r="I833" s="46" t="e">
        <f t="shared" si="174"/>
        <v>#VALUE!</v>
      </c>
      <c r="J833" s="41" t="e">
        <f t="shared" si="180"/>
        <v>#VALUE!</v>
      </c>
      <c r="K833" s="41" t="e">
        <f t="shared" si="186"/>
        <v>#VALUE!</v>
      </c>
      <c r="L833" s="41" t="e">
        <f t="shared" si="186"/>
        <v>#VALUE!</v>
      </c>
      <c r="M833" s="41" t="e">
        <f t="shared" si="175"/>
        <v>#VALUE!</v>
      </c>
      <c r="N833" s="41" t="e">
        <f t="shared" si="176"/>
        <v>#VALUE!</v>
      </c>
      <c r="O833" s="41">
        <f t="shared" si="177"/>
        <v>0</v>
      </c>
      <c r="Q833" s="44" t="e">
        <f t="shared" si="178"/>
        <v>#VALUE!</v>
      </c>
      <c r="R833" s="44" t="e">
        <f t="shared" si="181"/>
        <v>#VALUE!</v>
      </c>
      <c r="S833" s="44" t="e">
        <f t="shared" si="179"/>
        <v>#VALUE!</v>
      </c>
      <c r="T833" s="41" t="e">
        <f t="shared" si="182"/>
        <v>#VALUE!</v>
      </c>
      <c r="U833" s="41" t="e">
        <f t="shared" si="183"/>
        <v>#VALUE!</v>
      </c>
      <c r="V833" s="41" t="e">
        <f t="shared" si="184"/>
        <v>#VALUE!</v>
      </c>
    </row>
    <row r="834" spans="2:22" x14ac:dyDescent="0.25">
      <c r="B834" s="41" t="b">
        <f t="shared" si="185"/>
        <v>0</v>
      </c>
      <c r="C834" s="41" t="e">
        <f t="shared" si="187"/>
        <v>#VALUE!</v>
      </c>
      <c r="E834" s="45">
        <v>830</v>
      </c>
      <c r="G834" s="138"/>
      <c r="H834" s="135">
        <v>1</v>
      </c>
      <c r="I834" s="46" t="e">
        <f t="shared" si="174"/>
        <v>#VALUE!</v>
      </c>
      <c r="J834" s="41" t="e">
        <f t="shared" si="180"/>
        <v>#VALUE!</v>
      </c>
      <c r="K834" s="41" t="e">
        <f t="shared" si="186"/>
        <v>#VALUE!</v>
      </c>
      <c r="L834" s="41" t="e">
        <f t="shared" si="186"/>
        <v>#VALUE!</v>
      </c>
      <c r="M834" s="41" t="e">
        <f t="shared" si="175"/>
        <v>#VALUE!</v>
      </c>
      <c r="N834" s="41" t="e">
        <f t="shared" si="176"/>
        <v>#VALUE!</v>
      </c>
      <c r="O834" s="41">
        <f t="shared" si="177"/>
        <v>0</v>
      </c>
      <c r="Q834" s="44" t="e">
        <f t="shared" si="178"/>
        <v>#VALUE!</v>
      </c>
      <c r="R834" s="44" t="e">
        <f t="shared" si="181"/>
        <v>#VALUE!</v>
      </c>
      <c r="S834" s="44" t="e">
        <f t="shared" si="179"/>
        <v>#VALUE!</v>
      </c>
      <c r="T834" s="41" t="e">
        <f t="shared" si="182"/>
        <v>#VALUE!</v>
      </c>
      <c r="U834" s="41" t="e">
        <f t="shared" si="183"/>
        <v>#VALUE!</v>
      </c>
      <c r="V834" s="41" t="e">
        <f t="shared" si="184"/>
        <v>#VALUE!</v>
      </c>
    </row>
    <row r="835" spans="2:22" x14ac:dyDescent="0.25">
      <c r="B835" s="41" t="b">
        <f t="shared" si="185"/>
        <v>0</v>
      </c>
      <c r="C835" s="41" t="e">
        <f t="shared" si="187"/>
        <v>#VALUE!</v>
      </c>
      <c r="E835" s="45">
        <v>831</v>
      </c>
      <c r="G835" s="138"/>
      <c r="H835" s="135">
        <v>1</v>
      </c>
      <c r="I835" s="46" t="e">
        <f t="shared" si="174"/>
        <v>#VALUE!</v>
      </c>
      <c r="J835" s="41" t="e">
        <f t="shared" si="180"/>
        <v>#VALUE!</v>
      </c>
      <c r="K835" s="41" t="e">
        <f t="shared" si="186"/>
        <v>#VALUE!</v>
      </c>
      <c r="L835" s="41" t="e">
        <f t="shared" si="186"/>
        <v>#VALUE!</v>
      </c>
      <c r="M835" s="41" t="e">
        <f t="shared" si="175"/>
        <v>#VALUE!</v>
      </c>
      <c r="N835" s="41" t="e">
        <f t="shared" si="176"/>
        <v>#VALUE!</v>
      </c>
      <c r="O835" s="41">
        <f t="shared" si="177"/>
        <v>0</v>
      </c>
      <c r="Q835" s="44" t="e">
        <f t="shared" si="178"/>
        <v>#VALUE!</v>
      </c>
      <c r="R835" s="44" t="e">
        <f t="shared" si="181"/>
        <v>#VALUE!</v>
      </c>
      <c r="S835" s="44" t="e">
        <f t="shared" si="179"/>
        <v>#VALUE!</v>
      </c>
      <c r="T835" s="41" t="e">
        <f t="shared" si="182"/>
        <v>#VALUE!</v>
      </c>
      <c r="U835" s="41" t="e">
        <f t="shared" si="183"/>
        <v>#VALUE!</v>
      </c>
      <c r="V835" s="41" t="e">
        <f t="shared" si="184"/>
        <v>#VALUE!</v>
      </c>
    </row>
    <row r="836" spans="2:22" x14ac:dyDescent="0.25">
      <c r="B836" s="41" t="b">
        <f t="shared" si="185"/>
        <v>0</v>
      </c>
      <c r="C836" s="41" t="e">
        <f t="shared" si="187"/>
        <v>#VALUE!</v>
      </c>
      <c r="E836" s="45">
        <v>832</v>
      </c>
      <c r="G836" s="138"/>
      <c r="H836" s="135">
        <v>1</v>
      </c>
      <c r="I836" s="46" t="e">
        <f t="shared" ref="I836:I899" si="188">RIGHT(G836,J836)</f>
        <v>#VALUE!</v>
      </c>
      <c r="J836" s="41" t="e">
        <f t="shared" si="180"/>
        <v>#VALUE!</v>
      </c>
      <c r="K836" s="41" t="e">
        <f t="shared" si="186"/>
        <v>#VALUE!</v>
      </c>
      <c r="L836" s="41" t="e">
        <f t="shared" si="186"/>
        <v>#VALUE!</v>
      </c>
      <c r="M836" s="41" t="e">
        <f t="shared" ref="M836:M899" si="189">SEARCH("-",G836,2)</f>
        <v>#VALUE!</v>
      </c>
      <c r="N836" s="41" t="e">
        <f t="shared" ref="N836:N899" si="190">SEARCH("-",G836,M836+1)</f>
        <v>#VALUE!</v>
      </c>
      <c r="O836" s="41">
        <f t="shared" ref="O836:O899" si="191">LEN(G836)</f>
        <v>0</v>
      </c>
      <c r="Q836" s="44" t="e">
        <f t="shared" ref="Q836:Q899" si="192">LEFT(G836,M836-1)</f>
        <v>#VALUE!</v>
      </c>
      <c r="R836" s="44" t="e">
        <f t="shared" si="181"/>
        <v>#VALUE!</v>
      </c>
      <c r="S836" s="44" t="e">
        <f t="shared" ref="S836:S899" si="193">RIGHT(G836,L836)</f>
        <v>#VALUE!</v>
      </c>
      <c r="T836" s="41" t="e">
        <f t="shared" si="182"/>
        <v>#VALUE!</v>
      </c>
      <c r="U836" s="41" t="e">
        <f t="shared" si="183"/>
        <v>#VALUE!</v>
      </c>
      <c r="V836" s="41" t="e">
        <f t="shared" si="184"/>
        <v>#VALUE!</v>
      </c>
    </row>
    <row r="837" spans="2:22" x14ac:dyDescent="0.25">
      <c r="B837" s="41" t="b">
        <f t="shared" si="185"/>
        <v>0</v>
      </c>
      <c r="C837" s="41" t="e">
        <f t="shared" si="187"/>
        <v>#VALUE!</v>
      </c>
      <c r="E837" s="45">
        <v>833</v>
      </c>
      <c r="G837" s="138"/>
      <c r="H837" s="135">
        <v>1</v>
      </c>
      <c r="I837" s="46" t="e">
        <f t="shared" si="188"/>
        <v>#VALUE!</v>
      </c>
      <c r="J837" s="41" t="e">
        <f t="shared" ref="J837:J900" si="194">O837-M837</f>
        <v>#VALUE!</v>
      </c>
      <c r="K837" s="41" t="e">
        <f t="shared" si="186"/>
        <v>#VALUE!</v>
      </c>
      <c r="L837" s="41" t="e">
        <f t="shared" si="186"/>
        <v>#VALUE!</v>
      </c>
      <c r="M837" s="41" t="e">
        <f t="shared" si="189"/>
        <v>#VALUE!</v>
      </c>
      <c r="N837" s="41" t="e">
        <f t="shared" si="190"/>
        <v>#VALUE!</v>
      </c>
      <c r="O837" s="41">
        <f t="shared" si="191"/>
        <v>0</v>
      </c>
      <c r="Q837" s="44" t="e">
        <f t="shared" si="192"/>
        <v>#VALUE!</v>
      </c>
      <c r="R837" s="44" t="e">
        <f t="shared" ref="R837:R900" si="195">LEFT(I837,K837-1)</f>
        <v>#VALUE!</v>
      </c>
      <c r="S837" s="44" t="e">
        <f t="shared" si="193"/>
        <v>#VALUE!</v>
      </c>
      <c r="T837" s="41" t="e">
        <f t="shared" ref="T837:T900" si="196">Q837*1*H837</f>
        <v>#VALUE!</v>
      </c>
      <c r="U837" s="41" t="e">
        <f t="shared" ref="U837:U900" si="197">R837*1*H837</f>
        <v>#VALUE!</v>
      </c>
      <c r="V837" s="41" t="e">
        <f t="shared" ref="V837:V900" si="198">S837*1*H837</f>
        <v>#VALUE!</v>
      </c>
    </row>
    <row r="838" spans="2:22" x14ac:dyDescent="0.25">
      <c r="B838" s="41" t="b">
        <f t="shared" si="185"/>
        <v>0</v>
      </c>
      <c r="C838" s="41" t="e">
        <f t="shared" si="187"/>
        <v>#VALUE!</v>
      </c>
      <c r="E838" s="45">
        <v>834</v>
      </c>
      <c r="G838" s="138"/>
      <c r="H838" s="135">
        <v>1</v>
      </c>
      <c r="I838" s="46" t="e">
        <f t="shared" si="188"/>
        <v>#VALUE!</v>
      </c>
      <c r="J838" s="41" t="e">
        <f t="shared" si="194"/>
        <v>#VALUE!</v>
      </c>
      <c r="K838" s="41" t="e">
        <f t="shared" si="186"/>
        <v>#VALUE!</v>
      </c>
      <c r="L838" s="41" t="e">
        <f t="shared" si="186"/>
        <v>#VALUE!</v>
      </c>
      <c r="M838" s="41" t="e">
        <f t="shared" si="189"/>
        <v>#VALUE!</v>
      </c>
      <c r="N838" s="41" t="e">
        <f t="shared" si="190"/>
        <v>#VALUE!</v>
      </c>
      <c r="O838" s="41">
        <f t="shared" si="191"/>
        <v>0</v>
      </c>
      <c r="Q838" s="44" t="e">
        <f t="shared" si="192"/>
        <v>#VALUE!</v>
      </c>
      <c r="R838" s="44" t="e">
        <f t="shared" si="195"/>
        <v>#VALUE!</v>
      </c>
      <c r="S838" s="44" t="e">
        <f t="shared" si="193"/>
        <v>#VALUE!</v>
      </c>
      <c r="T838" s="41" t="e">
        <f t="shared" si="196"/>
        <v>#VALUE!</v>
      </c>
      <c r="U838" s="41" t="e">
        <f t="shared" si="197"/>
        <v>#VALUE!</v>
      </c>
      <c r="V838" s="41" t="e">
        <f t="shared" si="198"/>
        <v>#VALUE!</v>
      </c>
    </row>
    <row r="839" spans="2:22" x14ac:dyDescent="0.25">
      <c r="B839" s="41" t="b">
        <f t="shared" si="185"/>
        <v>0</v>
      </c>
      <c r="C839" s="41" t="e">
        <f t="shared" si="187"/>
        <v>#VALUE!</v>
      </c>
      <c r="E839" s="45">
        <v>835</v>
      </c>
      <c r="G839" s="138"/>
      <c r="H839" s="135">
        <v>1</v>
      </c>
      <c r="I839" s="46" t="e">
        <f t="shared" si="188"/>
        <v>#VALUE!</v>
      </c>
      <c r="J839" s="41" t="e">
        <f t="shared" si="194"/>
        <v>#VALUE!</v>
      </c>
      <c r="K839" s="41" t="e">
        <f t="shared" si="186"/>
        <v>#VALUE!</v>
      </c>
      <c r="L839" s="41" t="e">
        <f t="shared" si="186"/>
        <v>#VALUE!</v>
      </c>
      <c r="M839" s="41" t="e">
        <f t="shared" si="189"/>
        <v>#VALUE!</v>
      </c>
      <c r="N839" s="41" t="e">
        <f t="shared" si="190"/>
        <v>#VALUE!</v>
      </c>
      <c r="O839" s="41">
        <f t="shared" si="191"/>
        <v>0</v>
      </c>
      <c r="Q839" s="44" t="e">
        <f t="shared" si="192"/>
        <v>#VALUE!</v>
      </c>
      <c r="R839" s="44" t="e">
        <f t="shared" si="195"/>
        <v>#VALUE!</v>
      </c>
      <c r="S839" s="44" t="e">
        <f t="shared" si="193"/>
        <v>#VALUE!</v>
      </c>
      <c r="T839" s="41" t="e">
        <f t="shared" si="196"/>
        <v>#VALUE!</v>
      </c>
      <c r="U839" s="41" t="e">
        <f t="shared" si="197"/>
        <v>#VALUE!</v>
      </c>
      <c r="V839" s="41" t="e">
        <f t="shared" si="198"/>
        <v>#VALUE!</v>
      </c>
    </row>
    <row r="840" spans="2:22" x14ac:dyDescent="0.25">
      <c r="B840" s="41" t="b">
        <f t="shared" si="185"/>
        <v>0</v>
      </c>
      <c r="C840" s="41" t="e">
        <f t="shared" si="187"/>
        <v>#VALUE!</v>
      </c>
      <c r="E840" s="45">
        <v>836</v>
      </c>
      <c r="G840" s="138"/>
      <c r="H840" s="135">
        <v>1</v>
      </c>
      <c r="I840" s="46" t="e">
        <f t="shared" si="188"/>
        <v>#VALUE!</v>
      </c>
      <c r="J840" s="41" t="e">
        <f t="shared" si="194"/>
        <v>#VALUE!</v>
      </c>
      <c r="K840" s="41" t="e">
        <f t="shared" si="186"/>
        <v>#VALUE!</v>
      </c>
      <c r="L840" s="41" t="e">
        <f t="shared" si="186"/>
        <v>#VALUE!</v>
      </c>
      <c r="M840" s="41" t="e">
        <f t="shared" si="189"/>
        <v>#VALUE!</v>
      </c>
      <c r="N840" s="41" t="e">
        <f t="shared" si="190"/>
        <v>#VALUE!</v>
      </c>
      <c r="O840" s="41">
        <f t="shared" si="191"/>
        <v>0</v>
      </c>
      <c r="Q840" s="44" t="e">
        <f t="shared" si="192"/>
        <v>#VALUE!</v>
      </c>
      <c r="R840" s="44" t="e">
        <f t="shared" si="195"/>
        <v>#VALUE!</v>
      </c>
      <c r="S840" s="44" t="e">
        <f t="shared" si="193"/>
        <v>#VALUE!</v>
      </c>
      <c r="T840" s="41" t="e">
        <f t="shared" si="196"/>
        <v>#VALUE!</v>
      </c>
      <c r="U840" s="41" t="e">
        <f t="shared" si="197"/>
        <v>#VALUE!</v>
      </c>
      <c r="V840" s="41" t="e">
        <f t="shared" si="198"/>
        <v>#VALUE!</v>
      </c>
    </row>
    <row r="841" spans="2:22" x14ac:dyDescent="0.25">
      <c r="B841" s="41" t="b">
        <f t="shared" si="185"/>
        <v>0</v>
      </c>
      <c r="C841" s="41" t="e">
        <f t="shared" si="187"/>
        <v>#VALUE!</v>
      </c>
      <c r="E841" s="45">
        <v>837</v>
      </c>
      <c r="G841" s="138"/>
      <c r="H841" s="135">
        <v>1</v>
      </c>
      <c r="I841" s="46" t="e">
        <f t="shared" si="188"/>
        <v>#VALUE!</v>
      </c>
      <c r="J841" s="41" t="e">
        <f t="shared" si="194"/>
        <v>#VALUE!</v>
      </c>
      <c r="K841" s="41" t="e">
        <f t="shared" si="186"/>
        <v>#VALUE!</v>
      </c>
      <c r="L841" s="41" t="e">
        <f t="shared" si="186"/>
        <v>#VALUE!</v>
      </c>
      <c r="M841" s="41" t="e">
        <f t="shared" si="189"/>
        <v>#VALUE!</v>
      </c>
      <c r="N841" s="41" t="e">
        <f t="shared" si="190"/>
        <v>#VALUE!</v>
      </c>
      <c r="O841" s="41">
        <f t="shared" si="191"/>
        <v>0</v>
      </c>
      <c r="Q841" s="44" t="e">
        <f t="shared" si="192"/>
        <v>#VALUE!</v>
      </c>
      <c r="R841" s="44" t="e">
        <f t="shared" si="195"/>
        <v>#VALUE!</v>
      </c>
      <c r="S841" s="44" t="e">
        <f t="shared" si="193"/>
        <v>#VALUE!</v>
      </c>
      <c r="T841" s="41" t="e">
        <f t="shared" si="196"/>
        <v>#VALUE!</v>
      </c>
      <c r="U841" s="41" t="e">
        <f t="shared" si="197"/>
        <v>#VALUE!</v>
      </c>
      <c r="V841" s="41" t="e">
        <f t="shared" si="198"/>
        <v>#VALUE!</v>
      </c>
    </row>
    <row r="842" spans="2:22" x14ac:dyDescent="0.25">
      <c r="B842" s="41" t="b">
        <f t="shared" si="185"/>
        <v>0</v>
      </c>
      <c r="C842" s="41" t="e">
        <f t="shared" si="187"/>
        <v>#VALUE!</v>
      </c>
      <c r="E842" s="45">
        <v>838</v>
      </c>
      <c r="G842" s="138"/>
      <c r="H842" s="135">
        <v>1</v>
      </c>
      <c r="I842" s="46" t="e">
        <f t="shared" si="188"/>
        <v>#VALUE!</v>
      </c>
      <c r="J842" s="41" t="e">
        <f t="shared" si="194"/>
        <v>#VALUE!</v>
      </c>
      <c r="K842" s="41" t="e">
        <f t="shared" si="186"/>
        <v>#VALUE!</v>
      </c>
      <c r="L842" s="41" t="e">
        <f t="shared" si="186"/>
        <v>#VALUE!</v>
      </c>
      <c r="M842" s="41" t="e">
        <f t="shared" si="189"/>
        <v>#VALUE!</v>
      </c>
      <c r="N842" s="41" t="e">
        <f t="shared" si="190"/>
        <v>#VALUE!</v>
      </c>
      <c r="O842" s="41">
        <f t="shared" si="191"/>
        <v>0</v>
      </c>
      <c r="Q842" s="44" t="e">
        <f t="shared" si="192"/>
        <v>#VALUE!</v>
      </c>
      <c r="R842" s="44" t="e">
        <f t="shared" si="195"/>
        <v>#VALUE!</v>
      </c>
      <c r="S842" s="44" t="e">
        <f t="shared" si="193"/>
        <v>#VALUE!</v>
      </c>
      <c r="T842" s="41" t="e">
        <f t="shared" si="196"/>
        <v>#VALUE!</v>
      </c>
      <c r="U842" s="41" t="e">
        <f t="shared" si="197"/>
        <v>#VALUE!</v>
      </c>
      <c r="V842" s="41" t="e">
        <f t="shared" si="198"/>
        <v>#VALUE!</v>
      </c>
    </row>
    <row r="843" spans="2:22" x14ac:dyDescent="0.25">
      <c r="B843" s="41" t="b">
        <f t="shared" si="185"/>
        <v>0</v>
      </c>
      <c r="C843" s="41" t="e">
        <f t="shared" si="187"/>
        <v>#VALUE!</v>
      </c>
      <c r="E843" s="45">
        <v>839</v>
      </c>
      <c r="G843" s="138"/>
      <c r="H843" s="135">
        <v>1</v>
      </c>
      <c r="I843" s="46" t="e">
        <f t="shared" si="188"/>
        <v>#VALUE!</v>
      </c>
      <c r="J843" s="41" t="e">
        <f t="shared" si="194"/>
        <v>#VALUE!</v>
      </c>
      <c r="K843" s="41" t="e">
        <f t="shared" si="186"/>
        <v>#VALUE!</v>
      </c>
      <c r="L843" s="41" t="e">
        <f t="shared" si="186"/>
        <v>#VALUE!</v>
      </c>
      <c r="M843" s="41" t="e">
        <f t="shared" si="189"/>
        <v>#VALUE!</v>
      </c>
      <c r="N843" s="41" t="e">
        <f t="shared" si="190"/>
        <v>#VALUE!</v>
      </c>
      <c r="O843" s="41">
        <f t="shared" si="191"/>
        <v>0</v>
      </c>
      <c r="Q843" s="44" t="e">
        <f t="shared" si="192"/>
        <v>#VALUE!</v>
      </c>
      <c r="R843" s="44" t="e">
        <f t="shared" si="195"/>
        <v>#VALUE!</v>
      </c>
      <c r="S843" s="44" t="e">
        <f t="shared" si="193"/>
        <v>#VALUE!</v>
      </c>
      <c r="T843" s="41" t="e">
        <f t="shared" si="196"/>
        <v>#VALUE!</v>
      </c>
      <c r="U843" s="41" t="e">
        <f t="shared" si="197"/>
        <v>#VALUE!</v>
      </c>
      <c r="V843" s="41" t="e">
        <f t="shared" si="198"/>
        <v>#VALUE!</v>
      </c>
    </row>
    <row r="844" spans="2:22" x14ac:dyDescent="0.25">
      <c r="B844" s="41" t="b">
        <f t="shared" si="185"/>
        <v>0</v>
      </c>
      <c r="C844" s="41" t="e">
        <f t="shared" si="187"/>
        <v>#VALUE!</v>
      </c>
      <c r="E844" s="45">
        <v>840</v>
      </c>
      <c r="G844" s="138"/>
      <c r="H844" s="135">
        <v>1</v>
      </c>
      <c r="I844" s="46" t="e">
        <f t="shared" si="188"/>
        <v>#VALUE!</v>
      </c>
      <c r="J844" s="41" t="e">
        <f t="shared" si="194"/>
        <v>#VALUE!</v>
      </c>
      <c r="K844" s="41" t="e">
        <f t="shared" si="186"/>
        <v>#VALUE!</v>
      </c>
      <c r="L844" s="41" t="e">
        <f t="shared" si="186"/>
        <v>#VALUE!</v>
      </c>
      <c r="M844" s="41" t="e">
        <f t="shared" si="189"/>
        <v>#VALUE!</v>
      </c>
      <c r="N844" s="41" t="e">
        <f t="shared" si="190"/>
        <v>#VALUE!</v>
      </c>
      <c r="O844" s="41">
        <f t="shared" si="191"/>
        <v>0</v>
      </c>
      <c r="Q844" s="44" t="e">
        <f t="shared" si="192"/>
        <v>#VALUE!</v>
      </c>
      <c r="R844" s="44" t="e">
        <f t="shared" si="195"/>
        <v>#VALUE!</v>
      </c>
      <c r="S844" s="44" t="e">
        <f t="shared" si="193"/>
        <v>#VALUE!</v>
      </c>
      <c r="T844" s="41" t="e">
        <f t="shared" si="196"/>
        <v>#VALUE!</v>
      </c>
      <c r="U844" s="41" t="e">
        <f t="shared" si="197"/>
        <v>#VALUE!</v>
      </c>
      <c r="V844" s="41" t="e">
        <f t="shared" si="198"/>
        <v>#VALUE!</v>
      </c>
    </row>
    <row r="845" spans="2:22" x14ac:dyDescent="0.25">
      <c r="B845" s="41" t="b">
        <f t="shared" si="185"/>
        <v>0</v>
      </c>
      <c r="C845" s="41" t="e">
        <f t="shared" si="187"/>
        <v>#VALUE!</v>
      </c>
      <c r="E845" s="45">
        <v>841</v>
      </c>
      <c r="G845" s="138"/>
      <c r="H845" s="135">
        <v>1</v>
      </c>
      <c r="I845" s="46" t="e">
        <f t="shared" si="188"/>
        <v>#VALUE!</v>
      </c>
      <c r="J845" s="41" t="e">
        <f t="shared" si="194"/>
        <v>#VALUE!</v>
      </c>
      <c r="K845" s="41" t="e">
        <f t="shared" si="186"/>
        <v>#VALUE!</v>
      </c>
      <c r="L845" s="41" t="e">
        <f t="shared" si="186"/>
        <v>#VALUE!</v>
      </c>
      <c r="M845" s="41" t="e">
        <f t="shared" si="189"/>
        <v>#VALUE!</v>
      </c>
      <c r="N845" s="41" t="e">
        <f t="shared" si="190"/>
        <v>#VALUE!</v>
      </c>
      <c r="O845" s="41">
        <f t="shared" si="191"/>
        <v>0</v>
      </c>
      <c r="Q845" s="44" t="e">
        <f t="shared" si="192"/>
        <v>#VALUE!</v>
      </c>
      <c r="R845" s="44" t="e">
        <f t="shared" si="195"/>
        <v>#VALUE!</v>
      </c>
      <c r="S845" s="44" t="e">
        <f t="shared" si="193"/>
        <v>#VALUE!</v>
      </c>
      <c r="T845" s="41" t="e">
        <f t="shared" si="196"/>
        <v>#VALUE!</v>
      </c>
      <c r="U845" s="41" t="e">
        <f t="shared" si="197"/>
        <v>#VALUE!</v>
      </c>
      <c r="V845" s="41" t="e">
        <f t="shared" si="198"/>
        <v>#VALUE!</v>
      </c>
    </row>
    <row r="846" spans="2:22" x14ac:dyDescent="0.25">
      <c r="B846" s="41" t="b">
        <f t="shared" ref="B846:B909" si="199">ISNUMBER(C846)</f>
        <v>0</v>
      </c>
      <c r="C846" s="41" t="e">
        <f t="shared" si="187"/>
        <v>#VALUE!</v>
      </c>
      <c r="E846" s="45">
        <v>842</v>
      </c>
      <c r="G846" s="138"/>
      <c r="H846" s="135">
        <v>1</v>
      </c>
      <c r="I846" s="46" t="e">
        <f t="shared" si="188"/>
        <v>#VALUE!</v>
      </c>
      <c r="J846" s="41" t="e">
        <f t="shared" si="194"/>
        <v>#VALUE!</v>
      </c>
      <c r="K846" s="41" t="e">
        <f t="shared" si="186"/>
        <v>#VALUE!</v>
      </c>
      <c r="L846" s="41" t="e">
        <f t="shared" si="186"/>
        <v>#VALUE!</v>
      </c>
      <c r="M846" s="41" t="e">
        <f t="shared" si="189"/>
        <v>#VALUE!</v>
      </c>
      <c r="N846" s="41" t="e">
        <f t="shared" si="190"/>
        <v>#VALUE!</v>
      </c>
      <c r="O846" s="41">
        <f t="shared" si="191"/>
        <v>0</v>
      </c>
      <c r="Q846" s="44" t="e">
        <f t="shared" si="192"/>
        <v>#VALUE!</v>
      </c>
      <c r="R846" s="44" t="e">
        <f t="shared" si="195"/>
        <v>#VALUE!</v>
      </c>
      <c r="S846" s="44" t="e">
        <f t="shared" si="193"/>
        <v>#VALUE!</v>
      </c>
      <c r="T846" s="41" t="e">
        <f t="shared" si="196"/>
        <v>#VALUE!</v>
      </c>
      <c r="U846" s="41" t="e">
        <f t="shared" si="197"/>
        <v>#VALUE!</v>
      </c>
      <c r="V846" s="41" t="e">
        <f t="shared" si="198"/>
        <v>#VALUE!</v>
      </c>
    </row>
    <row r="847" spans="2:22" x14ac:dyDescent="0.25">
      <c r="B847" s="41" t="b">
        <f t="shared" si="199"/>
        <v>0</v>
      </c>
      <c r="C847" s="41" t="e">
        <f t="shared" si="187"/>
        <v>#VALUE!</v>
      </c>
      <c r="E847" s="45">
        <v>843</v>
      </c>
      <c r="G847" s="138"/>
      <c r="H847" s="135">
        <v>1</v>
      </c>
      <c r="I847" s="46" t="e">
        <f t="shared" si="188"/>
        <v>#VALUE!</v>
      </c>
      <c r="J847" s="41" t="e">
        <f t="shared" si="194"/>
        <v>#VALUE!</v>
      </c>
      <c r="K847" s="41" t="e">
        <f t="shared" si="186"/>
        <v>#VALUE!</v>
      </c>
      <c r="L847" s="41" t="e">
        <f t="shared" si="186"/>
        <v>#VALUE!</v>
      </c>
      <c r="M847" s="41" t="e">
        <f t="shared" si="189"/>
        <v>#VALUE!</v>
      </c>
      <c r="N847" s="41" t="e">
        <f t="shared" si="190"/>
        <v>#VALUE!</v>
      </c>
      <c r="O847" s="41">
        <f t="shared" si="191"/>
        <v>0</v>
      </c>
      <c r="Q847" s="44" t="e">
        <f t="shared" si="192"/>
        <v>#VALUE!</v>
      </c>
      <c r="R847" s="44" t="e">
        <f t="shared" si="195"/>
        <v>#VALUE!</v>
      </c>
      <c r="S847" s="44" t="e">
        <f t="shared" si="193"/>
        <v>#VALUE!</v>
      </c>
      <c r="T847" s="41" t="e">
        <f t="shared" si="196"/>
        <v>#VALUE!</v>
      </c>
      <c r="U847" s="41" t="e">
        <f t="shared" si="197"/>
        <v>#VALUE!</v>
      </c>
      <c r="V847" s="41" t="e">
        <f t="shared" si="198"/>
        <v>#VALUE!</v>
      </c>
    </row>
    <row r="848" spans="2:22" x14ac:dyDescent="0.25">
      <c r="B848" s="41" t="b">
        <f t="shared" si="199"/>
        <v>0</v>
      </c>
      <c r="C848" s="41" t="e">
        <f t="shared" si="187"/>
        <v>#VALUE!</v>
      </c>
      <c r="E848" s="45">
        <v>844</v>
      </c>
      <c r="G848" s="138"/>
      <c r="H848" s="135">
        <v>1</v>
      </c>
      <c r="I848" s="46" t="e">
        <f t="shared" si="188"/>
        <v>#VALUE!</v>
      </c>
      <c r="J848" s="41" t="e">
        <f t="shared" si="194"/>
        <v>#VALUE!</v>
      </c>
      <c r="K848" s="41" t="e">
        <f t="shared" si="186"/>
        <v>#VALUE!</v>
      </c>
      <c r="L848" s="41" t="e">
        <f t="shared" si="186"/>
        <v>#VALUE!</v>
      </c>
      <c r="M848" s="41" t="e">
        <f t="shared" si="189"/>
        <v>#VALUE!</v>
      </c>
      <c r="N848" s="41" t="e">
        <f t="shared" si="190"/>
        <v>#VALUE!</v>
      </c>
      <c r="O848" s="41">
        <f t="shared" si="191"/>
        <v>0</v>
      </c>
      <c r="Q848" s="44" t="e">
        <f t="shared" si="192"/>
        <v>#VALUE!</v>
      </c>
      <c r="R848" s="44" t="e">
        <f t="shared" si="195"/>
        <v>#VALUE!</v>
      </c>
      <c r="S848" s="44" t="e">
        <f t="shared" si="193"/>
        <v>#VALUE!</v>
      </c>
      <c r="T848" s="41" t="e">
        <f t="shared" si="196"/>
        <v>#VALUE!</v>
      </c>
      <c r="U848" s="41" t="e">
        <f t="shared" si="197"/>
        <v>#VALUE!</v>
      </c>
      <c r="V848" s="41" t="e">
        <f t="shared" si="198"/>
        <v>#VALUE!</v>
      </c>
    </row>
    <row r="849" spans="2:22" x14ac:dyDescent="0.25">
      <c r="B849" s="41" t="b">
        <f t="shared" si="199"/>
        <v>0</v>
      </c>
      <c r="C849" s="41" t="e">
        <f t="shared" si="187"/>
        <v>#VALUE!</v>
      </c>
      <c r="E849" s="45">
        <v>845</v>
      </c>
      <c r="G849" s="138"/>
      <c r="H849" s="135">
        <v>1</v>
      </c>
      <c r="I849" s="46" t="e">
        <f t="shared" si="188"/>
        <v>#VALUE!</v>
      </c>
      <c r="J849" s="41" t="e">
        <f t="shared" si="194"/>
        <v>#VALUE!</v>
      </c>
      <c r="K849" s="41" t="e">
        <f t="shared" si="186"/>
        <v>#VALUE!</v>
      </c>
      <c r="L849" s="41" t="e">
        <f t="shared" si="186"/>
        <v>#VALUE!</v>
      </c>
      <c r="M849" s="41" t="e">
        <f t="shared" si="189"/>
        <v>#VALUE!</v>
      </c>
      <c r="N849" s="41" t="e">
        <f t="shared" si="190"/>
        <v>#VALUE!</v>
      </c>
      <c r="O849" s="41">
        <f t="shared" si="191"/>
        <v>0</v>
      </c>
      <c r="Q849" s="44" t="e">
        <f t="shared" si="192"/>
        <v>#VALUE!</v>
      </c>
      <c r="R849" s="44" t="e">
        <f t="shared" si="195"/>
        <v>#VALUE!</v>
      </c>
      <c r="S849" s="44" t="e">
        <f t="shared" si="193"/>
        <v>#VALUE!</v>
      </c>
      <c r="T849" s="41" t="e">
        <f t="shared" si="196"/>
        <v>#VALUE!</v>
      </c>
      <c r="U849" s="41" t="e">
        <f t="shared" si="197"/>
        <v>#VALUE!</v>
      </c>
      <c r="V849" s="41" t="e">
        <f t="shared" si="198"/>
        <v>#VALUE!</v>
      </c>
    </row>
    <row r="850" spans="2:22" x14ac:dyDescent="0.25">
      <c r="B850" s="41" t="b">
        <f t="shared" si="199"/>
        <v>0</v>
      </c>
      <c r="C850" s="41" t="e">
        <f t="shared" si="187"/>
        <v>#VALUE!</v>
      </c>
      <c r="E850" s="45">
        <v>846</v>
      </c>
      <c r="G850" s="138"/>
      <c r="H850" s="135">
        <v>1</v>
      </c>
      <c r="I850" s="46" t="e">
        <f t="shared" si="188"/>
        <v>#VALUE!</v>
      </c>
      <c r="J850" s="41" t="e">
        <f t="shared" si="194"/>
        <v>#VALUE!</v>
      </c>
      <c r="K850" s="41" t="e">
        <f t="shared" si="186"/>
        <v>#VALUE!</v>
      </c>
      <c r="L850" s="41" t="e">
        <f t="shared" si="186"/>
        <v>#VALUE!</v>
      </c>
      <c r="M850" s="41" t="e">
        <f t="shared" si="189"/>
        <v>#VALUE!</v>
      </c>
      <c r="N850" s="41" t="e">
        <f t="shared" si="190"/>
        <v>#VALUE!</v>
      </c>
      <c r="O850" s="41">
        <f t="shared" si="191"/>
        <v>0</v>
      </c>
      <c r="Q850" s="44" t="e">
        <f t="shared" si="192"/>
        <v>#VALUE!</v>
      </c>
      <c r="R850" s="44" t="e">
        <f t="shared" si="195"/>
        <v>#VALUE!</v>
      </c>
      <c r="S850" s="44" t="e">
        <f t="shared" si="193"/>
        <v>#VALUE!</v>
      </c>
      <c r="T850" s="41" t="e">
        <f t="shared" si="196"/>
        <v>#VALUE!</v>
      </c>
      <c r="U850" s="41" t="e">
        <f t="shared" si="197"/>
        <v>#VALUE!</v>
      </c>
      <c r="V850" s="41" t="e">
        <f t="shared" si="198"/>
        <v>#VALUE!</v>
      </c>
    </row>
    <row r="851" spans="2:22" x14ac:dyDescent="0.25">
      <c r="B851" s="41" t="b">
        <f t="shared" si="199"/>
        <v>0</v>
      </c>
      <c r="C851" s="41" t="e">
        <f t="shared" si="187"/>
        <v>#VALUE!</v>
      </c>
      <c r="E851" s="45">
        <v>847</v>
      </c>
      <c r="G851" s="138"/>
      <c r="H851" s="135">
        <v>1</v>
      </c>
      <c r="I851" s="46" t="e">
        <f t="shared" si="188"/>
        <v>#VALUE!</v>
      </c>
      <c r="J851" s="41" t="e">
        <f t="shared" si="194"/>
        <v>#VALUE!</v>
      </c>
      <c r="K851" s="41" t="e">
        <f t="shared" si="186"/>
        <v>#VALUE!</v>
      </c>
      <c r="L851" s="41" t="e">
        <f t="shared" si="186"/>
        <v>#VALUE!</v>
      </c>
      <c r="M851" s="41" t="e">
        <f t="shared" si="189"/>
        <v>#VALUE!</v>
      </c>
      <c r="N851" s="41" t="e">
        <f t="shared" si="190"/>
        <v>#VALUE!</v>
      </c>
      <c r="O851" s="41">
        <f t="shared" si="191"/>
        <v>0</v>
      </c>
      <c r="Q851" s="44" t="e">
        <f t="shared" si="192"/>
        <v>#VALUE!</v>
      </c>
      <c r="R851" s="44" t="e">
        <f t="shared" si="195"/>
        <v>#VALUE!</v>
      </c>
      <c r="S851" s="44" t="e">
        <f t="shared" si="193"/>
        <v>#VALUE!</v>
      </c>
      <c r="T851" s="41" t="e">
        <f t="shared" si="196"/>
        <v>#VALUE!</v>
      </c>
      <c r="U851" s="41" t="e">
        <f t="shared" si="197"/>
        <v>#VALUE!</v>
      </c>
      <c r="V851" s="41" t="e">
        <f t="shared" si="198"/>
        <v>#VALUE!</v>
      </c>
    </row>
    <row r="852" spans="2:22" x14ac:dyDescent="0.25">
      <c r="B852" s="41" t="b">
        <f t="shared" si="199"/>
        <v>0</v>
      </c>
      <c r="C852" s="41" t="e">
        <f t="shared" si="187"/>
        <v>#VALUE!</v>
      </c>
      <c r="E852" s="45">
        <v>848</v>
      </c>
      <c r="G852" s="138"/>
      <c r="H852" s="135">
        <v>1</v>
      </c>
      <c r="I852" s="46" t="e">
        <f t="shared" si="188"/>
        <v>#VALUE!</v>
      </c>
      <c r="J852" s="41" t="e">
        <f t="shared" si="194"/>
        <v>#VALUE!</v>
      </c>
      <c r="K852" s="41" t="e">
        <f t="shared" si="186"/>
        <v>#VALUE!</v>
      </c>
      <c r="L852" s="41" t="e">
        <f t="shared" si="186"/>
        <v>#VALUE!</v>
      </c>
      <c r="M852" s="41" t="e">
        <f t="shared" si="189"/>
        <v>#VALUE!</v>
      </c>
      <c r="N852" s="41" t="e">
        <f t="shared" si="190"/>
        <v>#VALUE!</v>
      </c>
      <c r="O852" s="41">
        <f t="shared" si="191"/>
        <v>0</v>
      </c>
      <c r="Q852" s="44" t="e">
        <f t="shared" si="192"/>
        <v>#VALUE!</v>
      </c>
      <c r="R852" s="44" t="e">
        <f t="shared" si="195"/>
        <v>#VALUE!</v>
      </c>
      <c r="S852" s="44" t="e">
        <f t="shared" si="193"/>
        <v>#VALUE!</v>
      </c>
      <c r="T852" s="41" t="e">
        <f t="shared" si="196"/>
        <v>#VALUE!</v>
      </c>
      <c r="U852" s="41" t="e">
        <f t="shared" si="197"/>
        <v>#VALUE!</v>
      </c>
      <c r="V852" s="41" t="e">
        <f t="shared" si="198"/>
        <v>#VALUE!</v>
      </c>
    </row>
    <row r="853" spans="2:22" x14ac:dyDescent="0.25">
      <c r="B853" s="41" t="b">
        <f t="shared" si="199"/>
        <v>0</v>
      </c>
      <c r="C853" s="41" t="e">
        <f t="shared" si="187"/>
        <v>#VALUE!</v>
      </c>
      <c r="E853" s="45">
        <v>849</v>
      </c>
      <c r="G853" s="138"/>
      <c r="H853" s="135">
        <v>1</v>
      </c>
      <c r="I853" s="46" t="e">
        <f t="shared" si="188"/>
        <v>#VALUE!</v>
      </c>
      <c r="J853" s="41" t="e">
        <f t="shared" si="194"/>
        <v>#VALUE!</v>
      </c>
      <c r="K853" s="41" t="e">
        <f t="shared" si="186"/>
        <v>#VALUE!</v>
      </c>
      <c r="L853" s="41" t="e">
        <f t="shared" si="186"/>
        <v>#VALUE!</v>
      </c>
      <c r="M853" s="41" t="e">
        <f t="shared" si="189"/>
        <v>#VALUE!</v>
      </c>
      <c r="N853" s="41" t="e">
        <f t="shared" si="190"/>
        <v>#VALUE!</v>
      </c>
      <c r="O853" s="41">
        <f t="shared" si="191"/>
        <v>0</v>
      </c>
      <c r="Q853" s="44" t="e">
        <f t="shared" si="192"/>
        <v>#VALUE!</v>
      </c>
      <c r="R853" s="44" t="e">
        <f t="shared" si="195"/>
        <v>#VALUE!</v>
      </c>
      <c r="S853" s="44" t="e">
        <f t="shared" si="193"/>
        <v>#VALUE!</v>
      </c>
      <c r="T853" s="41" t="e">
        <f t="shared" si="196"/>
        <v>#VALUE!</v>
      </c>
      <c r="U853" s="41" t="e">
        <f t="shared" si="197"/>
        <v>#VALUE!</v>
      </c>
      <c r="V853" s="41" t="e">
        <f t="shared" si="198"/>
        <v>#VALUE!</v>
      </c>
    </row>
    <row r="854" spans="2:22" x14ac:dyDescent="0.25">
      <c r="B854" s="41" t="b">
        <f t="shared" si="199"/>
        <v>0</v>
      </c>
      <c r="C854" s="41" t="e">
        <f t="shared" si="187"/>
        <v>#VALUE!</v>
      </c>
      <c r="E854" s="45">
        <v>850</v>
      </c>
      <c r="G854" s="138"/>
      <c r="H854" s="135">
        <v>1</v>
      </c>
      <c r="I854" s="46" t="e">
        <f t="shared" si="188"/>
        <v>#VALUE!</v>
      </c>
      <c r="J854" s="41" t="e">
        <f t="shared" si="194"/>
        <v>#VALUE!</v>
      </c>
      <c r="K854" s="41" t="e">
        <f t="shared" si="186"/>
        <v>#VALUE!</v>
      </c>
      <c r="L854" s="41" t="e">
        <f t="shared" si="186"/>
        <v>#VALUE!</v>
      </c>
      <c r="M854" s="41" t="e">
        <f t="shared" si="189"/>
        <v>#VALUE!</v>
      </c>
      <c r="N854" s="41" t="e">
        <f t="shared" si="190"/>
        <v>#VALUE!</v>
      </c>
      <c r="O854" s="41">
        <f t="shared" si="191"/>
        <v>0</v>
      </c>
      <c r="Q854" s="44" t="e">
        <f t="shared" si="192"/>
        <v>#VALUE!</v>
      </c>
      <c r="R854" s="44" t="e">
        <f t="shared" si="195"/>
        <v>#VALUE!</v>
      </c>
      <c r="S854" s="44" t="e">
        <f t="shared" si="193"/>
        <v>#VALUE!</v>
      </c>
      <c r="T854" s="41" t="e">
        <f t="shared" si="196"/>
        <v>#VALUE!</v>
      </c>
      <c r="U854" s="41" t="e">
        <f t="shared" si="197"/>
        <v>#VALUE!</v>
      </c>
      <c r="V854" s="41" t="e">
        <f t="shared" si="198"/>
        <v>#VALUE!</v>
      </c>
    </row>
    <row r="855" spans="2:22" x14ac:dyDescent="0.25">
      <c r="B855" s="41" t="b">
        <f t="shared" si="199"/>
        <v>0</v>
      </c>
      <c r="C855" s="41" t="e">
        <f t="shared" si="187"/>
        <v>#VALUE!</v>
      </c>
      <c r="E855" s="45">
        <v>851</v>
      </c>
      <c r="G855" s="138"/>
      <c r="H855" s="135">
        <v>1</v>
      </c>
      <c r="I855" s="46" t="e">
        <f t="shared" si="188"/>
        <v>#VALUE!</v>
      </c>
      <c r="J855" s="41" t="e">
        <f t="shared" si="194"/>
        <v>#VALUE!</v>
      </c>
      <c r="K855" s="41" t="e">
        <f t="shared" si="186"/>
        <v>#VALUE!</v>
      </c>
      <c r="L855" s="41" t="e">
        <f t="shared" si="186"/>
        <v>#VALUE!</v>
      </c>
      <c r="M855" s="41" t="e">
        <f t="shared" si="189"/>
        <v>#VALUE!</v>
      </c>
      <c r="N855" s="41" t="e">
        <f t="shared" si="190"/>
        <v>#VALUE!</v>
      </c>
      <c r="O855" s="41">
        <f t="shared" si="191"/>
        <v>0</v>
      </c>
      <c r="Q855" s="44" t="e">
        <f t="shared" si="192"/>
        <v>#VALUE!</v>
      </c>
      <c r="R855" s="44" t="e">
        <f t="shared" si="195"/>
        <v>#VALUE!</v>
      </c>
      <c r="S855" s="44" t="e">
        <f t="shared" si="193"/>
        <v>#VALUE!</v>
      </c>
      <c r="T855" s="41" t="e">
        <f t="shared" si="196"/>
        <v>#VALUE!</v>
      </c>
      <c r="U855" s="41" t="e">
        <f t="shared" si="197"/>
        <v>#VALUE!</v>
      </c>
      <c r="V855" s="41" t="e">
        <f t="shared" si="198"/>
        <v>#VALUE!</v>
      </c>
    </row>
    <row r="856" spans="2:22" x14ac:dyDescent="0.25">
      <c r="B856" s="41" t="b">
        <f t="shared" si="199"/>
        <v>0</v>
      </c>
      <c r="C856" s="41" t="e">
        <f t="shared" si="187"/>
        <v>#VALUE!</v>
      </c>
      <c r="E856" s="45">
        <v>852</v>
      </c>
      <c r="G856" s="138"/>
      <c r="H856" s="135">
        <v>1</v>
      </c>
      <c r="I856" s="46" t="e">
        <f t="shared" si="188"/>
        <v>#VALUE!</v>
      </c>
      <c r="J856" s="41" t="e">
        <f t="shared" si="194"/>
        <v>#VALUE!</v>
      </c>
      <c r="K856" s="41" t="e">
        <f t="shared" si="186"/>
        <v>#VALUE!</v>
      </c>
      <c r="L856" s="41" t="e">
        <f t="shared" si="186"/>
        <v>#VALUE!</v>
      </c>
      <c r="M856" s="41" t="e">
        <f t="shared" si="189"/>
        <v>#VALUE!</v>
      </c>
      <c r="N856" s="41" t="e">
        <f t="shared" si="190"/>
        <v>#VALUE!</v>
      </c>
      <c r="O856" s="41">
        <f t="shared" si="191"/>
        <v>0</v>
      </c>
      <c r="Q856" s="44" t="e">
        <f t="shared" si="192"/>
        <v>#VALUE!</v>
      </c>
      <c r="R856" s="44" t="e">
        <f t="shared" si="195"/>
        <v>#VALUE!</v>
      </c>
      <c r="S856" s="44" t="e">
        <f t="shared" si="193"/>
        <v>#VALUE!</v>
      </c>
      <c r="T856" s="41" t="e">
        <f t="shared" si="196"/>
        <v>#VALUE!</v>
      </c>
      <c r="U856" s="41" t="e">
        <f t="shared" si="197"/>
        <v>#VALUE!</v>
      </c>
      <c r="V856" s="41" t="e">
        <f t="shared" si="198"/>
        <v>#VALUE!</v>
      </c>
    </row>
    <row r="857" spans="2:22" x14ac:dyDescent="0.25">
      <c r="B857" s="41" t="b">
        <f t="shared" si="199"/>
        <v>0</v>
      </c>
      <c r="C857" s="41" t="e">
        <f t="shared" si="187"/>
        <v>#VALUE!</v>
      </c>
      <c r="E857" s="45">
        <v>853</v>
      </c>
      <c r="G857" s="138"/>
      <c r="H857" s="135">
        <v>1</v>
      </c>
      <c r="I857" s="46" t="e">
        <f t="shared" si="188"/>
        <v>#VALUE!</v>
      </c>
      <c r="J857" s="41" t="e">
        <f t="shared" si="194"/>
        <v>#VALUE!</v>
      </c>
      <c r="K857" s="41" t="e">
        <f t="shared" si="186"/>
        <v>#VALUE!</v>
      </c>
      <c r="L857" s="41" t="e">
        <f t="shared" si="186"/>
        <v>#VALUE!</v>
      </c>
      <c r="M857" s="41" t="e">
        <f t="shared" si="189"/>
        <v>#VALUE!</v>
      </c>
      <c r="N857" s="41" t="e">
        <f t="shared" si="190"/>
        <v>#VALUE!</v>
      </c>
      <c r="O857" s="41">
        <f t="shared" si="191"/>
        <v>0</v>
      </c>
      <c r="Q857" s="44" t="e">
        <f t="shared" si="192"/>
        <v>#VALUE!</v>
      </c>
      <c r="R857" s="44" t="e">
        <f t="shared" si="195"/>
        <v>#VALUE!</v>
      </c>
      <c r="S857" s="44" t="e">
        <f t="shared" si="193"/>
        <v>#VALUE!</v>
      </c>
      <c r="T857" s="41" t="e">
        <f t="shared" si="196"/>
        <v>#VALUE!</v>
      </c>
      <c r="U857" s="41" t="e">
        <f t="shared" si="197"/>
        <v>#VALUE!</v>
      </c>
      <c r="V857" s="41" t="e">
        <f t="shared" si="198"/>
        <v>#VALUE!</v>
      </c>
    </row>
    <row r="858" spans="2:22" x14ac:dyDescent="0.25">
      <c r="B858" s="41" t="b">
        <f t="shared" si="199"/>
        <v>0</v>
      </c>
      <c r="C858" s="41" t="e">
        <f t="shared" si="187"/>
        <v>#VALUE!</v>
      </c>
      <c r="E858" s="45">
        <v>854</v>
      </c>
      <c r="G858" s="138"/>
      <c r="H858" s="135">
        <v>1</v>
      </c>
      <c r="I858" s="46" t="e">
        <f t="shared" si="188"/>
        <v>#VALUE!</v>
      </c>
      <c r="J858" s="41" t="e">
        <f t="shared" si="194"/>
        <v>#VALUE!</v>
      </c>
      <c r="K858" s="41" t="e">
        <f t="shared" si="186"/>
        <v>#VALUE!</v>
      </c>
      <c r="L858" s="41" t="e">
        <f t="shared" si="186"/>
        <v>#VALUE!</v>
      </c>
      <c r="M858" s="41" t="e">
        <f t="shared" si="189"/>
        <v>#VALUE!</v>
      </c>
      <c r="N858" s="41" t="e">
        <f t="shared" si="190"/>
        <v>#VALUE!</v>
      </c>
      <c r="O858" s="41">
        <f t="shared" si="191"/>
        <v>0</v>
      </c>
      <c r="Q858" s="44" t="e">
        <f t="shared" si="192"/>
        <v>#VALUE!</v>
      </c>
      <c r="R858" s="44" t="e">
        <f t="shared" si="195"/>
        <v>#VALUE!</v>
      </c>
      <c r="S858" s="44" t="e">
        <f t="shared" si="193"/>
        <v>#VALUE!</v>
      </c>
      <c r="T858" s="41" t="e">
        <f t="shared" si="196"/>
        <v>#VALUE!</v>
      </c>
      <c r="U858" s="41" t="e">
        <f t="shared" si="197"/>
        <v>#VALUE!</v>
      </c>
      <c r="V858" s="41" t="e">
        <f t="shared" si="198"/>
        <v>#VALUE!</v>
      </c>
    </row>
    <row r="859" spans="2:22" x14ac:dyDescent="0.25">
      <c r="B859" s="41" t="b">
        <f t="shared" si="199"/>
        <v>0</v>
      </c>
      <c r="C859" s="41" t="e">
        <f t="shared" si="187"/>
        <v>#VALUE!</v>
      </c>
      <c r="E859" s="45">
        <v>855</v>
      </c>
      <c r="G859" s="138"/>
      <c r="H859" s="135">
        <v>1</v>
      </c>
      <c r="I859" s="46" t="e">
        <f t="shared" si="188"/>
        <v>#VALUE!</v>
      </c>
      <c r="J859" s="41" t="e">
        <f t="shared" si="194"/>
        <v>#VALUE!</v>
      </c>
      <c r="K859" s="41" t="e">
        <f t="shared" si="186"/>
        <v>#VALUE!</v>
      </c>
      <c r="L859" s="41" t="e">
        <f t="shared" si="186"/>
        <v>#VALUE!</v>
      </c>
      <c r="M859" s="41" t="e">
        <f t="shared" si="189"/>
        <v>#VALUE!</v>
      </c>
      <c r="N859" s="41" t="e">
        <f t="shared" si="190"/>
        <v>#VALUE!</v>
      </c>
      <c r="O859" s="41">
        <f t="shared" si="191"/>
        <v>0</v>
      </c>
      <c r="Q859" s="44" t="e">
        <f t="shared" si="192"/>
        <v>#VALUE!</v>
      </c>
      <c r="R859" s="44" t="e">
        <f t="shared" si="195"/>
        <v>#VALUE!</v>
      </c>
      <c r="S859" s="44" t="e">
        <f t="shared" si="193"/>
        <v>#VALUE!</v>
      </c>
      <c r="T859" s="41" t="e">
        <f t="shared" si="196"/>
        <v>#VALUE!</v>
      </c>
      <c r="U859" s="41" t="e">
        <f t="shared" si="197"/>
        <v>#VALUE!</v>
      </c>
      <c r="V859" s="41" t="e">
        <f t="shared" si="198"/>
        <v>#VALUE!</v>
      </c>
    </row>
    <row r="860" spans="2:22" x14ac:dyDescent="0.25">
      <c r="B860" s="41" t="b">
        <f t="shared" si="199"/>
        <v>0</v>
      </c>
      <c r="C860" s="41" t="e">
        <f t="shared" si="187"/>
        <v>#VALUE!</v>
      </c>
      <c r="E860" s="45">
        <v>856</v>
      </c>
      <c r="G860" s="138"/>
      <c r="H860" s="135">
        <v>1</v>
      </c>
      <c r="I860" s="46" t="e">
        <f t="shared" si="188"/>
        <v>#VALUE!</v>
      </c>
      <c r="J860" s="41" t="e">
        <f t="shared" si="194"/>
        <v>#VALUE!</v>
      </c>
      <c r="K860" s="41" t="e">
        <f t="shared" si="186"/>
        <v>#VALUE!</v>
      </c>
      <c r="L860" s="41" t="e">
        <f t="shared" si="186"/>
        <v>#VALUE!</v>
      </c>
      <c r="M860" s="41" t="e">
        <f t="shared" si="189"/>
        <v>#VALUE!</v>
      </c>
      <c r="N860" s="41" t="e">
        <f t="shared" si="190"/>
        <v>#VALUE!</v>
      </c>
      <c r="O860" s="41">
        <f t="shared" si="191"/>
        <v>0</v>
      </c>
      <c r="Q860" s="44" t="e">
        <f t="shared" si="192"/>
        <v>#VALUE!</v>
      </c>
      <c r="R860" s="44" t="e">
        <f t="shared" si="195"/>
        <v>#VALUE!</v>
      </c>
      <c r="S860" s="44" t="e">
        <f t="shared" si="193"/>
        <v>#VALUE!</v>
      </c>
      <c r="T860" s="41" t="e">
        <f t="shared" si="196"/>
        <v>#VALUE!</v>
      </c>
      <c r="U860" s="41" t="e">
        <f t="shared" si="197"/>
        <v>#VALUE!</v>
      </c>
      <c r="V860" s="41" t="e">
        <f t="shared" si="198"/>
        <v>#VALUE!</v>
      </c>
    </row>
    <row r="861" spans="2:22" x14ac:dyDescent="0.25">
      <c r="B861" s="41" t="b">
        <f t="shared" si="199"/>
        <v>0</v>
      </c>
      <c r="C861" s="41" t="e">
        <f t="shared" si="187"/>
        <v>#VALUE!</v>
      </c>
      <c r="E861" s="45">
        <v>857</v>
      </c>
      <c r="G861" s="138"/>
      <c r="H861" s="135">
        <v>1</v>
      </c>
      <c r="I861" s="46" t="e">
        <f t="shared" si="188"/>
        <v>#VALUE!</v>
      </c>
      <c r="J861" s="41" t="e">
        <f t="shared" si="194"/>
        <v>#VALUE!</v>
      </c>
      <c r="K861" s="41" t="e">
        <f t="shared" si="186"/>
        <v>#VALUE!</v>
      </c>
      <c r="L861" s="41" t="e">
        <f t="shared" si="186"/>
        <v>#VALUE!</v>
      </c>
      <c r="M861" s="41" t="e">
        <f t="shared" si="189"/>
        <v>#VALUE!</v>
      </c>
      <c r="N861" s="41" t="e">
        <f t="shared" si="190"/>
        <v>#VALUE!</v>
      </c>
      <c r="O861" s="41">
        <f t="shared" si="191"/>
        <v>0</v>
      </c>
      <c r="Q861" s="44" t="e">
        <f t="shared" si="192"/>
        <v>#VALUE!</v>
      </c>
      <c r="R861" s="44" t="e">
        <f t="shared" si="195"/>
        <v>#VALUE!</v>
      </c>
      <c r="S861" s="44" t="e">
        <f t="shared" si="193"/>
        <v>#VALUE!</v>
      </c>
      <c r="T861" s="41" t="e">
        <f t="shared" si="196"/>
        <v>#VALUE!</v>
      </c>
      <c r="U861" s="41" t="e">
        <f t="shared" si="197"/>
        <v>#VALUE!</v>
      </c>
      <c r="V861" s="41" t="e">
        <f t="shared" si="198"/>
        <v>#VALUE!</v>
      </c>
    </row>
    <row r="862" spans="2:22" x14ac:dyDescent="0.25">
      <c r="B862" s="41" t="b">
        <f t="shared" si="199"/>
        <v>0</v>
      </c>
      <c r="C862" s="41" t="e">
        <f t="shared" si="187"/>
        <v>#VALUE!</v>
      </c>
      <c r="E862" s="45">
        <v>858</v>
      </c>
      <c r="G862" s="138"/>
      <c r="H862" s="135">
        <v>1</v>
      </c>
      <c r="I862" s="46" t="e">
        <f t="shared" si="188"/>
        <v>#VALUE!</v>
      </c>
      <c r="J862" s="41" t="e">
        <f t="shared" si="194"/>
        <v>#VALUE!</v>
      </c>
      <c r="K862" s="41" t="e">
        <f t="shared" si="186"/>
        <v>#VALUE!</v>
      </c>
      <c r="L862" s="41" t="e">
        <f t="shared" si="186"/>
        <v>#VALUE!</v>
      </c>
      <c r="M862" s="41" t="e">
        <f t="shared" si="189"/>
        <v>#VALUE!</v>
      </c>
      <c r="N862" s="41" t="e">
        <f t="shared" si="190"/>
        <v>#VALUE!</v>
      </c>
      <c r="O862" s="41">
        <f t="shared" si="191"/>
        <v>0</v>
      </c>
      <c r="Q862" s="44" t="e">
        <f t="shared" si="192"/>
        <v>#VALUE!</v>
      </c>
      <c r="R862" s="44" t="e">
        <f t="shared" si="195"/>
        <v>#VALUE!</v>
      </c>
      <c r="S862" s="44" t="e">
        <f t="shared" si="193"/>
        <v>#VALUE!</v>
      </c>
      <c r="T862" s="41" t="e">
        <f t="shared" si="196"/>
        <v>#VALUE!</v>
      </c>
      <c r="U862" s="41" t="e">
        <f t="shared" si="197"/>
        <v>#VALUE!</v>
      </c>
      <c r="V862" s="41" t="e">
        <f t="shared" si="198"/>
        <v>#VALUE!</v>
      </c>
    </row>
    <row r="863" spans="2:22" x14ac:dyDescent="0.25">
      <c r="B863" s="41" t="b">
        <f t="shared" si="199"/>
        <v>0</v>
      </c>
      <c r="C863" s="41" t="e">
        <f t="shared" si="187"/>
        <v>#VALUE!</v>
      </c>
      <c r="E863" s="45">
        <v>859</v>
      </c>
      <c r="G863" s="138"/>
      <c r="H863" s="135">
        <v>1</v>
      </c>
      <c r="I863" s="46" t="e">
        <f t="shared" si="188"/>
        <v>#VALUE!</v>
      </c>
      <c r="J863" s="41" t="e">
        <f t="shared" si="194"/>
        <v>#VALUE!</v>
      </c>
      <c r="K863" s="41" t="e">
        <f t="shared" si="186"/>
        <v>#VALUE!</v>
      </c>
      <c r="L863" s="41" t="e">
        <f t="shared" si="186"/>
        <v>#VALUE!</v>
      </c>
      <c r="M863" s="41" t="e">
        <f t="shared" si="189"/>
        <v>#VALUE!</v>
      </c>
      <c r="N863" s="41" t="e">
        <f t="shared" si="190"/>
        <v>#VALUE!</v>
      </c>
      <c r="O863" s="41">
        <f t="shared" si="191"/>
        <v>0</v>
      </c>
      <c r="Q863" s="44" t="e">
        <f t="shared" si="192"/>
        <v>#VALUE!</v>
      </c>
      <c r="R863" s="44" t="e">
        <f t="shared" si="195"/>
        <v>#VALUE!</v>
      </c>
      <c r="S863" s="44" t="e">
        <f t="shared" si="193"/>
        <v>#VALUE!</v>
      </c>
      <c r="T863" s="41" t="e">
        <f t="shared" si="196"/>
        <v>#VALUE!</v>
      </c>
      <c r="U863" s="41" t="e">
        <f t="shared" si="197"/>
        <v>#VALUE!</v>
      </c>
      <c r="V863" s="41" t="e">
        <f t="shared" si="198"/>
        <v>#VALUE!</v>
      </c>
    </row>
    <row r="864" spans="2:22" x14ac:dyDescent="0.25">
      <c r="B864" s="41" t="b">
        <f t="shared" si="199"/>
        <v>0</v>
      </c>
      <c r="C864" s="41" t="e">
        <f t="shared" si="187"/>
        <v>#VALUE!</v>
      </c>
      <c r="E864" s="45">
        <v>860</v>
      </c>
      <c r="G864" s="138"/>
      <c r="H864" s="135">
        <v>1</v>
      </c>
      <c r="I864" s="46" t="e">
        <f t="shared" si="188"/>
        <v>#VALUE!</v>
      </c>
      <c r="J864" s="41" t="e">
        <f t="shared" si="194"/>
        <v>#VALUE!</v>
      </c>
      <c r="K864" s="41" t="e">
        <f t="shared" si="186"/>
        <v>#VALUE!</v>
      </c>
      <c r="L864" s="41" t="e">
        <f t="shared" si="186"/>
        <v>#VALUE!</v>
      </c>
      <c r="M864" s="41" t="e">
        <f t="shared" si="189"/>
        <v>#VALUE!</v>
      </c>
      <c r="N864" s="41" t="e">
        <f t="shared" si="190"/>
        <v>#VALUE!</v>
      </c>
      <c r="O864" s="41">
        <f t="shared" si="191"/>
        <v>0</v>
      </c>
      <c r="Q864" s="44" t="e">
        <f t="shared" si="192"/>
        <v>#VALUE!</v>
      </c>
      <c r="R864" s="44" t="e">
        <f t="shared" si="195"/>
        <v>#VALUE!</v>
      </c>
      <c r="S864" s="44" t="e">
        <f t="shared" si="193"/>
        <v>#VALUE!</v>
      </c>
      <c r="T864" s="41" t="e">
        <f t="shared" si="196"/>
        <v>#VALUE!</v>
      </c>
      <c r="U864" s="41" t="e">
        <f t="shared" si="197"/>
        <v>#VALUE!</v>
      </c>
      <c r="V864" s="41" t="e">
        <f t="shared" si="198"/>
        <v>#VALUE!</v>
      </c>
    </row>
    <row r="865" spans="2:22" x14ac:dyDescent="0.25">
      <c r="B865" s="41" t="b">
        <f t="shared" si="199"/>
        <v>0</v>
      </c>
      <c r="C865" s="41" t="e">
        <f t="shared" si="187"/>
        <v>#VALUE!</v>
      </c>
      <c r="E865" s="45">
        <v>861</v>
      </c>
      <c r="G865" s="138"/>
      <c r="H865" s="135">
        <v>1</v>
      </c>
      <c r="I865" s="46" t="e">
        <f t="shared" si="188"/>
        <v>#VALUE!</v>
      </c>
      <c r="J865" s="41" t="e">
        <f t="shared" si="194"/>
        <v>#VALUE!</v>
      </c>
      <c r="K865" s="41" t="e">
        <f t="shared" si="186"/>
        <v>#VALUE!</v>
      </c>
      <c r="L865" s="41" t="e">
        <f t="shared" si="186"/>
        <v>#VALUE!</v>
      </c>
      <c r="M865" s="41" t="e">
        <f t="shared" si="189"/>
        <v>#VALUE!</v>
      </c>
      <c r="N865" s="41" t="e">
        <f t="shared" si="190"/>
        <v>#VALUE!</v>
      </c>
      <c r="O865" s="41">
        <f t="shared" si="191"/>
        <v>0</v>
      </c>
      <c r="Q865" s="44" t="e">
        <f t="shared" si="192"/>
        <v>#VALUE!</v>
      </c>
      <c r="R865" s="44" t="e">
        <f t="shared" si="195"/>
        <v>#VALUE!</v>
      </c>
      <c r="S865" s="44" t="e">
        <f t="shared" si="193"/>
        <v>#VALUE!</v>
      </c>
      <c r="T865" s="41" t="e">
        <f t="shared" si="196"/>
        <v>#VALUE!</v>
      </c>
      <c r="U865" s="41" t="e">
        <f t="shared" si="197"/>
        <v>#VALUE!</v>
      </c>
      <c r="V865" s="41" t="e">
        <f t="shared" si="198"/>
        <v>#VALUE!</v>
      </c>
    </row>
    <row r="866" spans="2:22" x14ac:dyDescent="0.25">
      <c r="B866" s="41" t="b">
        <f t="shared" si="199"/>
        <v>0</v>
      </c>
      <c r="C866" s="41" t="e">
        <f t="shared" si="187"/>
        <v>#VALUE!</v>
      </c>
      <c r="E866" s="45">
        <v>862</v>
      </c>
      <c r="G866" s="138"/>
      <c r="H866" s="135">
        <v>1</v>
      </c>
      <c r="I866" s="46" t="e">
        <f t="shared" si="188"/>
        <v>#VALUE!</v>
      </c>
      <c r="J866" s="41" t="e">
        <f t="shared" si="194"/>
        <v>#VALUE!</v>
      </c>
      <c r="K866" s="41" t="e">
        <f t="shared" si="186"/>
        <v>#VALUE!</v>
      </c>
      <c r="L866" s="41" t="e">
        <f t="shared" si="186"/>
        <v>#VALUE!</v>
      </c>
      <c r="M866" s="41" t="e">
        <f t="shared" si="189"/>
        <v>#VALUE!</v>
      </c>
      <c r="N866" s="41" t="e">
        <f t="shared" si="190"/>
        <v>#VALUE!</v>
      </c>
      <c r="O866" s="41">
        <f t="shared" si="191"/>
        <v>0</v>
      </c>
      <c r="Q866" s="44" t="e">
        <f t="shared" si="192"/>
        <v>#VALUE!</v>
      </c>
      <c r="R866" s="44" t="e">
        <f t="shared" si="195"/>
        <v>#VALUE!</v>
      </c>
      <c r="S866" s="44" t="e">
        <f t="shared" si="193"/>
        <v>#VALUE!</v>
      </c>
      <c r="T866" s="41" t="e">
        <f t="shared" si="196"/>
        <v>#VALUE!</v>
      </c>
      <c r="U866" s="41" t="e">
        <f t="shared" si="197"/>
        <v>#VALUE!</v>
      </c>
      <c r="V866" s="41" t="e">
        <f t="shared" si="198"/>
        <v>#VALUE!</v>
      </c>
    </row>
    <row r="867" spans="2:22" x14ac:dyDescent="0.25">
      <c r="B867" s="41" t="b">
        <f t="shared" si="199"/>
        <v>0</v>
      </c>
      <c r="C867" s="41" t="e">
        <f t="shared" si="187"/>
        <v>#VALUE!</v>
      </c>
      <c r="E867" s="45">
        <v>863</v>
      </c>
      <c r="G867" s="138"/>
      <c r="H867" s="135">
        <v>1</v>
      </c>
      <c r="I867" s="46" t="e">
        <f t="shared" si="188"/>
        <v>#VALUE!</v>
      </c>
      <c r="J867" s="41" t="e">
        <f t="shared" si="194"/>
        <v>#VALUE!</v>
      </c>
      <c r="K867" s="41" t="e">
        <f t="shared" si="186"/>
        <v>#VALUE!</v>
      </c>
      <c r="L867" s="41" t="e">
        <f t="shared" si="186"/>
        <v>#VALUE!</v>
      </c>
      <c r="M867" s="41" t="e">
        <f t="shared" si="189"/>
        <v>#VALUE!</v>
      </c>
      <c r="N867" s="41" t="e">
        <f t="shared" si="190"/>
        <v>#VALUE!</v>
      </c>
      <c r="O867" s="41">
        <f t="shared" si="191"/>
        <v>0</v>
      </c>
      <c r="Q867" s="44" t="e">
        <f t="shared" si="192"/>
        <v>#VALUE!</v>
      </c>
      <c r="R867" s="44" t="e">
        <f t="shared" si="195"/>
        <v>#VALUE!</v>
      </c>
      <c r="S867" s="44" t="e">
        <f t="shared" si="193"/>
        <v>#VALUE!</v>
      </c>
      <c r="T867" s="41" t="e">
        <f t="shared" si="196"/>
        <v>#VALUE!</v>
      </c>
      <c r="U867" s="41" t="e">
        <f t="shared" si="197"/>
        <v>#VALUE!</v>
      </c>
      <c r="V867" s="41" t="e">
        <f t="shared" si="198"/>
        <v>#VALUE!</v>
      </c>
    </row>
    <row r="868" spans="2:22" x14ac:dyDescent="0.25">
      <c r="B868" s="41" t="b">
        <f t="shared" si="199"/>
        <v>0</v>
      </c>
      <c r="C868" s="41" t="e">
        <f t="shared" si="187"/>
        <v>#VALUE!</v>
      </c>
      <c r="E868" s="45">
        <v>864</v>
      </c>
      <c r="G868" s="138"/>
      <c r="H868" s="135">
        <v>1</v>
      </c>
      <c r="I868" s="46" t="e">
        <f t="shared" si="188"/>
        <v>#VALUE!</v>
      </c>
      <c r="J868" s="41" t="e">
        <f t="shared" si="194"/>
        <v>#VALUE!</v>
      </c>
      <c r="K868" s="41" t="e">
        <f t="shared" si="186"/>
        <v>#VALUE!</v>
      </c>
      <c r="L868" s="41" t="e">
        <f t="shared" si="186"/>
        <v>#VALUE!</v>
      </c>
      <c r="M868" s="41" t="e">
        <f t="shared" si="189"/>
        <v>#VALUE!</v>
      </c>
      <c r="N868" s="41" t="e">
        <f t="shared" si="190"/>
        <v>#VALUE!</v>
      </c>
      <c r="O868" s="41">
        <f t="shared" si="191"/>
        <v>0</v>
      </c>
      <c r="Q868" s="44" t="e">
        <f t="shared" si="192"/>
        <v>#VALUE!</v>
      </c>
      <c r="R868" s="44" t="e">
        <f t="shared" si="195"/>
        <v>#VALUE!</v>
      </c>
      <c r="S868" s="44" t="e">
        <f t="shared" si="193"/>
        <v>#VALUE!</v>
      </c>
      <c r="T868" s="41" t="e">
        <f t="shared" si="196"/>
        <v>#VALUE!</v>
      </c>
      <c r="U868" s="41" t="e">
        <f t="shared" si="197"/>
        <v>#VALUE!</v>
      </c>
      <c r="V868" s="41" t="e">
        <f t="shared" si="198"/>
        <v>#VALUE!</v>
      </c>
    </row>
    <row r="869" spans="2:22" x14ac:dyDescent="0.25">
      <c r="B869" s="41" t="b">
        <f t="shared" si="199"/>
        <v>0</v>
      </c>
      <c r="C869" s="41" t="e">
        <f t="shared" si="187"/>
        <v>#VALUE!</v>
      </c>
      <c r="E869" s="45">
        <v>865</v>
      </c>
      <c r="G869" s="138"/>
      <c r="H869" s="135">
        <v>1</v>
      </c>
      <c r="I869" s="46" t="e">
        <f t="shared" si="188"/>
        <v>#VALUE!</v>
      </c>
      <c r="J869" s="41" t="e">
        <f t="shared" si="194"/>
        <v>#VALUE!</v>
      </c>
      <c r="K869" s="41" t="e">
        <f t="shared" si="186"/>
        <v>#VALUE!</v>
      </c>
      <c r="L869" s="41" t="e">
        <f t="shared" si="186"/>
        <v>#VALUE!</v>
      </c>
      <c r="M869" s="41" t="e">
        <f t="shared" si="189"/>
        <v>#VALUE!</v>
      </c>
      <c r="N869" s="41" t="e">
        <f t="shared" si="190"/>
        <v>#VALUE!</v>
      </c>
      <c r="O869" s="41">
        <f t="shared" si="191"/>
        <v>0</v>
      </c>
      <c r="Q869" s="44" t="e">
        <f t="shared" si="192"/>
        <v>#VALUE!</v>
      </c>
      <c r="R869" s="44" t="e">
        <f t="shared" si="195"/>
        <v>#VALUE!</v>
      </c>
      <c r="S869" s="44" t="e">
        <f t="shared" si="193"/>
        <v>#VALUE!</v>
      </c>
      <c r="T869" s="41" t="e">
        <f t="shared" si="196"/>
        <v>#VALUE!</v>
      </c>
      <c r="U869" s="41" t="e">
        <f t="shared" si="197"/>
        <v>#VALUE!</v>
      </c>
      <c r="V869" s="41" t="e">
        <f t="shared" si="198"/>
        <v>#VALUE!</v>
      </c>
    </row>
    <row r="870" spans="2:22" x14ac:dyDescent="0.25">
      <c r="B870" s="41" t="b">
        <f t="shared" si="199"/>
        <v>0</v>
      </c>
      <c r="C870" s="41" t="e">
        <f t="shared" si="187"/>
        <v>#VALUE!</v>
      </c>
      <c r="E870" s="45">
        <v>866</v>
      </c>
      <c r="G870" s="138"/>
      <c r="H870" s="135">
        <v>1</v>
      </c>
      <c r="I870" s="46" t="e">
        <f t="shared" si="188"/>
        <v>#VALUE!</v>
      </c>
      <c r="J870" s="41" t="e">
        <f t="shared" si="194"/>
        <v>#VALUE!</v>
      </c>
      <c r="K870" s="41" t="e">
        <f t="shared" si="186"/>
        <v>#VALUE!</v>
      </c>
      <c r="L870" s="41" t="e">
        <f t="shared" si="186"/>
        <v>#VALUE!</v>
      </c>
      <c r="M870" s="41" t="e">
        <f t="shared" si="189"/>
        <v>#VALUE!</v>
      </c>
      <c r="N870" s="41" t="e">
        <f t="shared" si="190"/>
        <v>#VALUE!</v>
      </c>
      <c r="O870" s="41">
        <f t="shared" si="191"/>
        <v>0</v>
      </c>
      <c r="Q870" s="44" t="e">
        <f t="shared" si="192"/>
        <v>#VALUE!</v>
      </c>
      <c r="R870" s="44" t="e">
        <f t="shared" si="195"/>
        <v>#VALUE!</v>
      </c>
      <c r="S870" s="44" t="e">
        <f t="shared" si="193"/>
        <v>#VALUE!</v>
      </c>
      <c r="T870" s="41" t="e">
        <f t="shared" si="196"/>
        <v>#VALUE!</v>
      </c>
      <c r="U870" s="41" t="e">
        <f t="shared" si="197"/>
        <v>#VALUE!</v>
      </c>
      <c r="V870" s="41" t="e">
        <f t="shared" si="198"/>
        <v>#VALUE!</v>
      </c>
    </row>
    <row r="871" spans="2:22" x14ac:dyDescent="0.25">
      <c r="B871" s="41" t="b">
        <f t="shared" si="199"/>
        <v>0</v>
      </c>
      <c r="C871" s="41" t="e">
        <f t="shared" si="187"/>
        <v>#VALUE!</v>
      </c>
      <c r="E871" s="45">
        <v>867</v>
      </c>
      <c r="G871" s="138"/>
      <c r="H871" s="135">
        <v>1</v>
      </c>
      <c r="I871" s="46" t="e">
        <f t="shared" si="188"/>
        <v>#VALUE!</v>
      </c>
      <c r="J871" s="41" t="e">
        <f t="shared" si="194"/>
        <v>#VALUE!</v>
      </c>
      <c r="K871" s="41" t="e">
        <f t="shared" si="186"/>
        <v>#VALUE!</v>
      </c>
      <c r="L871" s="41" t="e">
        <f t="shared" si="186"/>
        <v>#VALUE!</v>
      </c>
      <c r="M871" s="41" t="e">
        <f t="shared" si="189"/>
        <v>#VALUE!</v>
      </c>
      <c r="N871" s="41" t="e">
        <f t="shared" si="190"/>
        <v>#VALUE!</v>
      </c>
      <c r="O871" s="41">
        <f t="shared" si="191"/>
        <v>0</v>
      </c>
      <c r="Q871" s="44" t="e">
        <f t="shared" si="192"/>
        <v>#VALUE!</v>
      </c>
      <c r="R871" s="44" t="e">
        <f t="shared" si="195"/>
        <v>#VALUE!</v>
      </c>
      <c r="S871" s="44" t="e">
        <f t="shared" si="193"/>
        <v>#VALUE!</v>
      </c>
      <c r="T871" s="41" t="e">
        <f t="shared" si="196"/>
        <v>#VALUE!</v>
      </c>
      <c r="U871" s="41" t="e">
        <f t="shared" si="197"/>
        <v>#VALUE!</v>
      </c>
      <c r="V871" s="41" t="e">
        <f t="shared" si="198"/>
        <v>#VALUE!</v>
      </c>
    </row>
    <row r="872" spans="2:22" x14ac:dyDescent="0.25">
      <c r="B872" s="41" t="b">
        <f t="shared" si="199"/>
        <v>0</v>
      </c>
      <c r="C872" s="41" t="e">
        <f t="shared" si="187"/>
        <v>#VALUE!</v>
      </c>
      <c r="E872" s="45">
        <v>868</v>
      </c>
      <c r="G872" s="138"/>
      <c r="H872" s="135">
        <v>1</v>
      </c>
      <c r="I872" s="46" t="e">
        <f t="shared" si="188"/>
        <v>#VALUE!</v>
      </c>
      <c r="J872" s="41" t="e">
        <f t="shared" si="194"/>
        <v>#VALUE!</v>
      </c>
      <c r="K872" s="41" t="e">
        <f t="shared" si="186"/>
        <v>#VALUE!</v>
      </c>
      <c r="L872" s="41" t="e">
        <f t="shared" si="186"/>
        <v>#VALUE!</v>
      </c>
      <c r="M872" s="41" t="e">
        <f t="shared" si="189"/>
        <v>#VALUE!</v>
      </c>
      <c r="N872" s="41" t="e">
        <f t="shared" si="190"/>
        <v>#VALUE!</v>
      </c>
      <c r="O872" s="41">
        <f t="shared" si="191"/>
        <v>0</v>
      </c>
      <c r="Q872" s="44" t="e">
        <f t="shared" si="192"/>
        <v>#VALUE!</v>
      </c>
      <c r="R872" s="44" t="e">
        <f t="shared" si="195"/>
        <v>#VALUE!</v>
      </c>
      <c r="S872" s="44" t="e">
        <f t="shared" si="193"/>
        <v>#VALUE!</v>
      </c>
      <c r="T872" s="41" t="e">
        <f t="shared" si="196"/>
        <v>#VALUE!</v>
      </c>
      <c r="U872" s="41" t="e">
        <f t="shared" si="197"/>
        <v>#VALUE!</v>
      </c>
      <c r="V872" s="41" t="e">
        <f t="shared" si="198"/>
        <v>#VALUE!</v>
      </c>
    </row>
    <row r="873" spans="2:22" x14ac:dyDescent="0.25">
      <c r="B873" s="41" t="b">
        <f t="shared" si="199"/>
        <v>0</v>
      </c>
      <c r="C873" s="41" t="e">
        <f t="shared" si="187"/>
        <v>#VALUE!</v>
      </c>
      <c r="E873" s="45">
        <v>869</v>
      </c>
      <c r="G873" s="138"/>
      <c r="H873" s="135">
        <v>1</v>
      </c>
      <c r="I873" s="46" t="e">
        <f t="shared" si="188"/>
        <v>#VALUE!</v>
      </c>
      <c r="J873" s="41" t="e">
        <f t="shared" si="194"/>
        <v>#VALUE!</v>
      </c>
      <c r="K873" s="41" t="e">
        <f t="shared" si="186"/>
        <v>#VALUE!</v>
      </c>
      <c r="L873" s="41" t="e">
        <f t="shared" si="186"/>
        <v>#VALUE!</v>
      </c>
      <c r="M873" s="41" t="e">
        <f t="shared" si="189"/>
        <v>#VALUE!</v>
      </c>
      <c r="N873" s="41" t="e">
        <f t="shared" si="190"/>
        <v>#VALUE!</v>
      </c>
      <c r="O873" s="41">
        <f t="shared" si="191"/>
        <v>0</v>
      </c>
      <c r="Q873" s="44" t="e">
        <f t="shared" si="192"/>
        <v>#VALUE!</v>
      </c>
      <c r="R873" s="44" t="e">
        <f t="shared" si="195"/>
        <v>#VALUE!</v>
      </c>
      <c r="S873" s="44" t="e">
        <f t="shared" si="193"/>
        <v>#VALUE!</v>
      </c>
      <c r="T873" s="41" t="e">
        <f t="shared" si="196"/>
        <v>#VALUE!</v>
      </c>
      <c r="U873" s="41" t="e">
        <f t="shared" si="197"/>
        <v>#VALUE!</v>
      </c>
      <c r="V873" s="41" t="e">
        <f t="shared" si="198"/>
        <v>#VALUE!</v>
      </c>
    </row>
    <row r="874" spans="2:22" x14ac:dyDescent="0.25">
      <c r="B874" s="41" t="b">
        <f t="shared" si="199"/>
        <v>0</v>
      </c>
      <c r="C874" s="41" t="e">
        <f t="shared" si="187"/>
        <v>#VALUE!</v>
      </c>
      <c r="E874" s="45">
        <v>870</v>
      </c>
      <c r="G874" s="138"/>
      <c r="H874" s="135">
        <v>1</v>
      </c>
      <c r="I874" s="46" t="e">
        <f t="shared" si="188"/>
        <v>#VALUE!</v>
      </c>
      <c r="J874" s="41" t="e">
        <f t="shared" si="194"/>
        <v>#VALUE!</v>
      </c>
      <c r="K874" s="41" t="e">
        <f t="shared" si="186"/>
        <v>#VALUE!</v>
      </c>
      <c r="L874" s="41" t="e">
        <f t="shared" si="186"/>
        <v>#VALUE!</v>
      </c>
      <c r="M874" s="41" t="e">
        <f t="shared" si="189"/>
        <v>#VALUE!</v>
      </c>
      <c r="N874" s="41" t="e">
        <f t="shared" si="190"/>
        <v>#VALUE!</v>
      </c>
      <c r="O874" s="41">
        <f t="shared" si="191"/>
        <v>0</v>
      </c>
      <c r="Q874" s="44" t="e">
        <f t="shared" si="192"/>
        <v>#VALUE!</v>
      </c>
      <c r="R874" s="44" t="e">
        <f t="shared" si="195"/>
        <v>#VALUE!</v>
      </c>
      <c r="S874" s="44" t="e">
        <f t="shared" si="193"/>
        <v>#VALUE!</v>
      </c>
      <c r="T874" s="41" t="e">
        <f t="shared" si="196"/>
        <v>#VALUE!</v>
      </c>
      <c r="U874" s="41" t="e">
        <f t="shared" si="197"/>
        <v>#VALUE!</v>
      </c>
      <c r="V874" s="41" t="e">
        <f t="shared" si="198"/>
        <v>#VALUE!</v>
      </c>
    </row>
    <row r="875" spans="2:22" x14ac:dyDescent="0.25">
      <c r="B875" s="41" t="b">
        <f t="shared" si="199"/>
        <v>0</v>
      </c>
      <c r="C875" s="41" t="e">
        <f t="shared" si="187"/>
        <v>#VALUE!</v>
      </c>
      <c r="E875" s="45">
        <v>871</v>
      </c>
      <c r="G875" s="138"/>
      <c r="H875" s="135">
        <v>1</v>
      </c>
      <c r="I875" s="46" t="e">
        <f t="shared" si="188"/>
        <v>#VALUE!</v>
      </c>
      <c r="J875" s="41" t="e">
        <f t="shared" si="194"/>
        <v>#VALUE!</v>
      </c>
      <c r="K875" s="41" t="e">
        <f t="shared" si="186"/>
        <v>#VALUE!</v>
      </c>
      <c r="L875" s="41" t="e">
        <f t="shared" si="186"/>
        <v>#VALUE!</v>
      </c>
      <c r="M875" s="41" t="e">
        <f t="shared" si="189"/>
        <v>#VALUE!</v>
      </c>
      <c r="N875" s="41" t="e">
        <f t="shared" si="190"/>
        <v>#VALUE!</v>
      </c>
      <c r="O875" s="41">
        <f t="shared" si="191"/>
        <v>0</v>
      </c>
      <c r="Q875" s="44" t="e">
        <f t="shared" si="192"/>
        <v>#VALUE!</v>
      </c>
      <c r="R875" s="44" t="e">
        <f t="shared" si="195"/>
        <v>#VALUE!</v>
      </c>
      <c r="S875" s="44" t="e">
        <f t="shared" si="193"/>
        <v>#VALUE!</v>
      </c>
      <c r="T875" s="41" t="e">
        <f t="shared" si="196"/>
        <v>#VALUE!</v>
      </c>
      <c r="U875" s="41" t="e">
        <f t="shared" si="197"/>
        <v>#VALUE!</v>
      </c>
      <c r="V875" s="41" t="e">
        <f t="shared" si="198"/>
        <v>#VALUE!</v>
      </c>
    </row>
    <row r="876" spans="2:22" x14ac:dyDescent="0.25">
      <c r="B876" s="41" t="b">
        <f t="shared" si="199"/>
        <v>0</v>
      </c>
      <c r="C876" s="41" t="e">
        <f t="shared" si="187"/>
        <v>#VALUE!</v>
      </c>
      <c r="E876" s="45">
        <v>872</v>
      </c>
      <c r="G876" s="138"/>
      <c r="H876" s="135">
        <v>1</v>
      </c>
      <c r="I876" s="46" t="e">
        <f t="shared" si="188"/>
        <v>#VALUE!</v>
      </c>
      <c r="J876" s="41" t="e">
        <f t="shared" si="194"/>
        <v>#VALUE!</v>
      </c>
      <c r="K876" s="41" t="e">
        <f t="shared" si="186"/>
        <v>#VALUE!</v>
      </c>
      <c r="L876" s="41" t="e">
        <f t="shared" si="186"/>
        <v>#VALUE!</v>
      </c>
      <c r="M876" s="41" t="e">
        <f t="shared" si="189"/>
        <v>#VALUE!</v>
      </c>
      <c r="N876" s="41" t="e">
        <f t="shared" si="190"/>
        <v>#VALUE!</v>
      </c>
      <c r="O876" s="41">
        <f t="shared" si="191"/>
        <v>0</v>
      </c>
      <c r="Q876" s="44" t="e">
        <f t="shared" si="192"/>
        <v>#VALUE!</v>
      </c>
      <c r="R876" s="44" t="e">
        <f t="shared" si="195"/>
        <v>#VALUE!</v>
      </c>
      <c r="S876" s="44" t="e">
        <f t="shared" si="193"/>
        <v>#VALUE!</v>
      </c>
      <c r="T876" s="41" t="e">
        <f t="shared" si="196"/>
        <v>#VALUE!</v>
      </c>
      <c r="U876" s="41" t="e">
        <f t="shared" si="197"/>
        <v>#VALUE!</v>
      </c>
      <c r="V876" s="41" t="e">
        <f t="shared" si="198"/>
        <v>#VALUE!</v>
      </c>
    </row>
    <row r="877" spans="2:22" x14ac:dyDescent="0.25">
      <c r="B877" s="41" t="b">
        <f t="shared" si="199"/>
        <v>0</v>
      </c>
      <c r="C877" s="41" t="e">
        <f t="shared" si="187"/>
        <v>#VALUE!</v>
      </c>
      <c r="E877" s="45">
        <v>873</v>
      </c>
      <c r="G877" s="138"/>
      <c r="H877" s="135">
        <v>1</v>
      </c>
      <c r="I877" s="46" t="e">
        <f t="shared" si="188"/>
        <v>#VALUE!</v>
      </c>
      <c r="J877" s="41" t="e">
        <f t="shared" si="194"/>
        <v>#VALUE!</v>
      </c>
      <c r="K877" s="41" t="e">
        <f t="shared" si="186"/>
        <v>#VALUE!</v>
      </c>
      <c r="L877" s="41" t="e">
        <f t="shared" si="186"/>
        <v>#VALUE!</v>
      </c>
      <c r="M877" s="41" t="e">
        <f t="shared" si="189"/>
        <v>#VALUE!</v>
      </c>
      <c r="N877" s="41" t="e">
        <f t="shared" si="190"/>
        <v>#VALUE!</v>
      </c>
      <c r="O877" s="41">
        <f t="shared" si="191"/>
        <v>0</v>
      </c>
      <c r="Q877" s="44" t="e">
        <f t="shared" si="192"/>
        <v>#VALUE!</v>
      </c>
      <c r="R877" s="44" t="e">
        <f t="shared" si="195"/>
        <v>#VALUE!</v>
      </c>
      <c r="S877" s="44" t="e">
        <f t="shared" si="193"/>
        <v>#VALUE!</v>
      </c>
      <c r="T877" s="41" t="e">
        <f t="shared" si="196"/>
        <v>#VALUE!</v>
      </c>
      <c r="U877" s="41" t="e">
        <f t="shared" si="197"/>
        <v>#VALUE!</v>
      </c>
      <c r="V877" s="41" t="e">
        <f t="shared" si="198"/>
        <v>#VALUE!</v>
      </c>
    </row>
    <row r="878" spans="2:22" x14ac:dyDescent="0.25">
      <c r="B878" s="41" t="b">
        <f t="shared" si="199"/>
        <v>0</v>
      </c>
      <c r="C878" s="41" t="e">
        <f t="shared" si="187"/>
        <v>#VALUE!</v>
      </c>
      <c r="E878" s="45">
        <v>874</v>
      </c>
      <c r="G878" s="138"/>
      <c r="H878" s="135">
        <v>1</v>
      </c>
      <c r="I878" s="46" t="e">
        <f t="shared" si="188"/>
        <v>#VALUE!</v>
      </c>
      <c r="J878" s="41" t="e">
        <f t="shared" si="194"/>
        <v>#VALUE!</v>
      </c>
      <c r="K878" s="41" t="e">
        <f t="shared" si="186"/>
        <v>#VALUE!</v>
      </c>
      <c r="L878" s="41" t="e">
        <f t="shared" si="186"/>
        <v>#VALUE!</v>
      </c>
      <c r="M878" s="41" t="e">
        <f t="shared" si="189"/>
        <v>#VALUE!</v>
      </c>
      <c r="N878" s="41" t="e">
        <f t="shared" si="190"/>
        <v>#VALUE!</v>
      </c>
      <c r="O878" s="41">
        <f t="shared" si="191"/>
        <v>0</v>
      </c>
      <c r="Q878" s="44" t="e">
        <f t="shared" si="192"/>
        <v>#VALUE!</v>
      </c>
      <c r="R878" s="44" t="e">
        <f t="shared" si="195"/>
        <v>#VALUE!</v>
      </c>
      <c r="S878" s="44" t="e">
        <f t="shared" si="193"/>
        <v>#VALUE!</v>
      </c>
      <c r="T878" s="41" t="e">
        <f t="shared" si="196"/>
        <v>#VALUE!</v>
      </c>
      <c r="U878" s="41" t="e">
        <f t="shared" si="197"/>
        <v>#VALUE!</v>
      </c>
      <c r="V878" s="41" t="e">
        <f t="shared" si="198"/>
        <v>#VALUE!</v>
      </c>
    </row>
    <row r="879" spans="2:22" x14ac:dyDescent="0.25">
      <c r="B879" s="41" t="b">
        <f t="shared" si="199"/>
        <v>0</v>
      </c>
      <c r="C879" s="41" t="e">
        <f t="shared" si="187"/>
        <v>#VALUE!</v>
      </c>
      <c r="E879" s="45">
        <v>875</v>
      </c>
      <c r="G879" s="138"/>
      <c r="H879" s="135">
        <v>1</v>
      </c>
      <c r="I879" s="46" t="e">
        <f t="shared" si="188"/>
        <v>#VALUE!</v>
      </c>
      <c r="J879" s="41" t="e">
        <f t="shared" si="194"/>
        <v>#VALUE!</v>
      </c>
      <c r="K879" s="41" t="e">
        <f t="shared" ref="K879:L942" si="200">N879-M879</f>
        <v>#VALUE!</v>
      </c>
      <c r="L879" s="41" t="e">
        <f t="shared" si="200"/>
        <v>#VALUE!</v>
      </c>
      <c r="M879" s="41" t="e">
        <f t="shared" si="189"/>
        <v>#VALUE!</v>
      </c>
      <c r="N879" s="41" t="e">
        <f t="shared" si="190"/>
        <v>#VALUE!</v>
      </c>
      <c r="O879" s="41">
        <f t="shared" si="191"/>
        <v>0</v>
      </c>
      <c r="Q879" s="44" t="e">
        <f t="shared" si="192"/>
        <v>#VALUE!</v>
      </c>
      <c r="R879" s="44" t="e">
        <f t="shared" si="195"/>
        <v>#VALUE!</v>
      </c>
      <c r="S879" s="44" t="e">
        <f t="shared" si="193"/>
        <v>#VALUE!</v>
      </c>
      <c r="T879" s="41" t="e">
        <f t="shared" si="196"/>
        <v>#VALUE!</v>
      </c>
      <c r="U879" s="41" t="e">
        <f t="shared" si="197"/>
        <v>#VALUE!</v>
      </c>
      <c r="V879" s="41" t="e">
        <f t="shared" si="198"/>
        <v>#VALUE!</v>
      </c>
    </row>
    <row r="880" spans="2:22" x14ac:dyDescent="0.25">
      <c r="B880" s="41" t="b">
        <f t="shared" si="199"/>
        <v>0</v>
      </c>
      <c r="C880" s="41" t="e">
        <f t="shared" si="187"/>
        <v>#VALUE!</v>
      </c>
      <c r="E880" s="45">
        <v>876</v>
      </c>
      <c r="G880" s="138"/>
      <c r="H880" s="135">
        <v>1</v>
      </c>
      <c r="I880" s="46" t="e">
        <f t="shared" si="188"/>
        <v>#VALUE!</v>
      </c>
      <c r="J880" s="41" t="e">
        <f t="shared" si="194"/>
        <v>#VALUE!</v>
      </c>
      <c r="K880" s="41" t="e">
        <f t="shared" si="200"/>
        <v>#VALUE!</v>
      </c>
      <c r="L880" s="41" t="e">
        <f t="shared" si="200"/>
        <v>#VALUE!</v>
      </c>
      <c r="M880" s="41" t="e">
        <f t="shared" si="189"/>
        <v>#VALUE!</v>
      </c>
      <c r="N880" s="41" t="e">
        <f t="shared" si="190"/>
        <v>#VALUE!</v>
      </c>
      <c r="O880" s="41">
        <f t="shared" si="191"/>
        <v>0</v>
      </c>
      <c r="Q880" s="44" t="e">
        <f t="shared" si="192"/>
        <v>#VALUE!</v>
      </c>
      <c r="R880" s="44" t="e">
        <f t="shared" si="195"/>
        <v>#VALUE!</v>
      </c>
      <c r="S880" s="44" t="e">
        <f t="shared" si="193"/>
        <v>#VALUE!</v>
      </c>
      <c r="T880" s="41" t="e">
        <f t="shared" si="196"/>
        <v>#VALUE!</v>
      </c>
      <c r="U880" s="41" t="e">
        <f t="shared" si="197"/>
        <v>#VALUE!</v>
      </c>
      <c r="V880" s="41" t="e">
        <f t="shared" si="198"/>
        <v>#VALUE!</v>
      </c>
    </row>
    <row r="881" spans="2:22" x14ac:dyDescent="0.25">
      <c r="B881" s="41" t="b">
        <f t="shared" si="199"/>
        <v>0</v>
      </c>
      <c r="C881" s="41" t="e">
        <f t="shared" si="187"/>
        <v>#VALUE!</v>
      </c>
      <c r="E881" s="45">
        <v>877</v>
      </c>
      <c r="G881" s="138"/>
      <c r="H881" s="135">
        <v>1</v>
      </c>
      <c r="I881" s="46" t="e">
        <f t="shared" si="188"/>
        <v>#VALUE!</v>
      </c>
      <c r="J881" s="41" t="e">
        <f t="shared" si="194"/>
        <v>#VALUE!</v>
      </c>
      <c r="K881" s="41" t="e">
        <f t="shared" si="200"/>
        <v>#VALUE!</v>
      </c>
      <c r="L881" s="41" t="e">
        <f t="shared" si="200"/>
        <v>#VALUE!</v>
      </c>
      <c r="M881" s="41" t="e">
        <f t="shared" si="189"/>
        <v>#VALUE!</v>
      </c>
      <c r="N881" s="41" t="e">
        <f t="shared" si="190"/>
        <v>#VALUE!</v>
      </c>
      <c r="O881" s="41">
        <f t="shared" si="191"/>
        <v>0</v>
      </c>
      <c r="Q881" s="44" t="e">
        <f t="shared" si="192"/>
        <v>#VALUE!</v>
      </c>
      <c r="R881" s="44" t="e">
        <f t="shared" si="195"/>
        <v>#VALUE!</v>
      </c>
      <c r="S881" s="44" t="e">
        <f t="shared" si="193"/>
        <v>#VALUE!</v>
      </c>
      <c r="T881" s="41" t="e">
        <f t="shared" si="196"/>
        <v>#VALUE!</v>
      </c>
      <c r="U881" s="41" t="e">
        <f t="shared" si="197"/>
        <v>#VALUE!</v>
      </c>
      <c r="V881" s="41" t="e">
        <f t="shared" si="198"/>
        <v>#VALUE!</v>
      </c>
    </row>
    <row r="882" spans="2:22" x14ac:dyDescent="0.25">
      <c r="B882" s="41" t="b">
        <f t="shared" si="199"/>
        <v>0</v>
      </c>
      <c r="C882" s="41" t="e">
        <f t="shared" si="187"/>
        <v>#VALUE!</v>
      </c>
      <c r="E882" s="45">
        <v>878</v>
      </c>
      <c r="G882" s="138"/>
      <c r="H882" s="135">
        <v>1</v>
      </c>
      <c r="I882" s="46" t="e">
        <f t="shared" si="188"/>
        <v>#VALUE!</v>
      </c>
      <c r="J882" s="41" t="e">
        <f t="shared" si="194"/>
        <v>#VALUE!</v>
      </c>
      <c r="K882" s="41" t="e">
        <f t="shared" si="200"/>
        <v>#VALUE!</v>
      </c>
      <c r="L882" s="41" t="e">
        <f t="shared" si="200"/>
        <v>#VALUE!</v>
      </c>
      <c r="M882" s="41" t="e">
        <f t="shared" si="189"/>
        <v>#VALUE!</v>
      </c>
      <c r="N882" s="41" t="e">
        <f t="shared" si="190"/>
        <v>#VALUE!</v>
      </c>
      <c r="O882" s="41">
        <f t="shared" si="191"/>
        <v>0</v>
      </c>
      <c r="Q882" s="44" t="e">
        <f t="shared" si="192"/>
        <v>#VALUE!</v>
      </c>
      <c r="R882" s="44" t="e">
        <f t="shared" si="195"/>
        <v>#VALUE!</v>
      </c>
      <c r="S882" s="44" t="e">
        <f t="shared" si="193"/>
        <v>#VALUE!</v>
      </c>
      <c r="T882" s="41" t="e">
        <f t="shared" si="196"/>
        <v>#VALUE!</v>
      </c>
      <c r="U882" s="41" t="e">
        <f t="shared" si="197"/>
        <v>#VALUE!</v>
      </c>
      <c r="V882" s="41" t="e">
        <f t="shared" si="198"/>
        <v>#VALUE!</v>
      </c>
    </row>
    <row r="883" spans="2:22" x14ac:dyDescent="0.25">
      <c r="B883" s="41" t="b">
        <f t="shared" si="199"/>
        <v>0</v>
      </c>
      <c r="C883" s="41" t="e">
        <f t="shared" si="187"/>
        <v>#VALUE!</v>
      </c>
      <c r="E883" s="45">
        <v>879</v>
      </c>
      <c r="G883" s="138"/>
      <c r="H883" s="135">
        <v>1</v>
      </c>
      <c r="I883" s="46" t="e">
        <f t="shared" si="188"/>
        <v>#VALUE!</v>
      </c>
      <c r="J883" s="41" t="e">
        <f t="shared" si="194"/>
        <v>#VALUE!</v>
      </c>
      <c r="K883" s="41" t="e">
        <f t="shared" si="200"/>
        <v>#VALUE!</v>
      </c>
      <c r="L883" s="41" t="e">
        <f t="shared" si="200"/>
        <v>#VALUE!</v>
      </c>
      <c r="M883" s="41" t="e">
        <f t="shared" si="189"/>
        <v>#VALUE!</v>
      </c>
      <c r="N883" s="41" t="e">
        <f t="shared" si="190"/>
        <v>#VALUE!</v>
      </c>
      <c r="O883" s="41">
        <f t="shared" si="191"/>
        <v>0</v>
      </c>
      <c r="Q883" s="44" t="e">
        <f t="shared" si="192"/>
        <v>#VALUE!</v>
      </c>
      <c r="R883" s="44" t="e">
        <f t="shared" si="195"/>
        <v>#VALUE!</v>
      </c>
      <c r="S883" s="44" t="e">
        <f t="shared" si="193"/>
        <v>#VALUE!</v>
      </c>
      <c r="T883" s="41" t="e">
        <f t="shared" si="196"/>
        <v>#VALUE!</v>
      </c>
      <c r="U883" s="41" t="e">
        <f t="shared" si="197"/>
        <v>#VALUE!</v>
      </c>
      <c r="V883" s="41" t="e">
        <f t="shared" si="198"/>
        <v>#VALUE!</v>
      </c>
    </row>
    <row r="884" spans="2:22" x14ac:dyDescent="0.25">
      <c r="B884" s="41" t="b">
        <f t="shared" si="199"/>
        <v>0</v>
      </c>
      <c r="C884" s="41" t="e">
        <f t="shared" si="187"/>
        <v>#VALUE!</v>
      </c>
      <c r="E884" s="45">
        <v>880</v>
      </c>
      <c r="G884" s="138"/>
      <c r="H884" s="135">
        <v>1</v>
      </c>
      <c r="I884" s="46" t="e">
        <f t="shared" si="188"/>
        <v>#VALUE!</v>
      </c>
      <c r="J884" s="41" t="e">
        <f t="shared" si="194"/>
        <v>#VALUE!</v>
      </c>
      <c r="K884" s="41" t="e">
        <f t="shared" si="200"/>
        <v>#VALUE!</v>
      </c>
      <c r="L884" s="41" t="e">
        <f t="shared" si="200"/>
        <v>#VALUE!</v>
      </c>
      <c r="M884" s="41" t="e">
        <f t="shared" si="189"/>
        <v>#VALUE!</v>
      </c>
      <c r="N884" s="41" t="e">
        <f t="shared" si="190"/>
        <v>#VALUE!</v>
      </c>
      <c r="O884" s="41">
        <f t="shared" si="191"/>
        <v>0</v>
      </c>
      <c r="Q884" s="44" t="e">
        <f t="shared" si="192"/>
        <v>#VALUE!</v>
      </c>
      <c r="R884" s="44" t="e">
        <f t="shared" si="195"/>
        <v>#VALUE!</v>
      </c>
      <c r="S884" s="44" t="e">
        <f t="shared" si="193"/>
        <v>#VALUE!</v>
      </c>
      <c r="T884" s="41" t="e">
        <f t="shared" si="196"/>
        <v>#VALUE!</v>
      </c>
      <c r="U884" s="41" t="e">
        <f t="shared" si="197"/>
        <v>#VALUE!</v>
      </c>
      <c r="V884" s="41" t="e">
        <f t="shared" si="198"/>
        <v>#VALUE!</v>
      </c>
    </row>
    <row r="885" spans="2:22" x14ac:dyDescent="0.25">
      <c r="B885" s="41" t="b">
        <f t="shared" si="199"/>
        <v>0</v>
      </c>
      <c r="C885" s="41" t="e">
        <f t="shared" si="187"/>
        <v>#VALUE!</v>
      </c>
      <c r="E885" s="45">
        <v>881</v>
      </c>
      <c r="G885" s="138"/>
      <c r="H885" s="135">
        <v>1</v>
      </c>
      <c r="I885" s="46" t="e">
        <f t="shared" si="188"/>
        <v>#VALUE!</v>
      </c>
      <c r="J885" s="41" t="e">
        <f t="shared" si="194"/>
        <v>#VALUE!</v>
      </c>
      <c r="K885" s="41" t="e">
        <f t="shared" si="200"/>
        <v>#VALUE!</v>
      </c>
      <c r="L885" s="41" t="e">
        <f t="shared" si="200"/>
        <v>#VALUE!</v>
      </c>
      <c r="M885" s="41" t="e">
        <f t="shared" si="189"/>
        <v>#VALUE!</v>
      </c>
      <c r="N885" s="41" t="e">
        <f t="shared" si="190"/>
        <v>#VALUE!</v>
      </c>
      <c r="O885" s="41">
        <f t="shared" si="191"/>
        <v>0</v>
      </c>
      <c r="Q885" s="44" t="e">
        <f t="shared" si="192"/>
        <v>#VALUE!</v>
      </c>
      <c r="R885" s="44" t="e">
        <f t="shared" si="195"/>
        <v>#VALUE!</v>
      </c>
      <c r="S885" s="44" t="e">
        <f t="shared" si="193"/>
        <v>#VALUE!</v>
      </c>
      <c r="T885" s="41" t="e">
        <f t="shared" si="196"/>
        <v>#VALUE!</v>
      </c>
      <c r="U885" s="41" t="e">
        <f t="shared" si="197"/>
        <v>#VALUE!</v>
      </c>
      <c r="V885" s="41" t="e">
        <f t="shared" si="198"/>
        <v>#VALUE!</v>
      </c>
    </row>
    <row r="886" spans="2:22" x14ac:dyDescent="0.25">
      <c r="B886" s="41" t="b">
        <f t="shared" si="199"/>
        <v>0</v>
      </c>
      <c r="C886" s="41" t="e">
        <f t="shared" ref="C886:C949" si="201">SUM(T886:V886)</f>
        <v>#VALUE!</v>
      </c>
      <c r="E886" s="45">
        <v>882</v>
      </c>
      <c r="G886" s="138"/>
      <c r="H886" s="135">
        <v>1</v>
      </c>
      <c r="I886" s="46" t="e">
        <f t="shared" si="188"/>
        <v>#VALUE!</v>
      </c>
      <c r="J886" s="41" t="e">
        <f t="shared" si="194"/>
        <v>#VALUE!</v>
      </c>
      <c r="K886" s="41" t="e">
        <f t="shared" si="200"/>
        <v>#VALUE!</v>
      </c>
      <c r="L886" s="41" t="e">
        <f t="shared" si="200"/>
        <v>#VALUE!</v>
      </c>
      <c r="M886" s="41" t="e">
        <f t="shared" si="189"/>
        <v>#VALUE!</v>
      </c>
      <c r="N886" s="41" t="e">
        <f t="shared" si="190"/>
        <v>#VALUE!</v>
      </c>
      <c r="O886" s="41">
        <f t="shared" si="191"/>
        <v>0</v>
      </c>
      <c r="Q886" s="44" t="e">
        <f t="shared" si="192"/>
        <v>#VALUE!</v>
      </c>
      <c r="R886" s="44" t="e">
        <f t="shared" si="195"/>
        <v>#VALUE!</v>
      </c>
      <c r="S886" s="44" t="e">
        <f t="shared" si="193"/>
        <v>#VALUE!</v>
      </c>
      <c r="T886" s="41" t="e">
        <f t="shared" si="196"/>
        <v>#VALUE!</v>
      </c>
      <c r="U886" s="41" t="e">
        <f t="shared" si="197"/>
        <v>#VALUE!</v>
      </c>
      <c r="V886" s="41" t="e">
        <f t="shared" si="198"/>
        <v>#VALUE!</v>
      </c>
    </row>
    <row r="887" spans="2:22" x14ac:dyDescent="0.25">
      <c r="B887" s="41" t="b">
        <f t="shared" si="199"/>
        <v>0</v>
      </c>
      <c r="C887" s="41" t="e">
        <f t="shared" si="201"/>
        <v>#VALUE!</v>
      </c>
      <c r="E887" s="45">
        <v>883</v>
      </c>
      <c r="G887" s="138"/>
      <c r="H887" s="135">
        <v>1</v>
      </c>
      <c r="I887" s="46" t="e">
        <f t="shared" si="188"/>
        <v>#VALUE!</v>
      </c>
      <c r="J887" s="41" t="e">
        <f t="shared" si="194"/>
        <v>#VALUE!</v>
      </c>
      <c r="K887" s="41" t="e">
        <f t="shared" si="200"/>
        <v>#VALUE!</v>
      </c>
      <c r="L887" s="41" t="e">
        <f t="shared" si="200"/>
        <v>#VALUE!</v>
      </c>
      <c r="M887" s="41" t="e">
        <f t="shared" si="189"/>
        <v>#VALUE!</v>
      </c>
      <c r="N887" s="41" t="e">
        <f t="shared" si="190"/>
        <v>#VALUE!</v>
      </c>
      <c r="O887" s="41">
        <f t="shared" si="191"/>
        <v>0</v>
      </c>
      <c r="Q887" s="44" t="e">
        <f t="shared" si="192"/>
        <v>#VALUE!</v>
      </c>
      <c r="R887" s="44" t="e">
        <f t="shared" si="195"/>
        <v>#VALUE!</v>
      </c>
      <c r="S887" s="44" t="e">
        <f t="shared" si="193"/>
        <v>#VALUE!</v>
      </c>
      <c r="T887" s="41" t="e">
        <f t="shared" si="196"/>
        <v>#VALUE!</v>
      </c>
      <c r="U887" s="41" t="e">
        <f t="shared" si="197"/>
        <v>#VALUE!</v>
      </c>
      <c r="V887" s="41" t="e">
        <f t="shared" si="198"/>
        <v>#VALUE!</v>
      </c>
    </row>
    <row r="888" spans="2:22" x14ac:dyDescent="0.25">
      <c r="B888" s="41" t="b">
        <f t="shared" si="199"/>
        <v>0</v>
      </c>
      <c r="C888" s="41" t="e">
        <f t="shared" si="201"/>
        <v>#VALUE!</v>
      </c>
      <c r="E888" s="45">
        <v>884</v>
      </c>
      <c r="G888" s="138"/>
      <c r="H888" s="135">
        <v>1</v>
      </c>
      <c r="I888" s="46" t="e">
        <f t="shared" si="188"/>
        <v>#VALUE!</v>
      </c>
      <c r="J888" s="41" t="e">
        <f t="shared" si="194"/>
        <v>#VALUE!</v>
      </c>
      <c r="K888" s="41" t="e">
        <f t="shared" si="200"/>
        <v>#VALUE!</v>
      </c>
      <c r="L888" s="41" t="e">
        <f t="shared" si="200"/>
        <v>#VALUE!</v>
      </c>
      <c r="M888" s="41" t="e">
        <f t="shared" si="189"/>
        <v>#VALUE!</v>
      </c>
      <c r="N888" s="41" t="e">
        <f t="shared" si="190"/>
        <v>#VALUE!</v>
      </c>
      <c r="O888" s="41">
        <f t="shared" si="191"/>
        <v>0</v>
      </c>
      <c r="Q888" s="44" t="e">
        <f t="shared" si="192"/>
        <v>#VALUE!</v>
      </c>
      <c r="R888" s="44" t="e">
        <f t="shared" si="195"/>
        <v>#VALUE!</v>
      </c>
      <c r="S888" s="44" t="e">
        <f t="shared" si="193"/>
        <v>#VALUE!</v>
      </c>
      <c r="T888" s="41" t="e">
        <f t="shared" si="196"/>
        <v>#VALUE!</v>
      </c>
      <c r="U888" s="41" t="e">
        <f t="shared" si="197"/>
        <v>#VALUE!</v>
      </c>
      <c r="V888" s="41" t="e">
        <f t="shared" si="198"/>
        <v>#VALUE!</v>
      </c>
    </row>
    <row r="889" spans="2:22" x14ac:dyDescent="0.25">
      <c r="B889" s="41" t="b">
        <f t="shared" si="199"/>
        <v>0</v>
      </c>
      <c r="C889" s="41" t="e">
        <f t="shared" si="201"/>
        <v>#VALUE!</v>
      </c>
      <c r="E889" s="45">
        <v>885</v>
      </c>
      <c r="G889" s="138"/>
      <c r="H889" s="135">
        <v>1</v>
      </c>
      <c r="I889" s="46" t="e">
        <f t="shared" si="188"/>
        <v>#VALUE!</v>
      </c>
      <c r="J889" s="41" t="e">
        <f t="shared" si="194"/>
        <v>#VALUE!</v>
      </c>
      <c r="K889" s="41" t="e">
        <f t="shared" si="200"/>
        <v>#VALUE!</v>
      </c>
      <c r="L889" s="41" t="e">
        <f t="shared" si="200"/>
        <v>#VALUE!</v>
      </c>
      <c r="M889" s="41" t="e">
        <f t="shared" si="189"/>
        <v>#VALUE!</v>
      </c>
      <c r="N889" s="41" t="e">
        <f t="shared" si="190"/>
        <v>#VALUE!</v>
      </c>
      <c r="O889" s="41">
        <f t="shared" si="191"/>
        <v>0</v>
      </c>
      <c r="Q889" s="44" t="e">
        <f t="shared" si="192"/>
        <v>#VALUE!</v>
      </c>
      <c r="R889" s="44" t="e">
        <f t="shared" si="195"/>
        <v>#VALUE!</v>
      </c>
      <c r="S889" s="44" t="e">
        <f t="shared" si="193"/>
        <v>#VALUE!</v>
      </c>
      <c r="T889" s="41" t="e">
        <f t="shared" si="196"/>
        <v>#VALUE!</v>
      </c>
      <c r="U889" s="41" t="e">
        <f t="shared" si="197"/>
        <v>#VALUE!</v>
      </c>
      <c r="V889" s="41" t="e">
        <f t="shared" si="198"/>
        <v>#VALUE!</v>
      </c>
    </row>
    <row r="890" spans="2:22" x14ac:dyDescent="0.25">
      <c r="B890" s="41" t="b">
        <f t="shared" si="199"/>
        <v>0</v>
      </c>
      <c r="C890" s="41" t="e">
        <f t="shared" si="201"/>
        <v>#VALUE!</v>
      </c>
      <c r="E890" s="45">
        <v>886</v>
      </c>
      <c r="G890" s="138"/>
      <c r="H890" s="135">
        <v>1</v>
      </c>
      <c r="I890" s="46" t="e">
        <f t="shared" si="188"/>
        <v>#VALUE!</v>
      </c>
      <c r="J890" s="41" t="e">
        <f t="shared" si="194"/>
        <v>#VALUE!</v>
      </c>
      <c r="K890" s="41" t="e">
        <f t="shared" si="200"/>
        <v>#VALUE!</v>
      </c>
      <c r="L890" s="41" t="e">
        <f t="shared" si="200"/>
        <v>#VALUE!</v>
      </c>
      <c r="M890" s="41" t="e">
        <f t="shared" si="189"/>
        <v>#VALUE!</v>
      </c>
      <c r="N890" s="41" t="e">
        <f t="shared" si="190"/>
        <v>#VALUE!</v>
      </c>
      <c r="O890" s="41">
        <f t="shared" si="191"/>
        <v>0</v>
      </c>
      <c r="Q890" s="44" t="e">
        <f t="shared" si="192"/>
        <v>#VALUE!</v>
      </c>
      <c r="R890" s="44" t="e">
        <f t="shared" si="195"/>
        <v>#VALUE!</v>
      </c>
      <c r="S890" s="44" t="e">
        <f t="shared" si="193"/>
        <v>#VALUE!</v>
      </c>
      <c r="T890" s="41" t="e">
        <f t="shared" si="196"/>
        <v>#VALUE!</v>
      </c>
      <c r="U890" s="41" t="e">
        <f t="shared" si="197"/>
        <v>#VALUE!</v>
      </c>
      <c r="V890" s="41" t="e">
        <f t="shared" si="198"/>
        <v>#VALUE!</v>
      </c>
    </row>
    <row r="891" spans="2:22" x14ac:dyDescent="0.25">
      <c r="B891" s="41" t="b">
        <f t="shared" si="199"/>
        <v>0</v>
      </c>
      <c r="C891" s="41" t="e">
        <f t="shared" si="201"/>
        <v>#VALUE!</v>
      </c>
      <c r="E891" s="45">
        <v>887</v>
      </c>
      <c r="G891" s="138"/>
      <c r="H891" s="135">
        <v>1</v>
      </c>
      <c r="I891" s="46" t="e">
        <f t="shared" si="188"/>
        <v>#VALUE!</v>
      </c>
      <c r="J891" s="41" t="e">
        <f t="shared" si="194"/>
        <v>#VALUE!</v>
      </c>
      <c r="K891" s="41" t="e">
        <f t="shared" si="200"/>
        <v>#VALUE!</v>
      </c>
      <c r="L891" s="41" t="e">
        <f t="shared" si="200"/>
        <v>#VALUE!</v>
      </c>
      <c r="M891" s="41" t="e">
        <f t="shared" si="189"/>
        <v>#VALUE!</v>
      </c>
      <c r="N891" s="41" t="e">
        <f t="shared" si="190"/>
        <v>#VALUE!</v>
      </c>
      <c r="O891" s="41">
        <f t="shared" si="191"/>
        <v>0</v>
      </c>
      <c r="Q891" s="44" t="e">
        <f t="shared" si="192"/>
        <v>#VALUE!</v>
      </c>
      <c r="R891" s="44" t="e">
        <f t="shared" si="195"/>
        <v>#VALUE!</v>
      </c>
      <c r="S891" s="44" t="e">
        <f t="shared" si="193"/>
        <v>#VALUE!</v>
      </c>
      <c r="T891" s="41" t="e">
        <f t="shared" si="196"/>
        <v>#VALUE!</v>
      </c>
      <c r="U891" s="41" t="e">
        <f t="shared" si="197"/>
        <v>#VALUE!</v>
      </c>
      <c r="V891" s="41" t="e">
        <f t="shared" si="198"/>
        <v>#VALUE!</v>
      </c>
    </row>
    <row r="892" spans="2:22" x14ac:dyDescent="0.25">
      <c r="B892" s="41" t="b">
        <f t="shared" si="199"/>
        <v>0</v>
      </c>
      <c r="C892" s="41" t="e">
        <f t="shared" si="201"/>
        <v>#VALUE!</v>
      </c>
      <c r="E892" s="45">
        <v>888</v>
      </c>
      <c r="G892" s="138"/>
      <c r="H892" s="135">
        <v>1</v>
      </c>
      <c r="I892" s="46" t="e">
        <f t="shared" si="188"/>
        <v>#VALUE!</v>
      </c>
      <c r="J892" s="41" t="e">
        <f t="shared" si="194"/>
        <v>#VALUE!</v>
      </c>
      <c r="K892" s="41" t="e">
        <f t="shared" si="200"/>
        <v>#VALUE!</v>
      </c>
      <c r="L892" s="41" t="e">
        <f t="shared" si="200"/>
        <v>#VALUE!</v>
      </c>
      <c r="M892" s="41" t="e">
        <f t="shared" si="189"/>
        <v>#VALUE!</v>
      </c>
      <c r="N892" s="41" t="e">
        <f t="shared" si="190"/>
        <v>#VALUE!</v>
      </c>
      <c r="O892" s="41">
        <f t="shared" si="191"/>
        <v>0</v>
      </c>
      <c r="Q892" s="44" t="e">
        <f t="shared" si="192"/>
        <v>#VALUE!</v>
      </c>
      <c r="R892" s="44" t="e">
        <f t="shared" si="195"/>
        <v>#VALUE!</v>
      </c>
      <c r="S892" s="44" t="e">
        <f t="shared" si="193"/>
        <v>#VALUE!</v>
      </c>
      <c r="T892" s="41" t="e">
        <f t="shared" si="196"/>
        <v>#VALUE!</v>
      </c>
      <c r="U892" s="41" t="e">
        <f t="shared" si="197"/>
        <v>#VALUE!</v>
      </c>
      <c r="V892" s="41" t="e">
        <f t="shared" si="198"/>
        <v>#VALUE!</v>
      </c>
    </row>
    <row r="893" spans="2:22" x14ac:dyDescent="0.25">
      <c r="B893" s="41" t="b">
        <f t="shared" si="199"/>
        <v>0</v>
      </c>
      <c r="C893" s="41" t="e">
        <f t="shared" si="201"/>
        <v>#VALUE!</v>
      </c>
      <c r="E893" s="45">
        <v>889</v>
      </c>
      <c r="G893" s="138"/>
      <c r="H893" s="135">
        <v>1</v>
      </c>
      <c r="I893" s="46" t="e">
        <f t="shared" si="188"/>
        <v>#VALUE!</v>
      </c>
      <c r="J893" s="41" t="e">
        <f t="shared" si="194"/>
        <v>#VALUE!</v>
      </c>
      <c r="K893" s="41" t="e">
        <f t="shared" si="200"/>
        <v>#VALUE!</v>
      </c>
      <c r="L893" s="41" t="e">
        <f t="shared" si="200"/>
        <v>#VALUE!</v>
      </c>
      <c r="M893" s="41" t="e">
        <f t="shared" si="189"/>
        <v>#VALUE!</v>
      </c>
      <c r="N893" s="41" t="e">
        <f t="shared" si="190"/>
        <v>#VALUE!</v>
      </c>
      <c r="O893" s="41">
        <f t="shared" si="191"/>
        <v>0</v>
      </c>
      <c r="Q893" s="44" t="e">
        <f t="shared" si="192"/>
        <v>#VALUE!</v>
      </c>
      <c r="R893" s="44" t="e">
        <f t="shared" si="195"/>
        <v>#VALUE!</v>
      </c>
      <c r="S893" s="44" t="e">
        <f t="shared" si="193"/>
        <v>#VALUE!</v>
      </c>
      <c r="T893" s="41" t="e">
        <f t="shared" si="196"/>
        <v>#VALUE!</v>
      </c>
      <c r="U893" s="41" t="e">
        <f t="shared" si="197"/>
        <v>#VALUE!</v>
      </c>
      <c r="V893" s="41" t="e">
        <f t="shared" si="198"/>
        <v>#VALUE!</v>
      </c>
    </row>
    <row r="894" spans="2:22" x14ac:dyDescent="0.25">
      <c r="B894" s="41" t="b">
        <f t="shared" si="199"/>
        <v>0</v>
      </c>
      <c r="C894" s="41" t="e">
        <f t="shared" si="201"/>
        <v>#VALUE!</v>
      </c>
      <c r="E894" s="45">
        <v>890</v>
      </c>
      <c r="G894" s="138"/>
      <c r="H894" s="135">
        <v>1</v>
      </c>
      <c r="I894" s="46" t="e">
        <f t="shared" si="188"/>
        <v>#VALUE!</v>
      </c>
      <c r="J894" s="41" t="e">
        <f t="shared" si="194"/>
        <v>#VALUE!</v>
      </c>
      <c r="K894" s="41" t="e">
        <f t="shared" si="200"/>
        <v>#VALUE!</v>
      </c>
      <c r="L894" s="41" t="e">
        <f t="shared" si="200"/>
        <v>#VALUE!</v>
      </c>
      <c r="M894" s="41" t="e">
        <f t="shared" si="189"/>
        <v>#VALUE!</v>
      </c>
      <c r="N894" s="41" t="e">
        <f t="shared" si="190"/>
        <v>#VALUE!</v>
      </c>
      <c r="O894" s="41">
        <f t="shared" si="191"/>
        <v>0</v>
      </c>
      <c r="Q894" s="44" t="e">
        <f t="shared" si="192"/>
        <v>#VALUE!</v>
      </c>
      <c r="R894" s="44" t="e">
        <f t="shared" si="195"/>
        <v>#VALUE!</v>
      </c>
      <c r="S894" s="44" t="e">
        <f t="shared" si="193"/>
        <v>#VALUE!</v>
      </c>
      <c r="T894" s="41" t="e">
        <f t="shared" si="196"/>
        <v>#VALUE!</v>
      </c>
      <c r="U894" s="41" t="e">
        <f t="shared" si="197"/>
        <v>#VALUE!</v>
      </c>
      <c r="V894" s="41" t="e">
        <f t="shared" si="198"/>
        <v>#VALUE!</v>
      </c>
    </row>
    <row r="895" spans="2:22" x14ac:dyDescent="0.25">
      <c r="B895" s="41" t="b">
        <f t="shared" si="199"/>
        <v>0</v>
      </c>
      <c r="C895" s="41" t="e">
        <f t="shared" si="201"/>
        <v>#VALUE!</v>
      </c>
      <c r="E895" s="45">
        <v>891</v>
      </c>
      <c r="G895" s="138"/>
      <c r="H895" s="135">
        <v>1</v>
      </c>
      <c r="I895" s="46" t="e">
        <f t="shared" si="188"/>
        <v>#VALUE!</v>
      </c>
      <c r="J895" s="41" t="e">
        <f t="shared" si="194"/>
        <v>#VALUE!</v>
      </c>
      <c r="K895" s="41" t="e">
        <f t="shared" si="200"/>
        <v>#VALUE!</v>
      </c>
      <c r="L895" s="41" t="e">
        <f t="shared" si="200"/>
        <v>#VALUE!</v>
      </c>
      <c r="M895" s="41" t="e">
        <f t="shared" si="189"/>
        <v>#VALUE!</v>
      </c>
      <c r="N895" s="41" t="e">
        <f t="shared" si="190"/>
        <v>#VALUE!</v>
      </c>
      <c r="O895" s="41">
        <f t="shared" si="191"/>
        <v>0</v>
      </c>
      <c r="Q895" s="44" t="e">
        <f t="shared" si="192"/>
        <v>#VALUE!</v>
      </c>
      <c r="R895" s="44" t="e">
        <f t="shared" si="195"/>
        <v>#VALUE!</v>
      </c>
      <c r="S895" s="44" t="e">
        <f t="shared" si="193"/>
        <v>#VALUE!</v>
      </c>
      <c r="T895" s="41" t="e">
        <f t="shared" si="196"/>
        <v>#VALUE!</v>
      </c>
      <c r="U895" s="41" t="e">
        <f t="shared" si="197"/>
        <v>#VALUE!</v>
      </c>
      <c r="V895" s="41" t="e">
        <f t="shared" si="198"/>
        <v>#VALUE!</v>
      </c>
    </row>
    <row r="896" spans="2:22" x14ac:dyDescent="0.25">
      <c r="B896" s="41" t="b">
        <f t="shared" si="199"/>
        <v>0</v>
      </c>
      <c r="C896" s="41" t="e">
        <f t="shared" si="201"/>
        <v>#VALUE!</v>
      </c>
      <c r="E896" s="45">
        <v>892</v>
      </c>
      <c r="G896" s="138"/>
      <c r="H896" s="135">
        <v>1</v>
      </c>
      <c r="I896" s="46" t="e">
        <f t="shared" si="188"/>
        <v>#VALUE!</v>
      </c>
      <c r="J896" s="41" t="e">
        <f t="shared" si="194"/>
        <v>#VALUE!</v>
      </c>
      <c r="K896" s="41" t="e">
        <f t="shared" si="200"/>
        <v>#VALUE!</v>
      </c>
      <c r="L896" s="41" t="e">
        <f t="shared" si="200"/>
        <v>#VALUE!</v>
      </c>
      <c r="M896" s="41" t="e">
        <f t="shared" si="189"/>
        <v>#VALUE!</v>
      </c>
      <c r="N896" s="41" t="e">
        <f t="shared" si="190"/>
        <v>#VALUE!</v>
      </c>
      <c r="O896" s="41">
        <f t="shared" si="191"/>
        <v>0</v>
      </c>
      <c r="Q896" s="44" t="e">
        <f t="shared" si="192"/>
        <v>#VALUE!</v>
      </c>
      <c r="R896" s="44" t="e">
        <f t="shared" si="195"/>
        <v>#VALUE!</v>
      </c>
      <c r="S896" s="44" t="e">
        <f t="shared" si="193"/>
        <v>#VALUE!</v>
      </c>
      <c r="T896" s="41" t="e">
        <f t="shared" si="196"/>
        <v>#VALUE!</v>
      </c>
      <c r="U896" s="41" t="e">
        <f t="shared" si="197"/>
        <v>#VALUE!</v>
      </c>
      <c r="V896" s="41" t="e">
        <f t="shared" si="198"/>
        <v>#VALUE!</v>
      </c>
    </row>
    <row r="897" spans="2:22" x14ac:dyDescent="0.25">
      <c r="B897" s="41" t="b">
        <f t="shared" si="199"/>
        <v>0</v>
      </c>
      <c r="C897" s="41" t="e">
        <f t="shared" si="201"/>
        <v>#VALUE!</v>
      </c>
      <c r="E897" s="45">
        <v>893</v>
      </c>
      <c r="G897" s="138"/>
      <c r="H897" s="135">
        <v>1</v>
      </c>
      <c r="I897" s="46" t="e">
        <f t="shared" si="188"/>
        <v>#VALUE!</v>
      </c>
      <c r="J897" s="41" t="e">
        <f t="shared" si="194"/>
        <v>#VALUE!</v>
      </c>
      <c r="K897" s="41" t="e">
        <f t="shared" si="200"/>
        <v>#VALUE!</v>
      </c>
      <c r="L897" s="41" t="e">
        <f t="shared" si="200"/>
        <v>#VALUE!</v>
      </c>
      <c r="M897" s="41" t="e">
        <f t="shared" si="189"/>
        <v>#VALUE!</v>
      </c>
      <c r="N897" s="41" t="e">
        <f t="shared" si="190"/>
        <v>#VALUE!</v>
      </c>
      <c r="O897" s="41">
        <f t="shared" si="191"/>
        <v>0</v>
      </c>
      <c r="Q897" s="44" t="e">
        <f t="shared" si="192"/>
        <v>#VALUE!</v>
      </c>
      <c r="R897" s="44" t="e">
        <f t="shared" si="195"/>
        <v>#VALUE!</v>
      </c>
      <c r="S897" s="44" t="e">
        <f t="shared" si="193"/>
        <v>#VALUE!</v>
      </c>
      <c r="T897" s="41" t="e">
        <f t="shared" si="196"/>
        <v>#VALUE!</v>
      </c>
      <c r="U897" s="41" t="e">
        <f t="shared" si="197"/>
        <v>#VALUE!</v>
      </c>
      <c r="V897" s="41" t="e">
        <f t="shared" si="198"/>
        <v>#VALUE!</v>
      </c>
    </row>
    <row r="898" spans="2:22" x14ac:dyDescent="0.25">
      <c r="B898" s="41" t="b">
        <f t="shared" si="199"/>
        <v>0</v>
      </c>
      <c r="C898" s="41" t="e">
        <f t="shared" si="201"/>
        <v>#VALUE!</v>
      </c>
      <c r="E898" s="45">
        <v>894</v>
      </c>
      <c r="G898" s="138"/>
      <c r="H898" s="135">
        <v>1</v>
      </c>
      <c r="I898" s="46" t="e">
        <f t="shared" si="188"/>
        <v>#VALUE!</v>
      </c>
      <c r="J898" s="41" t="e">
        <f t="shared" si="194"/>
        <v>#VALUE!</v>
      </c>
      <c r="K898" s="41" t="e">
        <f t="shared" si="200"/>
        <v>#VALUE!</v>
      </c>
      <c r="L898" s="41" t="e">
        <f t="shared" si="200"/>
        <v>#VALUE!</v>
      </c>
      <c r="M898" s="41" t="e">
        <f t="shared" si="189"/>
        <v>#VALUE!</v>
      </c>
      <c r="N898" s="41" t="e">
        <f t="shared" si="190"/>
        <v>#VALUE!</v>
      </c>
      <c r="O898" s="41">
        <f t="shared" si="191"/>
        <v>0</v>
      </c>
      <c r="Q898" s="44" t="e">
        <f t="shared" si="192"/>
        <v>#VALUE!</v>
      </c>
      <c r="R898" s="44" t="e">
        <f t="shared" si="195"/>
        <v>#VALUE!</v>
      </c>
      <c r="S898" s="44" t="e">
        <f t="shared" si="193"/>
        <v>#VALUE!</v>
      </c>
      <c r="T898" s="41" t="e">
        <f t="shared" si="196"/>
        <v>#VALUE!</v>
      </c>
      <c r="U898" s="41" t="e">
        <f t="shared" si="197"/>
        <v>#VALUE!</v>
      </c>
      <c r="V898" s="41" t="e">
        <f t="shared" si="198"/>
        <v>#VALUE!</v>
      </c>
    </row>
    <row r="899" spans="2:22" x14ac:dyDescent="0.25">
      <c r="B899" s="41" t="b">
        <f t="shared" si="199"/>
        <v>0</v>
      </c>
      <c r="C899" s="41" t="e">
        <f t="shared" si="201"/>
        <v>#VALUE!</v>
      </c>
      <c r="E899" s="45">
        <v>895</v>
      </c>
      <c r="G899" s="138"/>
      <c r="H899" s="135">
        <v>1</v>
      </c>
      <c r="I899" s="46" t="e">
        <f t="shared" si="188"/>
        <v>#VALUE!</v>
      </c>
      <c r="J899" s="41" t="e">
        <f t="shared" si="194"/>
        <v>#VALUE!</v>
      </c>
      <c r="K899" s="41" t="e">
        <f t="shared" si="200"/>
        <v>#VALUE!</v>
      </c>
      <c r="L899" s="41" t="e">
        <f t="shared" si="200"/>
        <v>#VALUE!</v>
      </c>
      <c r="M899" s="41" t="e">
        <f t="shared" si="189"/>
        <v>#VALUE!</v>
      </c>
      <c r="N899" s="41" t="e">
        <f t="shared" si="190"/>
        <v>#VALUE!</v>
      </c>
      <c r="O899" s="41">
        <f t="shared" si="191"/>
        <v>0</v>
      </c>
      <c r="Q899" s="44" t="e">
        <f t="shared" si="192"/>
        <v>#VALUE!</v>
      </c>
      <c r="R899" s="44" t="e">
        <f t="shared" si="195"/>
        <v>#VALUE!</v>
      </c>
      <c r="S899" s="44" t="e">
        <f t="shared" si="193"/>
        <v>#VALUE!</v>
      </c>
      <c r="T899" s="41" t="e">
        <f t="shared" si="196"/>
        <v>#VALUE!</v>
      </c>
      <c r="U899" s="41" t="e">
        <f t="shared" si="197"/>
        <v>#VALUE!</v>
      </c>
      <c r="V899" s="41" t="e">
        <f t="shared" si="198"/>
        <v>#VALUE!</v>
      </c>
    </row>
    <row r="900" spans="2:22" x14ac:dyDescent="0.25">
      <c r="B900" s="41" t="b">
        <f t="shared" si="199"/>
        <v>0</v>
      </c>
      <c r="C900" s="41" t="e">
        <f t="shared" si="201"/>
        <v>#VALUE!</v>
      </c>
      <c r="E900" s="45">
        <v>896</v>
      </c>
      <c r="G900" s="138"/>
      <c r="H900" s="135">
        <v>1</v>
      </c>
      <c r="I900" s="46" t="e">
        <f t="shared" ref="I900:I963" si="202">RIGHT(G900,J900)</f>
        <v>#VALUE!</v>
      </c>
      <c r="J900" s="41" t="e">
        <f t="shared" si="194"/>
        <v>#VALUE!</v>
      </c>
      <c r="K900" s="41" t="e">
        <f t="shared" si="200"/>
        <v>#VALUE!</v>
      </c>
      <c r="L900" s="41" t="e">
        <f t="shared" si="200"/>
        <v>#VALUE!</v>
      </c>
      <c r="M900" s="41" t="e">
        <f t="shared" ref="M900:M963" si="203">SEARCH("-",G900,2)</f>
        <v>#VALUE!</v>
      </c>
      <c r="N900" s="41" t="e">
        <f t="shared" ref="N900:N963" si="204">SEARCH("-",G900,M900+1)</f>
        <v>#VALUE!</v>
      </c>
      <c r="O900" s="41">
        <f t="shared" ref="O900:O963" si="205">LEN(G900)</f>
        <v>0</v>
      </c>
      <c r="Q900" s="44" t="e">
        <f t="shared" ref="Q900:Q963" si="206">LEFT(G900,M900-1)</f>
        <v>#VALUE!</v>
      </c>
      <c r="R900" s="44" t="e">
        <f t="shared" si="195"/>
        <v>#VALUE!</v>
      </c>
      <c r="S900" s="44" t="e">
        <f t="shared" ref="S900:S963" si="207">RIGHT(G900,L900)</f>
        <v>#VALUE!</v>
      </c>
      <c r="T900" s="41" t="e">
        <f t="shared" si="196"/>
        <v>#VALUE!</v>
      </c>
      <c r="U900" s="41" t="e">
        <f t="shared" si="197"/>
        <v>#VALUE!</v>
      </c>
      <c r="V900" s="41" t="e">
        <f t="shared" si="198"/>
        <v>#VALUE!</v>
      </c>
    </row>
    <row r="901" spans="2:22" x14ac:dyDescent="0.25">
      <c r="B901" s="41" t="b">
        <f t="shared" si="199"/>
        <v>0</v>
      </c>
      <c r="C901" s="41" t="e">
        <f t="shared" si="201"/>
        <v>#VALUE!</v>
      </c>
      <c r="E901" s="45">
        <v>897</v>
      </c>
      <c r="G901" s="138"/>
      <c r="H901" s="135">
        <v>1</v>
      </c>
      <c r="I901" s="46" t="e">
        <f t="shared" si="202"/>
        <v>#VALUE!</v>
      </c>
      <c r="J901" s="41" t="e">
        <f t="shared" ref="J901:J964" si="208">O901-M901</f>
        <v>#VALUE!</v>
      </c>
      <c r="K901" s="41" t="e">
        <f t="shared" si="200"/>
        <v>#VALUE!</v>
      </c>
      <c r="L901" s="41" t="e">
        <f t="shared" si="200"/>
        <v>#VALUE!</v>
      </c>
      <c r="M901" s="41" t="e">
        <f t="shared" si="203"/>
        <v>#VALUE!</v>
      </c>
      <c r="N901" s="41" t="e">
        <f t="shared" si="204"/>
        <v>#VALUE!</v>
      </c>
      <c r="O901" s="41">
        <f t="shared" si="205"/>
        <v>0</v>
      </c>
      <c r="Q901" s="44" t="e">
        <f t="shared" si="206"/>
        <v>#VALUE!</v>
      </c>
      <c r="R901" s="44" t="e">
        <f t="shared" ref="R901:R964" si="209">LEFT(I901,K901-1)</f>
        <v>#VALUE!</v>
      </c>
      <c r="S901" s="44" t="e">
        <f t="shared" si="207"/>
        <v>#VALUE!</v>
      </c>
      <c r="T901" s="41" t="e">
        <f t="shared" ref="T901:T964" si="210">Q901*1*H901</f>
        <v>#VALUE!</v>
      </c>
      <c r="U901" s="41" t="e">
        <f t="shared" ref="U901:U964" si="211">R901*1*H901</f>
        <v>#VALUE!</v>
      </c>
      <c r="V901" s="41" t="e">
        <f t="shared" ref="V901:V964" si="212">S901*1*H901</f>
        <v>#VALUE!</v>
      </c>
    </row>
    <row r="902" spans="2:22" x14ac:dyDescent="0.25">
      <c r="B902" s="41" t="b">
        <f t="shared" si="199"/>
        <v>0</v>
      </c>
      <c r="C902" s="41" t="e">
        <f t="shared" si="201"/>
        <v>#VALUE!</v>
      </c>
      <c r="E902" s="45">
        <v>898</v>
      </c>
      <c r="G902" s="138"/>
      <c r="H902" s="135">
        <v>1</v>
      </c>
      <c r="I902" s="46" t="e">
        <f t="shared" si="202"/>
        <v>#VALUE!</v>
      </c>
      <c r="J902" s="41" t="e">
        <f t="shared" si="208"/>
        <v>#VALUE!</v>
      </c>
      <c r="K902" s="41" t="e">
        <f t="shared" si="200"/>
        <v>#VALUE!</v>
      </c>
      <c r="L902" s="41" t="e">
        <f t="shared" si="200"/>
        <v>#VALUE!</v>
      </c>
      <c r="M902" s="41" t="e">
        <f t="shared" si="203"/>
        <v>#VALUE!</v>
      </c>
      <c r="N902" s="41" t="e">
        <f t="shared" si="204"/>
        <v>#VALUE!</v>
      </c>
      <c r="O902" s="41">
        <f t="shared" si="205"/>
        <v>0</v>
      </c>
      <c r="Q902" s="44" t="e">
        <f t="shared" si="206"/>
        <v>#VALUE!</v>
      </c>
      <c r="R902" s="44" t="e">
        <f t="shared" si="209"/>
        <v>#VALUE!</v>
      </c>
      <c r="S902" s="44" t="e">
        <f t="shared" si="207"/>
        <v>#VALUE!</v>
      </c>
      <c r="T902" s="41" t="e">
        <f t="shared" si="210"/>
        <v>#VALUE!</v>
      </c>
      <c r="U902" s="41" t="e">
        <f t="shared" si="211"/>
        <v>#VALUE!</v>
      </c>
      <c r="V902" s="41" t="e">
        <f t="shared" si="212"/>
        <v>#VALUE!</v>
      </c>
    </row>
    <row r="903" spans="2:22" x14ac:dyDescent="0.25">
      <c r="B903" s="41" t="b">
        <f t="shared" si="199"/>
        <v>0</v>
      </c>
      <c r="C903" s="41" t="e">
        <f t="shared" si="201"/>
        <v>#VALUE!</v>
      </c>
      <c r="E903" s="45">
        <v>899</v>
      </c>
      <c r="G903" s="138"/>
      <c r="H903" s="135">
        <v>1</v>
      </c>
      <c r="I903" s="46" t="e">
        <f t="shared" si="202"/>
        <v>#VALUE!</v>
      </c>
      <c r="J903" s="41" t="e">
        <f t="shared" si="208"/>
        <v>#VALUE!</v>
      </c>
      <c r="K903" s="41" t="e">
        <f t="shared" si="200"/>
        <v>#VALUE!</v>
      </c>
      <c r="L903" s="41" t="e">
        <f t="shared" si="200"/>
        <v>#VALUE!</v>
      </c>
      <c r="M903" s="41" t="e">
        <f t="shared" si="203"/>
        <v>#VALUE!</v>
      </c>
      <c r="N903" s="41" t="e">
        <f t="shared" si="204"/>
        <v>#VALUE!</v>
      </c>
      <c r="O903" s="41">
        <f t="shared" si="205"/>
        <v>0</v>
      </c>
      <c r="Q903" s="44" t="e">
        <f t="shared" si="206"/>
        <v>#VALUE!</v>
      </c>
      <c r="R903" s="44" t="e">
        <f t="shared" si="209"/>
        <v>#VALUE!</v>
      </c>
      <c r="S903" s="44" t="e">
        <f t="shared" si="207"/>
        <v>#VALUE!</v>
      </c>
      <c r="T903" s="41" t="e">
        <f t="shared" si="210"/>
        <v>#VALUE!</v>
      </c>
      <c r="U903" s="41" t="e">
        <f t="shared" si="211"/>
        <v>#VALUE!</v>
      </c>
      <c r="V903" s="41" t="e">
        <f t="shared" si="212"/>
        <v>#VALUE!</v>
      </c>
    </row>
    <row r="904" spans="2:22" x14ac:dyDescent="0.25">
      <c r="B904" s="41" t="b">
        <f t="shared" si="199"/>
        <v>0</v>
      </c>
      <c r="C904" s="41" t="e">
        <f t="shared" si="201"/>
        <v>#VALUE!</v>
      </c>
      <c r="E904" s="45">
        <v>900</v>
      </c>
      <c r="G904" s="138"/>
      <c r="H904" s="135">
        <v>1</v>
      </c>
      <c r="I904" s="46" t="e">
        <f t="shared" si="202"/>
        <v>#VALUE!</v>
      </c>
      <c r="J904" s="41" t="e">
        <f t="shared" si="208"/>
        <v>#VALUE!</v>
      </c>
      <c r="K904" s="41" t="e">
        <f t="shared" si="200"/>
        <v>#VALUE!</v>
      </c>
      <c r="L904" s="41" t="e">
        <f t="shared" si="200"/>
        <v>#VALUE!</v>
      </c>
      <c r="M904" s="41" t="e">
        <f t="shared" si="203"/>
        <v>#VALUE!</v>
      </c>
      <c r="N904" s="41" t="e">
        <f t="shared" si="204"/>
        <v>#VALUE!</v>
      </c>
      <c r="O904" s="41">
        <f t="shared" si="205"/>
        <v>0</v>
      </c>
      <c r="Q904" s="44" t="e">
        <f t="shared" si="206"/>
        <v>#VALUE!</v>
      </c>
      <c r="R904" s="44" t="e">
        <f t="shared" si="209"/>
        <v>#VALUE!</v>
      </c>
      <c r="S904" s="44" t="e">
        <f t="shared" si="207"/>
        <v>#VALUE!</v>
      </c>
      <c r="T904" s="41" t="e">
        <f t="shared" si="210"/>
        <v>#VALUE!</v>
      </c>
      <c r="U904" s="41" t="e">
        <f t="shared" si="211"/>
        <v>#VALUE!</v>
      </c>
      <c r="V904" s="41" t="e">
        <f t="shared" si="212"/>
        <v>#VALUE!</v>
      </c>
    </row>
    <row r="905" spans="2:22" x14ac:dyDescent="0.25">
      <c r="B905" s="41" t="b">
        <f t="shared" si="199"/>
        <v>0</v>
      </c>
      <c r="C905" s="41" t="e">
        <f t="shared" si="201"/>
        <v>#VALUE!</v>
      </c>
      <c r="E905" s="45">
        <v>901</v>
      </c>
      <c r="G905" s="138"/>
      <c r="H905" s="135">
        <v>1</v>
      </c>
      <c r="I905" s="46" t="e">
        <f t="shared" si="202"/>
        <v>#VALUE!</v>
      </c>
      <c r="J905" s="41" t="e">
        <f t="shared" si="208"/>
        <v>#VALUE!</v>
      </c>
      <c r="K905" s="41" t="e">
        <f t="shared" si="200"/>
        <v>#VALUE!</v>
      </c>
      <c r="L905" s="41" t="e">
        <f t="shared" si="200"/>
        <v>#VALUE!</v>
      </c>
      <c r="M905" s="41" t="e">
        <f t="shared" si="203"/>
        <v>#VALUE!</v>
      </c>
      <c r="N905" s="41" t="e">
        <f t="shared" si="204"/>
        <v>#VALUE!</v>
      </c>
      <c r="O905" s="41">
        <f t="shared" si="205"/>
        <v>0</v>
      </c>
      <c r="Q905" s="44" t="e">
        <f t="shared" si="206"/>
        <v>#VALUE!</v>
      </c>
      <c r="R905" s="44" t="e">
        <f t="shared" si="209"/>
        <v>#VALUE!</v>
      </c>
      <c r="S905" s="44" t="e">
        <f t="shared" si="207"/>
        <v>#VALUE!</v>
      </c>
      <c r="T905" s="41" t="e">
        <f t="shared" si="210"/>
        <v>#VALUE!</v>
      </c>
      <c r="U905" s="41" t="e">
        <f t="shared" si="211"/>
        <v>#VALUE!</v>
      </c>
      <c r="V905" s="41" t="e">
        <f t="shared" si="212"/>
        <v>#VALUE!</v>
      </c>
    </row>
    <row r="906" spans="2:22" x14ac:dyDescent="0.25">
      <c r="B906" s="41" t="b">
        <f t="shared" si="199"/>
        <v>0</v>
      </c>
      <c r="C906" s="41" t="e">
        <f t="shared" si="201"/>
        <v>#VALUE!</v>
      </c>
      <c r="E906" s="45">
        <v>902</v>
      </c>
      <c r="G906" s="138"/>
      <c r="H906" s="135">
        <v>1</v>
      </c>
      <c r="I906" s="46" t="e">
        <f t="shared" si="202"/>
        <v>#VALUE!</v>
      </c>
      <c r="J906" s="41" t="e">
        <f t="shared" si="208"/>
        <v>#VALUE!</v>
      </c>
      <c r="K906" s="41" t="e">
        <f t="shared" si="200"/>
        <v>#VALUE!</v>
      </c>
      <c r="L906" s="41" t="e">
        <f t="shared" si="200"/>
        <v>#VALUE!</v>
      </c>
      <c r="M906" s="41" t="e">
        <f t="shared" si="203"/>
        <v>#VALUE!</v>
      </c>
      <c r="N906" s="41" t="e">
        <f t="shared" si="204"/>
        <v>#VALUE!</v>
      </c>
      <c r="O906" s="41">
        <f t="shared" si="205"/>
        <v>0</v>
      </c>
      <c r="Q906" s="44" t="e">
        <f t="shared" si="206"/>
        <v>#VALUE!</v>
      </c>
      <c r="R906" s="44" t="e">
        <f t="shared" si="209"/>
        <v>#VALUE!</v>
      </c>
      <c r="S906" s="44" t="e">
        <f t="shared" si="207"/>
        <v>#VALUE!</v>
      </c>
      <c r="T906" s="41" t="e">
        <f t="shared" si="210"/>
        <v>#VALUE!</v>
      </c>
      <c r="U906" s="41" t="e">
        <f t="shared" si="211"/>
        <v>#VALUE!</v>
      </c>
      <c r="V906" s="41" t="e">
        <f t="shared" si="212"/>
        <v>#VALUE!</v>
      </c>
    </row>
    <row r="907" spans="2:22" x14ac:dyDescent="0.25">
      <c r="B907" s="41" t="b">
        <f t="shared" si="199"/>
        <v>0</v>
      </c>
      <c r="C907" s="41" t="e">
        <f t="shared" si="201"/>
        <v>#VALUE!</v>
      </c>
      <c r="E907" s="45">
        <v>903</v>
      </c>
      <c r="G907" s="138"/>
      <c r="H907" s="135">
        <v>1</v>
      </c>
      <c r="I907" s="46" t="e">
        <f t="shared" si="202"/>
        <v>#VALUE!</v>
      </c>
      <c r="J907" s="41" t="e">
        <f t="shared" si="208"/>
        <v>#VALUE!</v>
      </c>
      <c r="K907" s="41" t="e">
        <f t="shared" si="200"/>
        <v>#VALUE!</v>
      </c>
      <c r="L907" s="41" t="e">
        <f t="shared" si="200"/>
        <v>#VALUE!</v>
      </c>
      <c r="M907" s="41" t="e">
        <f t="shared" si="203"/>
        <v>#VALUE!</v>
      </c>
      <c r="N907" s="41" t="e">
        <f t="shared" si="204"/>
        <v>#VALUE!</v>
      </c>
      <c r="O907" s="41">
        <f t="shared" si="205"/>
        <v>0</v>
      </c>
      <c r="Q907" s="44" t="e">
        <f t="shared" si="206"/>
        <v>#VALUE!</v>
      </c>
      <c r="R907" s="44" t="e">
        <f t="shared" si="209"/>
        <v>#VALUE!</v>
      </c>
      <c r="S907" s="44" t="e">
        <f t="shared" si="207"/>
        <v>#VALUE!</v>
      </c>
      <c r="T907" s="41" t="e">
        <f t="shared" si="210"/>
        <v>#VALUE!</v>
      </c>
      <c r="U907" s="41" t="e">
        <f t="shared" si="211"/>
        <v>#VALUE!</v>
      </c>
      <c r="V907" s="41" t="e">
        <f t="shared" si="212"/>
        <v>#VALUE!</v>
      </c>
    </row>
    <row r="908" spans="2:22" x14ac:dyDescent="0.25">
      <c r="B908" s="41" t="b">
        <f t="shared" si="199"/>
        <v>0</v>
      </c>
      <c r="C908" s="41" t="e">
        <f t="shared" si="201"/>
        <v>#VALUE!</v>
      </c>
      <c r="E908" s="45">
        <v>904</v>
      </c>
      <c r="G908" s="138"/>
      <c r="H908" s="135">
        <v>1</v>
      </c>
      <c r="I908" s="46" t="e">
        <f t="shared" si="202"/>
        <v>#VALUE!</v>
      </c>
      <c r="J908" s="41" t="e">
        <f t="shared" si="208"/>
        <v>#VALUE!</v>
      </c>
      <c r="K908" s="41" t="e">
        <f t="shared" si="200"/>
        <v>#VALUE!</v>
      </c>
      <c r="L908" s="41" t="e">
        <f t="shared" si="200"/>
        <v>#VALUE!</v>
      </c>
      <c r="M908" s="41" t="e">
        <f t="shared" si="203"/>
        <v>#VALUE!</v>
      </c>
      <c r="N908" s="41" t="e">
        <f t="shared" si="204"/>
        <v>#VALUE!</v>
      </c>
      <c r="O908" s="41">
        <f t="shared" si="205"/>
        <v>0</v>
      </c>
      <c r="Q908" s="44" t="e">
        <f t="shared" si="206"/>
        <v>#VALUE!</v>
      </c>
      <c r="R908" s="44" t="e">
        <f t="shared" si="209"/>
        <v>#VALUE!</v>
      </c>
      <c r="S908" s="44" t="e">
        <f t="shared" si="207"/>
        <v>#VALUE!</v>
      </c>
      <c r="T908" s="41" t="e">
        <f t="shared" si="210"/>
        <v>#VALUE!</v>
      </c>
      <c r="U908" s="41" t="e">
        <f t="shared" si="211"/>
        <v>#VALUE!</v>
      </c>
      <c r="V908" s="41" t="e">
        <f t="shared" si="212"/>
        <v>#VALUE!</v>
      </c>
    </row>
    <row r="909" spans="2:22" x14ac:dyDescent="0.25">
      <c r="B909" s="41" t="b">
        <f t="shared" si="199"/>
        <v>0</v>
      </c>
      <c r="C909" s="41" t="e">
        <f t="shared" si="201"/>
        <v>#VALUE!</v>
      </c>
      <c r="E909" s="45">
        <v>905</v>
      </c>
      <c r="G909" s="138"/>
      <c r="H909" s="135">
        <v>1</v>
      </c>
      <c r="I909" s="46" t="e">
        <f t="shared" si="202"/>
        <v>#VALUE!</v>
      </c>
      <c r="J909" s="41" t="e">
        <f t="shared" si="208"/>
        <v>#VALUE!</v>
      </c>
      <c r="K909" s="41" t="e">
        <f t="shared" si="200"/>
        <v>#VALUE!</v>
      </c>
      <c r="L909" s="41" t="e">
        <f t="shared" si="200"/>
        <v>#VALUE!</v>
      </c>
      <c r="M909" s="41" t="e">
        <f t="shared" si="203"/>
        <v>#VALUE!</v>
      </c>
      <c r="N909" s="41" t="e">
        <f t="shared" si="204"/>
        <v>#VALUE!</v>
      </c>
      <c r="O909" s="41">
        <f t="shared" si="205"/>
        <v>0</v>
      </c>
      <c r="Q909" s="44" t="e">
        <f t="shared" si="206"/>
        <v>#VALUE!</v>
      </c>
      <c r="R909" s="44" t="e">
        <f t="shared" si="209"/>
        <v>#VALUE!</v>
      </c>
      <c r="S909" s="44" t="e">
        <f t="shared" si="207"/>
        <v>#VALUE!</v>
      </c>
      <c r="T909" s="41" t="e">
        <f t="shared" si="210"/>
        <v>#VALUE!</v>
      </c>
      <c r="U909" s="41" t="e">
        <f t="shared" si="211"/>
        <v>#VALUE!</v>
      </c>
      <c r="V909" s="41" t="e">
        <f t="shared" si="212"/>
        <v>#VALUE!</v>
      </c>
    </row>
    <row r="910" spans="2:22" x14ac:dyDescent="0.25">
      <c r="B910" s="41" t="b">
        <f t="shared" ref="B910:B973" si="213">ISNUMBER(C910)</f>
        <v>0</v>
      </c>
      <c r="C910" s="41" t="e">
        <f t="shared" si="201"/>
        <v>#VALUE!</v>
      </c>
      <c r="E910" s="45">
        <v>906</v>
      </c>
      <c r="G910" s="138"/>
      <c r="H910" s="135">
        <v>1</v>
      </c>
      <c r="I910" s="46" t="e">
        <f t="shared" si="202"/>
        <v>#VALUE!</v>
      </c>
      <c r="J910" s="41" t="e">
        <f t="shared" si="208"/>
        <v>#VALUE!</v>
      </c>
      <c r="K910" s="41" t="e">
        <f t="shared" si="200"/>
        <v>#VALUE!</v>
      </c>
      <c r="L910" s="41" t="e">
        <f t="shared" si="200"/>
        <v>#VALUE!</v>
      </c>
      <c r="M910" s="41" t="e">
        <f t="shared" si="203"/>
        <v>#VALUE!</v>
      </c>
      <c r="N910" s="41" t="e">
        <f t="shared" si="204"/>
        <v>#VALUE!</v>
      </c>
      <c r="O910" s="41">
        <f t="shared" si="205"/>
        <v>0</v>
      </c>
      <c r="Q910" s="44" t="e">
        <f t="shared" si="206"/>
        <v>#VALUE!</v>
      </c>
      <c r="R910" s="44" t="e">
        <f t="shared" si="209"/>
        <v>#VALUE!</v>
      </c>
      <c r="S910" s="44" t="e">
        <f t="shared" si="207"/>
        <v>#VALUE!</v>
      </c>
      <c r="T910" s="41" t="e">
        <f t="shared" si="210"/>
        <v>#VALUE!</v>
      </c>
      <c r="U910" s="41" t="e">
        <f t="shared" si="211"/>
        <v>#VALUE!</v>
      </c>
      <c r="V910" s="41" t="e">
        <f t="shared" si="212"/>
        <v>#VALUE!</v>
      </c>
    </row>
    <row r="911" spans="2:22" x14ac:dyDescent="0.25">
      <c r="B911" s="41" t="b">
        <f t="shared" si="213"/>
        <v>0</v>
      </c>
      <c r="C911" s="41" t="e">
        <f t="shared" si="201"/>
        <v>#VALUE!</v>
      </c>
      <c r="E911" s="45">
        <v>907</v>
      </c>
      <c r="G911" s="138"/>
      <c r="H911" s="135">
        <v>1</v>
      </c>
      <c r="I911" s="46" t="e">
        <f t="shared" si="202"/>
        <v>#VALUE!</v>
      </c>
      <c r="J911" s="41" t="e">
        <f t="shared" si="208"/>
        <v>#VALUE!</v>
      </c>
      <c r="K911" s="41" t="e">
        <f t="shared" si="200"/>
        <v>#VALUE!</v>
      </c>
      <c r="L911" s="41" t="e">
        <f t="shared" si="200"/>
        <v>#VALUE!</v>
      </c>
      <c r="M911" s="41" t="e">
        <f t="shared" si="203"/>
        <v>#VALUE!</v>
      </c>
      <c r="N911" s="41" t="e">
        <f t="shared" si="204"/>
        <v>#VALUE!</v>
      </c>
      <c r="O911" s="41">
        <f t="shared" si="205"/>
        <v>0</v>
      </c>
      <c r="Q911" s="44" t="e">
        <f t="shared" si="206"/>
        <v>#VALUE!</v>
      </c>
      <c r="R911" s="44" t="e">
        <f t="shared" si="209"/>
        <v>#VALUE!</v>
      </c>
      <c r="S911" s="44" t="e">
        <f t="shared" si="207"/>
        <v>#VALUE!</v>
      </c>
      <c r="T911" s="41" t="e">
        <f t="shared" si="210"/>
        <v>#VALUE!</v>
      </c>
      <c r="U911" s="41" t="e">
        <f t="shared" si="211"/>
        <v>#VALUE!</v>
      </c>
      <c r="V911" s="41" t="e">
        <f t="shared" si="212"/>
        <v>#VALUE!</v>
      </c>
    </row>
    <row r="912" spans="2:22" x14ac:dyDescent="0.25">
      <c r="B912" s="41" t="b">
        <f t="shared" si="213"/>
        <v>0</v>
      </c>
      <c r="C912" s="41" t="e">
        <f t="shared" si="201"/>
        <v>#VALUE!</v>
      </c>
      <c r="E912" s="45">
        <v>908</v>
      </c>
      <c r="G912" s="138"/>
      <c r="H912" s="135">
        <v>1</v>
      </c>
      <c r="I912" s="46" t="e">
        <f t="shared" si="202"/>
        <v>#VALUE!</v>
      </c>
      <c r="J912" s="41" t="e">
        <f t="shared" si="208"/>
        <v>#VALUE!</v>
      </c>
      <c r="K912" s="41" t="e">
        <f t="shared" si="200"/>
        <v>#VALUE!</v>
      </c>
      <c r="L912" s="41" t="e">
        <f t="shared" si="200"/>
        <v>#VALUE!</v>
      </c>
      <c r="M912" s="41" t="e">
        <f t="shared" si="203"/>
        <v>#VALUE!</v>
      </c>
      <c r="N912" s="41" t="e">
        <f t="shared" si="204"/>
        <v>#VALUE!</v>
      </c>
      <c r="O912" s="41">
        <f t="shared" si="205"/>
        <v>0</v>
      </c>
      <c r="Q912" s="44" t="e">
        <f t="shared" si="206"/>
        <v>#VALUE!</v>
      </c>
      <c r="R912" s="44" t="e">
        <f t="shared" si="209"/>
        <v>#VALUE!</v>
      </c>
      <c r="S912" s="44" t="e">
        <f t="shared" si="207"/>
        <v>#VALUE!</v>
      </c>
      <c r="T912" s="41" t="e">
        <f t="shared" si="210"/>
        <v>#VALUE!</v>
      </c>
      <c r="U912" s="41" t="e">
        <f t="shared" si="211"/>
        <v>#VALUE!</v>
      </c>
      <c r="V912" s="41" t="e">
        <f t="shared" si="212"/>
        <v>#VALUE!</v>
      </c>
    </row>
    <row r="913" spans="2:22" x14ac:dyDescent="0.25">
      <c r="B913" s="41" t="b">
        <f t="shared" si="213"/>
        <v>0</v>
      </c>
      <c r="C913" s="41" t="e">
        <f t="shared" si="201"/>
        <v>#VALUE!</v>
      </c>
      <c r="E913" s="45">
        <v>909</v>
      </c>
      <c r="G913" s="138"/>
      <c r="H913" s="135">
        <v>1</v>
      </c>
      <c r="I913" s="46" t="e">
        <f t="shared" si="202"/>
        <v>#VALUE!</v>
      </c>
      <c r="J913" s="41" t="e">
        <f t="shared" si="208"/>
        <v>#VALUE!</v>
      </c>
      <c r="K913" s="41" t="e">
        <f t="shared" si="200"/>
        <v>#VALUE!</v>
      </c>
      <c r="L913" s="41" t="e">
        <f t="shared" si="200"/>
        <v>#VALUE!</v>
      </c>
      <c r="M913" s="41" t="e">
        <f t="shared" si="203"/>
        <v>#VALUE!</v>
      </c>
      <c r="N913" s="41" t="e">
        <f t="shared" si="204"/>
        <v>#VALUE!</v>
      </c>
      <c r="O913" s="41">
        <f t="shared" si="205"/>
        <v>0</v>
      </c>
      <c r="Q913" s="44" t="e">
        <f t="shared" si="206"/>
        <v>#VALUE!</v>
      </c>
      <c r="R913" s="44" t="e">
        <f t="shared" si="209"/>
        <v>#VALUE!</v>
      </c>
      <c r="S913" s="44" t="e">
        <f t="shared" si="207"/>
        <v>#VALUE!</v>
      </c>
      <c r="T913" s="41" t="e">
        <f t="shared" si="210"/>
        <v>#VALUE!</v>
      </c>
      <c r="U913" s="41" t="e">
        <f t="shared" si="211"/>
        <v>#VALUE!</v>
      </c>
      <c r="V913" s="41" t="e">
        <f t="shared" si="212"/>
        <v>#VALUE!</v>
      </c>
    </row>
    <row r="914" spans="2:22" x14ac:dyDescent="0.25">
      <c r="B914" s="41" t="b">
        <f t="shared" si="213"/>
        <v>0</v>
      </c>
      <c r="C914" s="41" t="e">
        <f t="shared" si="201"/>
        <v>#VALUE!</v>
      </c>
      <c r="E914" s="45">
        <v>910</v>
      </c>
      <c r="G914" s="138"/>
      <c r="H914" s="135">
        <v>1</v>
      </c>
      <c r="I914" s="46" t="e">
        <f t="shared" si="202"/>
        <v>#VALUE!</v>
      </c>
      <c r="J914" s="41" t="e">
        <f t="shared" si="208"/>
        <v>#VALUE!</v>
      </c>
      <c r="K914" s="41" t="e">
        <f t="shared" si="200"/>
        <v>#VALUE!</v>
      </c>
      <c r="L914" s="41" t="e">
        <f t="shared" si="200"/>
        <v>#VALUE!</v>
      </c>
      <c r="M914" s="41" t="e">
        <f t="shared" si="203"/>
        <v>#VALUE!</v>
      </c>
      <c r="N914" s="41" t="e">
        <f t="shared" si="204"/>
        <v>#VALUE!</v>
      </c>
      <c r="O914" s="41">
        <f t="shared" si="205"/>
        <v>0</v>
      </c>
      <c r="Q914" s="44" t="e">
        <f t="shared" si="206"/>
        <v>#VALUE!</v>
      </c>
      <c r="R914" s="44" t="e">
        <f t="shared" si="209"/>
        <v>#VALUE!</v>
      </c>
      <c r="S914" s="44" t="e">
        <f t="shared" si="207"/>
        <v>#VALUE!</v>
      </c>
      <c r="T914" s="41" t="e">
        <f t="shared" si="210"/>
        <v>#VALUE!</v>
      </c>
      <c r="U914" s="41" t="e">
        <f t="shared" si="211"/>
        <v>#VALUE!</v>
      </c>
      <c r="V914" s="41" t="e">
        <f t="shared" si="212"/>
        <v>#VALUE!</v>
      </c>
    </row>
    <row r="915" spans="2:22" x14ac:dyDescent="0.25">
      <c r="B915" s="41" t="b">
        <f t="shared" si="213"/>
        <v>0</v>
      </c>
      <c r="C915" s="41" t="e">
        <f t="shared" si="201"/>
        <v>#VALUE!</v>
      </c>
      <c r="E915" s="45">
        <v>911</v>
      </c>
      <c r="G915" s="138"/>
      <c r="H915" s="135">
        <v>1</v>
      </c>
      <c r="I915" s="46" t="e">
        <f t="shared" si="202"/>
        <v>#VALUE!</v>
      </c>
      <c r="J915" s="41" t="e">
        <f t="shared" si="208"/>
        <v>#VALUE!</v>
      </c>
      <c r="K915" s="41" t="e">
        <f t="shared" si="200"/>
        <v>#VALUE!</v>
      </c>
      <c r="L915" s="41" t="e">
        <f t="shared" si="200"/>
        <v>#VALUE!</v>
      </c>
      <c r="M915" s="41" t="e">
        <f t="shared" si="203"/>
        <v>#VALUE!</v>
      </c>
      <c r="N915" s="41" t="e">
        <f t="shared" si="204"/>
        <v>#VALUE!</v>
      </c>
      <c r="O915" s="41">
        <f t="shared" si="205"/>
        <v>0</v>
      </c>
      <c r="Q915" s="44" t="e">
        <f t="shared" si="206"/>
        <v>#VALUE!</v>
      </c>
      <c r="R915" s="44" t="e">
        <f t="shared" si="209"/>
        <v>#VALUE!</v>
      </c>
      <c r="S915" s="44" t="e">
        <f t="shared" si="207"/>
        <v>#VALUE!</v>
      </c>
      <c r="T915" s="41" t="e">
        <f t="shared" si="210"/>
        <v>#VALUE!</v>
      </c>
      <c r="U915" s="41" t="e">
        <f t="shared" si="211"/>
        <v>#VALUE!</v>
      </c>
      <c r="V915" s="41" t="e">
        <f t="shared" si="212"/>
        <v>#VALUE!</v>
      </c>
    </row>
    <row r="916" spans="2:22" x14ac:dyDescent="0.25">
      <c r="B916" s="41" t="b">
        <f t="shared" si="213"/>
        <v>0</v>
      </c>
      <c r="C916" s="41" t="e">
        <f t="shared" si="201"/>
        <v>#VALUE!</v>
      </c>
      <c r="E916" s="45">
        <v>912</v>
      </c>
      <c r="G916" s="138"/>
      <c r="H916" s="135">
        <v>1</v>
      </c>
      <c r="I916" s="46" t="e">
        <f t="shared" si="202"/>
        <v>#VALUE!</v>
      </c>
      <c r="J916" s="41" t="e">
        <f t="shared" si="208"/>
        <v>#VALUE!</v>
      </c>
      <c r="K916" s="41" t="e">
        <f t="shared" si="200"/>
        <v>#VALUE!</v>
      </c>
      <c r="L916" s="41" t="e">
        <f t="shared" si="200"/>
        <v>#VALUE!</v>
      </c>
      <c r="M916" s="41" t="e">
        <f t="shared" si="203"/>
        <v>#VALUE!</v>
      </c>
      <c r="N916" s="41" t="e">
        <f t="shared" si="204"/>
        <v>#VALUE!</v>
      </c>
      <c r="O916" s="41">
        <f t="shared" si="205"/>
        <v>0</v>
      </c>
      <c r="Q916" s="44" t="e">
        <f t="shared" si="206"/>
        <v>#VALUE!</v>
      </c>
      <c r="R916" s="44" t="e">
        <f t="shared" si="209"/>
        <v>#VALUE!</v>
      </c>
      <c r="S916" s="44" t="e">
        <f t="shared" si="207"/>
        <v>#VALUE!</v>
      </c>
      <c r="T916" s="41" t="e">
        <f t="shared" si="210"/>
        <v>#VALUE!</v>
      </c>
      <c r="U916" s="41" t="e">
        <f t="shared" si="211"/>
        <v>#VALUE!</v>
      </c>
      <c r="V916" s="41" t="e">
        <f t="shared" si="212"/>
        <v>#VALUE!</v>
      </c>
    </row>
    <row r="917" spans="2:22" x14ac:dyDescent="0.25">
      <c r="B917" s="41" t="b">
        <f t="shared" si="213"/>
        <v>0</v>
      </c>
      <c r="C917" s="41" t="e">
        <f t="shared" si="201"/>
        <v>#VALUE!</v>
      </c>
      <c r="E917" s="45">
        <v>913</v>
      </c>
      <c r="G917" s="138"/>
      <c r="H917" s="135">
        <v>1</v>
      </c>
      <c r="I917" s="46" t="e">
        <f t="shared" si="202"/>
        <v>#VALUE!</v>
      </c>
      <c r="J917" s="41" t="e">
        <f t="shared" si="208"/>
        <v>#VALUE!</v>
      </c>
      <c r="K917" s="41" t="e">
        <f t="shared" si="200"/>
        <v>#VALUE!</v>
      </c>
      <c r="L917" s="41" t="e">
        <f t="shared" si="200"/>
        <v>#VALUE!</v>
      </c>
      <c r="M917" s="41" t="e">
        <f t="shared" si="203"/>
        <v>#VALUE!</v>
      </c>
      <c r="N917" s="41" t="e">
        <f t="shared" si="204"/>
        <v>#VALUE!</v>
      </c>
      <c r="O917" s="41">
        <f t="shared" si="205"/>
        <v>0</v>
      </c>
      <c r="Q917" s="44" t="e">
        <f t="shared" si="206"/>
        <v>#VALUE!</v>
      </c>
      <c r="R917" s="44" t="e">
        <f t="shared" si="209"/>
        <v>#VALUE!</v>
      </c>
      <c r="S917" s="44" t="e">
        <f t="shared" si="207"/>
        <v>#VALUE!</v>
      </c>
      <c r="T917" s="41" t="e">
        <f t="shared" si="210"/>
        <v>#VALUE!</v>
      </c>
      <c r="U917" s="41" t="e">
        <f t="shared" si="211"/>
        <v>#VALUE!</v>
      </c>
      <c r="V917" s="41" t="e">
        <f t="shared" si="212"/>
        <v>#VALUE!</v>
      </c>
    </row>
    <row r="918" spans="2:22" x14ac:dyDescent="0.25">
      <c r="B918" s="41" t="b">
        <f t="shared" si="213"/>
        <v>0</v>
      </c>
      <c r="C918" s="41" t="e">
        <f t="shared" si="201"/>
        <v>#VALUE!</v>
      </c>
      <c r="E918" s="45">
        <v>914</v>
      </c>
      <c r="G918" s="138"/>
      <c r="H918" s="135">
        <v>1</v>
      </c>
      <c r="I918" s="46" t="e">
        <f t="shared" si="202"/>
        <v>#VALUE!</v>
      </c>
      <c r="J918" s="41" t="e">
        <f t="shared" si="208"/>
        <v>#VALUE!</v>
      </c>
      <c r="K918" s="41" t="e">
        <f t="shared" si="200"/>
        <v>#VALUE!</v>
      </c>
      <c r="L918" s="41" t="e">
        <f t="shared" si="200"/>
        <v>#VALUE!</v>
      </c>
      <c r="M918" s="41" t="e">
        <f t="shared" si="203"/>
        <v>#VALUE!</v>
      </c>
      <c r="N918" s="41" t="e">
        <f t="shared" si="204"/>
        <v>#VALUE!</v>
      </c>
      <c r="O918" s="41">
        <f t="shared" si="205"/>
        <v>0</v>
      </c>
      <c r="Q918" s="44" t="e">
        <f t="shared" si="206"/>
        <v>#VALUE!</v>
      </c>
      <c r="R918" s="44" t="e">
        <f t="shared" si="209"/>
        <v>#VALUE!</v>
      </c>
      <c r="S918" s="44" t="e">
        <f t="shared" si="207"/>
        <v>#VALUE!</v>
      </c>
      <c r="T918" s="41" t="e">
        <f t="shared" si="210"/>
        <v>#VALUE!</v>
      </c>
      <c r="U918" s="41" t="e">
        <f t="shared" si="211"/>
        <v>#VALUE!</v>
      </c>
      <c r="V918" s="41" t="e">
        <f t="shared" si="212"/>
        <v>#VALUE!</v>
      </c>
    </row>
    <row r="919" spans="2:22" x14ac:dyDescent="0.25">
      <c r="B919" s="41" t="b">
        <f t="shared" si="213"/>
        <v>0</v>
      </c>
      <c r="C919" s="41" t="e">
        <f t="shared" si="201"/>
        <v>#VALUE!</v>
      </c>
      <c r="E919" s="45">
        <v>915</v>
      </c>
      <c r="G919" s="138"/>
      <c r="H919" s="135">
        <v>1</v>
      </c>
      <c r="I919" s="46" t="e">
        <f t="shared" si="202"/>
        <v>#VALUE!</v>
      </c>
      <c r="J919" s="41" t="e">
        <f t="shared" si="208"/>
        <v>#VALUE!</v>
      </c>
      <c r="K919" s="41" t="e">
        <f t="shared" si="200"/>
        <v>#VALUE!</v>
      </c>
      <c r="L919" s="41" t="e">
        <f t="shared" si="200"/>
        <v>#VALUE!</v>
      </c>
      <c r="M919" s="41" t="e">
        <f t="shared" si="203"/>
        <v>#VALUE!</v>
      </c>
      <c r="N919" s="41" t="e">
        <f t="shared" si="204"/>
        <v>#VALUE!</v>
      </c>
      <c r="O919" s="41">
        <f t="shared" si="205"/>
        <v>0</v>
      </c>
      <c r="Q919" s="44" t="e">
        <f t="shared" si="206"/>
        <v>#VALUE!</v>
      </c>
      <c r="R919" s="44" t="e">
        <f t="shared" si="209"/>
        <v>#VALUE!</v>
      </c>
      <c r="S919" s="44" t="e">
        <f t="shared" si="207"/>
        <v>#VALUE!</v>
      </c>
      <c r="T919" s="41" t="e">
        <f t="shared" si="210"/>
        <v>#VALUE!</v>
      </c>
      <c r="U919" s="41" t="e">
        <f t="shared" si="211"/>
        <v>#VALUE!</v>
      </c>
      <c r="V919" s="41" t="e">
        <f t="shared" si="212"/>
        <v>#VALUE!</v>
      </c>
    </row>
    <row r="920" spans="2:22" x14ac:dyDescent="0.25">
      <c r="B920" s="41" t="b">
        <f t="shared" si="213"/>
        <v>0</v>
      </c>
      <c r="C920" s="41" t="e">
        <f t="shared" si="201"/>
        <v>#VALUE!</v>
      </c>
      <c r="E920" s="45">
        <v>916</v>
      </c>
      <c r="G920" s="138"/>
      <c r="H920" s="135">
        <v>1</v>
      </c>
      <c r="I920" s="46" t="e">
        <f t="shared" si="202"/>
        <v>#VALUE!</v>
      </c>
      <c r="J920" s="41" t="e">
        <f t="shared" si="208"/>
        <v>#VALUE!</v>
      </c>
      <c r="K920" s="41" t="e">
        <f t="shared" si="200"/>
        <v>#VALUE!</v>
      </c>
      <c r="L920" s="41" t="e">
        <f t="shared" si="200"/>
        <v>#VALUE!</v>
      </c>
      <c r="M920" s="41" t="e">
        <f t="shared" si="203"/>
        <v>#VALUE!</v>
      </c>
      <c r="N920" s="41" t="e">
        <f t="shared" si="204"/>
        <v>#VALUE!</v>
      </c>
      <c r="O920" s="41">
        <f t="shared" si="205"/>
        <v>0</v>
      </c>
      <c r="Q920" s="44" t="e">
        <f t="shared" si="206"/>
        <v>#VALUE!</v>
      </c>
      <c r="R920" s="44" t="e">
        <f t="shared" si="209"/>
        <v>#VALUE!</v>
      </c>
      <c r="S920" s="44" t="e">
        <f t="shared" si="207"/>
        <v>#VALUE!</v>
      </c>
      <c r="T920" s="41" t="e">
        <f t="shared" si="210"/>
        <v>#VALUE!</v>
      </c>
      <c r="U920" s="41" t="e">
        <f t="shared" si="211"/>
        <v>#VALUE!</v>
      </c>
      <c r="V920" s="41" t="e">
        <f t="shared" si="212"/>
        <v>#VALUE!</v>
      </c>
    </row>
    <row r="921" spans="2:22" x14ac:dyDescent="0.25">
      <c r="B921" s="41" t="b">
        <f t="shared" si="213"/>
        <v>0</v>
      </c>
      <c r="C921" s="41" t="e">
        <f t="shared" si="201"/>
        <v>#VALUE!</v>
      </c>
      <c r="E921" s="45">
        <v>917</v>
      </c>
      <c r="G921" s="138"/>
      <c r="H921" s="135">
        <v>1</v>
      </c>
      <c r="I921" s="46" t="e">
        <f t="shared" si="202"/>
        <v>#VALUE!</v>
      </c>
      <c r="J921" s="41" t="e">
        <f t="shared" si="208"/>
        <v>#VALUE!</v>
      </c>
      <c r="K921" s="41" t="e">
        <f t="shared" si="200"/>
        <v>#VALUE!</v>
      </c>
      <c r="L921" s="41" t="e">
        <f t="shared" si="200"/>
        <v>#VALUE!</v>
      </c>
      <c r="M921" s="41" t="e">
        <f t="shared" si="203"/>
        <v>#VALUE!</v>
      </c>
      <c r="N921" s="41" t="e">
        <f t="shared" si="204"/>
        <v>#VALUE!</v>
      </c>
      <c r="O921" s="41">
        <f t="shared" si="205"/>
        <v>0</v>
      </c>
      <c r="Q921" s="44" t="e">
        <f t="shared" si="206"/>
        <v>#VALUE!</v>
      </c>
      <c r="R921" s="44" t="e">
        <f t="shared" si="209"/>
        <v>#VALUE!</v>
      </c>
      <c r="S921" s="44" t="e">
        <f t="shared" si="207"/>
        <v>#VALUE!</v>
      </c>
      <c r="T921" s="41" t="e">
        <f t="shared" si="210"/>
        <v>#VALUE!</v>
      </c>
      <c r="U921" s="41" t="e">
        <f t="shared" si="211"/>
        <v>#VALUE!</v>
      </c>
      <c r="V921" s="41" t="e">
        <f t="shared" si="212"/>
        <v>#VALUE!</v>
      </c>
    </row>
    <row r="922" spans="2:22" x14ac:dyDescent="0.25">
      <c r="B922" s="41" t="b">
        <f t="shared" si="213"/>
        <v>0</v>
      </c>
      <c r="C922" s="41" t="e">
        <f t="shared" si="201"/>
        <v>#VALUE!</v>
      </c>
      <c r="E922" s="45">
        <v>918</v>
      </c>
      <c r="G922" s="138"/>
      <c r="H922" s="135">
        <v>1</v>
      </c>
      <c r="I922" s="46" t="e">
        <f t="shared" si="202"/>
        <v>#VALUE!</v>
      </c>
      <c r="J922" s="41" t="e">
        <f t="shared" si="208"/>
        <v>#VALUE!</v>
      </c>
      <c r="K922" s="41" t="e">
        <f t="shared" si="200"/>
        <v>#VALUE!</v>
      </c>
      <c r="L922" s="41" t="e">
        <f t="shared" si="200"/>
        <v>#VALUE!</v>
      </c>
      <c r="M922" s="41" t="e">
        <f t="shared" si="203"/>
        <v>#VALUE!</v>
      </c>
      <c r="N922" s="41" t="e">
        <f t="shared" si="204"/>
        <v>#VALUE!</v>
      </c>
      <c r="O922" s="41">
        <f t="shared" si="205"/>
        <v>0</v>
      </c>
      <c r="Q922" s="44" t="e">
        <f t="shared" si="206"/>
        <v>#VALUE!</v>
      </c>
      <c r="R922" s="44" t="e">
        <f t="shared" si="209"/>
        <v>#VALUE!</v>
      </c>
      <c r="S922" s="44" t="e">
        <f t="shared" si="207"/>
        <v>#VALUE!</v>
      </c>
      <c r="T922" s="41" t="e">
        <f t="shared" si="210"/>
        <v>#VALUE!</v>
      </c>
      <c r="U922" s="41" t="e">
        <f t="shared" si="211"/>
        <v>#VALUE!</v>
      </c>
      <c r="V922" s="41" t="e">
        <f t="shared" si="212"/>
        <v>#VALUE!</v>
      </c>
    </row>
    <row r="923" spans="2:22" x14ac:dyDescent="0.25">
      <c r="B923" s="41" t="b">
        <f t="shared" si="213"/>
        <v>0</v>
      </c>
      <c r="C923" s="41" t="e">
        <f t="shared" si="201"/>
        <v>#VALUE!</v>
      </c>
      <c r="E923" s="45">
        <v>919</v>
      </c>
      <c r="G923" s="138"/>
      <c r="H923" s="135">
        <v>1</v>
      </c>
      <c r="I923" s="46" t="e">
        <f t="shared" si="202"/>
        <v>#VALUE!</v>
      </c>
      <c r="J923" s="41" t="e">
        <f t="shared" si="208"/>
        <v>#VALUE!</v>
      </c>
      <c r="K923" s="41" t="e">
        <f t="shared" si="200"/>
        <v>#VALUE!</v>
      </c>
      <c r="L923" s="41" t="e">
        <f t="shared" si="200"/>
        <v>#VALUE!</v>
      </c>
      <c r="M923" s="41" t="e">
        <f t="shared" si="203"/>
        <v>#VALUE!</v>
      </c>
      <c r="N923" s="41" t="e">
        <f t="shared" si="204"/>
        <v>#VALUE!</v>
      </c>
      <c r="O923" s="41">
        <f t="shared" si="205"/>
        <v>0</v>
      </c>
      <c r="Q923" s="44" t="e">
        <f t="shared" si="206"/>
        <v>#VALUE!</v>
      </c>
      <c r="R923" s="44" t="e">
        <f t="shared" si="209"/>
        <v>#VALUE!</v>
      </c>
      <c r="S923" s="44" t="e">
        <f t="shared" si="207"/>
        <v>#VALUE!</v>
      </c>
      <c r="T923" s="41" t="e">
        <f t="shared" si="210"/>
        <v>#VALUE!</v>
      </c>
      <c r="U923" s="41" t="e">
        <f t="shared" si="211"/>
        <v>#VALUE!</v>
      </c>
      <c r="V923" s="41" t="e">
        <f t="shared" si="212"/>
        <v>#VALUE!</v>
      </c>
    </row>
    <row r="924" spans="2:22" x14ac:dyDescent="0.25">
      <c r="B924" s="41" t="b">
        <f t="shared" si="213"/>
        <v>0</v>
      </c>
      <c r="C924" s="41" t="e">
        <f t="shared" si="201"/>
        <v>#VALUE!</v>
      </c>
      <c r="E924" s="45">
        <v>920</v>
      </c>
      <c r="G924" s="138"/>
      <c r="H924" s="135">
        <v>1</v>
      </c>
      <c r="I924" s="46" t="e">
        <f t="shared" si="202"/>
        <v>#VALUE!</v>
      </c>
      <c r="J924" s="41" t="e">
        <f t="shared" si="208"/>
        <v>#VALUE!</v>
      </c>
      <c r="K924" s="41" t="e">
        <f t="shared" si="200"/>
        <v>#VALUE!</v>
      </c>
      <c r="L924" s="41" t="e">
        <f t="shared" si="200"/>
        <v>#VALUE!</v>
      </c>
      <c r="M924" s="41" t="e">
        <f t="shared" si="203"/>
        <v>#VALUE!</v>
      </c>
      <c r="N924" s="41" t="e">
        <f t="shared" si="204"/>
        <v>#VALUE!</v>
      </c>
      <c r="O924" s="41">
        <f t="shared" si="205"/>
        <v>0</v>
      </c>
      <c r="Q924" s="44" t="e">
        <f t="shared" si="206"/>
        <v>#VALUE!</v>
      </c>
      <c r="R924" s="44" t="e">
        <f t="shared" si="209"/>
        <v>#VALUE!</v>
      </c>
      <c r="S924" s="44" t="e">
        <f t="shared" si="207"/>
        <v>#VALUE!</v>
      </c>
      <c r="T924" s="41" t="e">
        <f t="shared" si="210"/>
        <v>#VALUE!</v>
      </c>
      <c r="U924" s="41" t="e">
        <f t="shared" si="211"/>
        <v>#VALUE!</v>
      </c>
      <c r="V924" s="41" t="e">
        <f t="shared" si="212"/>
        <v>#VALUE!</v>
      </c>
    </row>
    <row r="925" spans="2:22" x14ac:dyDescent="0.25">
      <c r="B925" s="41" t="b">
        <f t="shared" si="213"/>
        <v>0</v>
      </c>
      <c r="C925" s="41" t="e">
        <f t="shared" si="201"/>
        <v>#VALUE!</v>
      </c>
      <c r="E925" s="45">
        <v>921</v>
      </c>
      <c r="G925" s="138"/>
      <c r="H925" s="135">
        <v>1</v>
      </c>
      <c r="I925" s="46" t="e">
        <f t="shared" si="202"/>
        <v>#VALUE!</v>
      </c>
      <c r="J925" s="41" t="e">
        <f t="shared" si="208"/>
        <v>#VALUE!</v>
      </c>
      <c r="K925" s="41" t="e">
        <f t="shared" si="200"/>
        <v>#VALUE!</v>
      </c>
      <c r="L925" s="41" t="e">
        <f t="shared" si="200"/>
        <v>#VALUE!</v>
      </c>
      <c r="M925" s="41" t="e">
        <f t="shared" si="203"/>
        <v>#VALUE!</v>
      </c>
      <c r="N925" s="41" t="e">
        <f t="shared" si="204"/>
        <v>#VALUE!</v>
      </c>
      <c r="O925" s="41">
        <f t="shared" si="205"/>
        <v>0</v>
      </c>
      <c r="Q925" s="44" t="e">
        <f t="shared" si="206"/>
        <v>#VALUE!</v>
      </c>
      <c r="R925" s="44" t="e">
        <f t="shared" si="209"/>
        <v>#VALUE!</v>
      </c>
      <c r="S925" s="44" t="e">
        <f t="shared" si="207"/>
        <v>#VALUE!</v>
      </c>
      <c r="T925" s="41" t="e">
        <f t="shared" si="210"/>
        <v>#VALUE!</v>
      </c>
      <c r="U925" s="41" t="e">
        <f t="shared" si="211"/>
        <v>#VALUE!</v>
      </c>
      <c r="V925" s="41" t="e">
        <f t="shared" si="212"/>
        <v>#VALUE!</v>
      </c>
    </row>
    <row r="926" spans="2:22" x14ac:dyDescent="0.25">
      <c r="B926" s="41" t="b">
        <f t="shared" si="213"/>
        <v>0</v>
      </c>
      <c r="C926" s="41" t="e">
        <f t="shared" si="201"/>
        <v>#VALUE!</v>
      </c>
      <c r="E926" s="45">
        <v>922</v>
      </c>
      <c r="G926" s="138"/>
      <c r="H926" s="135">
        <v>1</v>
      </c>
      <c r="I926" s="46" t="e">
        <f t="shared" si="202"/>
        <v>#VALUE!</v>
      </c>
      <c r="J926" s="41" t="e">
        <f t="shared" si="208"/>
        <v>#VALUE!</v>
      </c>
      <c r="K926" s="41" t="e">
        <f t="shared" si="200"/>
        <v>#VALUE!</v>
      </c>
      <c r="L926" s="41" t="e">
        <f t="shared" si="200"/>
        <v>#VALUE!</v>
      </c>
      <c r="M926" s="41" t="e">
        <f t="shared" si="203"/>
        <v>#VALUE!</v>
      </c>
      <c r="N926" s="41" t="e">
        <f t="shared" si="204"/>
        <v>#VALUE!</v>
      </c>
      <c r="O926" s="41">
        <f t="shared" si="205"/>
        <v>0</v>
      </c>
      <c r="Q926" s="44" t="e">
        <f t="shared" si="206"/>
        <v>#VALUE!</v>
      </c>
      <c r="R926" s="44" t="e">
        <f t="shared" si="209"/>
        <v>#VALUE!</v>
      </c>
      <c r="S926" s="44" t="e">
        <f t="shared" si="207"/>
        <v>#VALUE!</v>
      </c>
      <c r="T926" s="41" t="e">
        <f t="shared" si="210"/>
        <v>#VALUE!</v>
      </c>
      <c r="U926" s="41" t="e">
        <f t="shared" si="211"/>
        <v>#VALUE!</v>
      </c>
      <c r="V926" s="41" t="e">
        <f t="shared" si="212"/>
        <v>#VALUE!</v>
      </c>
    </row>
    <row r="927" spans="2:22" x14ac:dyDescent="0.25">
      <c r="B927" s="41" t="b">
        <f t="shared" si="213"/>
        <v>0</v>
      </c>
      <c r="C927" s="41" t="e">
        <f t="shared" si="201"/>
        <v>#VALUE!</v>
      </c>
      <c r="E927" s="45">
        <v>923</v>
      </c>
      <c r="G927" s="138"/>
      <c r="H927" s="135">
        <v>1</v>
      </c>
      <c r="I927" s="46" t="e">
        <f t="shared" si="202"/>
        <v>#VALUE!</v>
      </c>
      <c r="J927" s="41" t="e">
        <f t="shared" si="208"/>
        <v>#VALUE!</v>
      </c>
      <c r="K927" s="41" t="e">
        <f t="shared" si="200"/>
        <v>#VALUE!</v>
      </c>
      <c r="L927" s="41" t="e">
        <f t="shared" si="200"/>
        <v>#VALUE!</v>
      </c>
      <c r="M927" s="41" t="e">
        <f t="shared" si="203"/>
        <v>#VALUE!</v>
      </c>
      <c r="N927" s="41" t="e">
        <f t="shared" si="204"/>
        <v>#VALUE!</v>
      </c>
      <c r="O927" s="41">
        <f t="shared" si="205"/>
        <v>0</v>
      </c>
      <c r="Q927" s="44" t="e">
        <f t="shared" si="206"/>
        <v>#VALUE!</v>
      </c>
      <c r="R927" s="44" t="e">
        <f t="shared" si="209"/>
        <v>#VALUE!</v>
      </c>
      <c r="S927" s="44" t="e">
        <f t="shared" si="207"/>
        <v>#VALUE!</v>
      </c>
      <c r="T927" s="41" t="e">
        <f t="shared" si="210"/>
        <v>#VALUE!</v>
      </c>
      <c r="U927" s="41" t="e">
        <f t="shared" si="211"/>
        <v>#VALUE!</v>
      </c>
      <c r="V927" s="41" t="e">
        <f t="shared" si="212"/>
        <v>#VALUE!</v>
      </c>
    </row>
    <row r="928" spans="2:22" x14ac:dyDescent="0.25">
      <c r="B928" s="41" t="b">
        <f t="shared" si="213"/>
        <v>0</v>
      </c>
      <c r="C928" s="41" t="e">
        <f t="shared" si="201"/>
        <v>#VALUE!</v>
      </c>
      <c r="E928" s="45">
        <v>924</v>
      </c>
      <c r="G928" s="138"/>
      <c r="H928" s="135">
        <v>1</v>
      </c>
      <c r="I928" s="46" t="e">
        <f t="shared" si="202"/>
        <v>#VALUE!</v>
      </c>
      <c r="J928" s="41" t="e">
        <f t="shared" si="208"/>
        <v>#VALUE!</v>
      </c>
      <c r="K928" s="41" t="e">
        <f t="shared" si="200"/>
        <v>#VALUE!</v>
      </c>
      <c r="L928" s="41" t="e">
        <f t="shared" si="200"/>
        <v>#VALUE!</v>
      </c>
      <c r="M928" s="41" t="e">
        <f t="shared" si="203"/>
        <v>#VALUE!</v>
      </c>
      <c r="N928" s="41" t="e">
        <f t="shared" si="204"/>
        <v>#VALUE!</v>
      </c>
      <c r="O928" s="41">
        <f t="shared" si="205"/>
        <v>0</v>
      </c>
      <c r="Q928" s="44" t="e">
        <f t="shared" si="206"/>
        <v>#VALUE!</v>
      </c>
      <c r="R928" s="44" t="e">
        <f t="shared" si="209"/>
        <v>#VALUE!</v>
      </c>
      <c r="S928" s="44" t="e">
        <f t="shared" si="207"/>
        <v>#VALUE!</v>
      </c>
      <c r="T928" s="41" t="e">
        <f t="shared" si="210"/>
        <v>#VALUE!</v>
      </c>
      <c r="U928" s="41" t="e">
        <f t="shared" si="211"/>
        <v>#VALUE!</v>
      </c>
      <c r="V928" s="41" t="e">
        <f t="shared" si="212"/>
        <v>#VALUE!</v>
      </c>
    </row>
    <row r="929" spans="2:22" x14ac:dyDescent="0.25">
      <c r="B929" s="41" t="b">
        <f t="shared" si="213"/>
        <v>0</v>
      </c>
      <c r="C929" s="41" t="e">
        <f t="shared" si="201"/>
        <v>#VALUE!</v>
      </c>
      <c r="E929" s="45">
        <v>925</v>
      </c>
      <c r="G929" s="138"/>
      <c r="H929" s="135">
        <v>1</v>
      </c>
      <c r="I929" s="46" t="e">
        <f t="shared" si="202"/>
        <v>#VALUE!</v>
      </c>
      <c r="J929" s="41" t="e">
        <f t="shared" si="208"/>
        <v>#VALUE!</v>
      </c>
      <c r="K929" s="41" t="e">
        <f t="shared" si="200"/>
        <v>#VALUE!</v>
      </c>
      <c r="L929" s="41" t="e">
        <f t="shared" si="200"/>
        <v>#VALUE!</v>
      </c>
      <c r="M929" s="41" t="e">
        <f t="shared" si="203"/>
        <v>#VALUE!</v>
      </c>
      <c r="N929" s="41" t="e">
        <f t="shared" si="204"/>
        <v>#VALUE!</v>
      </c>
      <c r="O929" s="41">
        <f t="shared" si="205"/>
        <v>0</v>
      </c>
      <c r="Q929" s="44" t="e">
        <f t="shared" si="206"/>
        <v>#VALUE!</v>
      </c>
      <c r="R929" s="44" t="e">
        <f t="shared" si="209"/>
        <v>#VALUE!</v>
      </c>
      <c r="S929" s="44" t="e">
        <f t="shared" si="207"/>
        <v>#VALUE!</v>
      </c>
      <c r="T929" s="41" t="e">
        <f t="shared" si="210"/>
        <v>#VALUE!</v>
      </c>
      <c r="U929" s="41" t="e">
        <f t="shared" si="211"/>
        <v>#VALUE!</v>
      </c>
      <c r="V929" s="41" t="e">
        <f t="shared" si="212"/>
        <v>#VALUE!</v>
      </c>
    </row>
    <row r="930" spans="2:22" x14ac:dyDescent="0.25">
      <c r="B930" s="41" t="b">
        <f t="shared" si="213"/>
        <v>0</v>
      </c>
      <c r="C930" s="41" t="e">
        <f t="shared" si="201"/>
        <v>#VALUE!</v>
      </c>
      <c r="E930" s="45">
        <v>926</v>
      </c>
      <c r="G930" s="138"/>
      <c r="H930" s="135">
        <v>1</v>
      </c>
      <c r="I930" s="46" t="e">
        <f t="shared" si="202"/>
        <v>#VALUE!</v>
      </c>
      <c r="J930" s="41" t="e">
        <f t="shared" si="208"/>
        <v>#VALUE!</v>
      </c>
      <c r="K930" s="41" t="e">
        <f t="shared" si="200"/>
        <v>#VALUE!</v>
      </c>
      <c r="L930" s="41" t="e">
        <f t="shared" si="200"/>
        <v>#VALUE!</v>
      </c>
      <c r="M930" s="41" t="e">
        <f t="shared" si="203"/>
        <v>#VALUE!</v>
      </c>
      <c r="N930" s="41" t="e">
        <f t="shared" si="204"/>
        <v>#VALUE!</v>
      </c>
      <c r="O930" s="41">
        <f t="shared" si="205"/>
        <v>0</v>
      </c>
      <c r="Q930" s="44" t="e">
        <f t="shared" si="206"/>
        <v>#VALUE!</v>
      </c>
      <c r="R930" s="44" t="e">
        <f t="shared" si="209"/>
        <v>#VALUE!</v>
      </c>
      <c r="S930" s="44" t="e">
        <f t="shared" si="207"/>
        <v>#VALUE!</v>
      </c>
      <c r="T930" s="41" t="e">
        <f t="shared" si="210"/>
        <v>#VALUE!</v>
      </c>
      <c r="U930" s="41" t="e">
        <f t="shared" si="211"/>
        <v>#VALUE!</v>
      </c>
      <c r="V930" s="41" t="e">
        <f t="shared" si="212"/>
        <v>#VALUE!</v>
      </c>
    </row>
    <row r="931" spans="2:22" x14ac:dyDescent="0.25">
      <c r="B931" s="41" t="b">
        <f t="shared" si="213"/>
        <v>0</v>
      </c>
      <c r="C931" s="41" t="e">
        <f t="shared" si="201"/>
        <v>#VALUE!</v>
      </c>
      <c r="E931" s="45">
        <v>927</v>
      </c>
      <c r="G931" s="138"/>
      <c r="H931" s="135">
        <v>1</v>
      </c>
      <c r="I931" s="46" t="e">
        <f t="shared" si="202"/>
        <v>#VALUE!</v>
      </c>
      <c r="J931" s="41" t="e">
        <f t="shared" si="208"/>
        <v>#VALUE!</v>
      </c>
      <c r="K931" s="41" t="e">
        <f t="shared" si="200"/>
        <v>#VALUE!</v>
      </c>
      <c r="L931" s="41" t="e">
        <f t="shared" si="200"/>
        <v>#VALUE!</v>
      </c>
      <c r="M931" s="41" t="e">
        <f t="shared" si="203"/>
        <v>#VALUE!</v>
      </c>
      <c r="N931" s="41" t="e">
        <f t="shared" si="204"/>
        <v>#VALUE!</v>
      </c>
      <c r="O931" s="41">
        <f t="shared" si="205"/>
        <v>0</v>
      </c>
      <c r="Q931" s="44" t="e">
        <f t="shared" si="206"/>
        <v>#VALUE!</v>
      </c>
      <c r="R931" s="44" t="e">
        <f t="shared" si="209"/>
        <v>#VALUE!</v>
      </c>
      <c r="S931" s="44" t="e">
        <f t="shared" si="207"/>
        <v>#VALUE!</v>
      </c>
      <c r="T931" s="41" t="e">
        <f t="shared" si="210"/>
        <v>#VALUE!</v>
      </c>
      <c r="U931" s="41" t="e">
        <f t="shared" si="211"/>
        <v>#VALUE!</v>
      </c>
      <c r="V931" s="41" t="e">
        <f t="shared" si="212"/>
        <v>#VALUE!</v>
      </c>
    </row>
    <row r="932" spans="2:22" x14ac:dyDescent="0.25">
      <c r="B932" s="41" t="b">
        <f t="shared" si="213"/>
        <v>0</v>
      </c>
      <c r="C932" s="41" t="e">
        <f t="shared" si="201"/>
        <v>#VALUE!</v>
      </c>
      <c r="E932" s="45">
        <v>928</v>
      </c>
      <c r="G932" s="138"/>
      <c r="H932" s="135">
        <v>1</v>
      </c>
      <c r="I932" s="46" t="e">
        <f t="shared" si="202"/>
        <v>#VALUE!</v>
      </c>
      <c r="J932" s="41" t="e">
        <f t="shared" si="208"/>
        <v>#VALUE!</v>
      </c>
      <c r="K932" s="41" t="e">
        <f t="shared" si="200"/>
        <v>#VALUE!</v>
      </c>
      <c r="L932" s="41" t="e">
        <f t="shared" si="200"/>
        <v>#VALUE!</v>
      </c>
      <c r="M932" s="41" t="e">
        <f t="shared" si="203"/>
        <v>#VALUE!</v>
      </c>
      <c r="N932" s="41" t="e">
        <f t="shared" si="204"/>
        <v>#VALUE!</v>
      </c>
      <c r="O932" s="41">
        <f t="shared" si="205"/>
        <v>0</v>
      </c>
      <c r="Q932" s="44" t="e">
        <f t="shared" si="206"/>
        <v>#VALUE!</v>
      </c>
      <c r="R932" s="44" t="e">
        <f t="shared" si="209"/>
        <v>#VALUE!</v>
      </c>
      <c r="S932" s="44" t="e">
        <f t="shared" si="207"/>
        <v>#VALUE!</v>
      </c>
      <c r="T932" s="41" t="e">
        <f t="shared" si="210"/>
        <v>#VALUE!</v>
      </c>
      <c r="U932" s="41" t="e">
        <f t="shared" si="211"/>
        <v>#VALUE!</v>
      </c>
      <c r="V932" s="41" t="e">
        <f t="shared" si="212"/>
        <v>#VALUE!</v>
      </c>
    </row>
    <row r="933" spans="2:22" x14ac:dyDescent="0.25">
      <c r="B933" s="41" t="b">
        <f t="shared" si="213"/>
        <v>0</v>
      </c>
      <c r="C933" s="41" t="e">
        <f t="shared" si="201"/>
        <v>#VALUE!</v>
      </c>
      <c r="E933" s="45">
        <v>929</v>
      </c>
      <c r="G933" s="138"/>
      <c r="H933" s="135">
        <v>1</v>
      </c>
      <c r="I933" s="46" t="e">
        <f t="shared" si="202"/>
        <v>#VALUE!</v>
      </c>
      <c r="J933" s="41" t="e">
        <f t="shared" si="208"/>
        <v>#VALUE!</v>
      </c>
      <c r="K933" s="41" t="e">
        <f t="shared" si="200"/>
        <v>#VALUE!</v>
      </c>
      <c r="L933" s="41" t="e">
        <f t="shared" si="200"/>
        <v>#VALUE!</v>
      </c>
      <c r="M933" s="41" t="e">
        <f t="shared" si="203"/>
        <v>#VALUE!</v>
      </c>
      <c r="N933" s="41" t="e">
        <f t="shared" si="204"/>
        <v>#VALUE!</v>
      </c>
      <c r="O933" s="41">
        <f t="shared" si="205"/>
        <v>0</v>
      </c>
      <c r="Q933" s="44" t="e">
        <f t="shared" si="206"/>
        <v>#VALUE!</v>
      </c>
      <c r="R933" s="44" t="e">
        <f t="shared" si="209"/>
        <v>#VALUE!</v>
      </c>
      <c r="S933" s="44" t="e">
        <f t="shared" si="207"/>
        <v>#VALUE!</v>
      </c>
      <c r="T933" s="41" t="e">
        <f t="shared" si="210"/>
        <v>#VALUE!</v>
      </c>
      <c r="U933" s="41" t="e">
        <f t="shared" si="211"/>
        <v>#VALUE!</v>
      </c>
      <c r="V933" s="41" t="e">
        <f t="shared" si="212"/>
        <v>#VALUE!</v>
      </c>
    </row>
    <row r="934" spans="2:22" x14ac:dyDescent="0.25">
      <c r="B934" s="41" t="b">
        <f t="shared" si="213"/>
        <v>0</v>
      </c>
      <c r="C934" s="41" t="e">
        <f t="shared" si="201"/>
        <v>#VALUE!</v>
      </c>
      <c r="E934" s="45">
        <v>930</v>
      </c>
      <c r="G934" s="138"/>
      <c r="H934" s="135">
        <v>1</v>
      </c>
      <c r="I934" s="46" t="e">
        <f t="shared" si="202"/>
        <v>#VALUE!</v>
      </c>
      <c r="J934" s="41" t="e">
        <f t="shared" si="208"/>
        <v>#VALUE!</v>
      </c>
      <c r="K934" s="41" t="e">
        <f t="shared" si="200"/>
        <v>#VALUE!</v>
      </c>
      <c r="L934" s="41" t="e">
        <f t="shared" si="200"/>
        <v>#VALUE!</v>
      </c>
      <c r="M934" s="41" t="e">
        <f t="shared" si="203"/>
        <v>#VALUE!</v>
      </c>
      <c r="N934" s="41" t="e">
        <f t="shared" si="204"/>
        <v>#VALUE!</v>
      </c>
      <c r="O934" s="41">
        <f t="shared" si="205"/>
        <v>0</v>
      </c>
      <c r="Q934" s="44" t="e">
        <f t="shared" si="206"/>
        <v>#VALUE!</v>
      </c>
      <c r="R934" s="44" t="e">
        <f t="shared" si="209"/>
        <v>#VALUE!</v>
      </c>
      <c r="S934" s="44" t="e">
        <f t="shared" si="207"/>
        <v>#VALUE!</v>
      </c>
      <c r="T934" s="41" t="e">
        <f t="shared" si="210"/>
        <v>#VALUE!</v>
      </c>
      <c r="U934" s="41" t="e">
        <f t="shared" si="211"/>
        <v>#VALUE!</v>
      </c>
      <c r="V934" s="41" t="e">
        <f t="shared" si="212"/>
        <v>#VALUE!</v>
      </c>
    </row>
    <row r="935" spans="2:22" x14ac:dyDescent="0.25">
      <c r="B935" s="41" t="b">
        <f t="shared" si="213"/>
        <v>0</v>
      </c>
      <c r="C935" s="41" t="e">
        <f t="shared" si="201"/>
        <v>#VALUE!</v>
      </c>
      <c r="E935" s="45">
        <v>931</v>
      </c>
      <c r="G935" s="138"/>
      <c r="H935" s="135">
        <v>1</v>
      </c>
      <c r="I935" s="46" t="e">
        <f t="shared" si="202"/>
        <v>#VALUE!</v>
      </c>
      <c r="J935" s="41" t="e">
        <f t="shared" si="208"/>
        <v>#VALUE!</v>
      </c>
      <c r="K935" s="41" t="e">
        <f t="shared" si="200"/>
        <v>#VALUE!</v>
      </c>
      <c r="L935" s="41" t="e">
        <f t="shared" si="200"/>
        <v>#VALUE!</v>
      </c>
      <c r="M935" s="41" t="e">
        <f t="shared" si="203"/>
        <v>#VALUE!</v>
      </c>
      <c r="N935" s="41" t="e">
        <f t="shared" si="204"/>
        <v>#VALUE!</v>
      </c>
      <c r="O935" s="41">
        <f t="shared" si="205"/>
        <v>0</v>
      </c>
      <c r="Q935" s="44" t="e">
        <f t="shared" si="206"/>
        <v>#VALUE!</v>
      </c>
      <c r="R935" s="44" t="e">
        <f t="shared" si="209"/>
        <v>#VALUE!</v>
      </c>
      <c r="S935" s="44" t="e">
        <f t="shared" si="207"/>
        <v>#VALUE!</v>
      </c>
      <c r="T935" s="41" t="e">
        <f t="shared" si="210"/>
        <v>#VALUE!</v>
      </c>
      <c r="U935" s="41" t="e">
        <f t="shared" si="211"/>
        <v>#VALUE!</v>
      </c>
      <c r="V935" s="41" t="e">
        <f t="shared" si="212"/>
        <v>#VALUE!</v>
      </c>
    </row>
    <row r="936" spans="2:22" x14ac:dyDescent="0.25">
      <c r="B936" s="41" t="b">
        <f t="shared" si="213"/>
        <v>0</v>
      </c>
      <c r="C936" s="41" t="e">
        <f t="shared" si="201"/>
        <v>#VALUE!</v>
      </c>
      <c r="E936" s="45">
        <v>932</v>
      </c>
      <c r="G936" s="138"/>
      <c r="H936" s="135">
        <v>1</v>
      </c>
      <c r="I936" s="46" t="e">
        <f t="shared" si="202"/>
        <v>#VALUE!</v>
      </c>
      <c r="J936" s="41" t="e">
        <f t="shared" si="208"/>
        <v>#VALUE!</v>
      </c>
      <c r="K936" s="41" t="e">
        <f t="shared" si="200"/>
        <v>#VALUE!</v>
      </c>
      <c r="L936" s="41" t="e">
        <f t="shared" si="200"/>
        <v>#VALUE!</v>
      </c>
      <c r="M936" s="41" t="e">
        <f t="shared" si="203"/>
        <v>#VALUE!</v>
      </c>
      <c r="N936" s="41" t="e">
        <f t="shared" si="204"/>
        <v>#VALUE!</v>
      </c>
      <c r="O936" s="41">
        <f t="shared" si="205"/>
        <v>0</v>
      </c>
      <c r="Q936" s="44" t="e">
        <f t="shared" si="206"/>
        <v>#VALUE!</v>
      </c>
      <c r="R936" s="44" t="e">
        <f t="shared" si="209"/>
        <v>#VALUE!</v>
      </c>
      <c r="S936" s="44" t="e">
        <f t="shared" si="207"/>
        <v>#VALUE!</v>
      </c>
      <c r="T936" s="41" t="e">
        <f t="shared" si="210"/>
        <v>#VALUE!</v>
      </c>
      <c r="U936" s="41" t="e">
        <f t="shared" si="211"/>
        <v>#VALUE!</v>
      </c>
      <c r="V936" s="41" t="e">
        <f t="shared" si="212"/>
        <v>#VALUE!</v>
      </c>
    </row>
    <row r="937" spans="2:22" x14ac:dyDescent="0.25">
      <c r="B937" s="41" t="b">
        <f t="shared" si="213"/>
        <v>0</v>
      </c>
      <c r="C937" s="41" t="e">
        <f t="shared" si="201"/>
        <v>#VALUE!</v>
      </c>
      <c r="E937" s="45">
        <v>933</v>
      </c>
      <c r="G937" s="138"/>
      <c r="H937" s="135">
        <v>1</v>
      </c>
      <c r="I937" s="46" t="e">
        <f t="shared" si="202"/>
        <v>#VALUE!</v>
      </c>
      <c r="J937" s="41" t="e">
        <f t="shared" si="208"/>
        <v>#VALUE!</v>
      </c>
      <c r="K937" s="41" t="e">
        <f t="shared" si="200"/>
        <v>#VALUE!</v>
      </c>
      <c r="L937" s="41" t="e">
        <f t="shared" si="200"/>
        <v>#VALUE!</v>
      </c>
      <c r="M937" s="41" t="e">
        <f t="shared" si="203"/>
        <v>#VALUE!</v>
      </c>
      <c r="N937" s="41" t="e">
        <f t="shared" si="204"/>
        <v>#VALUE!</v>
      </c>
      <c r="O937" s="41">
        <f t="shared" si="205"/>
        <v>0</v>
      </c>
      <c r="Q937" s="44" t="e">
        <f t="shared" si="206"/>
        <v>#VALUE!</v>
      </c>
      <c r="R937" s="44" t="e">
        <f t="shared" si="209"/>
        <v>#VALUE!</v>
      </c>
      <c r="S937" s="44" t="e">
        <f t="shared" si="207"/>
        <v>#VALUE!</v>
      </c>
      <c r="T937" s="41" t="e">
        <f t="shared" si="210"/>
        <v>#VALUE!</v>
      </c>
      <c r="U937" s="41" t="e">
        <f t="shared" si="211"/>
        <v>#VALUE!</v>
      </c>
      <c r="V937" s="41" t="e">
        <f t="shared" si="212"/>
        <v>#VALUE!</v>
      </c>
    </row>
    <row r="938" spans="2:22" x14ac:dyDescent="0.25">
      <c r="B938" s="41" t="b">
        <f t="shared" si="213"/>
        <v>0</v>
      </c>
      <c r="C938" s="41" t="e">
        <f t="shared" si="201"/>
        <v>#VALUE!</v>
      </c>
      <c r="E938" s="45">
        <v>934</v>
      </c>
      <c r="G938" s="138"/>
      <c r="H938" s="135">
        <v>1</v>
      </c>
      <c r="I938" s="46" t="e">
        <f t="shared" si="202"/>
        <v>#VALUE!</v>
      </c>
      <c r="J938" s="41" t="e">
        <f t="shared" si="208"/>
        <v>#VALUE!</v>
      </c>
      <c r="K938" s="41" t="e">
        <f t="shared" si="200"/>
        <v>#VALUE!</v>
      </c>
      <c r="L938" s="41" t="e">
        <f t="shared" si="200"/>
        <v>#VALUE!</v>
      </c>
      <c r="M938" s="41" t="e">
        <f t="shared" si="203"/>
        <v>#VALUE!</v>
      </c>
      <c r="N938" s="41" t="e">
        <f t="shared" si="204"/>
        <v>#VALUE!</v>
      </c>
      <c r="O938" s="41">
        <f t="shared" si="205"/>
        <v>0</v>
      </c>
      <c r="Q938" s="44" t="e">
        <f t="shared" si="206"/>
        <v>#VALUE!</v>
      </c>
      <c r="R938" s="44" t="e">
        <f t="shared" si="209"/>
        <v>#VALUE!</v>
      </c>
      <c r="S938" s="44" t="e">
        <f t="shared" si="207"/>
        <v>#VALUE!</v>
      </c>
      <c r="T938" s="41" t="e">
        <f t="shared" si="210"/>
        <v>#VALUE!</v>
      </c>
      <c r="U938" s="41" t="e">
        <f t="shared" si="211"/>
        <v>#VALUE!</v>
      </c>
      <c r="V938" s="41" t="e">
        <f t="shared" si="212"/>
        <v>#VALUE!</v>
      </c>
    </row>
    <row r="939" spans="2:22" x14ac:dyDescent="0.25">
      <c r="B939" s="41" t="b">
        <f t="shared" si="213"/>
        <v>0</v>
      </c>
      <c r="C939" s="41" t="e">
        <f t="shared" si="201"/>
        <v>#VALUE!</v>
      </c>
      <c r="E939" s="45">
        <v>935</v>
      </c>
      <c r="G939" s="138"/>
      <c r="H939" s="135">
        <v>1</v>
      </c>
      <c r="I939" s="46" t="e">
        <f t="shared" si="202"/>
        <v>#VALUE!</v>
      </c>
      <c r="J939" s="41" t="e">
        <f t="shared" si="208"/>
        <v>#VALUE!</v>
      </c>
      <c r="K939" s="41" t="e">
        <f t="shared" si="200"/>
        <v>#VALUE!</v>
      </c>
      <c r="L939" s="41" t="e">
        <f t="shared" si="200"/>
        <v>#VALUE!</v>
      </c>
      <c r="M939" s="41" t="e">
        <f t="shared" si="203"/>
        <v>#VALUE!</v>
      </c>
      <c r="N939" s="41" t="e">
        <f t="shared" si="204"/>
        <v>#VALUE!</v>
      </c>
      <c r="O939" s="41">
        <f t="shared" si="205"/>
        <v>0</v>
      </c>
      <c r="Q939" s="44" t="e">
        <f t="shared" si="206"/>
        <v>#VALUE!</v>
      </c>
      <c r="R939" s="44" t="e">
        <f t="shared" si="209"/>
        <v>#VALUE!</v>
      </c>
      <c r="S939" s="44" t="e">
        <f t="shared" si="207"/>
        <v>#VALUE!</v>
      </c>
      <c r="T939" s="41" t="e">
        <f t="shared" si="210"/>
        <v>#VALUE!</v>
      </c>
      <c r="U939" s="41" t="e">
        <f t="shared" si="211"/>
        <v>#VALUE!</v>
      </c>
      <c r="V939" s="41" t="e">
        <f t="shared" si="212"/>
        <v>#VALUE!</v>
      </c>
    </row>
    <row r="940" spans="2:22" x14ac:dyDescent="0.25">
      <c r="B940" s="41" t="b">
        <f t="shared" si="213"/>
        <v>0</v>
      </c>
      <c r="C940" s="41" t="e">
        <f t="shared" si="201"/>
        <v>#VALUE!</v>
      </c>
      <c r="E940" s="45">
        <v>936</v>
      </c>
      <c r="G940" s="138"/>
      <c r="H940" s="135">
        <v>1</v>
      </c>
      <c r="I940" s="46" t="e">
        <f t="shared" si="202"/>
        <v>#VALUE!</v>
      </c>
      <c r="J940" s="41" t="e">
        <f t="shared" si="208"/>
        <v>#VALUE!</v>
      </c>
      <c r="K940" s="41" t="e">
        <f t="shared" si="200"/>
        <v>#VALUE!</v>
      </c>
      <c r="L940" s="41" t="e">
        <f t="shared" si="200"/>
        <v>#VALUE!</v>
      </c>
      <c r="M940" s="41" t="e">
        <f t="shared" si="203"/>
        <v>#VALUE!</v>
      </c>
      <c r="N940" s="41" t="e">
        <f t="shared" si="204"/>
        <v>#VALUE!</v>
      </c>
      <c r="O940" s="41">
        <f t="shared" si="205"/>
        <v>0</v>
      </c>
      <c r="Q940" s="44" t="e">
        <f t="shared" si="206"/>
        <v>#VALUE!</v>
      </c>
      <c r="R940" s="44" t="e">
        <f t="shared" si="209"/>
        <v>#VALUE!</v>
      </c>
      <c r="S940" s="44" t="e">
        <f t="shared" si="207"/>
        <v>#VALUE!</v>
      </c>
      <c r="T940" s="41" t="e">
        <f t="shared" si="210"/>
        <v>#VALUE!</v>
      </c>
      <c r="U940" s="41" t="e">
        <f t="shared" si="211"/>
        <v>#VALUE!</v>
      </c>
      <c r="V940" s="41" t="e">
        <f t="shared" si="212"/>
        <v>#VALUE!</v>
      </c>
    </row>
    <row r="941" spans="2:22" x14ac:dyDescent="0.25">
      <c r="B941" s="41" t="b">
        <f t="shared" si="213"/>
        <v>0</v>
      </c>
      <c r="C941" s="41" t="e">
        <f t="shared" si="201"/>
        <v>#VALUE!</v>
      </c>
      <c r="E941" s="45">
        <v>937</v>
      </c>
      <c r="G941" s="138"/>
      <c r="H941" s="135">
        <v>1</v>
      </c>
      <c r="I941" s="46" t="e">
        <f t="shared" si="202"/>
        <v>#VALUE!</v>
      </c>
      <c r="J941" s="41" t="e">
        <f t="shared" si="208"/>
        <v>#VALUE!</v>
      </c>
      <c r="K941" s="41" t="e">
        <f t="shared" si="200"/>
        <v>#VALUE!</v>
      </c>
      <c r="L941" s="41" t="e">
        <f t="shared" si="200"/>
        <v>#VALUE!</v>
      </c>
      <c r="M941" s="41" t="e">
        <f t="shared" si="203"/>
        <v>#VALUE!</v>
      </c>
      <c r="N941" s="41" t="e">
        <f t="shared" si="204"/>
        <v>#VALUE!</v>
      </c>
      <c r="O941" s="41">
        <f t="shared" si="205"/>
        <v>0</v>
      </c>
      <c r="Q941" s="44" t="e">
        <f t="shared" si="206"/>
        <v>#VALUE!</v>
      </c>
      <c r="R941" s="44" t="e">
        <f t="shared" si="209"/>
        <v>#VALUE!</v>
      </c>
      <c r="S941" s="44" t="e">
        <f t="shared" si="207"/>
        <v>#VALUE!</v>
      </c>
      <c r="T941" s="41" t="e">
        <f t="shared" si="210"/>
        <v>#VALUE!</v>
      </c>
      <c r="U941" s="41" t="e">
        <f t="shared" si="211"/>
        <v>#VALUE!</v>
      </c>
      <c r="V941" s="41" t="e">
        <f t="shared" si="212"/>
        <v>#VALUE!</v>
      </c>
    </row>
    <row r="942" spans="2:22" x14ac:dyDescent="0.25">
      <c r="B942" s="41" t="b">
        <f t="shared" si="213"/>
        <v>0</v>
      </c>
      <c r="C942" s="41" t="e">
        <f t="shared" si="201"/>
        <v>#VALUE!</v>
      </c>
      <c r="E942" s="45">
        <v>938</v>
      </c>
      <c r="G942" s="138"/>
      <c r="H942" s="135">
        <v>1</v>
      </c>
      <c r="I942" s="46" t="e">
        <f t="shared" si="202"/>
        <v>#VALUE!</v>
      </c>
      <c r="J942" s="41" t="e">
        <f t="shared" si="208"/>
        <v>#VALUE!</v>
      </c>
      <c r="K942" s="41" t="e">
        <f t="shared" si="200"/>
        <v>#VALUE!</v>
      </c>
      <c r="L942" s="41" t="e">
        <f t="shared" si="200"/>
        <v>#VALUE!</v>
      </c>
      <c r="M942" s="41" t="e">
        <f t="shared" si="203"/>
        <v>#VALUE!</v>
      </c>
      <c r="N942" s="41" t="e">
        <f t="shared" si="204"/>
        <v>#VALUE!</v>
      </c>
      <c r="O942" s="41">
        <f t="shared" si="205"/>
        <v>0</v>
      </c>
      <c r="Q942" s="44" t="e">
        <f t="shared" si="206"/>
        <v>#VALUE!</v>
      </c>
      <c r="R942" s="44" t="e">
        <f t="shared" si="209"/>
        <v>#VALUE!</v>
      </c>
      <c r="S942" s="44" t="e">
        <f t="shared" si="207"/>
        <v>#VALUE!</v>
      </c>
      <c r="T942" s="41" t="e">
        <f t="shared" si="210"/>
        <v>#VALUE!</v>
      </c>
      <c r="U942" s="41" t="e">
        <f t="shared" si="211"/>
        <v>#VALUE!</v>
      </c>
      <c r="V942" s="41" t="e">
        <f t="shared" si="212"/>
        <v>#VALUE!</v>
      </c>
    </row>
    <row r="943" spans="2:22" x14ac:dyDescent="0.25">
      <c r="B943" s="41" t="b">
        <f t="shared" si="213"/>
        <v>0</v>
      </c>
      <c r="C943" s="41" t="e">
        <f t="shared" si="201"/>
        <v>#VALUE!</v>
      </c>
      <c r="E943" s="45">
        <v>939</v>
      </c>
      <c r="G943" s="138"/>
      <c r="H943" s="135">
        <v>1</v>
      </c>
      <c r="I943" s="46" t="e">
        <f t="shared" si="202"/>
        <v>#VALUE!</v>
      </c>
      <c r="J943" s="41" t="e">
        <f t="shared" si="208"/>
        <v>#VALUE!</v>
      </c>
      <c r="K943" s="41" t="e">
        <f t="shared" ref="K943:L1004" si="214">N943-M943</f>
        <v>#VALUE!</v>
      </c>
      <c r="L943" s="41" t="e">
        <f t="shared" si="214"/>
        <v>#VALUE!</v>
      </c>
      <c r="M943" s="41" t="e">
        <f t="shared" si="203"/>
        <v>#VALUE!</v>
      </c>
      <c r="N943" s="41" t="e">
        <f t="shared" si="204"/>
        <v>#VALUE!</v>
      </c>
      <c r="O943" s="41">
        <f t="shared" si="205"/>
        <v>0</v>
      </c>
      <c r="Q943" s="44" t="e">
        <f t="shared" si="206"/>
        <v>#VALUE!</v>
      </c>
      <c r="R943" s="44" t="e">
        <f t="shared" si="209"/>
        <v>#VALUE!</v>
      </c>
      <c r="S943" s="44" t="e">
        <f t="shared" si="207"/>
        <v>#VALUE!</v>
      </c>
      <c r="T943" s="41" t="e">
        <f t="shared" si="210"/>
        <v>#VALUE!</v>
      </c>
      <c r="U943" s="41" t="e">
        <f t="shared" si="211"/>
        <v>#VALUE!</v>
      </c>
      <c r="V943" s="41" t="e">
        <f t="shared" si="212"/>
        <v>#VALUE!</v>
      </c>
    </row>
    <row r="944" spans="2:22" x14ac:dyDescent="0.25">
      <c r="B944" s="41" t="b">
        <f t="shared" si="213"/>
        <v>0</v>
      </c>
      <c r="C944" s="41" t="e">
        <f t="shared" si="201"/>
        <v>#VALUE!</v>
      </c>
      <c r="E944" s="45">
        <v>940</v>
      </c>
      <c r="G944" s="138"/>
      <c r="H944" s="135">
        <v>1</v>
      </c>
      <c r="I944" s="46" t="e">
        <f t="shared" si="202"/>
        <v>#VALUE!</v>
      </c>
      <c r="J944" s="41" t="e">
        <f t="shared" si="208"/>
        <v>#VALUE!</v>
      </c>
      <c r="K944" s="41" t="e">
        <f t="shared" si="214"/>
        <v>#VALUE!</v>
      </c>
      <c r="L944" s="41" t="e">
        <f t="shared" si="214"/>
        <v>#VALUE!</v>
      </c>
      <c r="M944" s="41" t="e">
        <f t="shared" si="203"/>
        <v>#VALUE!</v>
      </c>
      <c r="N944" s="41" t="e">
        <f t="shared" si="204"/>
        <v>#VALUE!</v>
      </c>
      <c r="O944" s="41">
        <f t="shared" si="205"/>
        <v>0</v>
      </c>
      <c r="Q944" s="44" t="e">
        <f t="shared" si="206"/>
        <v>#VALUE!</v>
      </c>
      <c r="R944" s="44" t="e">
        <f t="shared" si="209"/>
        <v>#VALUE!</v>
      </c>
      <c r="S944" s="44" t="e">
        <f t="shared" si="207"/>
        <v>#VALUE!</v>
      </c>
      <c r="T944" s="41" t="e">
        <f t="shared" si="210"/>
        <v>#VALUE!</v>
      </c>
      <c r="U944" s="41" t="e">
        <f t="shared" si="211"/>
        <v>#VALUE!</v>
      </c>
      <c r="V944" s="41" t="e">
        <f t="shared" si="212"/>
        <v>#VALUE!</v>
      </c>
    </row>
    <row r="945" spans="2:22" x14ac:dyDescent="0.25">
      <c r="B945" s="41" t="b">
        <f t="shared" si="213"/>
        <v>0</v>
      </c>
      <c r="C945" s="41" t="e">
        <f t="shared" si="201"/>
        <v>#VALUE!</v>
      </c>
      <c r="E945" s="45">
        <v>941</v>
      </c>
      <c r="G945" s="138"/>
      <c r="H945" s="135">
        <v>1</v>
      </c>
      <c r="I945" s="46" t="e">
        <f t="shared" si="202"/>
        <v>#VALUE!</v>
      </c>
      <c r="J945" s="41" t="e">
        <f t="shared" si="208"/>
        <v>#VALUE!</v>
      </c>
      <c r="K945" s="41" t="e">
        <f t="shared" si="214"/>
        <v>#VALUE!</v>
      </c>
      <c r="L945" s="41" t="e">
        <f t="shared" si="214"/>
        <v>#VALUE!</v>
      </c>
      <c r="M945" s="41" t="e">
        <f t="shared" si="203"/>
        <v>#VALUE!</v>
      </c>
      <c r="N945" s="41" t="e">
        <f t="shared" si="204"/>
        <v>#VALUE!</v>
      </c>
      <c r="O945" s="41">
        <f t="shared" si="205"/>
        <v>0</v>
      </c>
      <c r="Q945" s="44" t="e">
        <f t="shared" si="206"/>
        <v>#VALUE!</v>
      </c>
      <c r="R945" s="44" t="e">
        <f t="shared" si="209"/>
        <v>#VALUE!</v>
      </c>
      <c r="S945" s="44" t="e">
        <f t="shared" si="207"/>
        <v>#VALUE!</v>
      </c>
      <c r="T945" s="41" t="e">
        <f t="shared" si="210"/>
        <v>#VALUE!</v>
      </c>
      <c r="U945" s="41" t="e">
        <f t="shared" si="211"/>
        <v>#VALUE!</v>
      </c>
      <c r="V945" s="41" t="e">
        <f t="shared" si="212"/>
        <v>#VALUE!</v>
      </c>
    </row>
    <row r="946" spans="2:22" x14ac:dyDescent="0.25">
      <c r="B946" s="41" t="b">
        <f t="shared" si="213"/>
        <v>0</v>
      </c>
      <c r="C946" s="41" t="e">
        <f t="shared" si="201"/>
        <v>#VALUE!</v>
      </c>
      <c r="E946" s="45">
        <v>942</v>
      </c>
      <c r="G946" s="138"/>
      <c r="H946" s="135">
        <v>1</v>
      </c>
      <c r="I946" s="46" t="e">
        <f t="shared" si="202"/>
        <v>#VALUE!</v>
      </c>
      <c r="J946" s="41" t="e">
        <f t="shared" si="208"/>
        <v>#VALUE!</v>
      </c>
      <c r="K946" s="41" t="e">
        <f t="shared" si="214"/>
        <v>#VALUE!</v>
      </c>
      <c r="L946" s="41" t="e">
        <f t="shared" si="214"/>
        <v>#VALUE!</v>
      </c>
      <c r="M946" s="41" t="e">
        <f t="shared" si="203"/>
        <v>#VALUE!</v>
      </c>
      <c r="N946" s="41" t="e">
        <f t="shared" si="204"/>
        <v>#VALUE!</v>
      </c>
      <c r="O946" s="41">
        <f t="shared" si="205"/>
        <v>0</v>
      </c>
      <c r="Q946" s="44" t="e">
        <f t="shared" si="206"/>
        <v>#VALUE!</v>
      </c>
      <c r="R946" s="44" t="e">
        <f t="shared" si="209"/>
        <v>#VALUE!</v>
      </c>
      <c r="S946" s="44" t="e">
        <f t="shared" si="207"/>
        <v>#VALUE!</v>
      </c>
      <c r="T946" s="41" t="e">
        <f t="shared" si="210"/>
        <v>#VALUE!</v>
      </c>
      <c r="U946" s="41" t="e">
        <f t="shared" si="211"/>
        <v>#VALUE!</v>
      </c>
      <c r="V946" s="41" t="e">
        <f t="shared" si="212"/>
        <v>#VALUE!</v>
      </c>
    </row>
    <row r="947" spans="2:22" x14ac:dyDescent="0.25">
      <c r="B947" s="41" t="b">
        <f t="shared" si="213"/>
        <v>0</v>
      </c>
      <c r="C947" s="41" t="e">
        <f t="shared" si="201"/>
        <v>#VALUE!</v>
      </c>
      <c r="E947" s="45">
        <v>943</v>
      </c>
      <c r="G947" s="138"/>
      <c r="H947" s="135">
        <v>1</v>
      </c>
      <c r="I947" s="46" t="e">
        <f t="shared" si="202"/>
        <v>#VALUE!</v>
      </c>
      <c r="J947" s="41" t="e">
        <f t="shared" si="208"/>
        <v>#VALUE!</v>
      </c>
      <c r="K947" s="41" t="e">
        <f t="shared" si="214"/>
        <v>#VALUE!</v>
      </c>
      <c r="L947" s="41" t="e">
        <f t="shared" si="214"/>
        <v>#VALUE!</v>
      </c>
      <c r="M947" s="41" t="e">
        <f t="shared" si="203"/>
        <v>#VALUE!</v>
      </c>
      <c r="N947" s="41" t="e">
        <f t="shared" si="204"/>
        <v>#VALUE!</v>
      </c>
      <c r="O947" s="41">
        <f t="shared" si="205"/>
        <v>0</v>
      </c>
      <c r="Q947" s="44" t="e">
        <f t="shared" si="206"/>
        <v>#VALUE!</v>
      </c>
      <c r="R947" s="44" t="e">
        <f t="shared" si="209"/>
        <v>#VALUE!</v>
      </c>
      <c r="S947" s="44" t="e">
        <f t="shared" si="207"/>
        <v>#VALUE!</v>
      </c>
      <c r="T947" s="41" t="e">
        <f t="shared" si="210"/>
        <v>#VALUE!</v>
      </c>
      <c r="U947" s="41" t="e">
        <f t="shared" si="211"/>
        <v>#VALUE!</v>
      </c>
      <c r="V947" s="41" t="e">
        <f t="shared" si="212"/>
        <v>#VALUE!</v>
      </c>
    </row>
    <row r="948" spans="2:22" x14ac:dyDescent="0.25">
      <c r="B948" s="41" t="b">
        <f t="shared" si="213"/>
        <v>0</v>
      </c>
      <c r="C948" s="41" t="e">
        <f t="shared" si="201"/>
        <v>#VALUE!</v>
      </c>
      <c r="E948" s="45">
        <v>944</v>
      </c>
      <c r="G948" s="138"/>
      <c r="H948" s="135">
        <v>1</v>
      </c>
      <c r="I948" s="46" t="e">
        <f t="shared" si="202"/>
        <v>#VALUE!</v>
      </c>
      <c r="J948" s="41" t="e">
        <f t="shared" si="208"/>
        <v>#VALUE!</v>
      </c>
      <c r="K948" s="41" t="e">
        <f t="shared" si="214"/>
        <v>#VALUE!</v>
      </c>
      <c r="L948" s="41" t="e">
        <f t="shared" si="214"/>
        <v>#VALUE!</v>
      </c>
      <c r="M948" s="41" t="e">
        <f t="shared" si="203"/>
        <v>#VALUE!</v>
      </c>
      <c r="N948" s="41" t="e">
        <f t="shared" si="204"/>
        <v>#VALUE!</v>
      </c>
      <c r="O948" s="41">
        <f t="shared" si="205"/>
        <v>0</v>
      </c>
      <c r="Q948" s="44" t="e">
        <f t="shared" si="206"/>
        <v>#VALUE!</v>
      </c>
      <c r="R948" s="44" t="e">
        <f t="shared" si="209"/>
        <v>#VALUE!</v>
      </c>
      <c r="S948" s="44" t="e">
        <f t="shared" si="207"/>
        <v>#VALUE!</v>
      </c>
      <c r="T948" s="41" t="e">
        <f t="shared" si="210"/>
        <v>#VALUE!</v>
      </c>
      <c r="U948" s="41" t="e">
        <f t="shared" si="211"/>
        <v>#VALUE!</v>
      </c>
      <c r="V948" s="41" t="e">
        <f t="shared" si="212"/>
        <v>#VALUE!</v>
      </c>
    </row>
    <row r="949" spans="2:22" x14ac:dyDescent="0.25">
      <c r="B949" s="41" t="b">
        <f t="shared" si="213"/>
        <v>0</v>
      </c>
      <c r="C949" s="41" t="e">
        <f t="shared" si="201"/>
        <v>#VALUE!</v>
      </c>
      <c r="E949" s="45">
        <v>945</v>
      </c>
      <c r="G949" s="138"/>
      <c r="H949" s="135">
        <v>1</v>
      </c>
      <c r="I949" s="46" t="e">
        <f t="shared" si="202"/>
        <v>#VALUE!</v>
      </c>
      <c r="J949" s="41" t="e">
        <f t="shared" si="208"/>
        <v>#VALUE!</v>
      </c>
      <c r="K949" s="41" t="e">
        <f t="shared" si="214"/>
        <v>#VALUE!</v>
      </c>
      <c r="L949" s="41" t="e">
        <f t="shared" si="214"/>
        <v>#VALUE!</v>
      </c>
      <c r="M949" s="41" t="e">
        <f t="shared" si="203"/>
        <v>#VALUE!</v>
      </c>
      <c r="N949" s="41" t="e">
        <f t="shared" si="204"/>
        <v>#VALUE!</v>
      </c>
      <c r="O949" s="41">
        <f t="shared" si="205"/>
        <v>0</v>
      </c>
      <c r="Q949" s="44" t="e">
        <f t="shared" si="206"/>
        <v>#VALUE!</v>
      </c>
      <c r="R949" s="44" t="e">
        <f t="shared" si="209"/>
        <v>#VALUE!</v>
      </c>
      <c r="S949" s="44" t="e">
        <f t="shared" si="207"/>
        <v>#VALUE!</v>
      </c>
      <c r="T949" s="41" t="e">
        <f t="shared" si="210"/>
        <v>#VALUE!</v>
      </c>
      <c r="U949" s="41" t="e">
        <f t="shared" si="211"/>
        <v>#VALUE!</v>
      </c>
      <c r="V949" s="41" t="e">
        <f t="shared" si="212"/>
        <v>#VALUE!</v>
      </c>
    </row>
    <row r="950" spans="2:22" x14ac:dyDescent="0.25">
      <c r="B950" s="41" t="b">
        <f t="shared" si="213"/>
        <v>0</v>
      </c>
      <c r="C950" s="41" t="e">
        <f t="shared" ref="C950:C981" si="215">SUM(T950:V950)</f>
        <v>#VALUE!</v>
      </c>
      <c r="E950" s="45">
        <v>946</v>
      </c>
      <c r="G950" s="138"/>
      <c r="H950" s="135">
        <v>1</v>
      </c>
      <c r="I950" s="46" t="e">
        <f t="shared" si="202"/>
        <v>#VALUE!</v>
      </c>
      <c r="J950" s="41" t="e">
        <f t="shared" si="208"/>
        <v>#VALUE!</v>
      </c>
      <c r="K950" s="41" t="e">
        <f t="shared" si="214"/>
        <v>#VALUE!</v>
      </c>
      <c r="L950" s="41" t="e">
        <f t="shared" si="214"/>
        <v>#VALUE!</v>
      </c>
      <c r="M950" s="41" t="e">
        <f t="shared" si="203"/>
        <v>#VALUE!</v>
      </c>
      <c r="N950" s="41" t="e">
        <f t="shared" si="204"/>
        <v>#VALUE!</v>
      </c>
      <c r="O950" s="41">
        <f t="shared" si="205"/>
        <v>0</v>
      </c>
      <c r="Q950" s="44" t="e">
        <f t="shared" si="206"/>
        <v>#VALUE!</v>
      </c>
      <c r="R950" s="44" t="e">
        <f t="shared" si="209"/>
        <v>#VALUE!</v>
      </c>
      <c r="S950" s="44" t="e">
        <f t="shared" si="207"/>
        <v>#VALUE!</v>
      </c>
      <c r="T950" s="41" t="e">
        <f t="shared" si="210"/>
        <v>#VALUE!</v>
      </c>
      <c r="U950" s="41" t="e">
        <f t="shared" si="211"/>
        <v>#VALUE!</v>
      </c>
      <c r="V950" s="41" t="e">
        <f t="shared" si="212"/>
        <v>#VALUE!</v>
      </c>
    </row>
    <row r="951" spans="2:22" x14ac:dyDescent="0.25">
      <c r="B951" s="41" t="b">
        <f t="shared" si="213"/>
        <v>0</v>
      </c>
      <c r="C951" s="41" t="e">
        <f t="shared" si="215"/>
        <v>#VALUE!</v>
      </c>
      <c r="E951" s="45">
        <v>947</v>
      </c>
      <c r="G951" s="138"/>
      <c r="H951" s="135">
        <v>1</v>
      </c>
      <c r="I951" s="46" t="e">
        <f t="shared" si="202"/>
        <v>#VALUE!</v>
      </c>
      <c r="J951" s="41" t="e">
        <f t="shared" si="208"/>
        <v>#VALUE!</v>
      </c>
      <c r="K951" s="41" t="e">
        <f t="shared" si="214"/>
        <v>#VALUE!</v>
      </c>
      <c r="L951" s="41" t="e">
        <f t="shared" si="214"/>
        <v>#VALUE!</v>
      </c>
      <c r="M951" s="41" t="e">
        <f t="shared" si="203"/>
        <v>#VALUE!</v>
      </c>
      <c r="N951" s="41" t="e">
        <f t="shared" si="204"/>
        <v>#VALUE!</v>
      </c>
      <c r="O951" s="41">
        <f t="shared" si="205"/>
        <v>0</v>
      </c>
      <c r="Q951" s="44" t="e">
        <f t="shared" si="206"/>
        <v>#VALUE!</v>
      </c>
      <c r="R951" s="44" t="e">
        <f t="shared" si="209"/>
        <v>#VALUE!</v>
      </c>
      <c r="S951" s="44" t="e">
        <f t="shared" si="207"/>
        <v>#VALUE!</v>
      </c>
      <c r="T951" s="41" t="e">
        <f t="shared" si="210"/>
        <v>#VALUE!</v>
      </c>
      <c r="U951" s="41" t="e">
        <f t="shared" si="211"/>
        <v>#VALUE!</v>
      </c>
      <c r="V951" s="41" t="e">
        <f t="shared" si="212"/>
        <v>#VALUE!</v>
      </c>
    </row>
    <row r="952" spans="2:22" x14ac:dyDescent="0.25">
      <c r="B952" s="41" t="b">
        <f t="shared" si="213"/>
        <v>0</v>
      </c>
      <c r="C952" s="41" t="e">
        <f t="shared" si="215"/>
        <v>#VALUE!</v>
      </c>
      <c r="E952" s="45">
        <v>948</v>
      </c>
      <c r="G952" s="138"/>
      <c r="H952" s="135">
        <v>1</v>
      </c>
      <c r="I952" s="46" t="e">
        <f t="shared" si="202"/>
        <v>#VALUE!</v>
      </c>
      <c r="J952" s="41" t="e">
        <f t="shared" si="208"/>
        <v>#VALUE!</v>
      </c>
      <c r="K952" s="41" t="e">
        <f t="shared" si="214"/>
        <v>#VALUE!</v>
      </c>
      <c r="L952" s="41" t="e">
        <f t="shared" si="214"/>
        <v>#VALUE!</v>
      </c>
      <c r="M952" s="41" t="e">
        <f t="shared" si="203"/>
        <v>#VALUE!</v>
      </c>
      <c r="N952" s="41" t="e">
        <f t="shared" si="204"/>
        <v>#VALUE!</v>
      </c>
      <c r="O952" s="41">
        <f t="shared" si="205"/>
        <v>0</v>
      </c>
      <c r="Q952" s="44" t="e">
        <f t="shared" si="206"/>
        <v>#VALUE!</v>
      </c>
      <c r="R952" s="44" t="e">
        <f t="shared" si="209"/>
        <v>#VALUE!</v>
      </c>
      <c r="S952" s="44" t="e">
        <f t="shared" si="207"/>
        <v>#VALUE!</v>
      </c>
      <c r="T952" s="41" t="e">
        <f t="shared" si="210"/>
        <v>#VALUE!</v>
      </c>
      <c r="U952" s="41" t="e">
        <f t="shared" si="211"/>
        <v>#VALUE!</v>
      </c>
      <c r="V952" s="41" t="e">
        <f t="shared" si="212"/>
        <v>#VALUE!</v>
      </c>
    </row>
    <row r="953" spans="2:22" x14ac:dyDescent="0.25">
      <c r="B953" s="41" t="b">
        <f t="shared" si="213"/>
        <v>0</v>
      </c>
      <c r="C953" s="41" t="e">
        <f t="shared" si="215"/>
        <v>#VALUE!</v>
      </c>
      <c r="E953" s="45">
        <v>949</v>
      </c>
      <c r="G953" s="138"/>
      <c r="H953" s="135">
        <v>1</v>
      </c>
      <c r="I953" s="46" t="e">
        <f t="shared" si="202"/>
        <v>#VALUE!</v>
      </c>
      <c r="J953" s="41" t="e">
        <f t="shared" si="208"/>
        <v>#VALUE!</v>
      </c>
      <c r="K953" s="41" t="e">
        <f t="shared" si="214"/>
        <v>#VALUE!</v>
      </c>
      <c r="L953" s="41" t="e">
        <f t="shared" si="214"/>
        <v>#VALUE!</v>
      </c>
      <c r="M953" s="41" t="e">
        <f t="shared" si="203"/>
        <v>#VALUE!</v>
      </c>
      <c r="N953" s="41" t="e">
        <f t="shared" si="204"/>
        <v>#VALUE!</v>
      </c>
      <c r="O953" s="41">
        <f t="shared" si="205"/>
        <v>0</v>
      </c>
      <c r="Q953" s="44" t="e">
        <f t="shared" si="206"/>
        <v>#VALUE!</v>
      </c>
      <c r="R953" s="44" t="e">
        <f t="shared" si="209"/>
        <v>#VALUE!</v>
      </c>
      <c r="S953" s="44" t="e">
        <f t="shared" si="207"/>
        <v>#VALUE!</v>
      </c>
      <c r="T953" s="41" t="e">
        <f t="shared" si="210"/>
        <v>#VALUE!</v>
      </c>
      <c r="U953" s="41" t="e">
        <f t="shared" si="211"/>
        <v>#VALUE!</v>
      </c>
      <c r="V953" s="41" t="e">
        <f t="shared" si="212"/>
        <v>#VALUE!</v>
      </c>
    </row>
    <row r="954" spans="2:22" x14ac:dyDescent="0.25">
      <c r="B954" s="41" t="b">
        <f t="shared" si="213"/>
        <v>0</v>
      </c>
      <c r="C954" s="41" t="e">
        <f t="shared" si="215"/>
        <v>#VALUE!</v>
      </c>
      <c r="E954" s="45">
        <v>950</v>
      </c>
      <c r="G954" s="138"/>
      <c r="H954" s="135">
        <v>1</v>
      </c>
      <c r="I954" s="46" t="e">
        <f t="shared" si="202"/>
        <v>#VALUE!</v>
      </c>
      <c r="J954" s="41" t="e">
        <f t="shared" si="208"/>
        <v>#VALUE!</v>
      </c>
      <c r="K954" s="41" t="e">
        <f t="shared" si="214"/>
        <v>#VALUE!</v>
      </c>
      <c r="L954" s="41" t="e">
        <f t="shared" si="214"/>
        <v>#VALUE!</v>
      </c>
      <c r="M954" s="41" t="e">
        <f t="shared" si="203"/>
        <v>#VALUE!</v>
      </c>
      <c r="N954" s="41" t="e">
        <f t="shared" si="204"/>
        <v>#VALUE!</v>
      </c>
      <c r="O954" s="41">
        <f t="shared" si="205"/>
        <v>0</v>
      </c>
      <c r="Q954" s="44" t="e">
        <f t="shared" si="206"/>
        <v>#VALUE!</v>
      </c>
      <c r="R954" s="44" t="e">
        <f t="shared" si="209"/>
        <v>#VALUE!</v>
      </c>
      <c r="S954" s="44" t="e">
        <f t="shared" si="207"/>
        <v>#VALUE!</v>
      </c>
      <c r="T954" s="41" t="e">
        <f t="shared" si="210"/>
        <v>#VALUE!</v>
      </c>
      <c r="U954" s="41" t="e">
        <f t="shared" si="211"/>
        <v>#VALUE!</v>
      </c>
      <c r="V954" s="41" t="e">
        <f t="shared" si="212"/>
        <v>#VALUE!</v>
      </c>
    </row>
    <row r="955" spans="2:22" x14ac:dyDescent="0.25">
      <c r="B955" s="41" t="b">
        <f t="shared" si="213"/>
        <v>0</v>
      </c>
      <c r="C955" s="41" t="e">
        <f t="shared" si="215"/>
        <v>#VALUE!</v>
      </c>
      <c r="E955" s="45">
        <v>951</v>
      </c>
      <c r="G955" s="138"/>
      <c r="H955" s="135">
        <v>1</v>
      </c>
      <c r="I955" s="46" t="e">
        <f t="shared" si="202"/>
        <v>#VALUE!</v>
      </c>
      <c r="J955" s="41" t="e">
        <f t="shared" si="208"/>
        <v>#VALUE!</v>
      </c>
      <c r="K955" s="41" t="e">
        <f t="shared" si="214"/>
        <v>#VALUE!</v>
      </c>
      <c r="L955" s="41" t="e">
        <f t="shared" si="214"/>
        <v>#VALUE!</v>
      </c>
      <c r="M955" s="41" t="e">
        <f t="shared" si="203"/>
        <v>#VALUE!</v>
      </c>
      <c r="N955" s="41" t="e">
        <f t="shared" si="204"/>
        <v>#VALUE!</v>
      </c>
      <c r="O955" s="41">
        <f t="shared" si="205"/>
        <v>0</v>
      </c>
      <c r="Q955" s="44" t="e">
        <f t="shared" si="206"/>
        <v>#VALUE!</v>
      </c>
      <c r="R955" s="44" t="e">
        <f t="shared" si="209"/>
        <v>#VALUE!</v>
      </c>
      <c r="S955" s="44" t="e">
        <f t="shared" si="207"/>
        <v>#VALUE!</v>
      </c>
      <c r="T955" s="41" t="e">
        <f t="shared" si="210"/>
        <v>#VALUE!</v>
      </c>
      <c r="U955" s="41" t="e">
        <f t="shared" si="211"/>
        <v>#VALUE!</v>
      </c>
      <c r="V955" s="41" t="e">
        <f t="shared" si="212"/>
        <v>#VALUE!</v>
      </c>
    </row>
    <row r="956" spans="2:22" x14ac:dyDescent="0.25">
      <c r="B956" s="41" t="b">
        <f t="shared" si="213"/>
        <v>0</v>
      </c>
      <c r="C956" s="41" t="e">
        <f t="shared" si="215"/>
        <v>#VALUE!</v>
      </c>
      <c r="E956" s="45">
        <v>952</v>
      </c>
      <c r="G956" s="138"/>
      <c r="H956" s="135">
        <v>1</v>
      </c>
      <c r="I956" s="46" t="e">
        <f t="shared" si="202"/>
        <v>#VALUE!</v>
      </c>
      <c r="J956" s="41" t="e">
        <f t="shared" si="208"/>
        <v>#VALUE!</v>
      </c>
      <c r="K956" s="41" t="e">
        <f t="shared" si="214"/>
        <v>#VALUE!</v>
      </c>
      <c r="L956" s="41" t="e">
        <f t="shared" si="214"/>
        <v>#VALUE!</v>
      </c>
      <c r="M956" s="41" t="e">
        <f t="shared" si="203"/>
        <v>#VALUE!</v>
      </c>
      <c r="N956" s="41" t="e">
        <f t="shared" si="204"/>
        <v>#VALUE!</v>
      </c>
      <c r="O956" s="41">
        <f t="shared" si="205"/>
        <v>0</v>
      </c>
      <c r="Q956" s="44" t="e">
        <f t="shared" si="206"/>
        <v>#VALUE!</v>
      </c>
      <c r="R956" s="44" t="e">
        <f t="shared" si="209"/>
        <v>#VALUE!</v>
      </c>
      <c r="S956" s="44" t="e">
        <f t="shared" si="207"/>
        <v>#VALUE!</v>
      </c>
      <c r="T956" s="41" t="e">
        <f t="shared" si="210"/>
        <v>#VALUE!</v>
      </c>
      <c r="U956" s="41" t="e">
        <f t="shared" si="211"/>
        <v>#VALUE!</v>
      </c>
      <c r="V956" s="41" t="e">
        <f t="shared" si="212"/>
        <v>#VALUE!</v>
      </c>
    </row>
    <row r="957" spans="2:22" x14ac:dyDescent="0.25">
      <c r="B957" s="41" t="b">
        <f t="shared" si="213"/>
        <v>0</v>
      </c>
      <c r="C957" s="41" t="e">
        <f t="shared" si="215"/>
        <v>#VALUE!</v>
      </c>
      <c r="E957" s="45">
        <v>953</v>
      </c>
      <c r="G957" s="138"/>
      <c r="H957" s="135">
        <v>1</v>
      </c>
      <c r="I957" s="46" t="e">
        <f t="shared" si="202"/>
        <v>#VALUE!</v>
      </c>
      <c r="J957" s="41" t="e">
        <f t="shared" si="208"/>
        <v>#VALUE!</v>
      </c>
      <c r="K957" s="41" t="e">
        <f t="shared" si="214"/>
        <v>#VALUE!</v>
      </c>
      <c r="L957" s="41" t="e">
        <f t="shared" si="214"/>
        <v>#VALUE!</v>
      </c>
      <c r="M957" s="41" t="e">
        <f t="shared" si="203"/>
        <v>#VALUE!</v>
      </c>
      <c r="N957" s="41" t="e">
        <f t="shared" si="204"/>
        <v>#VALUE!</v>
      </c>
      <c r="O957" s="41">
        <f t="shared" si="205"/>
        <v>0</v>
      </c>
      <c r="Q957" s="44" t="e">
        <f t="shared" si="206"/>
        <v>#VALUE!</v>
      </c>
      <c r="R957" s="44" t="e">
        <f t="shared" si="209"/>
        <v>#VALUE!</v>
      </c>
      <c r="S957" s="44" t="e">
        <f t="shared" si="207"/>
        <v>#VALUE!</v>
      </c>
      <c r="T957" s="41" t="e">
        <f t="shared" si="210"/>
        <v>#VALUE!</v>
      </c>
      <c r="U957" s="41" t="e">
        <f t="shared" si="211"/>
        <v>#VALUE!</v>
      </c>
      <c r="V957" s="41" t="e">
        <f t="shared" si="212"/>
        <v>#VALUE!</v>
      </c>
    </row>
    <row r="958" spans="2:22" x14ac:dyDescent="0.25">
      <c r="B958" s="41" t="b">
        <f t="shared" si="213"/>
        <v>0</v>
      </c>
      <c r="C958" s="41" t="e">
        <f t="shared" si="215"/>
        <v>#VALUE!</v>
      </c>
      <c r="E958" s="45">
        <v>954</v>
      </c>
      <c r="G958" s="138"/>
      <c r="H958" s="135">
        <v>1</v>
      </c>
      <c r="I958" s="46" t="e">
        <f t="shared" si="202"/>
        <v>#VALUE!</v>
      </c>
      <c r="J958" s="41" t="e">
        <f t="shared" si="208"/>
        <v>#VALUE!</v>
      </c>
      <c r="K958" s="41" t="e">
        <f t="shared" si="214"/>
        <v>#VALUE!</v>
      </c>
      <c r="L958" s="41" t="e">
        <f t="shared" si="214"/>
        <v>#VALUE!</v>
      </c>
      <c r="M958" s="41" t="e">
        <f t="shared" si="203"/>
        <v>#VALUE!</v>
      </c>
      <c r="N958" s="41" t="e">
        <f t="shared" si="204"/>
        <v>#VALUE!</v>
      </c>
      <c r="O958" s="41">
        <f t="shared" si="205"/>
        <v>0</v>
      </c>
      <c r="Q958" s="44" t="e">
        <f t="shared" si="206"/>
        <v>#VALUE!</v>
      </c>
      <c r="R958" s="44" t="e">
        <f t="shared" si="209"/>
        <v>#VALUE!</v>
      </c>
      <c r="S958" s="44" t="e">
        <f t="shared" si="207"/>
        <v>#VALUE!</v>
      </c>
      <c r="T958" s="41" t="e">
        <f t="shared" si="210"/>
        <v>#VALUE!</v>
      </c>
      <c r="U958" s="41" t="e">
        <f t="shared" si="211"/>
        <v>#VALUE!</v>
      </c>
      <c r="V958" s="41" t="e">
        <f t="shared" si="212"/>
        <v>#VALUE!</v>
      </c>
    </row>
    <row r="959" spans="2:22" x14ac:dyDescent="0.25">
      <c r="B959" s="41" t="b">
        <f t="shared" si="213"/>
        <v>0</v>
      </c>
      <c r="C959" s="41" t="e">
        <f t="shared" si="215"/>
        <v>#VALUE!</v>
      </c>
      <c r="E959" s="45">
        <v>955</v>
      </c>
      <c r="G959" s="138"/>
      <c r="H959" s="135">
        <v>1</v>
      </c>
      <c r="I959" s="46" t="e">
        <f t="shared" si="202"/>
        <v>#VALUE!</v>
      </c>
      <c r="J959" s="41" t="e">
        <f t="shared" si="208"/>
        <v>#VALUE!</v>
      </c>
      <c r="K959" s="41" t="e">
        <f t="shared" si="214"/>
        <v>#VALUE!</v>
      </c>
      <c r="L959" s="41" t="e">
        <f t="shared" si="214"/>
        <v>#VALUE!</v>
      </c>
      <c r="M959" s="41" t="e">
        <f t="shared" si="203"/>
        <v>#VALUE!</v>
      </c>
      <c r="N959" s="41" t="e">
        <f t="shared" si="204"/>
        <v>#VALUE!</v>
      </c>
      <c r="O959" s="41">
        <f t="shared" si="205"/>
        <v>0</v>
      </c>
      <c r="Q959" s="44" t="e">
        <f t="shared" si="206"/>
        <v>#VALUE!</v>
      </c>
      <c r="R959" s="44" t="e">
        <f t="shared" si="209"/>
        <v>#VALUE!</v>
      </c>
      <c r="S959" s="44" t="e">
        <f t="shared" si="207"/>
        <v>#VALUE!</v>
      </c>
      <c r="T959" s="41" t="e">
        <f t="shared" si="210"/>
        <v>#VALUE!</v>
      </c>
      <c r="U959" s="41" t="e">
        <f t="shared" si="211"/>
        <v>#VALUE!</v>
      </c>
      <c r="V959" s="41" t="e">
        <f t="shared" si="212"/>
        <v>#VALUE!</v>
      </c>
    </row>
    <row r="960" spans="2:22" x14ac:dyDescent="0.25">
      <c r="B960" s="41" t="b">
        <f t="shared" si="213"/>
        <v>0</v>
      </c>
      <c r="C960" s="41" t="e">
        <f t="shared" si="215"/>
        <v>#VALUE!</v>
      </c>
      <c r="E960" s="45">
        <v>956</v>
      </c>
      <c r="G960" s="138"/>
      <c r="H960" s="135">
        <v>1</v>
      </c>
      <c r="I960" s="46" t="e">
        <f t="shared" si="202"/>
        <v>#VALUE!</v>
      </c>
      <c r="J960" s="41" t="e">
        <f t="shared" si="208"/>
        <v>#VALUE!</v>
      </c>
      <c r="K960" s="41" t="e">
        <f t="shared" si="214"/>
        <v>#VALUE!</v>
      </c>
      <c r="L960" s="41" t="e">
        <f t="shared" si="214"/>
        <v>#VALUE!</v>
      </c>
      <c r="M960" s="41" t="e">
        <f t="shared" si="203"/>
        <v>#VALUE!</v>
      </c>
      <c r="N960" s="41" t="e">
        <f t="shared" si="204"/>
        <v>#VALUE!</v>
      </c>
      <c r="O960" s="41">
        <f t="shared" si="205"/>
        <v>0</v>
      </c>
      <c r="Q960" s="44" t="e">
        <f t="shared" si="206"/>
        <v>#VALUE!</v>
      </c>
      <c r="R960" s="44" t="e">
        <f t="shared" si="209"/>
        <v>#VALUE!</v>
      </c>
      <c r="S960" s="44" t="e">
        <f t="shared" si="207"/>
        <v>#VALUE!</v>
      </c>
      <c r="T960" s="41" t="e">
        <f t="shared" si="210"/>
        <v>#VALUE!</v>
      </c>
      <c r="U960" s="41" t="e">
        <f t="shared" si="211"/>
        <v>#VALUE!</v>
      </c>
      <c r="V960" s="41" t="e">
        <f t="shared" si="212"/>
        <v>#VALUE!</v>
      </c>
    </row>
    <row r="961" spans="2:22" x14ac:dyDescent="0.25">
      <c r="B961" s="41" t="b">
        <f t="shared" si="213"/>
        <v>0</v>
      </c>
      <c r="C961" s="41" t="e">
        <f t="shared" si="215"/>
        <v>#VALUE!</v>
      </c>
      <c r="E961" s="45">
        <v>957</v>
      </c>
      <c r="G961" s="138"/>
      <c r="H961" s="135">
        <v>1</v>
      </c>
      <c r="I961" s="46" t="e">
        <f t="shared" si="202"/>
        <v>#VALUE!</v>
      </c>
      <c r="J961" s="41" t="e">
        <f t="shared" si="208"/>
        <v>#VALUE!</v>
      </c>
      <c r="K961" s="41" t="e">
        <f t="shared" si="214"/>
        <v>#VALUE!</v>
      </c>
      <c r="L961" s="41" t="e">
        <f t="shared" si="214"/>
        <v>#VALUE!</v>
      </c>
      <c r="M961" s="41" t="e">
        <f t="shared" si="203"/>
        <v>#VALUE!</v>
      </c>
      <c r="N961" s="41" t="e">
        <f t="shared" si="204"/>
        <v>#VALUE!</v>
      </c>
      <c r="O961" s="41">
        <f t="shared" si="205"/>
        <v>0</v>
      </c>
      <c r="Q961" s="44" t="e">
        <f t="shared" si="206"/>
        <v>#VALUE!</v>
      </c>
      <c r="R961" s="44" t="e">
        <f t="shared" si="209"/>
        <v>#VALUE!</v>
      </c>
      <c r="S961" s="44" t="e">
        <f t="shared" si="207"/>
        <v>#VALUE!</v>
      </c>
      <c r="T961" s="41" t="e">
        <f t="shared" si="210"/>
        <v>#VALUE!</v>
      </c>
      <c r="U961" s="41" t="e">
        <f t="shared" si="211"/>
        <v>#VALUE!</v>
      </c>
      <c r="V961" s="41" t="e">
        <f t="shared" si="212"/>
        <v>#VALUE!</v>
      </c>
    </row>
    <row r="962" spans="2:22" x14ac:dyDescent="0.25">
      <c r="B962" s="41" t="b">
        <f t="shared" si="213"/>
        <v>0</v>
      </c>
      <c r="C962" s="41" t="e">
        <f t="shared" si="215"/>
        <v>#VALUE!</v>
      </c>
      <c r="E962" s="45">
        <v>958</v>
      </c>
      <c r="G962" s="138"/>
      <c r="H962" s="135">
        <v>1</v>
      </c>
      <c r="I962" s="46" t="e">
        <f t="shared" si="202"/>
        <v>#VALUE!</v>
      </c>
      <c r="J962" s="41" t="e">
        <f t="shared" si="208"/>
        <v>#VALUE!</v>
      </c>
      <c r="K962" s="41" t="e">
        <f t="shared" si="214"/>
        <v>#VALUE!</v>
      </c>
      <c r="L962" s="41" t="e">
        <f t="shared" si="214"/>
        <v>#VALUE!</v>
      </c>
      <c r="M962" s="41" t="e">
        <f t="shared" si="203"/>
        <v>#VALUE!</v>
      </c>
      <c r="N962" s="41" t="e">
        <f t="shared" si="204"/>
        <v>#VALUE!</v>
      </c>
      <c r="O962" s="41">
        <f t="shared" si="205"/>
        <v>0</v>
      </c>
      <c r="Q962" s="44" t="e">
        <f t="shared" si="206"/>
        <v>#VALUE!</v>
      </c>
      <c r="R962" s="44" t="e">
        <f t="shared" si="209"/>
        <v>#VALUE!</v>
      </c>
      <c r="S962" s="44" t="e">
        <f t="shared" si="207"/>
        <v>#VALUE!</v>
      </c>
      <c r="T962" s="41" t="e">
        <f t="shared" si="210"/>
        <v>#VALUE!</v>
      </c>
      <c r="U962" s="41" t="e">
        <f t="shared" si="211"/>
        <v>#VALUE!</v>
      </c>
      <c r="V962" s="41" t="e">
        <f t="shared" si="212"/>
        <v>#VALUE!</v>
      </c>
    </row>
    <row r="963" spans="2:22" x14ac:dyDescent="0.25">
      <c r="B963" s="41" t="b">
        <f t="shared" si="213"/>
        <v>0</v>
      </c>
      <c r="C963" s="41" t="e">
        <f t="shared" si="215"/>
        <v>#VALUE!</v>
      </c>
      <c r="E963" s="45">
        <v>959</v>
      </c>
      <c r="G963" s="138"/>
      <c r="H963" s="135">
        <v>1</v>
      </c>
      <c r="I963" s="46" t="e">
        <f t="shared" si="202"/>
        <v>#VALUE!</v>
      </c>
      <c r="J963" s="41" t="e">
        <f t="shared" si="208"/>
        <v>#VALUE!</v>
      </c>
      <c r="K963" s="41" t="e">
        <f t="shared" si="214"/>
        <v>#VALUE!</v>
      </c>
      <c r="L963" s="41" t="e">
        <f t="shared" si="214"/>
        <v>#VALUE!</v>
      </c>
      <c r="M963" s="41" t="e">
        <f t="shared" si="203"/>
        <v>#VALUE!</v>
      </c>
      <c r="N963" s="41" t="e">
        <f t="shared" si="204"/>
        <v>#VALUE!</v>
      </c>
      <c r="O963" s="41">
        <f t="shared" si="205"/>
        <v>0</v>
      </c>
      <c r="Q963" s="44" t="e">
        <f t="shared" si="206"/>
        <v>#VALUE!</v>
      </c>
      <c r="R963" s="44" t="e">
        <f t="shared" si="209"/>
        <v>#VALUE!</v>
      </c>
      <c r="S963" s="44" t="e">
        <f t="shared" si="207"/>
        <v>#VALUE!</v>
      </c>
      <c r="T963" s="41" t="e">
        <f t="shared" si="210"/>
        <v>#VALUE!</v>
      </c>
      <c r="U963" s="41" t="e">
        <f t="shared" si="211"/>
        <v>#VALUE!</v>
      </c>
      <c r="V963" s="41" t="e">
        <f t="shared" si="212"/>
        <v>#VALUE!</v>
      </c>
    </row>
    <row r="964" spans="2:22" x14ac:dyDescent="0.25">
      <c r="B964" s="41" t="b">
        <f t="shared" si="213"/>
        <v>0</v>
      </c>
      <c r="C964" s="41" t="e">
        <f t="shared" si="215"/>
        <v>#VALUE!</v>
      </c>
      <c r="E964" s="45">
        <v>960</v>
      </c>
      <c r="G964" s="138"/>
      <c r="H964" s="135">
        <v>1</v>
      </c>
      <c r="I964" s="46" t="e">
        <f t="shared" ref="I964:I1004" si="216">RIGHT(G964,J964)</f>
        <v>#VALUE!</v>
      </c>
      <c r="J964" s="41" t="e">
        <f t="shared" si="208"/>
        <v>#VALUE!</v>
      </c>
      <c r="K964" s="41" t="e">
        <f t="shared" si="214"/>
        <v>#VALUE!</v>
      </c>
      <c r="L964" s="41" t="e">
        <f t="shared" si="214"/>
        <v>#VALUE!</v>
      </c>
      <c r="M964" s="41" t="e">
        <f t="shared" ref="M964:M1004" si="217">SEARCH("-",G964,2)</f>
        <v>#VALUE!</v>
      </c>
      <c r="N964" s="41" t="e">
        <f t="shared" ref="N964:N1004" si="218">SEARCH("-",G964,M964+1)</f>
        <v>#VALUE!</v>
      </c>
      <c r="O964" s="41">
        <f t="shared" ref="O964:O1004" si="219">LEN(G964)</f>
        <v>0</v>
      </c>
      <c r="Q964" s="44" t="e">
        <f t="shared" ref="Q964:Q1004" si="220">LEFT(G964,M964-1)</f>
        <v>#VALUE!</v>
      </c>
      <c r="R964" s="44" t="e">
        <f t="shared" si="209"/>
        <v>#VALUE!</v>
      </c>
      <c r="S964" s="44" t="e">
        <f t="shared" ref="S964:S1004" si="221">RIGHT(G964,L964)</f>
        <v>#VALUE!</v>
      </c>
      <c r="T964" s="41" t="e">
        <f t="shared" si="210"/>
        <v>#VALUE!</v>
      </c>
      <c r="U964" s="41" t="e">
        <f t="shared" si="211"/>
        <v>#VALUE!</v>
      </c>
      <c r="V964" s="41" t="e">
        <f t="shared" si="212"/>
        <v>#VALUE!</v>
      </c>
    </row>
    <row r="965" spans="2:22" x14ac:dyDescent="0.25">
      <c r="B965" s="41" t="b">
        <f t="shared" si="213"/>
        <v>0</v>
      </c>
      <c r="C965" s="41" t="e">
        <f t="shared" si="215"/>
        <v>#VALUE!</v>
      </c>
      <c r="E965" s="45">
        <v>961</v>
      </c>
      <c r="G965" s="138"/>
      <c r="H965" s="135">
        <v>1</v>
      </c>
      <c r="I965" s="46" t="e">
        <f t="shared" si="216"/>
        <v>#VALUE!</v>
      </c>
      <c r="J965" s="41" t="e">
        <f t="shared" ref="J965:J1004" si="222">O965-M965</f>
        <v>#VALUE!</v>
      </c>
      <c r="K965" s="41" t="e">
        <f t="shared" si="214"/>
        <v>#VALUE!</v>
      </c>
      <c r="L965" s="41" t="e">
        <f t="shared" si="214"/>
        <v>#VALUE!</v>
      </c>
      <c r="M965" s="41" t="e">
        <f t="shared" si="217"/>
        <v>#VALUE!</v>
      </c>
      <c r="N965" s="41" t="e">
        <f t="shared" si="218"/>
        <v>#VALUE!</v>
      </c>
      <c r="O965" s="41">
        <f t="shared" si="219"/>
        <v>0</v>
      </c>
      <c r="Q965" s="44" t="e">
        <f t="shared" si="220"/>
        <v>#VALUE!</v>
      </c>
      <c r="R965" s="44" t="e">
        <f t="shared" ref="R965:R1004" si="223">LEFT(I965,K965-1)</f>
        <v>#VALUE!</v>
      </c>
      <c r="S965" s="44" t="e">
        <f t="shared" si="221"/>
        <v>#VALUE!</v>
      </c>
      <c r="T965" s="41" t="e">
        <f t="shared" ref="T965:T1004" si="224">Q965*1*H965</f>
        <v>#VALUE!</v>
      </c>
      <c r="U965" s="41" t="e">
        <f t="shared" ref="U965:U1004" si="225">R965*1*H965</f>
        <v>#VALUE!</v>
      </c>
      <c r="V965" s="41" t="e">
        <f t="shared" ref="V965:V1004" si="226">S965*1*H965</f>
        <v>#VALUE!</v>
      </c>
    </row>
    <row r="966" spans="2:22" x14ac:dyDescent="0.25">
      <c r="B966" s="41" t="b">
        <f t="shared" si="213"/>
        <v>0</v>
      </c>
      <c r="C966" s="41" t="e">
        <f t="shared" si="215"/>
        <v>#VALUE!</v>
      </c>
      <c r="E966" s="45">
        <v>962</v>
      </c>
      <c r="G966" s="138"/>
      <c r="H966" s="135">
        <v>1</v>
      </c>
      <c r="I966" s="46" t="e">
        <f t="shared" si="216"/>
        <v>#VALUE!</v>
      </c>
      <c r="J966" s="41" t="e">
        <f t="shared" si="222"/>
        <v>#VALUE!</v>
      </c>
      <c r="K966" s="41" t="e">
        <f t="shared" si="214"/>
        <v>#VALUE!</v>
      </c>
      <c r="L966" s="41" t="e">
        <f t="shared" si="214"/>
        <v>#VALUE!</v>
      </c>
      <c r="M966" s="41" t="e">
        <f t="shared" si="217"/>
        <v>#VALUE!</v>
      </c>
      <c r="N966" s="41" t="e">
        <f t="shared" si="218"/>
        <v>#VALUE!</v>
      </c>
      <c r="O966" s="41">
        <f t="shared" si="219"/>
        <v>0</v>
      </c>
      <c r="Q966" s="44" t="e">
        <f t="shared" si="220"/>
        <v>#VALUE!</v>
      </c>
      <c r="R966" s="44" t="e">
        <f t="shared" si="223"/>
        <v>#VALUE!</v>
      </c>
      <c r="S966" s="44" t="e">
        <f t="shared" si="221"/>
        <v>#VALUE!</v>
      </c>
      <c r="T966" s="41" t="e">
        <f t="shared" si="224"/>
        <v>#VALUE!</v>
      </c>
      <c r="U966" s="41" t="e">
        <f t="shared" si="225"/>
        <v>#VALUE!</v>
      </c>
      <c r="V966" s="41" t="e">
        <f t="shared" si="226"/>
        <v>#VALUE!</v>
      </c>
    </row>
    <row r="967" spans="2:22" x14ac:dyDescent="0.25">
      <c r="B967" s="41" t="b">
        <f t="shared" si="213"/>
        <v>0</v>
      </c>
      <c r="C967" s="41" t="e">
        <f t="shared" si="215"/>
        <v>#VALUE!</v>
      </c>
      <c r="E967" s="45">
        <v>963</v>
      </c>
      <c r="G967" s="138"/>
      <c r="H967" s="135">
        <v>1</v>
      </c>
      <c r="I967" s="46" t="e">
        <f t="shared" si="216"/>
        <v>#VALUE!</v>
      </c>
      <c r="J967" s="41" t="e">
        <f t="shared" si="222"/>
        <v>#VALUE!</v>
      </c>
      <c r="K967" s="41" t="e">
        <f t="shared" si="214"/>
        <v>#VALUE!</v>
      </c>
      <c r="L967" s="41" t="e">
        <f t="shared" si="214"/>
        <v>#VALUE!</v>
      </c>
      <c r="M967" s="41" t="e">
        <f t="shared" si="217"/>
        <v>#VALUE!</v>
      </c>
      <c r="N967" s="41" t="e">
        <f t="shared" si="218"/>
        <v>#VALUE!</v>
      </c>
      <c r="O967" s="41">
        <f t="shared" si="219"/>
        <v>0</v>
      </c>
      <c r="Q967" s="44" t="e">
        <f t="shared" si="220"/>
        <v>#VALUE!</v>
      </c>
      <c r="R967" s="44" t="e">
        <f t="shared" si="223"/>
        <v>#VALUE!</v>
      </c>
      <c r="S967" s="44" t="e">
        <f t="shared" si="221"/>
        <v>#VALUE!</v>
      </c>
      <c r="T967" s="41" t="e">
        <f t="shared" si="224"/>
        <v>#VALUE!</v>
      </c>
      <c r="U967" s="41" t="e">
        <f t="shared" si="225"/>
        <v>#VALUE!</v>
      </c>
      <c r="V967" s="41" t="e">
        <f t="shared" si="226"/>
        <v>#VALUE!</v>
      </c>
    </row>
    <row r="968" spans="2:22" x14ac:dyDescent="0.25">
      <c r="B968" s="41" t="b">
        <f t="shared" si="213"/>
        <v>0</v>
      </c>
      <c r="C968" s="41" t="e">
        <f t="shared" si="215"/>
        <v>#VALUE!</v>
      </c>
      <c r="E968" s="45">
        <v>964</v>
      </c>
      <c r="G968" s="138"/>
      <c r="H968" s="135">
        <v>1</v>
      </c>
      <c r="I968" s="46" t="e">
        <f t="shared" si="216"/>
        <v>#VALUE!</v>
      </c>
      <c r="J968" s="41" t="e">
        <f t="shared" si="222"/>
        <v>#VALUE!</v>
      </c>
      <c r="K968" s="41" t="e">
        <f t="shared" si="214"/>
        <v>#VALUE!</v>
      </c>
      <c r="L968" s="41" t="e">
        <f t="shared" si="214"/>
        <v>#VALUE!</v>
      </c>
      <c r="M968" s="41" t="e">
        <f t="shared" si="217"/>
        <v>#VALUE!</v>
      </c>
      <c r="N968" s="41" t="e">
        <f t="shared" si="218"/>
        <v>#VALUE!</v>
      </c>
      <c r="O968" s="41">
        <f t="shared" si="219"/>
        <v>0</v>
      </c>
      <c r="Q968" s="44" t="e">
        <f t="shared" si="220"/>
        <v>#VALUE!</v>
      </c>
      <c r="R968" s="44" t="e">
        <f t="shared" si="223"/>
        <v>#VALUE!</v>
      </c>
      <c r="S968" s="44" t="e">
        <f t="shared" si="221"/>
        <v>#VALUE!</v>
      </c>
      <c r="T968" s="41" t="e">
        <f t="shared" si="224"/>
        <v>#VALUE!</v>
      </c>
      <c r="U968" s="41" t="e">
        <f t="shared" si="225"/>
        <v>#VALUE!</v>
      </c>
      <c r="V968" s="41" t="e">
        <f t="shared" si="226"/>
        <v>#VALUE!</v>
      </c>
    </row>
    <row r="969" spans="2:22" x14ac:dyDescent="0.25">
      <c r="B969" s="41" t="b">
        <f t="shared" si="213"/>
        <v>0</v>
      </c>
      <c r="C969" s="41" t="e">
        <f t="shared" si="215"/>
        <v>#VALUE!</v>
      </c>
      <c r="E969" s="45">
        <v>965</v>
      </c>
      <c r="G969" s="138"/>
      <c r="H969" s="135">
        <v>1</v>
      </c>
      <c r="I969" s="46" t="e">
        <f t="shared" si="216"/>
        <v>#VALUE!</v>
      </c>
      <c r="J969" s="41" t="e">
        <f t="shared" si="222"/>
        <v>#VALUE!</v>
      </c>
      <c r="K969" s="41" t="e">
        <f t="shared" si="214"/>
        <v>#VALUE!</v>
      </c>
      <c r="L969" s="41" t="e">
        <f t="shared" si="214"/>
        <v>#VALUE!</v>
      </c>
      <c r="M969" s="41" t="e">
        <f t="shared" si="217"/>
        <v>#VALUE!</v>
      </c>
      <c r="N969" s="41" t="e">
        <f t="shared" si="218"/>
        <v>#VALUE!</v>
      </c>
      <c r="O969" s="41">
        <f t="shared" si="219"/>
        <v>0</v>
      </c>
      <c r="Q969" s="44" t="e">
        <f t="shared" si="220"/>
        <v>#VALUE!</v>
      </c>
      <c r="R969" s="44" t="e">
        <f t="shared" si="223"/>
        <v>#VALUE!</v>
      </c>
      <c r="S969" s="44" t="e">
        <f t="shared" si="221"/>
        <v>#VALUE!</v>
      </c>
      <c r="T969" s="41" t="e">
        <f t="shared" si="224"/>
        <v>#VALUE!</v>
      </c>
      <c r="U969" s="41" t="e">
        <f t="shared" si="225"/>
        <v>#VALUE!</v>
      </c>
      <c r="V969" s="41" t="e">
        <f t="shared" si="226"/>
        <v>#VALUE!</v>
      </c>
    </row>
    <row r="970" spans="2:22" x14ac:dyDescent="0.25">
      <c r="B970" s="41" t="b">
        <f t="shared" si="213"/>
        <v>0</v>
      </c>
      <c r="C970" s="41" t="e">
        <f t="shared" si="215"/>
        <v>#VALUE!</v>
      </c>
      <c r="E970" s="45">
        <v>966</v>
      </c>
      <c r="G970" s="138"/>
      <c r="H970" s="135">
        <v>1</v>
      </c>
      <c r="I970" s="46" t="e">
        <f t="shared" si="216"/>
        <v>#VALUE!</v>
      </c>
      <c r="J970" s="41" t="e">
        <f t="shared" si="222"/>
        <v>#VALUE!</v>
      </c>
      <c r="K970" s="41" t="e">
        <f t="shared" si="214"/>
        <v>#VALUE!</v>
      </c>
      <c r="L970" s="41" t="e">
        <f t="shared" si="214"/>
        <v>#VALUE!</v>
      </c>
      <c r="M970" s="41" t="e">
        <f t="shared" si="217"/>
        <v>#VALUE!</v>
      </c>
      <c r="N970" s="41" t="e">
        <f t="shared" si="218"/>
        <v>#VALUE!</v>
      </c>
      <c r="O970" s="41">
        <f t="shared" si="219"/>
        <v>0</v>
      </c>
      <c r="Q970" s="44" t="e">
        <f t="shared" si="220"/>
        <v>#VALUE!</v>
      </c>
      <c r="R970" s="44" t="e">
        <f t="shared" si="223"/>
        <v>#VALUE!</v>
      </c>
      <c r="S970" s="44" t="e">
        <f t="shared" si="221"/>
        <v>#VALUE!</v>
      </c>
      <c r="T970" s="41" t="e">
        <f t="shared" si="224"/>
        <v>#VALUE!</v>
      </c>
      <c r="U970" s="41" t="e">
        <f t="shared" si="225"/>
        <v>#VALUE!</v>
      </c>
      <c r="V970" s="41" t="e">
        <f t="shared" si="226"/>
        <v>#VALUE!</v>
      </c>
    </row>
    <row r="971" spans="2:22" x14ac:dyDescent="0.25">
      <c r="B971" s="41" t="b">
        <f t="shared" si="213"/>
        <v>0</v>
      </c>
      <c r="C971" s="41" t="e">
        <f t="shared" si="215"/>
        <v>#VALUE!</v>
      </c>
      <c r="E971" s="45">
        <v>967</v>
      </c>
      <c r="G971" s="138"/>
      <c r="H971" s="135">
        <v>1</v>
      </c>
      <c r="I971" s="46" t="e">
        <f t="shared" si="216"/>
        <v>#VALUE!</v>
      </c>
      <c r="J971" s="41" t="e">
        <f t="shared" si="222"/>
        <v>#VALUE!</v>
      </c>
      <c r="K971" s="41" t="e">
        <f t="shared" si="214"/>
        <v>#VALUE!</v>
      </c>
      <c r="L971" s="41" t="e">
        <f t="shared" si="214"/>
        <v>#VALUE!</v>
      </c>
      <c r="M971" s="41" t="e">
        <f t="shared" si="217"/>
        <v>#VALUE!</v>
      </c>
      <c r="N971" s="41" t="e">
        <f t="shared" si="218"/>
        <v>#VALUE!</v>
      </c>
      <c r="O971" s="41">
        <f t="shared" si="219"/>
        <v>0</v>
      </c>
      <c r="Q971" s="44" t="e">
        <f t="shared" si="220"/>
        <v>#VALUE!</v>
      </c>
      <c r="R971" s="44" t="e">
        <f t="shared" si="223"/>
        <v>#VALUE!</v>
      </c>
      <c r="S971" s="44" t="e">
        <f t="shared" si="221"/>
        <v>#VALUE!</v>
      </c>
      <c r="T971" s="41" t="e">
        <f t="shared" si="224"/>
        <v>#VALUE!</v>
      </c>
      <c r="U971" s="41" t="e">
        <f t="shared" si="225"/>
        <v>#VALUE!</v>
      </c>
      <c r="V971" s="41" t="e">
        <f t="shared" si="226"/>
        <v>#VALUE!</v>
      </c>
    </row>
    <row r="972" spans="2:22" x14ac:dyDescent="0.25">
      <c r="B972" s="41" t="b">
        <f t="shared" si="213"/>
        <v>0</v>
      </c>
      <c r="C972" s="41" t="e">
        <f t="shared" si="215"/>
        <v>#VALUE!</v>
      </c>
      <c r="E972" s="45">
        <v>968</v>
      </c>
      <c r="G972" s="138"/>
      <c r="H972" s="135">
        <v>1</v>
      </c>
      <c r="I972" s="46" t="e">
        <f t="shared" si="216"/>
        <v>#VALUE!</v>
      </c>
      <c r="J972" s="41" t="e">
        <f t="shared" si="222"/>
        <v>#VALUE!</v>
      </c>
      <c r="K972" s="41" t="e">
        <f t="shared" si="214"/>
        <v>#VALUE!</v>
      </c>
      <c r="L972" s="41" t="e">
        <f t="shared" si="214"/>
        <v>#VALUE!</v>
      </c>
      <c r="M972" s="41" t="e">
        <f t="shared" si="217"/>
        <v>#VALUE!</v>
      </c>
      <c r="N972" s="41" t="e">
        <f t="shared" si="218"/>
        <v>#VALUE!</v>
      </c>
      <c r="O972" s="41">
        <f t="shared" si="219"/>
        <v>0</v>
      </c>
      <c r="Q972" s="44" t="e">
        <f t="shared" si="220"/>
        <v>#VALUE!</v>
      </c>
      <c r="R972" s="44" t="e">
        <f t="shared" si="223"/>
        <v>#VALUE!</v>
      </c>
      <c r="S972" s="44" t="e">
        <f t="shared" si="221"/>
        <v>#VALUE!</v>
      </c>
      <c r="T972" s="41" t="e">
        <f t="shared" si="224"/>
        <v>#VALUE!</v>
      </c>
      <c r="U972" s="41" t="e">
        <f t="shared" si="225"/>
        <v>#VALUE!</v>
      </c>
      <c r="V972" s="41" t="e">
        <f t="shared" si="226"/>
        <v>#VALUE!</v>
      </c>
    </row>
    <row r="973" spans="2:22" x14ac:dyDescent="0.25">
      <c r="B973" s="41" t="b">
        <f t="shared" si="213"/>
        <v>0</v>
      </c>
      <c r="C973" s="41" t="e">
        <f t="shared" si="215"/>
        <v>#VALUE!</v>
      </c>
      <c r="E973" s="45">
        <v>969</v>
      </c>
      <c r="G973" s="138"/>
      <c r="H973" s="135">
        <v>1</v>
      </c>
      <c r="I973" s="46" t="e">
        <f t="shared" si="216"/>
        <v>#VALUE!</v>
      </c>
      <c r="J973" s="41" t="e">
        <f t="shared" si="222"/>
        <v>#VALUE!</v>
      </c>
      <c r="K973" s="41" t="e">
        <f t="shared" si="214"/>
        <v>#VALUE!</v>
      </c>
      <c r="L973" s="41" t="e">
        <f t="shared" si="214"/>
        <v>#VALUE!</v>
      </c>
      <c r="M973" s="41" t="e">
        <f t="shared" si="217"/>
        <v>#VALUE!</v>
      </c>
      <c r="N973" s="41" t="e">
        <f t="shared" si="218"/>
        <v>#VALUE!</v>
      </c>
      <c r="O973" s="41">
        <f t="shared" si="219"/>
        <v>0</v>
      </c>
      <c r="Q973" s="44" t="e">
        <f t="shared" si="220"/>
        <v>#VALUE!</v>
      </c>
      <c r="R973" s="44" t="e">
        <f t="shared" si="223"/>
        <v>#VALUE!</v>
      </c>
      <c r="S973" s="44" t="e">
        <f t="shared" si="221"/>
        <v>#VALUE!</v>
      </c>
      <c r="T973" s="41" t="e">
        <f t="shared" si="224"/>
        <v>#VALUE!</v>
      </c>
      <c r="U973" s="41" t="e">
        <f t="shared" si="225"/>
        <v>#VALUE!</v>
      </c>
      <c r="V973" s="41" t="e">
        <f t="shared" si="226"/>
        <v>#VALUE!</v>
      </c>
    </row>
    <row r="974" spans="2:22" x14ac:dyDescent="0.25">
      <c r="B974" s="41" t="b">
        <f t="shared" ref="B974:B1004" si="227">ISNUMBER(C974)</f>
        <v>0</v>
      </c>
      <c r="C974" s="41" t="e">
        <f t="shared" si="215"/>
        <v>#VALUE!</v>
      </c>
      <c r="E974" s="45">
        <v>970</v>
      </c>
      <c r="G974" s="138"/>
      <c r="H974" s="135">
        <v>1</v>
      </c>
      <c r="I974" s="46" t="e">
        <f t="shared" si="216"/>
        <v>#VALUE!</v>
      </c>
      <c r="J974" s="41" t="e">
        <f t="shared" si="222"/>
        <v>#VALUE!</v>
      </c>
      <c r="K974" s="41" t="e">
        <f t="shared" si="214"/>
        <v>#VALUE!</v>
      </c>
      <c r="L974" s="41" t="e">
        <f t="shared" si="214"/>
        <v>#VALUE!</v>
      </c>
      <c r="M974" s="41" t="e">
        <f t="shared" si="217"/>
        <v>#VALUE!</v>
      </c>
      <c r="N974" s="41" t="e">
        <f t="shared" si="218"/>
        <v>#VALUE!</v>
      </c>
      <c r="O974" s="41">
        <f t="shared" si="219"/>
        <v>0</v>
      </c>
      <c r="Q974" s="44" t="e">
        <f t="shared" si="220"/>
        <v>#VALUE!</v>
      </c>
      <c r="R974" s="44" t="e">
        <f t="shared" si="223"/>
        <v>#VALUE!</v>
      </c>
      <c r="S974" s="44" t="e">
        <f t="shared" si="221"/>
        <v>#VALUE!</v>
      </c>
      <c r="T974" s="41" t="e">
        <f t="shared" si="224"/>
        <v>#VALUE!</v>
      </c>
      <c r="U974" s="41" t="e">
        <f t="shared" si="225"/>
        <v>#VALUE!</v>
      </c>
      <c r="V974" s="41" t="e">
        <f t="shared" si="226"/>
        <v>#VALUE!</v>
      </c>
    </row>
    <row r="975" spans="2:22" x14ac:dyDescent="0.25">
      <c r="B975" s="41" t="b">
        <f t="shared" si="227"/>
        <v>0</v>
      </c>
      <c r="C975" s="41" t="e">
        <f t="shared" si="215"/>
        <v>#VALUE!</v>
      </c>
      <c r="E975" s="45">
        <v>971</v>
      </c>
      <c r="G975" s="138"/>
      <c r="H975" s="135">
        <v>1</v>
      </c>
      <c r="I975" s="46" t="e">
        <f t="shared" si="216"/>
        <v>#VALUE!</v>
      </c>
      <c r="J975" s="41" t="e">
        <f t="shared" si="222"/>
        <v>#VALUE!</v>
      </c>
      <c r="K975" s="41" t="e">
        <f t="shared" si="214"/>
        <v>#VALUE!</v>
      </c>
      <c r="L975" s="41" t="e">
        <f t="shared" si="214"/>
        <v>#VALUE!</v>
      </c>
      <c r="M975" s="41" t="e">
        <f t="shared" si="217"/>
        <v>#VALUE!</v>
      </c>
      <c r="N975" s="41" t="e">
        <f t="shared" si="218"/>
        <v>#VALUE!</v>
      </c>
      <c r="O975" s="41">
        <f t="shared" si="219"/>
        <v>0</v>
      </c>
      <c r="Q975" s="44" t="e">
        <f t="shared" si="220"/>
        <v>#VALUE!</v>
      </c>
      <c r="R975" s="44" t="e">
        <f t="shared" si="223"/>
        <v>#VALUE!</v>
      </c>
      <c r="S975" s="44" t="e">
        <f t="shared" si="221"/>
        <v>#VALUE!</v>
      </c>
      <c r="T975" s="41" t="e">
        <f t="shared" si="224"/>
        <v>#VALUE!</v>
      </c>
      <c r="U975" s="41" t="e">
        <f t="shared" si="225"/>
        <v>#VALUE!</v>
      </c>
      <c r="V975" s="41" t="e">
        <f t="shared" si="226"/>
        <v>#VALUE!</v>
      </c>
    </row>
    <row r="976" spans="2:22" x14ac:dyDescent="0.25">
      <c r="B976" s="41" t="b">
        <f t="shared" si="227"/>
        <v>0</v>
      </c>
      <c r="C976" s="41" t="e">
        <f t="shared" si="215"/>
        <v>#VALUE!</v>
      </c>
      <c r="E976" s="45">
        <v>972</v>
      </c>
      <c r="G976" s="138"/>
      <c r="H976" s="135">
        <v>1</v>
      </c>
      <c r="I976" s="46" t="e">
        <f t="shared" si="216"/>
        <v>#VALUE!</v>
      </c>
      <c r="J976" s="41" t="e">
        <f t="shared" si="222"/>
        <v>#VALUE!</v>
      </c>
      <c r="K976" s="41" t="e">
        <f t="shared" si="214"/>
        <v>#VALUE!</v>
      </c>
      <c r="L976" s="41" t="e">
        <f t="shared" si="214"/>
        <v>#VALUE!</v>
      </c>
      <c r="M976" s="41" t="e">
        <f t="shared" si="217"/>
        <v>#VALUE!</v>
      </c>
      <c r="N976" s="41" t="e">
        <f t="shared" si="218"/>
        <v>#VALUE!</v>
      </c>
      <c r="O976" s="41">
        <f t="shared" si="219"/>
        <v>0</v>
      </c>
      <c r="Q976" s="44" t="e">
        <f t="shared" si="220"/>
        <v>#VALUE!</v>
      </c>
      <c r="R976" s="44" t="e">
        <f t="shared" si="223"/>
        <v>#VALUE!</v>
      </c>
      <c r="S976" s="44" t="e">
        <f t="shared" si="221"/>
        <v>#VALUE!</v>
      </c>
      <c r="T976" s="41" t="e">
        <f t="shared" si="224"/>
        <v>#VALUE!</v>
      </c>
      <c r="U976" s="41" t="e">
        <f t="shared" si="225"/>
        <v>#VALUE!</v>
      </c>
      <c r="V976" s="41" t="e">
        <f t="shared" si="226"/>
        <v>#VALUE!</v>
      </c>
    </row>
    <row r="977" spans="2:22" x14ac:dyDescent="0.25">
      <c r="B977" s="41" t="b">
        <f t="shared" si="227"/>
        <v>0</v>
      </c>
      <c r="C977" s="41" t="e">
        <f t="shared" si="215"/>
        <v>#VALUE!</v>
      </c>
      <c r="E977" s="45">
        <v>973</v>
      </c>
      <c r="G977" s="138"/>
      <c r="H977" s="135">
        <v>1</v>
      </c>
      <c r="I977" s="46" t="e">
        <f t="shared" si="216"/>
        <v>#VALUE!</v>
      </c>
      <c r="J977" s="41" t="e">
        <f t="shared" si="222"/>
        <v>#VALUE!</v>
      </c>
      <c r="K977" s="41" t="e">
        <f t="shared" si="214"/>
        <v>#VALUE!</v>
      </c>
      <c r="L977" s="41" t="e">
        <f t="shared" si="214"/>
        <v>#VALUE!</v>
      </c>
      <c r="M977" s="41" t="e">
        <f t="shared" si="217"/>
        <v>#VALUE!</v>
      </c>
      <c r="N977" s="41" t="e">
        <f t="shared" si="218"/>
        <v>#VALUE!</v>
      </c>
      <c r="O977" s="41">
        <f t="shared" si="219"/>
        <v>0</v>
      </c>
      <c r="Q977" s="44" t="e">
        <f t="shared" si="220"/>
        <v>#VALUE!</v>
      </c>
      <c r="R977" s="44" t="e">
        <f t="shared" si="223"/>
        <v>#VALUE!</v>
      </c>
      <c r="S977" s="44" t="e">
        <f t="shared" si="221"/>
        <v>#VALUE!</v>
      </c>
      <c r="T977" s="41" t="e">
        <f t="shared" si="224"/>
        <v>#VALUE!</v>
      </c>
      <c r="U977" s="41" t="e">
        <f t="shared" si="225"/>
        <v>#VALUE!</v>
      </c>
      <c r="V977" s="41" t="e">
        <f t="shared" si="226"/>
        <v>#VALUE!</v>
      </c>
    </row>
    <row r="978" spans="2:22" x14ac:dyDescent="0.25">
      <c r="B978" s="41" t="b">
        <f t="shared" si="227"/>
        <v>0</v>
      </c>
      <c r="C978" s="41" t="e">
        <f t="shared" si="215"/>
        <v>#VALUE!</v>
      </c>
      <c r="E978" s="45">
        <v>974</v>
      </c>
      <c r="G978" s="138"/>
      <c r="H978" s="135">
        <v>1</v>
      </c>
      <c r="I978" s="46" t="e">
        <f t="shared" si="216"/>
        <v>#VALUE!</v>
      </c>
      <c r="J978" s="41" t="e">
        <f t="shared" si="222"/>
        <v>#VALUE!</v>
      </c>
      <c r="K978" s="41" t="e">
        <f t="shared" si="214"/>
        <v>#VALUE!</v>
      </c>
      <c r="L978" s="41" t="e">
        <f t="shared" si="214"/>
        <v>#VALUE!</v>
      </c>
      <c r="M978" s="41" t="e">
        <f t="shared" si="217"/>
        <v>#VALUE!</v>
      </c>
      <c r="N978" s="41" t="e">
        <f t="shared" si="218"/>
        <v>#VALUE!</v>
      </c>
      <c r="O978" s="41">
        <f t="shared" si="219"/>
        <v>0</v>
      </c>
      <c r="Q978" s="44" t="e">
        <f t="shared" si="220"/>
        <v>#VALUE!</v>
      </c>
      <c r="R978" s="44" t="e">
        <f t="shared" si="223"/>
        <v>#VALUE!</v>
      </c>
      <c r="S978" s="44" t="e">
        <f t="shared" si="221"/>
        <v>#VALUE!</v>
      </c>
      <c r="T978" s="41" t="e">
        <f t="shared" si="224"/>
        <v>#VALUE!</v>
      </c>
      <c r="U978" s="41" t="e">
        <f t="shared" si="225"/>
        <v>#VALUE!</v>
      </c>
      <c r="V978" s="41" t="e">
        <f t="shared" si="226"/>
        <v>#VALUE!</v>
      </c>
    </row>
    <row r="979" spans="2:22" x14ac:dyDescent="0.25">
      <c r="B979" s="41" t="b">
        <f t="shared" si="227"/>
        <v>0</v>
      </c>
      <c r="C979" s="41" t="e">
        <f t="shared" si="215"/>
        <v>#VALUE!</v>
      </c>
      <c r="E979" s="45">
        <v>975</v>
      </c>
      <c r="G979" s="138"/>
      <c r="H979" s="135">
        <v>1</v>
      </c>
      <c r="I979" s="46" t="e">
        <f t="shared" si="216"/>
        <v>#VALUE!</v>
      </c>
      <c r="J979" s="41" t="e">
        <f t="shared" si="222"/>
        <v>#VALUE!</v>
      </c>
      <c r="K979" s="41" t="e">
        <f t="shared" si="214"/>
        <v>#VALUE!</v>
      </c>
      <c r="L979" s="41" t="e">
        <f t="shared" si="214"/>
        <v>#VALUE!</v>
      </c>
      <c r="M979" s="41" t="e">
        <f t="shared" si="217"/>
        <v>#VALUE!</v>
      </c>
      <c r="N979" s="41" t="e">
        <f t="shared" si="218"/>
        <v>#VALUE!</v>
      </c>
      <c r="O979" s="41">
        <f t="shared" si="219"/>
        <v>0</v>
      </c>
      <c r="Q979" s="44" t="e">
        <f t="shared" si="220"/>
        <v>#VALUE!</v>
      </c>
      <c r="R979" s="44" t="e">
        <f t="shared" si="223"/>
        <v>#VALUE!</v>
      </c>
      <c r="S979" s="44" t="e">
        <f t="shared" si="221"/>
        <v>#VALUE!</v>
      </c>
      <c r="T979" s="41" t="e">
        <f t="shared" si="224"/>
        <v>#VALUE!</v>
      </c>
      <c r="U979" s="41" t="e">
        <f t="shared" si="225"/>
        <v>#VALUE!</v>
      </c>
      <c r="V979" s="41" t="e">
        <f t="shared" si="226"/>
        <v>#VALUE!</v>
      </c>
    </row>
    <row r="980" spans="2:22" x14ac:dyDescent="0.25">
      <c r="B980" s="41" t="b">
        <f t="shared" si="227"/>
        <v>0</v>
      </c>
      <c r="C980" s="41" t="e">
        <f t="shared" si="215"/>
        <v>#VALUE!</v>
      </c>
      <c r="E980" s="45">
        <v>976</v>
      </c>
      <c r="G980" s="138"/>
      <c r="H980" s="135">
        <v>1</v>
      </c>
      <c r="I980" s="46" t="e">
        <f t="shared" si="216"/>
        <v>#VALUE!</v>
      </c>
      <c r="J980" s="41" t="e">
        <f t="shared" si="222"/>
        <v>#VALUE!</v>
      </c>
      <c r="K980" s="41" t="e">
        <f t="shared" si="214"/>
        <v>#VALUE!</v>
      </c>
      <c r="L980" s="41" t="e">
        <f t="shared" si="214"/>
        <v>#VALUE!</v>
      </c>
      <c r="M980" s="41" t="e">
        <f t="shared" si="217"/>
        <v>#VALUE!</v>
      </c>
      <c r="N980" s="41" t="e">
        <f t="shared" si="218"/>
        <v>#VALUE!</v>
      </c>
      <c r="O980" s="41">
        <f t="shared" si="219"/>
        <v>0</v>
      </c>
      <c r="Q980" s="44" t="e">
        <f t="shared" si="220"/>
        <v>#VALUE!</v>
      </c>
      <c r="R980" s="44" t="e">
        <f t="shared" si="223"/>
        <v>#VALUE!</v>
      </c>
      <c r="S980" s="44" t="e">
        <f t="shared" si="221"/>
        <v>#VALUE!</v>
      </c>
      <c r="T980" s="41" t="e">
        <f t="shared" si="224"/>
        <v>#VALUE!</v>
      </c>
      <c r="U980" s="41" t="e">
        <f t="shared" si="225"/>
        <v>#VALUE!</v>
      </c>
      <c r="V980" s="41" t="e">
        <f t="shared" si="226"/>
        <v>#VALUE!</v>
      </c>
    </row>
    <row r="981" spans="2:22" x14ac:dyDescent="0.25">
      <c r="B981" s="41" t="b">
        <f t="shared" si="227"/>
        <v>0</v>
      </c>
      <c r="C981" s="41" t="e">
        <f t="shared" si="215"/>
        <v>#VALUE!</v>
      </c>
      <c r="E981" s="45">
        <v>977</v>
      </c>
      <c r="G981" s="138"/>
      <c r="H981" s="135">
        <v>1</v>
      </c>
      <c r="I981" s="46" t="e">
        <f t="shared" si="216"/>
        <v>#VALUE!</v>
      </c>
      <c r="J981" s="41" t="e">
        <f t="shared" si="222"/>
        <v>#VALUE!</v>
      </c>
      <c r="K981" s="41" t="e">
        <f t="shared" si="214"/>
        <v>#VALUE!</v>
      </c>
      <c r="L981" s="41" t="e">
        <f t="shared" si="214"/>
        <v>#VALUE!</v>
      </c>
      <c r="M981" s="41" t="e">
        <f t="shared" si="217"/>
        <v>#VALUE!</v>
      </c>
      <c r="N981" s="41" t="e">
        <f t="shared" si="218"/>
        <v>#VALUE!</v>
      </c>
      <c r="O981" s="41">
        <f t="shared" si="219"/>
        <v>0</v>
      </c>
      <c r="Q981" s="44" t="e">
        <f t="shared" si="220"/>
        <v>#VALUE!</v>
      </c>
      <c r="R981" s="44" t="e">
        <f t="shared" si="223"/>
        <v>#VALUE!</v>
      </c>
      <c r="S981" s="44" t="e">
        <f t="shared" si="221"/>
        <v>#VALUE!</v>
      </c>
      <c r="T981" s="41" t="e">
        <f t="shared" si="224"/>
        <v>#VALUE!</v>
      </c>
      <c r="U981" s="41" t="e">
        <f t="shared" si="225"/>
        <v>#VALUE!</v>
      </c>
      <c r="V981" s="41" t="e">
        <f t="shared" si="226"/>
        <v>#VALUE!</v>
      </c>
    </row>
    <row r="982" spans="2:22" x14ac:dyDescent="0.25">
      <c r="B982" s="41" t="b">
        <f t="shared" si="227"/>
        <v>0</v>
      </c>
      <c r="C982" s="41" t="e">
        <f t="shared" ref="C982:C1004" si="228">SUM(T982:V982)</f>
        <v>#VALUE!</v>
      </c>
      <c r="E982" s="45">
        <v>978</v>
      </c>
      <c r="G982" s="138"/>
      <c r="H982" s="135">
        <v>1</v>
      </c>
      <c r="I982" s="46" t="e">
        <f t="shared" si="216"/>
        <v>#VALUE!</v>
      </c>
      <c r="J982" s="41" t="e">
        <f t="shared" si="222"/>
        <v>#VALUE!</v>
      </c>
      <c r="K982" s="41" t="e">
        <f t="shared" si="214"/>
        <v>#VALUE!</v>
      </c>
      <c r="L982" s="41" t="e">
        <f t="shared" si="214"/>
        <v>#VALUE!</v>
      </c>
      <c r="M982" s="41" t="e">
        <f t="shared" si="217"/>
        <v>#VALUE!</v>
      </c>
      <c r="N982" s="41" t="e">
        <f t="shared" si="218"/>
        <v>#VALUE!</v>
      </c>
      <c r="O982" s="41">
        <f t="shared" si="219"/>
        <v>0</v>
      </c>
      <c r="Q982" s="44" t="e">
        <f t="shared" si="220"/>
        <v>#VALUE!</v>
      </c>
      <c r="R982" s="44" t="e">
        <f t="shared" si="223"/>
        <v>#VALUE!</v>
      </c>
      <c r="S982" s="44" t="e">
        <f t="shared" si="221"/>
        <v>#VALUE!</v>
      </c>
      <c r="T982" s="41" t="e">
        <f t="shared" si="224"/>
        <v>#VALUE!</v>
      </c>
      <c r="U982" s="41" t="e">
        <f t="shared" si="225"/>
        <v>#VALUE!</v>
      </c>
      <c r="V982" s="41" t="e">
        <f t="shared" si="226"/>
        <v>#VALUE!</v>
      </c>
    </row>
    <row r="983" spans="2:22" x14ac:dyDescent="0.25">
      <c r="B983" s="41" t="b">
        <f t="shared" si="227"/>
        <v>0</v>
      </c>
      <c r="C983" s="41" t="e">
        <f t="shared" si="228"/>
        <v>#VALUE!</v>
      </c>
      <c r="E983" s="45">
        <v>979</v>
      </c>
      <c r="G983" s="138"/>
      <c r="H983" s="135">
        <v>1</v>
      </c>
      <c r="I983" s="46" t="e">
        <f t="shared" si="216"/>
        <v>#VALUE!</v>
      </c>
      <c r="J983" s="41" t="e">
        <f t="shared" si="222"/>
        <v>#VALUE!</v>
      </c>
      <c r="K983" s="41" t="e">
        <f t="shared" si="214"/>
        <v>#VALUE!</v>
      </c>
      <c r="L983" s="41" t="e">
        <f t="shared" si="214"/>
        <v>#VALUE!</v>
      </c>
      <c r="M983" s="41" t="e">
        <f t="shared" si="217"/>
        <v>#VALUE!</v>
      </c>
      <c r="N983" s="41" t="e">
        <f t="shared" si="218"/>
        <v>#VALUE!</v>
      </c>
      <c r="O983" s="41">
        <f t="shared" si="219"/>
        <v>0</v>
      </c>
      <c r="Q983" s="44" t="e">
        <f t="shared" si="220"/>
        <v>#VALUE!</v>
      </c>
      <c r="R983" s="44" t="e">
        <f t="shared" si="223"/>
        <v>#VALUE!</v>
      </c>
      <c r="S983" s="44" t="e">
        <f t="shared" si="221"/>
        <v>#VALUE!</v>
      </c>
      <c r="T983" s="41" t="e">
        <f t="shared" si="224"/>
        <v>#VALUE!</v>
      </c>
      <c r="U983" s="41" t="e">
        <f t="shared" si="225"/>
        <v>#VALUE!</v>
      </c>
      <c r="V983" s="41" t="e">
        <f t="shared" si="226"/>
        <v>#VALUE!</v>
      </c>
    </row>
    <row r="984" spans="2:22" x14ac:dyDescent="0.25">
      <c r="B984" s="41" t="b">
        <f t="shared" si="227"/>
        <v>0</v>
      </c>
      <c r="C984" s="41" t="e">
        <f t="shared" si="228"/>
        <v>#VALUE!</v>
      </c>
      <c r="E984" s="45">
        <v>980</v>
      </c>
      <c r="G984" s="138"/>
      <c r="H984" s="135">
        <v>1</v>
      </c>
      <c r="I984" s="46" t="e">
        <f t="shared" si="216"/>
        <v>#VALUE!</v>
      </c>
      <c r="J984" s="41" t="e">
        <f t="shared" si="222"/>
        <v>#VALUE!</v>
      </c>
      <c r="K984" s="41" t="e">
        <f t="shared" si="214"/>
        <v>#VALUE!</v>
      </c>
      <c r="L984" s="41" t="e">
        <f t="shared" si="214"/>
        <v>#VALUE!</v>
      </c>
      <c r="M984" s="41" t="e">
        <f t="shared" si="217"/>
        <v>#VALUE!</v>
      </c>
      <c r="N984" s="41" t="e">
        <f t="shared" si="218"/>
        <v>#VALUE!</v>
      </c>
      <c r="O984" s="41">
        <f t="shared" si="219"/>
        <v>0</v>
      </c>
      <c r="Q984" s="44" t="e">
        <f t="shared" si="220"/>
        <v>#VALUE!</v>
      </c>
      <c r="R984" s="44" t="e">
        <f t="shared" si="223"/>
        <v>#VALUE!</v>
      </c>
      <c r="S984" s="44" t="e">
        <f t="shared" si="221"/>
        <v>#VALUE!</v>
      </c>
      <c r="T984" s="41" t="e">
        <f t="shared" si="224"/>
        <v>#VALUE!</v>
      </c>
      <c r="U984" s="41" t="e">
        <f t="shared" si="225"/>
        <v>#VALUE!</v>
      </c>
      <c r="V984" s="41" t="e">
        <f t="shared" si="226"/>
        <v>#VALUE!</v>
      </c>
    </row>
    <row r="985" spans="2:22" x14ac:dyDescent="0.25">
      <c r="B985" s="41" t="b">
        <f t="shared" si="227"/>
        <v>0</v>
      </c>
      <c r="C985" s="41" t="e">
        <f t="shared" si="228"/>
        <v>#VALUE!</v>
      </c>
      <c r="E985" s="45">
        <v>981</v>
      </c>
      <c r="G985" s="138"/>
      <c r="H985" s="135">
        <v>1</v>
      </c>
      <c r="I985" s="46" t="e">
        <f t="shared" si="216"/>
        <v>#VALUE!</v>
      </c>
      <c r="J985" s="41" t="e">
        <f t="shared" si="222"/>
        <v>#VALUE!</v>
      </c>
      <c r="K985" s="41" t="e">
        <f t="shared" si="214"/>
        <v>#VALUE!</v>
      </c>
      <c r="L985" s="41" t="e">
        <f t="shared" si="214"/>
        <v>#VALUE!</v>
      </c>
      <c r="M985" s="41" t="e">
        <f t="shared" si="217"/>
        <v>#VALUE!</v>
      </c>
      <c r="N985" s="41" t="e">
        <f t="shared" si="218"/>
        <v>#VALUE!</v>
      </c>
      <c r="O985" s="41">
        <f t="shared" si="219"/>
        <v>0</v>
      </c>
      <c r="Q985" s="44" t="e">
        <f t="shared" si="220"/>
        <v>#VALUE!</v>
      </c>
      <c r="R985" s="44" t="e">
        <f t="shared" si="223"/>
        <v>#VALUE!</v>
      </c>
      <c r="S985" s="44" t="e">
        <f t="shared" si="221"/>
        <v>#VALUE!</v>
      </c>
      <c r="T985" s="41" t="e">
        <f t="shared" si="224"/>
        <v>#VALUE!</v>
      </c>
      <c r="U985" s="41" t="e">
        <f t="shared" si="225"/>
        <v>#VALUE!</v>
      </c>
      <c r="V985" s="41" t="e">
        <f t="shared" si="226"/>
        <v>#VALUE!</v>
      </c>
    </row>
    <row r="986" spans="2:22" x14ac:dyDescent="0.25">
      <c r="B986" s="41" t="b">
        <f t="shared" si="227"/>
        <v>0</v>
      </c>
      <c r="C986" s="41" t="e">
        <f t="shared" si="228"/>
        <v>#VALUE!</v>
      </c>
      <c r="E986" s="45">
        <v>982</v>
      </c>
      <c r="G986" s="138"/>
      <c r="H986" s="135">
        <v>1</v>
      </c>
      <c r="I986" s="46" t="e">
        <f t="shared" si="216"/>
        <v>#VALUE!</v>
      </c>
      <c r="J986" s="41" t="e">
        <f t="shared" si="222"/>
        <v>#VALUE!</v>
      </c>
      <c r="K986" s="41" t="e">
        <f t="shared" si="214"/>
        <v>#VALUE!</v>
      </c>
      <c r="L986" s="41" t="e">
        <f t="shared" si="214"/>
        <v>#VALUE!</v>
      </c>
      <c r="M986" s="41" t="e">
        <f t="shared" si="217"/>
        <v>#VALUE!</v>
      </c>
      <c r="N986" s="41" t="e">
        <f t="shared" si="218"/>
        <v>#VALUE!</v>
      </c>
      <c r="O986" s="41">
        <f t="shared" si="219"/>
        <v>0</v>
      </c>
      <c r="Q986" s="44" t="e">
        <f t="shared" si="220"/>
        <v>#VALUE!</v>
      </c>
      <c r="R986" s="44" t="e">
        <f t="shared" si="223"/>
        <v>#VALUE!</v>
      </c>
      <c r="S986" s="44" t="e">
        <f t="shared" si="221"/>
        <v>#VALUE!</v>
      </c>
      <c r="T986" s="41" t="e">
        <f t="shared" si="224"/>
        <v>#VALUE!</v>
      </c>
      <c r="U986" s="41" t="e">
        <f t="shared" si="225"/>
        <v>#VALUE!</v>
      </c>
      <c r="V986" s="41" t="e">
        <f t="shared" si="226"/>
        <v>#VALUE!</v>
      </c>
    </row>
    <row r="987" spans="2:22" x14ac:dyDescent="0.25">
      <c r="B987" s="41" t="b">
        <f t="shared" si="227"/>
        <v>0</v>
      </c>
      <c r="C987" s="41" t="e">
        <f t="shared" si="228"/>
        <v>#VALUE!</v>
      </c>
      <c r="E987" s="45">
        <v>983</v>
      </c>
      <c r="G987" s="138"/>
      <c r="H987" s="135">
        <v>1</v>
      </c>
      <c r="I987" s="46" t="e">
        <f t="shared" si="216"/>
        <v>#VALUE!</v>
      </c>
      <c r="J987" s="41" t="e">
        <f t="shared" si="222"/>
        <v>#VALUE!</v>
      </c>
      <c r="K987" s="41" t="e">
        <f t="shared" si="214"/>
        <v>#VALUE!</v>
      </c>
      <c r="L987" s="41" t="e">
        <f t="shared" si="214"/>
        <v>#VALUE!</v>
      </c>
      <c r="M987" s="41" t="e">
        <f t="shared" si="217"/>
        <v>#VALUE!</v>
      </c>
      <c r="N987" s="41" t="e">
        <f t="shared" si="218"/>
        <v>#VALUE!</v>
      </c>
      <c r="O987" s="41">
        <f t="shared" si="219"/>
        <v>0</v>
      </c>
      <c r="Q987" s="44" t="e">
        <f t="shared" si="220"/>
        <v>#VALUE!</v>
      </c>
      <c r="R987" s="44" t="e">
        <f t="shared" si="223"/>
        <v>#VALUE!</v>
      </c>
      <c r="S987" s="44" t="e">
        <f t="shared" si="221"/>
        <v>#VALUE!</v>
      </c>
      <c r="T987" s="41" t="e">
        <f t="shared" si="224"/>
        <v>#VALUE!</v>
      </c>
      <c r="U987" s="41" t="e">
        <f t="shared" si="225"/>
        <v>#VALUE!</v>
      </c>
      <c r="V987" s="41" t="e">
        <f t="shared" si="226"/>
        <v>#VALUE!</v>
      </c>
    </row>
    <row r="988" spans="2:22" x14ac:dyDescent="0.25">
      <c r="B988" s="41" t="b">
        <f t="shared" si="227"/>
        <v>0</v>
      </c>
      <c r="C988" s="41" t="e">
        <f t="shared" si="228"/>
        <v>#VALUE!</v>
      </c>
      <c r="E988" s="45">
        <v>984</v>
      </c>
      <c r="G988" s="138"/>
      <c r="H988" s="135">
        <v>1</v>
      </c>
      <c r="I988" s="46" t="e">
        <f t="shared" si="216"/>
        <v>#VALUE!</v>
      </c>
      <c r="J988" s="41" t="e">
        <f t="shared" si="222"/>
        <v>#VALUE!</v>
      </c>
      <c r="K988" s="41" t="e">
        <f t="shared" si="214"/>
        <v>#VALUE!</v>
      </c>
      <c r="L988" s="41" t="e">
        <f t="shared" si="214"/>
        <v>#VALUE!</v>
      </c>
      <c r="M988" s="41" t="e">
        <f t="shared" si="217"/>
        <v>#VALUE!</v>
      </c>
      <c r="N988" s="41" t="e">
        <f t="shared" si="218"/>
        <v>#VALUE!</v>
      </c>
      <c r="O988" s="41">
        <f t="shared" si="219"/>
        <v>0</v>
      </c>
      <c r="Q988" s="44" t="e">
        <f t="shared" si="220"/>
        <v>#VALUE!</v>
      </c>
      <c r="R988" s="44" t="e">
        <f t="shared" si="223"/>
        <v>#VALUE!</v>
      </c>
      <c r="S988" s="44" t="e">
        <f t="shared" si="221"/>
        <v>#VALUE!</v>
      </c>
      <c r="T988" s="41" t="e">
        <f t="shared" si="224"/>
        <v>#VALUE!</v>
      </c>
      <c r="U988" s="41" t="e">
        <f t="shared" si="225"/>
        <v>#VALUE!</v>
      </c>
      <c r="V988" s="41" t="e">
        <f t="shared" si="226"/>
        <v>#VALUE!</v>
      </c>
    </row>
    <row r="989" spans="2:22" x14ac:dyDescent="0.25">
      <c r="B989" s="41" t="b">
        <f t="shared" si="227"/>
        <v>0</v>
      </c>
      <c r="C989" s="41" t="e">
        <f t="shared" si="228"/>
        <v>#VALUE!</v>
      </c>
      <c r="E989" s="45">
        <v>985</v>
      </c>
      <c r="G989" s="138"/>
      <c r="H989" s="135">
        <v>1</v>
      </c>
      <c r="I989" s="46" t="e">
        <f t="shared" si="216"/>
        <v>#VALUE!</v>
      </c>
      <c r="J989" s="41" t="e">
        <f t="shared" si="222"/>
        <v>#VALUE!</v>
      </c>
      <c r="K989" s="41" t="e">
        <f t="shared" si="214"/>
        <v>#VALUE!</v>
      </c>
      <c r="L989" s="41" t="e">
        <f t="shared" si="214"/>
        <v>#VALUE!</v>
      </c>
      <c r="M989" s="41" t="e">
        <f t="shared" si="217"/>
        <v>#VALUE!</v>
      </c>
      <c r="N989" s="41" t="e">
        <f t="shared" si="218"/>
        <v>#VALUE!</v>
      </c>
      <c r="O989" s="41">
        <f t="shared" si="219"/>
        <v>0</v>
      </c>
      <c r="Q989" s="44" t="e">
        <f t="shared" si="220"/>
        <v>#VALUE!</v>
      </c>
      <c r="R989" s="44" t="e">
        <f t="shared" si="223"/>
        <v>#VALUE!</v>
      </c>
      <c r="S989" s="44" t="e">
        <f t="shared" si="221"/>
        <v>#VALUE!</v>
      </c>
      <c r="T989" s="41" t="e">
        <f t="shared" si="224"/>
        <v>#VALUE!</v>
      </c>
      <c r="U989" s="41" t="e">
        <f t="shared" si="225"/>
        <v>#VALUE!</v>
      </c>
      <c r="V989" s="41" t="e">
        <f t="shared" si="226"/>
        <v>#VALUE!</v>
      </c>
    </row>
    <row r="990" spans="2:22" x14ac:dyDescent="0.25">
      <c r="B990" s="41" t="b">
        <f t="shared" si="227"/>
        <v>0</v>
      </c>
      <c r="C990" s="41" t="e">
        <f t="shared" si="228"/>
        <v>#VALUE!</v>
      </c>
      <c r="E990" s="45">
        <v>986</v>
      </c>
      <c r="G990" s="138"/>
      <c r="H990" s="135">
        <v>1</v>
      </c>
      <c r="I990" s="46" t="e">
        <f t="shared" si="216"/>
        <v>#VALUE!</v>
      </c>
      <c r="J990" s="41" t="e">
        <f t="shared" si="222"/>
        <v>#VALUE!</v>
      </c>
      <c r="K990" s="41" t="e">
        <f t="shared" si="214"/>
        <v>#VALUE!</v>
      </c>
      <c r="L990" s="41" t="e">
        <f t="shared" si="214"/>
        <v>#VALUE!</v>
      </c>
      <c r="M990" s="41" t="e">
        <f t="shared" si="217"/>
        <v>#VALUE!</v>
      </c>
      <c r="N990" s="41" t="e">
        <f t="shared" si="218"/>
        <v>#VALUE!</v>
      </c>
      <c r="O990" s="41">
        <f t="shared" si="219"/>
        <v>0</v>
      </c>
      <c r="Q990" s="44" t="e">
        <f t="shared" si="220"/>
        <v>#VALUE!</v>
      </c>
      <c r="R990" s="44" t="e">
        <f t="shared" si="223"/>
        <v>#VALUE!</v>
      </c>
      <c r="S990" s="44" t="e">
        <f t="shared" si="221"/>
        <v>#VALUE!</v>
      </c>
      <c r="T990" s="41" t="e">
        <f t="shared" si="224"/>
        <v>#VALUE!</v>
      </c>
      <c r="U990" s="41" t="e">
        <f t="shared" si="225"/>
        <v>#VALUE!</v>
      </c>
      <c r="V990" s="41" t="e">
        <f t="shared" si="226"/>
        <v>#VALUE!</v>
      </c>
    </row>
    <row r="991" spans="2:22" x14ac:dyDescent="0.25">
      <c r="B991" s="41" t="b">
        <f t="shared" si="227"/>
        <v>0</v>
      </c>
      <c r="C991" s="41" t="e">
        <f t="shared" si="228"/>
        <v>#VALUE!</v>
      </c>
      <c r="E991" s="45">
        <v>987</v>
      </c>
      <c r="G991" s="138"/>
      <c r="H991" s="135">
        <v>1</v>
      </c>
      <c r="I991" s="46" t="e">
        <f t="shared" si="216"/>
        <v>#VALUE!</v>
      </c>
      <c r="J991" s="41" t="e">
        <f t="shared" si="222"/>
        <v>#VALUE!</v>
      </c>
      <c r="K991" s="41" t="e">
        <f t="shared" si="214"/>
        <v>#VALUE!</v>
      </c>
      <c r="L991" s="41" t="e">
        <f t="shared" si="214"/>
        <v>#VALUE!</v>
      </c>
      <c r="M991" s="41" t="e">
        <f t="shared" si="217"/>
        <v>#VALUE!</v>
      </c>
      <c r="N991" s="41" t="e">
        <f t="shared" si="218"/>
        <v>#VALUE!</v>
      </c>
      <c r="O991" s="41">
        <f t="shared" si="219"/>
        <v>0</v>
      </c>
      <c r="Q991" s="44" t="e">
        <f t="shared" si="220"/>
        <v>#VALUE!</v>
      </c>
      <c r="R991" s="44" t="e">
        <f t="shared" si="223"/>
        <v>#VALUE!</v>
      </c>
      <c r="S991" s="44" t="e">
        <f t="shared" si="221"/>
        <v>#VALUE!</v>
      </c>
      <c r="T991" s="41" t="e">
        <f t="shared" si="224"/>
        <v>#VALUE!</v>
      </c>
      <c r="U991" s="41" t="e">
        <f t="shared" si="225"/>
        <v>#VALUE!</v>
      </c>
      <c r="V991" s="41" t="e">
        <f t="shared" si="226"/>
        <v>#VALUE!</v>
      </c>
    </row>
    <row r="992" spans="2:22" x14ac:dyDescent="0.25">
      <c r="B992" s="41" t="b">
        <f t="shared" si="227"/>
        <v>0</v>
      </c>
      <c r="C992" s="41" t="e">
        <f t="shared" si="228"/>
        <v>#VALUE!</v>
      </c>
      <c r="E992" s="45">
        <v>988</v>
      </c>
      <c r="G992" s="138"/>
      <c r="H992" s="135">
        <v>1</v>
      </c>
      <c r="I992" s="46" t="e">
        <f t="shared" si="216"/>
        <v>#VALUE!</v>
      </c>
      <c r="J992" s="41" t="e">
        <f t="shared" si="222"/>
        <v>#VALUE!</v>
      </c>
      <c r="K992" s="41" t="e">
        <f t="shared" si="214"/>
        <v>#VALUE!</v>
      </c>
      <c r="L992" s="41" t="e">
        <f t="shared" si="214"/>
        <v>#VALUE!</v>
      </c>
      <c r="M992" s="41" t="e">
        <f t="shared" si="217"/>
        <v>#VALUE!</v>
      </c>
      <c r="N992" s="41" t="e">
        <f t="shared" si="218"/>
        <v>#VALUE!</v>
      </c>
      <c r="O992" s="41">
        <f t="shared" si="219"/>
        <v>0</v>
      </c>
      <c r="Q992" s="44" t="e">
        <f t="shared" si="220"/>
        <v>#VALUE!</v>
      </c>
      <c r="R992" s="44" t="e">
        <f t="shared" si="223"/>
        <v>#VALUE!</v>
      </c>
      <c r="S992" s="44" t="e">
        <f t="shared" si="221"/>
        <v>#VALUE!</v>
      </c>
      <c r="T992" s="41" t="e">
        <f t="shared" si="224"/>
        <v>#VALUE!</v>
      </c>
      <c r="U992" s="41" t="e">
        <f t="shared" si="225"/>
        <v>#VALUE!</v>
      </c>
      <c r="V992" s="41" t="e">
        <f t="shared" si="226"/>
        <v>#VALUE!</v>
      </c>
    </row>
    <row r="993" spans="2:22" x14ac:dyDescent="0.25">
      <c r="B993" s="41" t="b">
        <f t="shared" si="227"/>
        <v>0</v>
      </c>
      <c r="C993" s="41" t="e">
        <f t="shared" si="228"/>
        <v>#VALUE!</v>
      </c>
      <c r="E993" s="45">
        <v>989</v>
      </c>
      <c r="G993" s="138"/>
      <c r="H993" s="135">
        <v>1</v>
      </c>
      <c r="I993" s="46" t="e">
        <f t="shared" si="216"/>
        <v>#VALUE!</v>
      </c>
      <c r="J993" s="41" t="e">
        <f t="shared" si="222"/>
        <v>#VALUE!</v>
      </c>
      <c r="K993" s="41" t="e">
        <f t="shared" si="214"/>
        <v>#VALUE!</v>
      </c>
      <c r="L993" s="41" t="e">
        <f t="shared" si="214"/>
        <v>#VALUE!</v>
      </c>
      <c r="M993" s="41" t="e">
        <f t="shared" si="217"/>
        <v>#VALUE!</v>
      </c>
      <c r="N993" s="41" t="e">
        <f t="shared" si="218"/>
        <v>#VALUE!</v>
      </c>
      <c r="O993" s="41">
        <f t="shared" si="219"/>
        <v>0</v>
      </c>
      <c r="Q993" s="44" t="e">
        <f t="shared" si="220"/>
        <v>#VALUE!</v>
      </c>
      <c r="R993" s="44" t="e">
        <f t="shared" si="223"/>
        <v>#VALUE!</v>
      </c>
      <c r="S993" s="44" t="e">
        <f t="shared" si="221"/>
        <v>#VALUE!</v>
      </c>
      <c r="T993" s="41" t="e">
        <f t="shared" si="224"/>
        <v>#VALUE!</v>
      </c>
      <c r="U993" s="41" t="e">
        <f t="shared" si="225"/>
        <v>#VALUE!</v>
      </c>
      <c r="V993" s="41" t="e">
        <f t="shared" si="226"/>
        <v>#VALUE!</v>
      </c>
    </row>
    <row r="994" spans="2:22" x14ac:dyDescent="0.25">
      <c r="B994" s="41" t="b">
        <f t="shared" si="227"/>
        <v>0</v>
      </c>
      <c r="C994" s="41" t="e">
        <f t="shared" si="228"/>
        <v>#VALUE!</v>
      </c>
      <c r="E994" s="45">
        <v>990</v>
      </c>
      <c r="G994" s="138"/>
      <c r="H994" s="135">
        <v>1</v>
      </c>
      <c r="I994" s="46" t="e">
        <f t="shared" si="216"/>
        <v>#VALUE!</v>
      </c>
      <c r="J994" s="41" t="e">
        <f t="shared" si="222"/>
        <v>#VALUE!</v>
      </c>
      <c r="K994" s="41" t="e">
        <f t="shared" si="214"/>
        <v>#VALUE!</v>
      </c>
      <c r="L994" s="41" t="e">
        <f t="shared" si="214"/>
        <v>#VALUE!</v>
      </c>
      <c r="M994" s="41" t="e">
        <f t="shared" si="217"/>
        <v>#VALUE!</v>
      </c>
      <c r="N994" s="41" t="e">
        <f t="shared" si="218"/>
        <v>#VALUE!</v>
      </c>
      <c r="O994" s="41">
        <f t="shared" si="219"/>
        <v>0</v>
      </c>
      <c r="Q994" s="44" t="e">
        <f t="shared" si="220"/>
        <v>#VALUE!</v>
      </c>
      <c r="R994" s="44" t="e">
        <f t="shared" si="223"/>
        <v>#VALUE!</v>
      </c>
      <c r="S994" s="44" t="e">
        <f t="shared" si="221"/>
        <v>#VALUE!</v>
      </c>
      <c r="T994" s="41" t="e">
        <f t="shared" si="224"/>
        <v>#VALUE!</v>
      </c>
      <c r="U994" s="41" t="e">
        <f t="shared" si="225"/>
        <v>#VALUE!</v>
      </c>
      <c r="V994" s="41" t="e">
        <f t="shared" si="226"/>
        <v>#VALUE!</v>
      </c>
    </row>
    <row r="995" spans="2:22" x14ac:dyDescent="0.25">
      <c r="B995" s="41" t="b">
        <f t="shared" si="227"/>
        <v>0</v>
      </c>
      <c r="C995" s="41" t="e">
        <f t="shared" si="228"/>
        <v>#VALUE!</v>
      </c>
      <c r="E995" s="45">
        <v>991</v>
      </c>
      <c r="G995" s="138"/>
      <c r="H995" s="135">
        <v>1</v>
      </c>
      <c r="I995" s="46" t="e">
        <f t="shared" si="216"/>
        <v>#VALUE!</v>
      </c>
      <c r="J995" s="41" t="e">
        <f t="shared" si="222"/>
        <v>#VALUE!</v>
      </c>
      <c r="K995" s="41" t="e">
        <f t="shared" si="214"/>
        <v>#VALUE!</v>
      </c>
      <c r="L995" s="41" t="e">
        <f t="shared" si="214"/>
        <v>#VALUE!</v>
      </c>
      <c r="M995" s="41" t="e">
        <f t="shared" si="217"/>
        <v>#VALUE!</v>
      </c>
      <c r="N995" s="41" t="e">
        <f t="shared" si="218"/>
        <v>#VALUE!</v>
      </c>
      <c r="O995" s="41">
        <f t="shared" si="219"/>
        <v>0</v>
      </c>
      <c r="Q995" s="44" t="e">
        <f t="shared" si="220"/>
        <v>#VALUE!</v>
      </c>
      <c r="R995" s="44" t="e">
        <f t="shared" si="223"/>
        <v>#VALUE!</v>
      </c>
      <c r="S995" s="44" t="e">
        <f t="shared" si="221"/>
        <v>#VALUE!</v>
      </c>
      <c r="T995" s="41" t="e">
        <f t="shared" si="224"/>
        <v>#VALUE!</v>
      </c>
      <c r="U995" s="41" t="e">
        <f t="shared" si="225"/>
        <v>#VALUE!</v>
      </c>
      <c r="V995" s="41" t="e">
        <f t="shared" si="226"/>
        <v>#VALUE!</v>
      </c>
    </row>
    <row r="996" spans="2:22" x14ac:dyDescent="0.25">
      <c r="B996" s="41" t="b">
        <f t="shared" si="227"/>
        <v>0</v>
      </c>
      <c r="C996" s="41" t="e">
        <f t="shared" si="228"/>
        <v>#VALUE!</v>
      </c>
      <c r="E996" s="45">
        <v>992</v>
      </c>
      <c r="G996" s="138"/>
      <c r="H996" s="135">
        <v>1</v>
      </c>
      <c r="I996" s="46" t="e">
        <f t="shared" si="216"/>
        <v>#VALUE!</v>
      </c>
      <c r="J996" s="41" t="e">
        <f t="shared" si="222"/>
        <v>#VALUE!</v>
      </c>
      <c r="K996" s="41" t="e">
        <f t="shared" si="214"/>
        <v>#VALUE!</v>
      </c>
      <c r="L996" s="41" t="e">
        <f t="shared" si="214"/>
        <v>#VALUE!</v>
      </c>
      <c r="M996" s="41" t="e">
        <f t="shared" si="217"/>
        <v>#VALUE!</v>
      </c>
      <c r="N996" s="41" t="e">
        <f t="shared" si="218"/>
        <v>#VALUE!</v>
      </c>
      <c r="O996" s="41">
        <f t="shared" si="219"/>
        <v>0</v>
      </c>
      <c r="Q996" s="44" t="e">
        <f t="shared" si="220"/>
        <v>#VALUE!</v>
      </c>
      <c r="R996" s="44" t="e">
        <f t="shared" si="223"/>
        <v>#VALUE!</v>
      </c>
      <c r="S996" s="44" t="e">
        <f t="shared" si="221"/>
        <v>#VALUE!</v>
      </c>
      <c r="T996" s="41" t="e">
        <f t="shared" si="224"/>
        <v>#VALUE!</v>
      </c>
      <c r="U996" s="41" t="e">
        <f t="shared" si="225"/>
        <v>#VALUE!</v>
      </c>
      <c r="V996" s="41" t="e">
        <f t="shared" si="226"/>
        <v>#VALUE!</v>
      </c>
    </row>
    <row r="997" spans="2:22" x14ac:dyDescent="0.25">
      <c r="B997" s="41" t="b">
        <f t="shared" si="227"/>
        <v>0</v>
      </c>
      <c r="C997" s="41" t="e">
        <f t="shared" si="228"/>
        <v>#VALUE!</v>
      </c>
      <c r="E997" s="45">
        <v>993</v>
      </c>
      <c r="G997" s="138"/>
      <c r="H997" s="135">
        <v>1</v>
      </c>
      <c r="I997" s="46" t="e">
        <f t="shared" si="216"/>
        <v>#VALUE!</v>
      </c>
      <c r="J997" s="41" t="e">
        <f t="shared" si="222"/>
        <v>#VALUE!</v>
      </c>
      <c r="K997" s="41" t="e">
        <f t="shared" si="214"/>
        <v>#VALUE!</v>
      </c>
      <c r="L997" s="41" t="e">
        <f t="shared" si="214"/>
        <v>#VALUE!</v>
      </c>
      <c r="M997" s="41" t="e">
        <f t="shared" si="217"/>
        <v>#VALUE!</v>
      </c>
      <c r="N997" s="41" t="e">
        <f t="shared" si="218"/>
        <v>#VALUE!</v>
      </c>
      <c r="O997" s="41">
        <f t="shared" si="219"/>
        <v>0</v>
      </c>
      <c r="Q997" s="44" t="e">
        <f t="shared" si="220"/>
        <v>#VALUE!</v>
      </c>
      <c r="R997" s="44" t="e">
        <f t="shared" si="223"/>
        <v>#VALUE!</v>
      </c>
      <c r="S997" s="44" t="e">
        <f t="shared" si="221"/>
        <v>#VALUE!</v>
      </c>
      <c r="T997" s="41" t="e">
        <f t="shared" si="224"/>
        <v>#VALUE!</v>
      </c>
      <c r="U997" s="41" t="e">
        <f t="shared" si="225"/>
        <v>#VALUE!</v>
      </c>
      <c r="V997" s="41" t="e">
        <f t="shared" si="226"/>
        <v>#VALUE!</v>
      </c>
    </row>
    <row r="998" spans="2:22" x14ac:dyDescent="0.25">
      <c r="B998" s="41" t="b">
        <f t="shared" si="227"/>
        <v>0</v>
      </c>
      <c r="C998" s="41" t="e">
        <f t="shared" si="228"/>
        <v>#VALUE!</v>
      </c>
      <c r="E998" s="45">
        <v>994</v>
      </c>
      <c r="G998" s="138"/>
      <c r="H998" s="135">
        <v>1</v>
      </c>
      <c r="I998" s="46" t="e">
        <f t="shared" si="216"/>
        <v>#VALUE!</v>
      </c>
      <c r="J998" s="41" t="e">
        <f t="shared" si="222"/>
        <v>#VALUE!</v>
      </c>
      <c r="K998" s="41" t="e">
        <f t="shared" si="214"/>
        <v>#VALUE!</v>
      </c>
      <c r="L998" s="41" t="e">
        <f t="shared" si="214"/>
        <v>#VALUE!</v>
      </c>
      <c r="M998" s="41" t="e">
        <f t="shared" si="217"/>
        <v>#VALUE!</v>
      </c>
      <c r="N998" s="41" t="e">
        <f t="shared" si="218"/>
        <v>#VALUE!</v>
      </c>
      <c r="O998" s="41">
        <f t="shared" si="219"/>
        <v>0</v>
      </c>
      <c r="Q998" s="44" t="e">
        <f t="shared" si="220"/>
        <v>#VALUE!</v>
      </c>
      <c r="R998" s="44" t="e">
        <f t="shared" si="223"/>
        <v>#VALUE!</v>
      </c>
      <c r="S998" s="44" t="e">
        <f t="shared" si="221"/>
        <v>#VALUE!</v>
      </c>
      <c r="T998" s="41" t="e">
        <f t="shared" si="224"/>
        <v>#VALUE!</v>
      </c>
      <c r="U998" s="41" t="e">
        <f t="shared" si="225"/>
        <v>#VALUE!</v>
      </c>
      <c r="V998" s="41" t="e">
        <f t="shared" si="226"/>
        <v>#VALUE!</v>
      </c>
    </row>
    <row r="999" spans="2:22" x14ac:dyDescent="0.25">
      <c r="B999" s="41" t="b">
        <f t="shared" si="227"/>
        <v>0</v>
      </c>
      <c r="C999" s="41" t="e">
        <f t="shared" si="228"/>
        <v>#VALUE!</v>
      </c>
      <c r="E999" s="45">
        <v>995</v>
      </c>
      <c r="G999" s="138"/>
      <c r="H999" s="135">
        <v>1</v>
      </c>
      <c r="I999" s="46" t="e">
        <f t="shared" si="216"/>
        <v>#VALUE!</v>
      </c>
      <c r="J999" s="41" t="e">
        <f t="shared" si="222"/>
        <v>#VALUE!</v>
      </c>
      <c r="K999" s="41" t="e">
        <f t="shared" si="214"/>
        <v>#VALUE!</v>
      </c>
      <c r="L999" s="41" t="e">
        <f t="shared" si="214"/>
        <v>#VALUE!</v>
      </c>
      <c r="M999" s="41" t="e">
        <f t="shared" si="217"/>
        <v>#VALUE!</v>
      </c>
      <c r="N999" s="41" t="e">
        <f t="shared" si="218"/>
        <v>#VALUE!</v>
      </c>
      <c r="O999" s="41">
        <f t="shared" si="219"/>
        <v>0</v>
      </c>
      <c r="Q999" s="44" t="e">
        <f t="shared" si="220"/>
        <v>#VALUE!</v>
      </c>
      <c r="R999" s="44" t="e">
        <f t="shared" si="223"/>
        <v>#VALUE!</v>
      </c>
      <c r="S999" s="44" t="e">
        <f t="shared" si="221"/>
        <v>#VALUE!</v>
      </c>
      <c r="T999" s="41" t="e">
        <f t="shared" si="224"/>
        <v>#VALUE!</v>
      </c>
      <c r="U999" s="41" t="e">
        <f t="shared" si="225"/>
        <v>#VALUE!</v>
      </c>
      <c r="V999" s="41" t="e">
        <f t="shared" si="226"/>
        <v>#VALUE!</v>
      </c>
    </row>
    <row r="1000" spans="2:22" x14ac:dyDescent="0.25">
      <c r="B1000" s="41" t="b">
        <f t="shared" si="227"/>
        <v>0</v>
      </c>
      <c r="C1000" s="41" t="e">
        <f t="shared" si="228"/>
        <v>#VALUE!</v>
      </c>
      <c r="E1000" s="45">
        <v>996</v>
      </c>
      <c r="G1000" s="138"/>
      <c r="H1000" s="135">
        <v>1</v>
      </c>
      <c r="I1000" s="46" t="e">
        <f t="shared" si="216"/>
        <v>#VALUE!</v>
      </c>
      <c r="J1000" s="41" t="e">
        <f t="shared" si="222"/>
        <v>#VALUE!</v>
      </c>
      <c r="K1000" s="41" t="e">
        <f t="shared" si="214"/>
        <v>#VALUE!</v>
      </c>
      <c r="L1000" s="41" t="e">
        <f t="shared" si="214"/>
        <v>#VALUE!</v>
      </c>
      <c r="M1000" s="41" t="e">
        <f t="shared" si="217"/>
        <v>#VALUE!</v>
      </c>
      <c r="N1000" s="41" t="e">
        <f t="shared" si="218"/>
        <v>#VALUE!</v>
      </c>
      <c r="O1000" s="41">
        <f t="shared" si="219"/>
        <v>0</v>
      </c>
      <c r="Q1000" s="44" t="e">
        <f t="shared" si="220"/>
        <v>#VALUE!</v>
      </c>
      <c r="R1000" s="44" t="e">
        <f t="shared" si="223"/>
        <v>#VALUE!</v>
      </c>
      <c r="S1000" s="44" t="e">
        <f t="shared" si="221"/>
        <v>#VALUE!</v>
      </c>
      <c r="T1000" s="41" t="e">
        <f t="shared" si="224"/>
        <v>#VALUE!</v>
      </c>
      <c r="U1000" s="41" t="e">
        <f t="shared" si="225"/>
        <v>#VALUE!</v>
      </c>
      <c r="V1000" s="41" t="e">
        <f t="shared" si="226"/>
        <v>#VALUE!</v>
      </c>
    </row>
    <row r="1001" spans="2:22" x14ac:dyDescent="0.25">
      <c r="B1001" s="41" t="b">
        <f t="shared" si="227"/>
        <v>0</v>
      </c>
      <c r="C1001" s="41" t="e">
        <f t="shared" si="228"/>
        <v>#VALUE!</v>
      </c>
      <c r="E1001" s="45">
        <v>997</v>
      </c>
      <c r="G1001" s="138"/>
      <c r="H1001" s="135">
        <v>1</v>
      </c>
      <c r="I1001" s="46" t="e">
        <f t="shared" si="216"/>
        <v>#VALUE!</v>
      </c>
      <c r="J1001" s="41" t="e">
        <f t="shared" si="222"/>
        <v>#VALUE!</v>
      </c>
      <c r="K1001" s="41" t="e">
        <f t="shared" si="214"/>
        <v>#VALUE!</v>
      </c>
      <c r="L1001" s="41" t="e">
        <f t="shared" si="214"/>
        <v>#VALUE!</v>
      </c>
      <c r="M1001" s="41" t="e">
        <f t="shared" si="217"/>
        <v>#VALUE!</v>
      </c>
      <c r="N1001" s="41" t="e">
        <f t="shared" si="218"/>
        <v>#VALUE!</v>
      </c>
      <c r="O1001" s="41">
        <f t="shared" si="219"/>
        <v>0</v>
      </c>
      <c r="Q1001" s="44" t="e">
        <f t="shared" si="220"/>
        <v>#VALUE!</v>
      </c>
      <c r="R1001" s="44" t="e">
        <f t="shared" si="223"/>
        <v>#VALUE!</v>
      </c>
      <c r="S1001" s="44" t="e">
        <f t="shared" si="221"/>
        <v>#VALUE!</v>
      </c>
      <c r="T1001" s="41" t="e">
        <f t="shared" si="224"/>
        <v>#VALUE!</v>
      </c>
      <c r="U1001" s="41" t="e">
        <f t="shared" si="225"/>
        <v>#VALUE!</v>
      </c>
      <c r="V1001" s="41" t="e">
        <f t="shared" si="226"/>
        <v>#VALUE!</v>
      </c>
    </row>
    <row r="1002" spans="2:22" x14ac:dyDescent="0.25">
      <c r="B1002" s="41" t="b">
        <f t="shared" si="227"/>
        <v>0</v>
      </c>
      <c r="C1002" s="41" t="e">
        <f t="shared" si="228"/>
        <v>#VALUE!</v>
      </c>
      <c r="E1002" s="45">
        <v>998</v>
      </c>
      <c r="G1002" s="138"/>
      <c r="H1002" s="135">
        <v>1</v>
      </c>
      <c r="I1002" s="46" t="e">
        <f t="shared" si="216"/>
        <v>#VALUE!</v>
      </c>
      <c r="J1002" s="41" t="e">
        <f t="shared" si="222"/>
        <v>#VALUE!</v>
      </c>
      <c r="K1002" s="41" t="e">
        <f t="shared" si="214"/>
        <v>#VALUE!</v>
      </c>
      <c r="L1002" s="41" t="e">
        <f t="shared" si="214"/>
        <v>#VALUE!</v>
      </c>
      <c r="M1002" s="41" t="e">
        <f t="shared" si="217"/>
        <v>#VALUE!</v>
      </c>
      <c r="N1002" s="41" t="e">
        <f t="shared" si="218"/>
        <v>#VALUE!</v>
      </c>
      <c r="O1002" s="41">
        <f t="shared" si="219"/>
        <v>0</v>
      </c>
      <c r="Q1002" s="44" t="e">
        <f t="shared" si="220"/>
        <v>#VALUE!</v>
      </c>
      <c r="R1002" s="44" t="e">
        <f t="shared" si="223"/>
        <v>#VALUE!</v>
      </c>
      <c r="S1002" s="44" t="e">
        <f t="shared" si="221"/>
        <v>#VALUE!</v>
      </c>
      <c r="T1002" s="41" t="e">
        <f t="shared" si="224"/>
        <v>#VALUE!</v>
      </c>
      <c r="U1002" s="41" t="e">
        <f t="shared" si="225"/>
        <v>#VALUE!</v>
      </c>
      <c r="V1002" s="41" t="e">
        <f t="shared" si="226"/>
        <v>#VALUE!</v>
      </c>
    </row>
    <row r="1003" spans="2:22" x14ac:dyDescent="0.25">
      <c r="B1003" s="41" t="b">
        <f t="shared" si="227"/>
        <v>0</v>
      </c>
      <c r="C1003" s="41" t="e">
        <f t="shared" si="228"/>
        <v>#VALUE!</v>
      </c>
      <c r="E1003" s="45">
        <v>999</v>
      </c>
      <c r="G1003" s="138"/>
      <c r="H1003" s="135">
        <v>1</v>
      </c>
      <c r="I1003" s="46" t="e">
        <f t="shared" si="216"/>
        <v>#VALUE!</v>
      </c>
      <c r="J1003" s="41" t="e">
        <f t="shared" si="222"/>
        <v>#VALUE!</v>
      </c>
      <c r="K1003" s="41" t="e">
        <f t="shared" si="214"/>
        <v>#VALUE!</v>
      </c>
      <c r="L1003" s="41" t="e">
        <f t="shared" si="214"/>
        <v>#VALUE!</v>
      </c>
      <c r="M1003" s="41" t="e">
        <f t="shared" si="217"/>
        <v>#VALUE!</v>
      </c>
      <c r="N1003" s="41" t="e">
        <f t="shared" si="218"/>
        <v>#VALUE!</v>
      </c>
      <c r="O1003" s="41">
        <f t="shared" si="219"/>
        <v>0</v>
      </c>
      <c r="Q1003" s="44" t="e">
        <f t="shared" si="220"/>
        <v>#VALUE!</v>
      </c>
      <c r="R1003" s="44" t="e">
        <f t="shared" si="223"/>
        <v>#VALUE!</v>
      </c>
      <c r="S1003" s="44" t="e">
        <f t="shared" si="221"/>
        <v>#VALUE!</v>
      </c>
      <c r="T1003" s="41" t="e">
        <f t="shared" si="224"/>
        <v>#VALUE!</v>
      </c>
      <c r="U1003" s="41" t="e">
        <f t="shared" si="225"/>
        <v>#VALUE!</v>
      </c>
      <c r="V1003" s="41" t="e">
        <f t="shared" si="226"/>
        <v>#VALUE!</v>
      </c>
    </row>
    <row r="1004" spans="2:22" ht="15.75" thickBot="1" x14ac:dyDescent="0.3">
      <c r="B1004" s="41" t="b">
        <f t="shared" si="227"/>
        <v>0</v>
      </c>
      <c r="C1004" s="41" t="e">
        <f t="shared" si="228"/>
        <v>#VALUE!</v>
      </c>
      <c r="E1004" s="49">
        <v>1000</v>
      </c>
      <c r="G1004" s="139"/>
      <c r="H1004" s="135">
        <v>1</v>
      </c>
      <c r="I1004" s="46" t="e">
        <f t="shared" si="216"/>
        <v>#VALUE!</v>
      </c>
      <c r="J1004" s="41" t="e">
        <f t="shared" si="222"/>
        <v>#VALUE!</v>
      </c>
      <c r="K1004" s="41" t="e">
        <f t="shared" si="214"/>
        <v>#VALUE!</v>
      </c>
      <c r="L1004" s="41" t="e">
        <f t="shared" si="214"/>
        <v>#VALUE!</v>
      </c>
      <c r="M1004" s="41" t="e">
        <f t="shared" si="217"/>
        <v>#VALUE!</v>
      </c>
      <c r="N1004" s="41" t="e">
        <f t="shared" si="218"/>
        <v>#VALUE!</v>
      </c>
      <c r="O1004" s="41">
        <f t="shared" si="219"/>
        <v>0</v>
      </c>
      <c r="Q1004" s="44" t="e">
        <f t="shared" si="220"/>
        <v>#VALUE!</v>
      </c>
      <c r="R1004" s="44" t="e">
        <f t="shared" si="223"/>
        <v>#VALUE!</v>
      </c>
      <c r="S1004" s="44" t="e">
        <f t="shared" si="221"/>
        <v>#VALUE!</v>
      </c>
      <c r="T1004" s="41" t="e">
        <f t="shared" si="224"/>
        <v>#VALUE!</v>
      </c>
      <c r="U1004" s="41" t="e">
        <f t="shared" si="225"/>
        <v>#VALUE!</v>
      </c>
      <c r="V1004" s="41" t="e">
        <f t="shared" si="226"/>
        <v>#VALUE!</v>
      </c>
    </row>
  </sheetData>
  <sheetProtection password="E8B5" sheet="1" objects="1" scenarios="1"/>
  <mergeCells count="3">
    <mergeCell ref="F2:G2"/>
    <mergeCell ref="F1:G1"/>
    <mergeCell ref="H1:H2"/>
  </mergeCells>
  <conditionalFormatting sqref="AC4">
    <cfRule type="dataBar" priority="11">
      <dataBar>
        <cfvo type="min"/>
        <cfvo type="max"/>
        <color rgb="FF008AEF"/>
      </dataBar>
    </cfRule>
    <cfRule type="notContainsBlanks" dxfId="32" priority="12">
      <formula>LEN(TRIM(AC4))&gt;0</formula>
    </cfRule>
    <cfRule type="notContainsBlanks" priority="13">
      <formula>LEN(TRIM(AC4))&gt;0</formula>
    </cfRule>
  </conditionalFormatting>
  <conditionalFormatting sqref="AC5">
    <cfRule type="dataBar" priority="8">
      <dataBar>
        <cfvo type="min"/>
        <cfvo type="max"/>
        <color rgb="FF008AEF"/>
      </dataBar>
    </cfRule>
    <cfRule type="notContainsBlanks" dxfId="31" priority="9">
      <formula>LEN(TRIM(AC5))&gt;0</formula>
    </cfRule>
    <cfRule type="notContainsBlanks" priority="10">
      <formula>LEN(TRIM(AC5))&gt;0</formula>
    </cfRule>
  </conditionalFormatting>
  <conditionalFormatting sqref="AC5:AC130">
    <cfRule type="dataBar" priority="5">
      <dataBar>
        <cfvo type="min"/>
        <cfvo type="max"/>
        <color rgb="FF008AEF"/>
      </dataBar>
    </cfRule>
    <cfRule type="notContainsBlanks" dxfId="30" priority="6">
      <formula>LEN(TRIM(AC5))&gt;0</formula>
    </cfRule>
    <cfRule type="notContainsBlanks" priority="7">
      <formula>LEN(TRIM(AC5))&gt;0</formula>
    </cfRule>
  </conditionalFormatting>
  <conditionalFormatting sqref="G4:G1004">
    <cfRule type="dataBar" priority="17">
      <dataBar>
        <cfvo type="min"/>
        <cfvo type="max"/>
        <color rgb="FF008AEF"/>
      </dataBar>
    </cfRule>
    <cfRule type="notContainsBlanks" dxfId="29" priority="18">
      <formula>LEN(TRIM(G4))&gt;0</formula>
    </cfRule>
    <cfRule type="notContainsBlanks" priority="19">
      <formula>LEN(TRIM(G4))&gt;0</formula>
    </cfRule>
  </conditionalFormatting>
  <conditionalFormatting sqref="H3">
    <cfRule type="cellIs" dxfId="28" priority="4" stopIfTrue="1" operator="equal">
      <formula>"Negative"</formula>
    </cfRule>
  </conditionalFormatting>
  <conditionalFormatting sqref="H4:H1004">
    <cfRule type="cellIs" dxfId="27" priority="2" stopIfTrue="1" operator="equal">
      <formula>-1</formula>
    </cfRule>
  </conditionalFormatting>
  <dataValidations count="4">
    <dataValidation type="custom" allowBlank="1" showInputMessage="1" showErrorMessage="1" errorTitle="Invlalid Entry" error="Please Enter in That Formate. &quot;K-M-S&quot;" sqref="G4:G1004" xr:uid="{00000000-0002-0000-0100-000000000000}">
      <formula1>IF(B4="TRUE",A4,C4)</formula1>
    </dataValidation>
    <dataValidation type="custom" allowBlank="1" showInputMessage="1" showErrorMessage="1" sqref="AC4:AC130" xr:uid="{00000000-0002-0000-0100-000001000000}">
      <formula1>IF(X8="TRUE",Y4,AA4)</formula1>
    </dataValidation>
    <dataValidation type="list" allowBlank="1" showInputMessage="1" showErrorMessage="1" sqref="E3" xr:uid="{00000000-0002-0000-0100-000002000000}">
      <formula1>$X$8:$X$9</formula1>
    </dataValidation>
    <dataValidation type="list" allowBlank="1" showInputMessage="1" showErrorMessage="1" sqref="H4:H1004" xr:uid="{00000000-0002-0000-0100-000003000000}">
      <formula1>"1,-1"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6" tint="-0.249977111117893"/>
  </sheetPr>
  <dimension ref="B1:AD1004"/>
  <sheetViews>
    <sheetView showGridLines="0" showRowColHeaders="0" topLeftCell="E1" zoomScale="120" zoomScaleNormal="120" workbookViewId="0">
      <pane ySplit="3" topLeftCell="A4" activePane="bottomLeft" state="frozen"/>
      <selection activeCell="B67" sqref="B67"/>
      <selection pane="bottomLeft" activeCell="G4" sqref="G4"/>
    </sheetView>
  </sheetViews>
  <sheetFormatPr defaultColWidth="0" defaultRowHeight="15" zeroHeight="1" x14ac:dyDescent="0.25"/>
  <cols>
    <col min="1" max="4" width="9.140625" style="50" hidden="1" customWidth="1"/>
    <col min="5" max="5" width="9.140625" style="50" customWidth="1"/>
    <col min="6" max="6" width="9.28515625" style="50" hidden="1" customWidth="1"/>
    <col min="7" max="7" width="29" style="50" customWidth="1"/>
    <col min="8" max="8" width="9.140625" style="50" customWidth="1"/>
    <col min="9" max="9" width="13.140625" style="50" hidden="1" customWidth="1"/>
    <col min="10" max="12" width="9.140625" style="50" hidden="1" customWidth="1"/>
    <col min="13" max="13" width="10.42578125" style="50" hidden="1" customWidth="1"/>
    <col min="14" max="20" width="9.140625" style="50" hidden="1" customWidth="1"/>
    <col min="21" max="21" width="12" style="50" hidden="1" customWidth="1"/>
    <col min="22" max="16384" width="9.140625" style="50" hidden="1"/>
  </cols>
  <sheetData>
    <row r="1" spans="2:30" ht="30.75" customHeight="1" thickBot="1" x14ac:dyDescent="0.3">
      <c r="H1" s="182" t="s">
        <v>190</v>
      </c>
      <c r="Z1" s="125">
        <v>53</v>
      </c>
      <c r="AA1" s="125"/>
      <c r="AB1" s="125">
        <v>0</v>
      </c>
      <c r="AC1" s="125"/>
      <c r="AD1" s="125">
        <v>0</v>
      </c>
    </row>
    <row r="2" spans="2:30" ht="60.75" customHeight="1" thickBot="1" x14ac:dyDescent="0.3">
      <c r="E2" s="91" t="s">
        <v>27</v>
      </c>
      <c r="F2" s="184" t="s">
        <v>28</v>
      </c>
      <c r="G2" s="185"/>
      <c r="H2" s="183"/>
      <c r="I2" s="51" t="s">
        <v>29</v>
      </c>
      <c r="U2" s="52">
        <f>U3*20</f>
        <v>0</v>
      </c>
      <c r="V2" s="52">
        <f>V3</f>
        <v>0</v>
      </c>
      <c r="W2" s="52">
        <f>W3</f>
        <v>0</v>
      </c>
      <c r="X2" s="52">
        <f>SUM(U2:W2)</f>
        <v>0</v>
      </c>
      <c r="Y2" s="43">
        <f>IF(X2&lt;0,X2*-1,X2)</f>
        <v>0</v>
      </c>
      <c r="Z2" s="125"/>
      <c r="AA2" s="125"/>
      <c r="AB2" s="125"/>
      <c r="AC2" s="125"/>
      <c r="AD2" s="125"/>
    </row>
    <row r="3" spans="2:30" x14ac:dyDescent="0.25">
      <c r="C3" s="50" t="s">
        <v>25</v>
      </c>
      <c r="E3" s="53" t="s">
        <v>26</v>
      </c>
      <c r="F3" s="136" t="s">
        <v>192</v>
      </c>
      <c r="G3" s="137" t="str">
        <f>CONCATENATE(Z3,"-",AB3,"-",AD3)</f>
        <v>0-0-0</v>
      </c>
      <c r="H3" s="134" t="str">
        <f>IF(X2&lt;0,"Negative","Positive")</f>
        <v>Positive</v>
      </c>
      <c r="I3" s="54"/>
      <c r="R3" s="55"/>
      <c r="U3" s="43">
        <f>SUM(SUMIF(U4:U1004,"&gt;0",U4:U1004),SUMIF(U4:U1004,"&lt;0",U4:U1004))</f>
        <v>0</v>
      </c>
      <c r="V3" s="43">
        <f t="shared" ref="V3:W3" si="0">SUM(SUMIF(V4:V1004,"&gt;0",V4:V1004),SUMIF(V4:V1004,"&lt;0",V4:V1004))</f>
        <v>0</v>
      </c>
      <c r="W3" s="43">
        <f t="shared" si="0"/>
        <v>0</v>
      </c>
      <c r="Y3" s="50">
        <f>Y2/20</f>
        <v>0</v>
      </c>
      <c r="Z3" s="125">
        <f>INT(Y3)</f>
        <v>0</v>
      </c>
      <c r="AA3" s="125">
        <f>Y3-Z3</f>
        <v>0</v>
      </c>
      <c r="AB3" s="125">
        <f>ROUND(AA3*20,0)</f>
        <v>0</v>
      </c>
      <c r="AC3" s="125"/>
      <c r="AD3" s="125">
        <v>0</v>
      </c>
    </row>
    <row r="4" spans="2:30" x14ac:dyDescent="0.25">
      <c r="B4" s="50" t="b">
        <f t="shared" ref="B4:B12" si="1">ISNUMBER(C4)</f>
        <v>0</v>
      </c>
      <c r="C4" s="50" t="e">
        <f t="shared" ref="C4:C12" si="2">SUM(U4:W4)</f>
        <v>#VALUE!</v>
      </c>
      <c r="E4" s="56">
        <v>1</v>
      </c>
      <c r="G4" s="176"/>
      <c r="H4" s="135">
        <v>1</v>
      </c>
      <c r="I4" s="57" t="str">
        <f>IF(G4="","",G4&amp;""&amp;"-0")</f>
        <v/>
      </c>
      <c r="J4" s="58" t="e">
        <f>RIGHT(I4,K4)</f>
        <v>#VALUE!</v>
      </c>
      <c r="K4" s="50" t="e">
        <f>P4-N4</f>
        <v>#VALUE!</v>
      </c>
      <c r="L4" s="50" t="e">
        <f>O4-N4</f>
        <v>#VALUE!</v>
      </c>
      <c r="M4" s="50" t="e">
        <f>P4-O4</f>
        <v>#VALUE!</v>
      </c>
      <c r="N4" s="50" t="e">
        <f>SEARCH("-",I4,2)</f>
        <v>#VALUE!</v>
      </c>
      <c r="O4" s="50" t="e">
        <f>SEARCH("-",I4,N4+1)</f>
        <v>#VALUE!</v>
      </c>
      <c r="P4" s="50">
        <f>LEN(I4)</f>
        <v>0</v>
      </c>
      <c r="R4" s="55" t="e">
        <f>LEFT(I4,N4-1)</f>
        <v>#VALUE!</v>
      </c>
      <c r="S4" s="55" t="e">
        <f>LEFT(J4,L4-1)</f>
        <v>#VALUE!</v>
      </c>
      <c r="T4" s="55" t="e">
        <f>RIGHT(I4,M4)</f>
        <v>#VALUE!</v>
      </c>
      <c r="U4" s="50" t="e">
        <f>R4*1*$H4</f>
        <v>#VALUE!</v>
      </c>
      <c r="V4" s="50" t="e">
        <f t="shared" ref="V4:W4" si="3">S4*1*$H4</f>
        <v>#VALUE!</v>
      </c>
      <c r="W4" s="50" t="e">
        <f t="shared" si="3"/>
        <v>#VALUE!</v>
      </c>
      <c r="AD4" s="59"/>
    </row>
    <row r="5" spans="2:30" x14ac:dyDescent="0.25">
      <c r="B5" s="50" t="b">
        <f t="shared" si="1"/>
        <v>0</v>
      </c>
      <c r="C5" s="50" t="e">
        <f t="shared" si="2"/>
        <v>#VALUE!</v>
      </c>
      <c r="E5" s="56">
        <v>2</v>
      </c>
      <c r="G5" s="176"/>
      <c r="H5" s="135">
        <v>1</v>
      </c>
      <c r="I5" s="57" t="str">
        <f t="shared" ref="I5:I68" si="4">IF(G5="","",G5&amp;""&amp;"-0")</f>
        <v/>
      </c>
      <c r="J5" s="58" t="e">
        <f t="shared" ref="J5:J68" si="5">RIGHT(I5,K5)</f>
        <v>#VALUE!</v>
      </c>
      <c r="K5" s="50" t="e">
        <f t="shared" ref="K5:K68" si="6">P5-N5</f>
        <v>#VALUE!</v>
      </c>
      <c r="L5" s="50" t="e">
        <f t="shared" ref="L5:M20" si="7">O5-N5</f>
        <v>#VALUE!</v>
      </c>
      <c r="M5" s="50" t="e">
        <f t="shared" si="7"/>
        <v>#VALUE!</v>
      </c>
      <c r="N5" s="50" t="e">
        <f t="shared" ref="N5:N68" si="8">SEARCH("-",I5,2)</f>
        <v>#VALUE!</v>
      </c>
      <c r="O5" s="50" t="e">
        <f t="shared" ref="O5:O68" si="9">SEARCH("-",I5,N5+1)</f>
        <v>#VALUE!</v>
      </c>
      <c r="P5" s="50">
        <f t="shared" ref="P5:P68" si="10">LEN(I5)</f>
        <v>0</v>
      </c>
      <c r="R5" s="55" t="e">
        <f t="shared" ref="R5:R68" si="11">LEFT(I5,N5-1)</f>
        <v>#VALUE!</v>
      </c>
      <c r="S5" s="55" t="e">
        <f t="shared" ref="S5:S68" si="12">LEFT(J5,L5-1)</f>
        <v>#VALUE!</v>
      </c>
      <c r="T5" s="55" t="e">
        <f>RIGHT(I5,M5)</f>
        <v>#VALUE!</v>
      </c>
      <c r="U5" s="50" t="e">
        <f t="shared" ref="U5:U68" si="13">R5*1*$H5</f>
        <v>#VALUE!</v>
      </c>
      <c r="V5" s="50" t="e">
        <f t="shared" ref="V5:V68" si="14">S5*1*$H5</f>
        <v>#VALUE!</v>
      </c>
      <c r="W5" s="50" t="e">
        <f t="shared" ref="W5:W68" si="15">T5*1*$H5</f>
        <v>#VALUE!</v>
      </c>
      <c r="AD5" s="59"/>
    </row>
    <row r="6" spans="2:30" x14ac:dyDescent="0.25">
      <c r="B6" s="50" t="b">
        <f t="shared" si="1"/>
        <v>0</v>
      </c>
      <c r="C6" s="50" t="e">
        <f t="shared" si="2"/>
        <v>#VALUE!</v>
      </c>
      <c r="E6" s="56">
        <v>3</v>
      </c>
      <c r="G6" s="176"/>
      <c r="H6" s="135">
        <v>1</v>
      </c>
      <c r="I6" s="57" t="str">
        <f t="shared" si="4"/>
        <v/>
      </c>
      <c r="J6" s="58" t="e">
        <f t="shared" si="5"/>
        <v>#VALUE!</v>
      </c>
      <c r="K6" s="50" t="e">
        <f t="shared" si="6"/>
        <v>#VALUE!</v>
      </c>
      <c r="L6" s="50" t="e">
        <f t="shared" si="7"/>
        <v>#VALUE!</v>
      </c>
      <c r="M6" s="50" t="e">
        <f t="shared" si="7"/>
        <v>#VALUE!</v>
      </c>
      <c r="N6" s="50" t="e">
        <f t="shared" si="8"/>
        <v>#VALUE!</v>
      </c>
      <c r="O6" s="50" t="e">
        <f t="shared" si="9"/>
        <v>#VALUE!</v>
      </c>
      <c r="P6" s="50">
        <f t="shared" si="10"/>
        <v>0</v>
      </c>
      <c r="R6" s="55" t="e">
        <f t="shared" si="11"/>
        <v>#VALUE!</v>
      </c>
      <c r="S6" s="55" t="e">
        <f t="shared" si="12"/>
        <v>#VALUE!</v>
      </c>
      <c r="T6" s="55" t="e">
        <f t="shared" ref="T6:T69" si="16">RIGHT(I6,M6)</f>
        <v>#VALUE!</v>
      </c>
      <c r="U6" s="50" t="e">
        <f t="shared" si="13"/>
        <v>#VALUE!</v>
      </c>
      <c r="V6" s="50" t="e">
        <f t="shared" si="14"/>
        <v>#VALUE!</v>
      </c>
      <c r="W6" s="50" t="e">
        <f t="shared" si="15"/>
        <v>#VALUE!</v>
      </c>
      <c r="AD6" s="59"/>
    </row>
    <row r="7" spans="2:30" x14ac:dyDescent="0.25">
      <c r="B7" s="50" t="b">
        <f t="shared" si="1"/>
        <v>0</v>
      </c>
      <c r="C7" s="50" t="e">
        <f t="shared" si="2"/>
        <v>#VALUE!</v>
      </c>
      <c r="E7" s="56">
        <v>4</v>
      </c>
      <c r="G7" s="176"/>
      <c r="H7" s="135">
        <v>1</v>
      </c>
      <c r="I7" s="57" t="str">
        <f t="shared" si="4"/>
        <v/>
      </c>
      <c r="J7" s="58" t="e">
        <f t="shared" si="5"/>
        <v>#VALUE!</v>
      </c>
      <c r="K7" s="50" t="e">
        <f t="shared" si="6"/>
        <v>#VALUE!</v>
      </c>
      <c r="L7" s="50" t="e">
        <f t="shared" si="7"/>
        <v>#VALUE!</v>
      </c>
      <c r="M7" s="50" t="e">
        <f t="shared" si="7"/>
        <v>#VALUE!</v>
      </c>
      <c r="N7" s="50" t="e">
        <f t="shared" si="8"/>
        <v>#VALUE!</v>
      </c>
      <c r="O7" s="50" t="e">
        <f t="shared" si="9"/>
        <v>#VALUE!</v>
      </c>
      <c r="P7" s="50">
        <f t="shared" si="10"/>
        <v>0</v>
      </c>
      <c r="R7" s="55" t="e">
        <f t="shared" si="11"/>
        <v>#VALUE!</v>
      </c>
      <c r="S7" s="55" t="e">
        <f t="shared" si="12"/>
        <v>#VALUE!</v>
      </c>
      <c r="T7" s="55" t="e">
        <f t="shared" si="16"/>
        <v>#VALUE!</v>
      </c>
      <c r="U7" s="50" t="e">
        <f t="shared" si="13"/>
        <v>#VALUE!</v>
      </c>
      <c r="V7" s="50" t="e">
        <f t="shared" si="14"/>
        <v>#VALUE!</v>
      </c>
      <c r="W7" s="50" t="e">
        <f t="shared" si="15"/>
        <v>#VALUE!</v>
      </c>
      <c r="AD7" s="59"/>
    </row>
    <row r="8" spans="2:30" x14ac:dyDescent="0.25">
      <c r="B8" s="50" t="b">
        <f t="shared" si="1"/>
        <v>0</v>
      </c>
      <c r="C8" s="50" t="e">
        <f t="shared" si="2"/>
        <v>#VALUE!</v>
      </c>
      <c r="E8" s="56">
        <v>5</v>
      </c>
      <c r="G8" s="176"/>
      <c r="H8" s="135">
        <v>1</v>
      </c>
      <c r="I8" s="57" t="str">
        <f t="shared" si="4"/>
        <v/>
      </c>
      <c r="J8" s="58" t="e">
        <f t="shared" si="5"/>
        <v>#VALUE!</v>
      </c>
      <c r="K8" s="50" t="e">
        <f t="shared" si="6"/>
        <v>#VALUE!</v>
      </c>
      <c r="L8" s="50" t="e">
        <f t="shared" si="7"/>
        <v>#VALUE!</v>
      </c>
      <c r="M8" s="50" t="e">
        <f t="shared" si="7"/>
        <v>#VALUE!</v>
      </c>
      <c r="N8" s="50" t="e">
        <f t="shared" si="8"/>
        <v>#VALUE!</v>
      </c>
      <c r="O8" s="50" t="e">
        <f t="shared" si="9"/>
        <v>#VALUE!</v>
      </c>
      <c r="P8" s="50">
        <f t="shared" si="10"/>
        <v>0</v>
      </c>
      <c r="R8" s="55" t="e">
        <f t="shared" si="11"/>
        <v>#VALUE!</v>
      </c>
      <c r="S8" s="55" t="e">
        <f t="shared" si="12"/>
        <v>#VALUE!</v>
      </c>
      <c r="T8" s="55" t="e">
        <f t="shared" si="16"/>
        <v>#VALUE!</v>
      </c>
      <c r="U8" s="50" t="e">
        <f t="shared" si="13"/>
        <v>#VALUE!</v>
      </c>
      <c r="V8" s="50" t="e">
        <f t="shared" si="14"/>
        <v>#VALUE!</v>
      </c>
      <c r="W8" s="50" t="e">
        <f t="shared" si="15"/>
        <v>#VALUE!</v>
      </c>
      <c r="AD8" s="59"/>
    </row>
    <row r="9" spans="2:30" x14ac:dyDescent="0.25">
      <c r="B9" s="50" t="b">
        <f t="shared" si="1"/>
        <v>0</v>
      </c>
      <c r="C9" s="50" t="e">
        <f t="shared" si="2"/>
        <v>#VALUE!</v>
      </c>
      <c r="E9" s="56">
        <v>6</v>
      </c>
      <c r="G9" s="176"/>
      <c r="H9" s="135">
        <v>1</v>
      </c>
      <c r="I9" s="57" t="str">
        <f t="shared" si="4"/>
        <v/>
      </c>
      <c r="J9" s="58" t="e">
        <f t="shared" si="5"/>
        <v>#VALUE!</v>
      </c>
      <c r="K9" s="50" t="e">
        <f t="shared" si="6"/>
        <v>#VALUE!</v>
      </c>
      <c r="L9" s="50" t="e">
        <f t="shared" si="7"/>
        <v>#VALUE!</v>
      </c>
      <c r="M9" s="50" t="e">
        <f t="shared" si="7"/>
        <v>#VALUE!</v>
      </c>
      <c r="N9" s="50" t="e">
        <f t="shared" si="8"/>
        <v>#VALUE!</v>
      </c>
      <c r="O9" s="50" t="e">
        <f t="shared" si="9"/>
        <v>#VALUE!</v>
      </c>
      <c r="P9" s="50">
        <f t="shared" si="10"/>
        <v>0</v>
      </c>
      <c r="R9" s="55" t="e">
        <f t="shared" si="11"/>
        <v>#VALUE!</v>
      </c>
      <c r="S9" s="55" t="e">
        <f t="shared" si="12"/>
        <v>#VALUE!</v>
      </c>
      <c r="T9" s="55" t="e">
        <f t="shared" si="16"/>
        <v>#VALUE!</v>
      </c>
      <c r="U9" s="50" t="e">
        <f t="shared" si="13"/>
        <v>#VALUE!</v>
      </c>
      <c r="V9" s="50" t="e">
        <f t="shared" si="14"/>
        <v>#VALUE!</v>
      </c>
      <c r="W9" s="50" t="e">
        <f t="shared" si="15"/>
        <v>#VALUE!</v>
      </c>
      <c r="AD9" s="59"/>
    </row>
    <row r="10" spans="2:30" x14ac:dyDescent="0.25">
      <c r="B10" s="50" t="b">
        <f t="shared" si="1"/>
        <v>0</v>
      </c>
      <c r="C10" s="50" t="e">
        <f t="shared" si="2"/>
        <v>#VALUE!</v>
      </c>
      <c r="E10" s="56">
        <v>7</v>
      </c>
      <c r="G10" s="176"/>
      <c r="H10" s="135">
        <v>1</v>
      </c>
      <c r="I10" s="57" t="str">
        <f t="shared" si="4"/>
        <v/>
      </c>
      <c r="J10" s="58" t="e">
        <f t="shared" si="5"/>
        <v>#VALUE!</v>
      </c>
      <c r="K10" s="50" t="e">
        <f t="shared" si="6"/>
        <v>#VALUE!</v>
      </c>
      <c r="L10" s="50" t="e">
        <f t="shared" si="7"/>
        <v>#VALUE!</v>
      </c>
      <c r="M10" s="50" t="e">
        <f t="shared" si="7"/>
        <v>#VALUE!</v>
      </c>
      <c r="N10" s="50" t="e">
        <f t="shared" si="8"/>
        <v>#VALUE!</v>
      </c>
      <c r="O10" s="50" t="e">
        <f t="shared" si="9"/>
        <v>#VALUE!</v>
      </c>
      <c r="P10" s="50">
        <f t="shared" si="10"/>
        <v>0</v>
      </c>
      <c r="R10" s="55" t="e">
        <f t="shared" si="11"/>
        <v>#VALUE!</v>
      </c>
      <c r="S10" s="55" t="e">
        <f t="shared" si="12"/>
        <v>#VALUE!</v>
      </c>
      <c r="T10" s="55" t="e">
        <f t="shared" si="16"/>
        <v>#VALUE!</v>
      </c>
      <c r="U10" s="50" t="e">
        <f t="shared" si="13"/>
        <v>#VALUE!</v>
      </c>
      <c r="V10" s="50" t="e">
        <f t="shared" si="14"/>
        <v>#VALUE!</v>
      </c>
      <c r="W10" s="50" t="e">
        <f t="shared" si="15"/>
        <v>#VALUE!</v>
      </c>
      <c r="AD10" s="59"/>
    </row>
    <row r="11" spans="2:30" x14ac:dyDescent="0.25">
      <c r="B11" s="50" t="b">
        <f t="shared" si="1"/>
        <v>0</v>
      </c>
      <c r="C11" s="50" t="e">
        <f t="shared" si="2"/>
        <v>#VALUE!</v>
      </c>
      <c r="E11" s="56">
        <v>8</v>
      </c>
      <c r="G11" s="176"/>
      <c r="H11" s="135">
        <v>1</v>
      </c>
      <c r="I11" s="57" t="str">
        <f t="shared" si="4"/>
        <v/>
      </c>
      <c r="J11" s="58" t="e">
        <f t="shared" si="5"/>
        <v>#VALUE!</v>
      </c>
      <c r="K11" s="50" t="e">
        <f t="shared" si="6"/>
        <v>#VALUE!</v>
      </c>
      <c r="L11" s="50" t="e">
        <f t="shared" si="7"/>
        <v>#VALUE!</v>
      </c>
      <c r="M11" s="50" t="e">
        <f t="shared" si="7"/>
        <v>#VALUE!</v>
      </c>
      <c r="N11" s="50" t="e">
        <f t="shared" si="8"/>
        <v>#VALUE!</v>
      </c>
      <c r="O11" s="50" t="e">
        <f t="shared" si="9"/>
        <v>#VALUE!</v>
      </c>
      <c r="P11" s="50">
        <f t="shared" si="10"/>
        <v>0</v>
      </c>
      <c r="R11" s="55" t="e">
        <f t="shared" si="11"/>
        <v>#VALUE!</v>
      </c>
      <c r="S11" s="55" t="e">
        <f t="shared" si="12"/>
        <v>#VALUE!</v>
      </c>
      <c r="T11" s="55" t="e">
        <f t="shared" si="16"/>
        <v>#VALUE!</v>
      </c>
      <c r="U11" s="50" t="e">
        <f t="shared" si="13"/>
        <v>#VALUE!</v>
      </c>
      <c r="V11" s="50" t="e">
        <f t="shared" si="14"/>
        <v>#VALUE!</v>
      </c>
      <c r="W11" s="50" t="e">
        <f t="shared" si="15"/>
        <v>#VALUE!</v>
      </c>
      <c r="AD11" s="59"/>
    </row>
    <row r="12" spans="2:30" x14ac:dyDescent="0.25">
      <c r="B12" s="50" t="b">
        <f t="shared" si="1"/>
        <v>0</v>
      </c>
      <c r="C12" s="50" t="e">
        <f t="shared" si="2"/>
        <v>#VALUE!</v>
      </c>
      <c r="E12" s="56">
        <v>9</v>
      </c>
      <c r="G12" s="176"/>
      <c r="H12" s="135">
        <v>1</v>
      </c>
      <c r="I12" s="57" t="str">
        <f t="shared" si="4"/>
        <v/>
      </c>
      <c r="J12" s="58" t="e">
        <f t="shared" si="5"/>
        <v>#VALUE!</v>
      </c>
      <c r="K12" s="50" t="e">
        <f t="shared" si="6"/>
        <v>#VALUE!</v>
      </c>
      <c r="L12" s="50" t="e">
        <f t="shared" si="7"/>
        <v>#VALUE!</v>
      </c>
      <c r="M12" s="50" t="e">
        <f t="shared" si="7"/>
        <v>#VALUE!</v>
      </c>
      <c r="N12" s="50" t="e">
        <f t="shared" si="8"/>
        <v>#VALUE!</v>
      </c>
      <c r="O12" s="50" t="e">
        <f t="shared" si="9"/>
        <v>#VALUE!</v>
      </c>
      <c r="P12" s="50">
        <f t="shared" si="10"/>
        <v>0</v>
      </c>
      <c r="R12" s="55" t="e">
        <f t="shared" si="11"/>
        <v>#VALUE!</v>
      </c>
      <c r="S12" s="55" t="e">
        <f t="shared" si="12"/>
        <v>#VALUE!</v>
      </c>
      <c r="T12" s="55" t="e">
        <f t="shared" si="16"/>
        <v>#VALUE!</v>
      </c>
      <c r="U12" s="50" t="e">
        <f t="shared" si="13"/>
        <v>#VALUE!</v>
      </c>
      <c r="V12" s="50" t="e">
        <f t="shared" si="14"/>
        <v>#VALUE!</v>
      </c>
      <c r="W12" s="50" t="e">
        <f t="shared" si="15"/>
        <v>#VALUE!</v>
      </c>
      <c r="AD12" s="59"/>
    </row>
    <row r="13" spans="2:30" x14ac:dyDescent="0.25">
      <c r="B13" s="50" t="b">
        <f>ISNUMBER(C13)</f>
        <v>0</v>
      </c>
      <c r="C13" s="50" t="e">
        <f>SUM(U13:W13)</f>
        <v>#VALUE!</v>
      </c>
      <c r="E13" s="56">
        <v>10</v>
      </c>
      <c r="G13" s="176"/>
      <c r="H13" s="135">
        <v>1</v>
      </c>
      <c r="I13" s="57" t="str">
        <f t="shared" si="4"/>
        <v/>
      </c>
      <c r="J13" s="58" t="e">
        <f t="shared" si="5"/>
        <v>#VALUE!</v>
      </c>
      <c r="K13" s="50" t="e">
        <f t="shared" si="6"/>
        <v>#VALUE!</v>
      </c>
      <c r="L13" s="50" t="e">
        <f t="shared" si="7"/>
        <v>#VALUE!</v>
      </c>
      <c r="M13" s="50" t="e">
        <f t="shared" si="7"/>
        <v>#VALUE!</v>
      </c>
      <c r="N13" s="50" t="e">
        <f t="shared" si="8"/>
        <v>#VALUE!</v>
      </c>
      <c r="O13" s="50" t="e">
        <f t="shared" si="9"/>
        <v>#VALUE!</v>
      </c>
      <c r="P13" s="50">
        <f t="shared" si="10"/>
        <v>0</v>
      </c>
      <c r="R13" s="55" t="e">
        <f t="shared" si="11"/>
        <v>#VALUE!</v>
      </c>
      <c r="S13" s="55" t="e">
        <f t="shared" si="12"/>
        <v>#VALUE!</v>
      </c>
      <c r="T13" s="55" t="e">
        <f t="shared" si="16"/>
        <v>#VALUE!</v>
      </c>
      <c r="U13" s="50" t="e">
        <f t="shared" si="13"/>
        <v>#VALUE!</v>
      </c>
      <c r="V13" s="50" t="e">
        <f t="shared" si="14"/>
        <v>#VALUE!</v>
      </c>
      <c r="W13" s="50" t="e">
        <f t="shared" si="15"/>
        <v>#VALUE!</v>
      </c>
      <c r="AD13" s="59"/>
    </row>
    <row r="14" spans="2:30" x14ac:dyDescent="0.25">
      <c r="B14" s="50" t="b">
        <f t="shared" ref="B14:B77" si="17">ISNUMBER(C14)</f>
        <v>0</v>
      </c>
      <c r="C14" s="50" t="e">
        <f t="shared" ref="C14:C77" si="18">SUM(U14:W14)</f>
        <v>#VALUE!</v>
      </c>
      <c r="E14" s="56">
        <v>11</v>
      </c>
      <c r="G14" s="176"/>
      <c r="H14" s="135">
        <v>1</v>
      </c>
      <c r="I14" s="57" t="str">
        <f t="shared" si="4"/>
        <v/>
      </c>
      <c r="J14" s="58" t="e">
        <f t="shared" si="5"/>
        <v>#VALUE!</v>
      </c>
      <c r="K14" s="50" t="e">
        <f t="shared" si="6"/>
        <v>#VALUE!</v>
      </c>
      <c r="L14" s="50" t="e">
        <f t="shared" si="7"/>
        <v>#VALUE!</v>
      </c>
      <c r="M14" s="50" t="e">
        <f t="shared" si="7"/>
        <v>#VALUE!</v>
      </c>
      <c r="N14" s="50" t="e">
        <f t="shared" si="8"/>
        <v>#VALUE!</v>
      </c>
      <c r="O14" s="50" t="e">
        <f t="shared" si="9"/>
        <v>#VALUE!</v>
      </c>
      <c r="P14" s="50">
        <f t="shared" si="10"/>
        <v>0</v>
      </c>
      <c r="R14" s="55" t="e">
        <f t="shared" si="11"/>
        <v>#VALUE!</v>
      </c>
      <c r="S14" s="55" t="e">
        <f t="shared" si="12"/>
        <v>#VALUE!</v>
      </c>
      <c r="T14" s="55" t="e">
        <f t="shared" si="16"/>
        <v>#VALUE!</v>
      </c>
      <c r="U14" s="50" t="e">
        <f t="shared" si="13"/>
        <v>#VALUE!</v>
      </c>
      <c r="V14" s="50" t="e">
        <f t="shared" si="14"/>
        <v>#VALUE!</v>
      </c>
      <c r="W14" s="50" t="e">
        <f t="shared" si="15"/>
        <v>#VALUE!</v>
      </c>
      <c r="AD14" s="59"/>
    </row>
    <row r="15" spans="2:30" x14ac:dyDescent="0.25">
      <c r="B15" s="50" t="b">
        <f t="shared" si="17"/>
        <v>0</v>
      </c>
      <c r="C15" s="50" t="e">
        <f t="shared" si="18"/>
        <v>#VALUE!</v>
      </c>
      <c r="E15" s="56">
        <v>12</v>
      </c>
      <c r="G15" s="151"/>
      <c r="H15" s="135">
        <v>1</v>
      </c>
      <c r="I15" s="57" t="str">
        <f t="shared" si="4"/>
        <v/>
      </c>
      <c r="J15" s="58" t="e">
        <f t="shared" si="5"/>
        <v>#VALUE!</v>
      </c>
      <c r="K15" s="50" t="e">
        <f t="shared" si="6"/>
        <v>#VALUE!</v>
      </c>
      <c r="L15" s="50" t="e">
        <f t="shared" si="7"/>
        <v>#VALUE!</v>
      </c>
      <c r="M15" s="50" t="e">
        <f t="shared" si="7"/>
        <v>#VALUE!</v>
      </c>
      <c r="N15" s="50" t="e">
        <f t="shared" si="8"/>
        <v>#VALUE!</v>
      </c>
      <c r="O15" s="50" t="e">
        <f t="shared" si="9"/>
        <v>#VALUE!</v>
      </c>
      <c r="P15" s="50">
        <f t="shared" si="10"/>
        <v>0</v>
      </c>
      <c r="R15" s="55" t="e">
        <f t="shared" si="11"/>
        <v>#VALUE!</v>
      </c>
      <c r="S15" s="55" t="e">
        <f t="shared" si="12"/>
        <v>#VALUE!</v>
      </c>
      <c r="T15" s="55" t="e">
        <f t="shared" si="16"/>
        <v>#VALUE!</v>
      </c>
      <c r="U15" s="50" t="e">
        <f t="shared" si="13"/>
        <v>#VALUE!</v>
      </c>
      <c r="V15" s="50" t="e">
        <f t="shared" si="14"/>
        <v>#VALUE!</v>
      </c>
      <c r="W15" s="50" t="e">
        <f t="shared" si="15"/>
        <v>#VALUE!</v>
      </c>
      <c r="AD15" s="59"/>
    </row>
    <row r="16" spans="2:30" x14ac:dyDescent="0.25">
      <c r="B16" s="50" t="b">
        <f t="shared" si="17"/>
        <v>0</v>
      </c>
      <c r="C16" s="50" t="e">
        <f t="shared" si="18"/>
        <v>#VALUE!</v>
      </c>
      <c r="E16" s="56">
        <v>13</v>
      </c>
      <c r="G16" s="151"/>
      <c r="H16" s="135">
        <v>1</v>
      </c>
      <c r="I16" s="57" t="str">
        <f t="shared" si="4"/>
        <v/>
      </c>
      <c r="J16" s="58" t="e">
        <f t="shared" si="5"/>
        <v>#VALUE!</v>
      </c>
      <c r="K16" s="50" t="e">
        <f t="shared" si="6"/>
        <v>#VALUE!</v>
      </c>
      <c r="L16" s="50" t="e">
        <f t="shared" si="7"/>
        <v>#VALUE!</v>
      </c>
      <c r="M16" s="50" t="e">
        <f t="shared" si="7"/>
        <v>#VALUE!</v>
      </c>
      <c r="N16" s="50" t="e">
        <f t="shared" si="8"/>
        <v>#VALUE!</v>
      </c>
      <c r="O16" s="50" t="e">
        <f t="shared" si="9"/>
        <v>#VALUE!</v>
      </c>
      <c r="P16" s="50">
        <f t="shared" si="10"/>
        <v>0</v>
      </c>
      <c r="R16" s="55" t="e">
        <f t="shared" si="11"/>
        <v>#VALUE!</v>
      </c>
      <c r="S16" s="55" t="e">
        <f t="shared" si="12"/>
        <v>#VALUE!</v>
      </c>
      <c r="T16" s="55" t="e">
        <f t="shared" si="16"/>
        <v>#VALUE!</v>
      </c>
      <c r="U16" s="50" t="e">
        <f t="shared" si="13"/>
        <v>#VALUE!</v>
      </c>
      <c r="V16" s="50" t="e">
        <f t="shared" si="14"/>
        <v>#VALUE!</v>
      </c>
      <c r="W16" s="50" t="e">
        <f t="shared" si="15"/>
        <v>#VALUE!</v>
      </c>
      <c r="AD16" s="59"/>
    </row>
    <row r="17" spans="2:30" x14ac:dyDescent="0.25">
      <c r="B17" s="50" t="b">
        <f t="shared" si="17"/>
        <v>0</v>
      </c>
      <c r="C17" s="50" t="e">
        <f t="shared" si="18"/>
        <v>#VALUE!</v>
      </c>
      <c r="E17" s="56">
        <v>14</v>
      </c>
      <c r="G17" s="150"/>
      <c r="H17" s="135">
        <v>1</v>
      </c>
      <c r="I17" s="57" t="str">
        <f t="shared" si="4"/>
        <v/>
      </c>
      <c r="J17" s="58" t="e">
        <f t="shared" si="5"/>
        <v>#VALUE!</v>
      </c>
      <c r="K17" s="50" t="e">
        <f t="shared" si="6"/>
        <v>#VALUE!</v>
      </c>
      <c r="L17" s="50" t="e">
        <f t="shared" si="7"/>
        <v>#VALUE!</v>
      </c>
      <c r="M17" s="50" t="e">
        <f t="shared" si="7"/>
        <v>#VALUE!</v>
      </c>
      <c r="N17" s="50" t="e">
        <f t="shared" si="8"/>
        <v>#VALUE!</v>
      </c>
      <c r="O17" s="50" t="e">
        <f t="shared" si="9"/>
        <v>#VALUE!</v>
      </c>
      <c r="P17" s="50">
        <f t="shared" si="10"/>
        <v>0</v>
      </c>
      <c r="R17" s="55" t="e">
        <f t="shared" si="11"/>
        <v>#VALUE!</v>
      </c>
      <c r="S17" s="55" t="e">
        <f t="shared" si="12"/>
        <v>#VALUE!</v>
      </c>
      <c r="T17" s="55" t="e">
        <f t="shared" si="16"/>
        <v>#VALUE!</v>
      </c>
      <c r="U17" s="50" t="e">
        <f t="shared" si="13"/>
        <v>#VALUE!</v>
      </c>
      <c r="V17" s="50" t="e">
        <f t="shared" si="14"/>
        <v>#VALUE!</v>
      </c>
      <c r="W17" s="50" t="e">
        <f t="shared" si="15"/>
        <v>#VALUE!</v>
      </c>
      <c r="AD17" s="59"/>
    </row>
    <row r="18" spans="2:30" x14ac:dyDescent="0.25">
      <c r="B18" s="50" t="b">
        <f t="shared" si="17"/>
        <v>0</v>
      </c>
      <c r="C18" s="50" t="e">
        <f t="shared" si="18"/>
        <v>#VALUE!</v>
      </c>
      <c r="E18" s="56">
        <v>15</v>
      </c>
      <c r="G18" s="150"/>
      <c r="H18" s="135">
        <v>1</v>
      </c>
      <c r="I18" s="57" t="str">
        <f t="shared" si="4"/>
        <v/>
      </c>
      <c r="J18" s="58" t="e">
        <f t="shared" si="5"/>
        <v>#VALUE!</v>
      </c>
      <c r="K18" s="50" t="e">
        <f t="shared" si="6"/>
        <v>#VALUE!</v>
      </c>
      <c r="L18" s="50" t="e">
        <f t="shared" si="7"/>
        <v>#VALUE!</v>
      </c>
      <c r="M18" s="50" t="e">
        <f t="shared" si="7"/>
        <v>#VALUE!</v>
      </c>
      <c r="N18" s="50" t="e">
        <f t="shared" si="8"/>
        <v>#VALUE!</v>
      </c>
      <c r="O18" s="50" t="e">
        <f t="shared" si="9"/>
        <v>#VALUE!</v>
      </c>
      <c r="P18" s="50">
        <f t="shared" si="10"/>
        <v>0</v>
      </c>
      <c r="R18" s="55" t="e">
        <f t="shared" si="11"/>
        <v>#VALUE!</v>
      </c>
      <c r="S18" s="55" t="e">
        <f t="shared" si="12"/>
        <v>#VALUE!</v>
      </c>
      <c r="T18" s="55" t="e">
        <f t="shared" si="16"/>
        <v>#VALUE!</v>
      </c>
      <c r="U18" s="50" t="e">
        <f t="shared" si="13"/>
        <v>#VALUE!</v>
      </c>
      <c r="V18" s="50" t="e">
        <f t="shared" si="14"/>
        <v>#VALUE!</v>
      </c>
      <c r="W18" s="50" t="e">
        <f t="shared" si="15"/>
        <v>#VALUE!</v>
      </c>
      <c r="AD18" s="59"/>
    </row>
    <row r="19" spans="2:30" x14ac:dyDescent="0.25">
      <c r="B19" s="50" t="b">
        <f t="shared" si="17"/>
        <v>0</v>
      </c>
      <c r="C19" s="50" t="e">
        <f t="shared" si="18"/>
        <v>#VALUE!</v>
      </c>
      <c r="E19" s="56">
        <v>16</v>
      </c>
      <c r="G19" s="150"/>
      <c r="H19" s="135">
        <v>1</v>
      </c>
      <c r="I19" s="57" t="str">
        <f t="shared" si="4"/>
        <v/>
      </c>
      <c r="J19" s="58" t="e">
        <f t="shared" si="5"/>
        <v>#VALUE!</v>
      </c>
      <c r="K19" s="50" t="e">
        <f t="shared" si="6"/>
        <v>#VALUE!</v>
      </c>
      <c r="L19" s="50" t="e">
        <f t="shared" si="7"/>
        <v>#VALUE!</v>
      </c>
      <c r="M19" s="50" t="e">
        <f t="shared" si="7"/>
        <v>#VALUE!</v>
      </c>
      <c r="N19" s="50" t="e">
        <f t="shared" si="8"/>
        <v>#VALUE!</v>
      </c>
      <c r="O19" s="50" t="e">
        <f t="shared" si="9"/>
        <v>#VALUE!</v>
      </c>
      <c r="P19" s="50">
        <f t="shared" si="10"/>
        <v>0</v>
      </c>
      <c r="R19" s="55" t="e">
        <f t="shared" si="11"/>
        <v>#VALUE!</v>
      </c>
      <c r="S19" s="55" t="e">
        <f t="shared" si="12"/>
        <v>#VALUE!</v>
      </c>
      <c r="T19" s="55" t="e">
        <f t="shared" si="16"/>
        <v>#VALUE!</v>
      </c>
      <c r="U19" s="50" t="e">
        <f t="shared" si="13"/>
        <v>#VALUE!</v>
      </c>
      <c r="V19" s="50" t="e">
        <f t="shared" si="14"/>
        <v>#VALUE!</v>
      </c>
      <c r="W19" s="50" t="e">
        <f t="shared" si="15"/>
        <v>#VALUE!</v>
      </c>
      <c r="AD19" s="59"/>
    </row>
    <row r="20" spans="2:30" x14ac:dyDescent="0.25">
      <c r="B20" s="50" t="b">
        <f t="shared" si="17"/>
        <v>0</v>
      </c>
      <c r="C20" s="50" t="e">
        <f t="shared" si="18"/>
        <v>#VALUE!</v>
      </c>
      <c r="E20" s="56">
        <v>17</v>
      </c>
      <c r="G20" s="143"/>
      <c r="H20" s="135">
        <v>1</v>
      </c>
      <c r="I20" s="57" t="str">
        <f t="shared" si="4"/>
        <v/>
      </c>
      <c r="J20" s="58" t="e">
        <f t="shared" si="5"/>
        <v>#VALUE!</v>
      </c>
      <c r="K20" s="50" t="e">
        <f t="shared" si="6"/>
        <v>#VALUE!</v>
      </c>
      <c r="L20" s="50" t="e">
        <f t="shared" si="7"/>
        <v>#VALUE!</v>
      </c>
      <c r="M20" s="50" t="e">
        <f t="shared" si="7"/>
        <v>#VALUE!</v>
      </c>
      <c r="N20" s="50" t="e">
        <f t="shared" si="8"/>
        <v>#VALUE!</v>
      </c>
      <c r="O20" s="50" t="e">
        <f t="shared" si="9"/>
        <v>#VALUE!</v>
      </c>
      <c r="P20" s="50">
        <f t="shared" si="10"/>
        <v>0</v>
      </c>
      <c r="R20" s="55" t="e">
        <f t="shared" si="11"/>
        <v>#VALUE!</v>
      </c>
      <c r="S20" s="55" t="e">
        <f t="shared" si="12"/>
        <v>#VALUE!</v>
      </c>
      <c r="T20" s="55" t="e">
        <f t="shared" si="16"/>
        <v>#VALUE!</v>
      </c>
      <c r="U20" s="50" t="e">
        <f t="shared" si="13"/>
        <v>#VALUE!</v>
      </c>
      <c r="V20" s="50" t="e">
        <f t="shared" si="14"/>
        <v>#VALUE!</v>
      </c>
      <c r="W20" s="50" t="e">
        <f t="shared" si="15"/>
        <v>#VALUE!</v>
      </c>
      <c r="AD20" s="59"/>
    </row>
    <row r="21" spans="2:30" x14ac:dyDescent="0.25">
      <c r="B21" s="50" t="b">
        <f t="shared" si="17"/>
        <v>0</v>
      </c>
      <c r="C21" s="50" t="e">
        <f t="shared" si="18"/>
        <v>#VALUE!</v>
      </c>
      <c r="E21" s="56">
        <v>18</v>
      </c>
      <c r="G21" s="143"/>
      <c r="H21" s="135">
        <v>1</v>
      </c>
      <c r="I21" s="57" t="str">
        <f t="shared" si="4"/>
        <v/>
      </c>
      <c r="J21" s="58" t="e">
        <f t="shared" si="5"/>
        <v>#VALUE!</v>
      </c>
      <c r="K21" s="50" t="e">
        <f t="shared" si="6"/>
        <v>#VALUE!</v>
      </c>
      <c r="L21" s="50" t="e">
        <f t="shared" ref="L21:M84" si="19">O21-N21</f>
        <v>#VALUE!</v>
      </c>
      <c r="M21" s="50" t="e">
        <f t="shared" si="19"/>
        <v>#VALUE!</v>
      </c>
      <c r="N21" s="50" t="e">
        <f t="shared" si="8"/>
        <v>#VALUE!</v>
      </c>
      <c r="O21" s="50" t="e">
        <f t="shared" si="9"/>
        <v>#VALUE!</v>
      </c>
      <c r="P21" s="50">
        <f t="shared" si="10"/>
        <v>0</v>
      </c>
      <c r="R21" s="55" t="e">
        <f t="shared" si="11"/>
        <v>#VALUE!</v>
      </c>
      <c r="S21" s="55" t="e">
        <f t="shared" si="12"/>
        <v>#VALUE!</v>
      </c>
      <c r="T21" s="55" t="e">
        <f t="shared" si="16"/>
        <v>#VALUE!</v>
      </c>
      <c r="U21" s="50" t="e">
        <f t="shared" si="13"/>
        <v>#VALUE!</v>
      </c>
      <c r="V21" s="50" t="e">
        <f t="shared" si="14"/>
        <v>#VALUE!</v>
      </c>
      <c r="W21" s="50" t="e">
        <f t="shared" si="15"/>
        <v>#VALUE!</v>
      </c>
      <c r="AD21" s="59"/>
    </row>
    <row r="22" spans="2:30" x14ac:dyDescent="0.25">
      <c r="B22" s="50" t="b">
        <f t="shared" si="17"/>
        <v>0</v>
      </c>
      <c r="C22" s="50" t="e">
        <f t="shared" si="18"/>
        <v>#VALUE!</v>
      </c>
      <c r="E22" s="56">
        <v>19</v>
      </c>
      <c r="G22" s="143"/>
      <c r="H22" s="135">
        <v>1</v>
      </c>
      <c r="I22" s="57" t="str">
        <f t="shared" si="4"/>
        <v/>
      </c>
      <c r="J22" s="58" t="e">
        <f t="shared" si="5"/>
        <v>#VALUE!</v>
      </c>
      <c r="K22" s="50" t="e">
        <f t="shared" si="6"/>
        <v>#VALUE!</v>
      </c>
      <c r="L22" s="50" t="e">
        <f t="shared" si="19"/>
        <v>#VALUE!</v>
      </c>
      <c r="M22" s="50" t="e">
        <f t="shared" si="19"/>
        <v>#VALUE!</v>
      </c>
      <c r="N22" s="50" t="e">
        <f t="shared" si="8"/>
        <v>#VALUE!</v>
      </c>
      <c r="O22" s="50" t="e">
        <f t="shared" si="9"/>
        <v>#VALUE!</v>
      </c>
      <c r="P22" s="50">
        <f t="shared" si="10"/>
        <v>0</v>
      </c>
      <c r="R22" s="55" t="e">
        <f t="shared" si="11"/>
        <v>#VALUE!</v>
      </c>
      <c r="S22" s="55" t="e">
        <f t="shared" si="12"/>
        <v>#VALUE!</v>
      </c>
      <c r="T22" s="55" t="e">
        <f t="shared" si="16"/>
        <v>#VALUE!</v>
      </c>
      <c r="U22" s="50" t="e">
        <f t="shared" si="13"/>
        <v>#VALUE!</v>
      </c>
      <c r="V22" s="50" t="e">
        <f t="shared" si="14"/>
        <v>#VALUE!</v>
      </c>
      <c r="W22" s="50" t="e">
        <f t="shared" si="15"/>
        <v>#VALUE!</v>
      </c>
      <c r="AD22" s="59"/>
    </row>
    <row r="23" spans="2:30" x14ac:dyDescent="0.25">
      <c r="B23" s="50" t="b">
        <f t="shared" si="17"/>
        <v>0</v>
      </c>
      <c r="C23" s="50" t="e">
        <f t="shared" si="18"/>
        <v>#VALUE!</v>
      </c>
      <c r="E23" s="56">
        <v>20</v>
      </c>
      <c r="G23" s="143"/>
      <c r="H23" s="135">
        <v>1</v>
      </c>
      <c r="I23" s="57" t="str">
        <f t="shared" si="4"/>
        <v/>
      </c>
      <c r="J23" s="58" t="e">
        <f t="shared" si="5"/>
        <v>#VALUE!</v>
      </c>
      <c r="K23" s="50" t="e">
        <f t="shared" si="6"/>
        <v>#VALUE!</v>
      </c>
      <c r="L23" s="50" t="e">
        <f t="shared" si="19"/>
        <v>#VALUE!</v>
      </c>
      <c r="M23" s="50" t="e">
        <f t="shared" si="19"/>
        <v>#VALUE!</v>
      </c>
      <c r="N23" s="50" t="e">
        <f t="shared" si="8"/>
        <v>#VALUE!</v>
      </c>
      <c r="O23" s="50" t="e">
        <f t="shared" si="9"/>
        <v>#VALUE!</v>
      </c>
      <c r="P23" s="50">
        <f t="shared" si="10"/>
        <v>0</v>
      </c>
      <c r="R23" s="55" t="e">
        <f t="shared" si="11"/>
        <v>#VALUE!</v>
      </c>
      <c r="S23" s="55" t="e">
        <f t="shared" si="12"/>
        <v>#VALUE!</v>
      </c>
      <c r="T23" s="55" t="e">
        <f t="shared" si="16"/>
        <v>#VALUE!</v>
      </c>
      <c r="U23" s="50" t="e">
        <f t="shared" si="13"/>
        <v>#VALUE!</v>
      </c>
      <c r="V23" s="50" t="e">
        <f t="shared" si="14"/>
        <v>#VALUE!</v>
      </c>
      <c r="W23" s="50" t="e">
        <f t="shared" si="15"/>
        <v>#VALUE!</v>
      </c>
      <c r="AD23" s="59"/>
    </row>
    <row r="24" spans="2:30" x14ac:dyDescent="0.25">
      <c r="B24" s="50" t="b">
        <f t="shared" si="17"/>
        <v>0</v>
      </c>
      <c r="C24" s="50" t="e">
        <f t="shared" si="18"/>
        <v>#VALUE!</v>
      </c>
      <c r="E24" s="56">
        <v>21</v>
      </c>
      <c r="G24" s="143"/>
      <c r="H24" s="135">
        <v>1</v>
      </c>
      <c r="I24" s="57" t="str">
        <f t="shared" si="4"/>
        <v/>
      </c>
      <c r="J24" s="58" t="e">
        <f t="shared" si="5"/>
        <v>#VALUE!</v>
      </c>
      <c r="K24" s="50" t="e">
        <f t="shared" si="6"/>
        <v>#VALUE!</v>
      </c>
      <c r="L24" s="50" t="e">
        <f t="shared" si="19"/>
        <v>#VALUE!</v>
      </c>
      <c r="M24" s="50" t="e">
        <f t="shared" si="19"/>
        <v>#VALUE!</v>
      </c>
      <c r="N24" s="50" t="e">
        <f t="shared" si="8"/>
        <v>#VALUE!</v>
      </c>
      <c r="O24" s="50" t="e">
        <f t="shared" si="9"/>
        <v>#VALUE!</v>
      </c>
      <c r="P24" s="50">
        <f t="shared" si="10"/>
        <v>0</v>
      </c>
      <c r="R24" s="55" t="e">
        <f t="shared" si="11"/>
        <v>#VALUE!</v>
      </c>
      <c r="S24" s="55" t="e">
        <f t="shared" si="12"/>
        <v>#VALUE!</v>
      </c>
      <c r="T24" s="55" t="e">
        <f t="shared" si="16"/>
        <v>#VALUE!</v>
      </c>
      <c r="U24" s="50" t="e">
        <f t="shared" si="13"/>
        <v>#VALUE!</v>
      </c>
      <c r="V24" s="50" t="e">
        <f t="shared" si="14"/>
        <v>#VALUE!</v>
      </c>
      <c r="W24" s="50" t="e">
        <f t="shared" si="15"/>
        <v>#VALUE!</v>
      </c>
      <c r="AD24" s="59"/>
    </row>
    <row r="25" spans="2:30" x14ac:dyDescent="0.25">
      <c r="B25" s="50" t="b">
        <f t="shared" si="17"/>
        <v>0</v>
      </c>
      <c r="C25" s="50" t="e">
        <f t="shared" si="18"/>
        <v>#VALUE!</v>
      </c>
      <c r="E25" s="56">
        <v>22</v>
      </c>
      <c r="G25" s="143"/>
      <c r="H25" s="135">
        <v>1</v>
      </c>
      <c r="I25" s="57" t="str">
        <f t="shared" si="4"/>
        <v/>
      </c>
      <c r="J25" s="58" t="e">
        <f t="shared" si="5"/>
        <v>#VALUE!</v>
      </c>
      <c r="K25" s="50" t="e">
        <f t="shared" si="6"/>
        <v>#VALUE!</v>
      </c>
      <c r="L25" s="50" t="e">
        <f t="shared" si="19"/>
        <v>#VALUE!</v>
      </c>
      <c r="M25" s="50" t="e">
        <f t="shared" si="19"/>
        <v>#VALUE!</v>
      </c>
      <c r="N25" s="50" t="e">
        <f t="shared" si="8"/>
        <v>#VALUE!</v>
      </c>
      <c r="O25" s="50" t="e">
        <f t="shared" si="9"/>
        <v>#VALUE!</v>
      </c>
      <c r="P25" s="50">
        <f t="shared" si="10"/>
        <v>0</v>
      </c>
      <c r="R25" s="55" t="e">
        <f t="shared" si="11"/>
        <v>#VALUE!</v>
      </c>
      <c r="S25" s="55" t="e">
        <f t="shared" si="12"/>
        <v>#VALUE!</v>
      </c>
      <c r="T25" s="55" t="e">
        <f t="shared" si="16"/>
        <v>#VALUE!</v>
      </c>
      <c r="U25" s="50" t="e">
        <f t="shared" si="13"/>
        <v>#VALUE!</v>
      </c>
      <c r="V25" s="50" t="e">
        <f t="shared" si="14"/>
        <v>#VALUE!</v>
      </c>
      <c r="W25" s="50" t="e">
        <f t="shared" si="15"/>
        <v>#VALUE!</v>
      </c>
      <c r="AD25" s="59"/>
    </row>
    <row r="26" spans="2:30" x14ac:dyDescent="0.25">
      <c r="B26" s="50" t="b">
        <f t="shared" si="17"/>
        <v>0</v>
      </c>
      <c r="C26" s="50" t="e">
        <f t="shared" si="18"/>
        <v>#VALUE!</v>
      </c>
      <c r="E26" s="56">
        <v>23</v>
      </c>
      <c r="G26" s="143"/>
      <c r="H26" s="135">
        <v>1</v>
      </c>
      <c r="I26" s="57" t="str">
        <f t="shared" si="4"/>
        <v/>
      </c>
      <c r="J26" s="58" t="e">
        <f t="shared" si="5"/>
        <v>#VALUE!</v>
      </c>
      <c r="K26" s="50" t="e">
        <f t="shared" si="6"/>
        <v>#VALUE!</v>
      </c>
      <c r="L26" s="50" t="e">
        <f t="shared" si="19"/>
        <v>#VALUE!</v>
      </c>
      <c r="M26" s="50" t="e">
        <f t="shared" si="19"/>
        <v>#VALUE!</v>
      </c>
      <c r="N26" s="50" t="e">
        <f t="shared" si="8"/>
        <v>#VALUE!</v>
      </c>
      <c r="O26" s="50" t="e">
        <f t="shared" si="9"/>
        <v>#VALUE!</v>
      </c>
      <c r="P26" s="50">
        <f t="shared" si="10"/>
        <v>0</v>
      </c>
      <c r="R26" s="55" t="e">
        <f t="shared" si="11"/>
        <v>#VALUE!</v>
      </c>
      <c r="S26" s="55" t="e">
        <f t="shared" si="12"/>
        <v>#VALUE!</v>
      </c>
      <c r="T26" s="55" t="e">
        <f t="shared" si="16"/>
        <v>#VALUE!</v>
      </c>
      <c r="U26" s="50" t="e">
        <f t="shared" si="13"/>
        <v>#VALUE!</v>
      </c>
      <c r="V26" s="50" t="e">
        <f t="shared" si="14"/>
        <v>#VALUE!</v>
      </c>
      <c r="W26" s="50" t="e">
        <f t="shared" si="15"/>
        <v>#VALUE!</v>
      </c>
      <c r="AD26" s="59"/>
    </row>
    <row r="27" spans="2:30" x14ac:dyDescent="0.25">
      <c r="B27" s="50" t="b">
        <f t="shared" si="17"/>
        <v>0</v>
      </c>
      <c r="C27" s="50" t="e">
        <f t="shared" si="18"/>
        <v>#VALUE!</v>
      </c>
      <c r="E27" s="56">
        <v>24</v>
      </c>
      <c r="G27" s="143"/>
      <c r="H27" s="135">
        <v>1</v>
      </c>
      <c r="I27" s="57" t="str">
        <f t="shared" si="4"/>
        <v/>
      </c>
      <c r="J27" s="58" t="e">
        <f t="shared" si="5"/>
        <v>#VALUE!</v>
      </c>
      <c r="K27" s="50" t="e">
        <f t="shared" si="6"/>
        <v>#VALUE!</v>
      </c>
      <c r="L27" s="50" t="e">
        <f t="shared" si="19"/>
        <v>#VALUE!</v>
      </c>
      <c r="M27" s="50" t="e">
        <f t="shared" si="19"/>
        <v>#VALUE!</v>
      </c>
      <c r="N27" s="50" t="e">
        <f t="shared" si="8"/>
        <v>#VALUE!</v>
      </c>
      <c r="O27" s="50" t="e">
        <f t="shared" si="9"/>
        <v>#VALUE!</v>
      </c>
      <c r="P27" s="50">
        <f t="shared" si="10"/>
        <v>0</v>
      </c>
      <c r="R27" s="55" t="e">
        <f t="shared" si="11"/>
        <v>#VALUE!</v>
      </c>
      <c r="S27" s="55" t="e">
        <f t="shared" si="12"/>
        <v>#VALUE!</v>
      </c>
      <c r="T27" s="55" t="e">
        <f t="shared" si="16"/>
        <v>#VALUE!</v>
      </c>
      <c r="U27" s="50" t="e">
        <f t="shared" si="13"/>
        <v>#VALUE!</v>
      </c>
      <c r="V27" s="50" t="e">
        <f t="shared" si="14"/>
        <v>#VALUE!</v>
      </c>
      <c r="W27" s="50" t="e">
        <f t="shared" si="15"/>
        <v>#VALUE!</v>
      </c>
      <c r="AD27" s="59"/>
    </row>
    <row r="28" spans="2:30" x14ac:dyDescent="0.25">
      <c r="B28" s="50" t="b">
        <f t="shared" si="17"/>
        <v>0</v>
      </c>
      <c r="C28" s="50" t="e">
        <f t="shared" si="18"/>
        <v>#VALUE!</v>
      </c>
      <c r="E28" s="56">
        <v>25</v>
      </c>
      <c r="G28" s="143"/>
      <c r="H28" s="135">
        <v>1</v>
      </c>
      <c r="I28" s="57" t="str">
        <f t="shared" si="4"/>
        <v/>
      </c>
      <c r="J28" s="58" t="e">
        <f t="shared" si="5"/>
        <v>#VALUE!</v>
      </c>
      <c r="K28" s="50" t="e">
        <f t="shared" si="6"/>
        <v>#VALUE!</v>
      </c>
      <c r="L28" s="50" t="e">
        <f t="shared" si="19"/>
        <v>#VALUE!</v>
      </c>
      <c r="M28" s="50" t="e">
        <f t="shared" si="19"/>
        <v>#VALUE!</v>
      </c>
      <c r="N28" s="50" t="e">
        <f t="shared" si="8"/>
        <v>#VALUE!</v>
      </c>
      <c r="O28" s="50" t="e">
        <f t="shared" si="9"/>
        <v>#VALUE!</v>
      </c>
      <c r="P28" s="50">
        <f t="shared" si="10"/>
        <v>0</v>
      </c>
      <c r="R28" s="55" t="e">
        <f t="shared" si="11"/>
        <v>#VALUE!</v>
      </c>
      <c r="S28" s="55" t="e">
        <f t="shared" si="12"/>
        <v>#VALUE!</v>
      </c>
      <c r="T28" s="55" t="e">
        <f t="shared" si="16"/>
        <v>#VALUE!</v>
      </c>
      <c r="U28" s="50" t="e">
        <f t="shared" si="13"/>
        <v>#VALUE!</v>
      </c>
      <c r="V28" s="50" t="e">
        <f t="shared" si="14"/>
        <v>#VALUE!</v>
      </c>
      <c r="W28" s="50" t="e">
        <f t="shared" si="15"/>
        <v>#VALUE!</v>
      </c>
      <c r="AD28" s="59"/>
    </row>
    <row r="29" spans="2:30" x14ac:dyDescent="0.25">
      <c r="B29" s="50" t="b">
        <f t="shared" si="17"/>
        <v>0</v>
      </c>
      <c r="C29" s="50" t="e">
        <f t="shared" si="18"/>
        <v>#VALUE!</v>
      </c>
      <c r="E29" s="56">
        <v>26</v>
      </c>
      <c r="G29" s="143"/>
      <c r="H29" s="135">
        <v>1</v>
      </c>
      <c r="I29" s="57" t="str">
        <f t="shared" si="4"/>
        <v/>
      </c>
      <c r="J29" s="58" t="e">
        <f t="shared" si="5"/>
        <v>#VALUE!</v>
      </c>
      <c r="K29" s="50" t="e">
        <f t="shared" si="6"/>
        <v>#VALUE!</v>
      </c>
      <c r="L29" s="50" t="e">
        <f t="shared" si="19"/>
        <v>#VALUE!</v>
      </c>
      <c r="M29" s="50" t="e">
        <f t="shared" si="19"/>
        <v>#VALUE!</v>
      </c>
      <c r="N29" s="50" t="e">
        <f t="shared" si="8"/>
        <v>#VALUE!</v>
      </c>
      <c r="O29" s="50" t="e">
        <f t="shared" si="9"/>
        <v>#VALUE!</v>
      </c>
      <c r="P29" s="50">
        <f t="shared" si="10"/>
        <v>0</v>
      </c>
      <c r="R29" s="55" t="e">
        <f t="shared" si="11"/>
        <v>#VALUE!</v>
      </c>
      <c r="S29" s="55" t="e">
        <f t="shared" si="12"/>
        <v>#VALUE!</v>
      </c>
      <c r="T29" s="55" t="e">
        <f t="shared" si="16"/>
        <v>#VALUE!</v>
      </c>
      <c r="U29" s="50" t="e">
        <f t="shared" si="13"/>
        <v>#VALUE!</v>
      </c>
      <c r="V29" s="50" t="e">
        <f t="shared" si="14"/>
        <v>#VALUE!</v>
      </c>
      <c r="W29" s="50" t="e">
        <f t="shared" si="15"/>
        <v>#VALUE!</v>
      </c>
      <c r="AD29" s="59"/>
    </row>
    <row r="30" spans="2:30" x14ac:dyDescent="0.25">
      <c r="B30" s="50" t="b">
        <f t="shared" si="17"/>
        <v>0</v>
      </c>
      <c r="C30" s="50" t="e">
        <f t="shared" si="18"/>
        <v>#VALUE!</v>
      </c>
      <c r="E30" s="56">
        <v>27</v>
      </c>
      <c r="G30" s="143"/>
      <c r="H30" s="135">
        <v>1</v>
      </c>
      <c r="I30" s="57" t="str">
        <f t="shared" si="4"/>
        <v/>
      </c>
      <c r="J30" s="58" t="e">
        <f t="shared" si="5"/>
        <v>#VALUE!</v>
      </c>
      <c r="K30" s="50" t="e">
        <f t="shared" si="6"/>
        <v>#VALUE!</v>
      </c>
      <c r="L30" s="50" t="e">
        <f t="shared" si="19"/>
        <v>#VALUE!</v>
      </c>
      <c r="M30" s="50" t="e">
        <f t="shared" si="19"/>
        <v>#VALUE!</v>
      </c>
      <c r="N30" s="50" t="e">
        <f t="shared" si="8"/>
        <v>#VALUE!</v>
      </c>
      <c r="O30" s="50" t="e">
        <f t="shared" si="9"/>
        <v>#VALUE!</v>
      </c>
      <c r="P30" s="50">
        <f t="shared" si="10"/>
        <v>0</v>
      </c>
      <c r="R30" s="55" t="e">
        <f t="shared" si="11"/>
        <v>#VALUE!</v>
      </c>
      <c r="S30" s="55" t="e">
        <f t="shared" si="12"/>
        <v>#VALUE!</v>
      </c>
      <c r="T30" s="55" t="e">
        <f t="shared" si="16"/>
        <v>#VALUE!</v>
      </c>
      <c r="U30" s="50" t="e">
        <f t="shared" si="13"/>
        <v>#VALUE!</v>
      </c>
      <c r="V30" s="50" t="e">
        <f t="shared" si="14"/>
        <v>#VALUE!</v>
      </c>
      <c r="W30" s="50" t="e">
        <f t="shared" si="15"/>
        <v>#VALUE!</v>
      </c>
      <c r="AD30" s="59"/>
    </row>
    <row r="31" spans="2:30" x14ac:dyDescent="0.25">
      <c r="B31" s="50" t="b">
        <f t="shared" si="17"/>
        <v>0</v>
      </c>
      <c r="C31" s="50" t="e">
        <f t="shared" si="18"/>
        <v>#VALUE!</v>
      </c>
      <c r="E31" s="56">
        <v>28</v>
      </c>
      <c r="G31" s="143"/>
      <c r="H31" s="135">
        <v>1</v>
      </c>
      <c r="I31" s="57" t="str">
        <f t="shared" si="4"/>
        <v/>
      </c>
      <c r="J31" s="58" t="e">
        <f t="shared" si="5"/>
        <v>#VALUE!</v>
      </c>
      <c r="K31" s="50" t="e">
        <f t="shared" si="6"/>
        <v>#VALUE!</v>
      </c>
      <c r="L31" s="50" t="e">
        <f t="shared" si="19"/>
        <v>#VALUE!</v>
      </c>
      <c r="M31" s="50" t="e">
        <f t="shared" si="19"/>
        <v>#VALUE!</v>
      </c>
      <c r="N31" s="50" t="e">
        <f t="shared" si="8"/>
        <v>#VALUE!</v>
      </c>
      <c r="O31" s="50" t="e">
        <f t="shared" si="9"/>
        <v>#VALUE!</v>
      </c>
      <c r="P31" s="50">
        <f t="shared" si="10"/>
        <v>0</v>
      </c>
      <c r="R31" s="55" t="e">
        <f t="shared" si="11"/>
        <v>#VALUE!</v>
      </c>
      <c r="S31" s="55" t="e">
        <f t="shared" si="12"/>
        <v>#VALUE!</v>
      </c>
      <c r="T31" s="55" t="e">
        <f t="shared" si="16"/>
        <v>#VALUE!</v>
      </c>
      <c r="U31" s="50" t="e">
        <f t="shared" si="13"/>
        <v>#VALUE!</v>
      </c>
      <c r="V31" s="50" t="e">
        <f t="shared" si="14"/>
        <v>#VALUE!</v>
      </c>
      <c r="W31" s="50" t="e">
        <f t="shared" si="15"/>
        <v>#VALUE!</v>
      </c>
      <c r="AD31" s="59"/>
    </row>
    <row r="32" spans="2:30" x14ac:dyDescent="0.25">
      <c r="B32" s="50" t="b">
        <f t="shared" si="17"/>
        <v>0</v>
      </c>
      <c r="C32" s="50" t="e">
        <f t="shared" si="18"/>
        <v>#VALUE!</v>
      </c>
      <c r="E32" s="56">
        <v>29</v>
      </c>
      <c r="G32" s="143"/>
      <c r="H32" s="135">
        <v>1</v>
      </c>
      <c r="I32" s="57" t="str">
        <f t="shared" si="4"/>
        <v/>
      </c>
      <c r="J32" s="58" t="e">
        <f t="shared" si="5"/>
        <v>#VALUE!</v>
      </c>
      <c r="K32" s="50" t="e">
        <f t="shared" si="6"/>
        <v>#VALUE!</v>
      </c>
      <c r="L32" s="50" t="e">
        <f t="shared" si="19"/>
        <v>#VALUE!</v>
      </c>
      <c r="M32" s="50" t="e">
        <f t="shared" si="19"/>
        <v>#VALUE!</v>
      </c>
      <c r="N32" s="50" t="e">
        <f t="shared" si="8"/>
        <v>#VALUE!</v>
      </c>
      <c r="O32" s="50" t="e">
        <f t="shared" si="9"/>
        <v>#VALUE!</v>
      </c>
      <c r="P32" s="50">
        <f t="shared" si="10"/>
        <v>0</v>
      </c>
      <c r="R32" s="55" t="e">
        <f t="shared" si="11"/>
        <v>#VALUE!</v>
      </c>
      <c r="S32" s="55" t="e">
        <f t="shared" si="12"/>
        <v>#VALUE!</v>
      </c>
      <c r="T32" s="55" t="e">
        <f t="shared" si="16"/>
        <v>#VALUE!</v>
      </c>
      <c r="U32" s="50" t="e">
        <f t="shared" si="13"/>
        <v>#VALUE!</v>
      </c>
      <c r="V32" s="50" t="e">
        <f t="shared" si="14"/>
        <v>#VALUE!</v>
      </c>
      <c r="W32" s="50" t="e">
        <f t="shared" si="15"/>
        <v>#VALUE!</v>
      </c>
      <c r="AD32" s="59"/>
    </row>
    <row r="33" spans="2:30" x14ac:dyDescent="0.25">
      <c r="B33" s="50" t="b">
        <f t="shared" si="17"/>
        <v>0</v>
      </c>
      <c r="C33" s="50" t="e">
        <f t="shared" si="18"/>
        <v>#VALUE!</v>
      </c>
      <c r="E33" s="56">
        <v>30</v>
      </c>
      <c r="G33" s="143"/>
      <c r="H33" s="135">
        <v>1</v>
      </c>
      <c r="I33" s="57" t="str">
        <f t="shared" si="4"/>
        <v/>
      </c>
      <c r="J33" s="58" t="e">
        <f t="shared" si="5"/>
        <v>#VALUE!</v>
      </c>
      <c r="K33" s="50" t="e">
        <f t="shared" si="6"/>
        <v>#VALUE!</v>
      </c>
      <c r="L33" s="50" t="e">
        <f t="shared" si="19"/>
        <v>#VALUE!</v>
      </c>
      <c r="M33" s="50" t="e">
        <f t="shared" si="19"/>
        <v>#VALUE!</v>
      </c>
      <c r="N33" s="50" t="e">
        <f t="shared" si="8"/>
        <v>#VALUE!</v>
      </c>
      <c r="O33" s="50" t="e">
        <f t="shared" si="9"/>
        <v>#VALUE!</v>
      </c>
      <c r="P33" s="50">
        <f t="shared" si="10"/>
        <v>0</v>
      </c>
      <c r="R33" s="55" t="e">
        <f t="shared" si="11"/>
        <v>#VALUE!</v>
      </c>
      <c r="S33" s="55" t="e">
        <f t="shared" si="12"/>
        <v>#VALUE!</v>
      </c>
      <c r="T33" s="55" t="e">
        <f t="shared" si="16"/>
        <v>#VALUE!</v>
      </c>
      <c r="U33" s="50" t="e">
        <f t="shared" si="13"/>
        <v>#VALUE!</v>
      </c>
      <c r="V33" s="50" t="e">
        <f t="shared" si="14"/>
        <v>#VALUE!</v>
      </c>
      <c r="W33" s="50" t="e">
        <f t="shared" si="15"/>
        <v>#VALUE!</v>
      </c>
      <c r="AD33" s="59"/>
    </row>
    <row r="34" spans="2:30" x14ac:dyDescent="0.25">
      <c r="B34" s="50" t="b">
        <f t="shared" si="17"/>
        <v>0</v>
      </c>
      <c r="C34" s="50" t="e">
        <f t="shared" si="18"/>
        <v>#VALUE!</v>
      </c>
      <c r="E34" s="56">
        <v>31</v>
      </c>
      <c r="G34" s="142"/>
      <c r="H34" s="135">
        <v>1</v>
      </c>
      <c r="I34" s="57" t="str">
        <f t="shared" si="4"/>
        <v/>
      </c>
      <c r="J34" s="58" t="e">
        <f t="shared" si="5"/>
        <v>#VALUE!</v>
      </c>
      <c r="K34" s="50" t="e">
        <f t="shared" si="6"/>
        <v>#VALUE!</v>
      </c>
      <c r="L34" s="50" t="e">
        <f t="shared" si="19"/>
        <v>#VALUE!</v>
      </c>
      <c r="M34" s="50" t="e">
        <f t="shared" si="19"/>
        <v>#VALUE!</v>
      </c>
      <c r="N34" s="50" t="e">
        <f t="shared" si="8"/>
        <v>#VALUE!</v>
      </c>
      <c r="O34" s="50" t="e">
        <f t="shared" si="9"/>
        <v>#VALUE!</v>
      </c>
      <c r="P34" s="50">
        <f t="shared" si="10"/>
        <v>0</v>
      </c>
      <c r="R34" s="55" t="e">
        <f t="shared" si="11"/>
        <v>#VALUE!</v>
      </c>
      <c r="S34" s="55" t="e">
        <f t="shared" si="12"/>
        <v>#VALUE!</v>
      </c>
      <c r="T34" s="55" t="e">
        <f t="shared" si="16"/>
        <v>#VALUE!</v>
      </c>
      <c r="U34" s="50" t="e">
        <f t="shared" si="13"/>
        <v>#VALUE!</v>
      </c>
      <c r="V34" s="50" t="e">
        <f t="shared" si="14"/>
        <v>#VALUE!</v>
      </c>
      <c r="W34" s="50" t="e">
        <f t="shared" si="15"/>
        <v>#VALUE!</v>
      </c>
      <c r="AD34" s="59"/>
    </row>
    <row r="35" spans="2:30" x14ac:dyDescent="0.25">
      <c r="B35" s="50" t="b">
        <f t="shared" si="17"/>
        <v>0</v>
      </c>
      <c r="C35" s="50" t="e">
        <f t="shared" si="18"/>
        <v>#VALUE!</v>
      </c>
      <c r="E35" s="56">
        <v>32</v>
      </c>
      <c r="G35" s="142"/>
      <c r="H35" s="135">
        <v>1</v>
      </c>
      <c r="I35" s="57" t="str">
        <f t="shared" si="4"/>
        <v/>
      </c>
      <c r="J35" s="58" t="e">
        <f t="shared" si="5"/>
        <v>#VALUE!</v>
      </c>
      <c r="K35" s="50" t="e">
        <f t="shared" si="6"/>
        <v>#VALUE!</v>
      </c>
      <c r="L35" s="50" t="e">
        <f t="shared" si="19"/>
        <v>#VALUE!</v>
      </c>
      <c r="M35" s="50" t="e">
        <f t="shared" si="19"/>
        <v>#VALUE!</v>
      </c>
      <c r="N35" s="50" t="e">
        <f t="shared" si="8"/>
        <v>#VALUE!</v>
      </c>
      <c r="O35" s="50" t="e">
        <f t="shared" si="9"/>
        <v>#VALUE!</v>
      </c>
      <c r="P35" s="50">
        <f t="shared" si="10"/>
        <v>0</v>
      </c>
      <c r="R35" s="55" t="e">
        <f t="shared" si="11"/>
        <v>#VALUE!</v>
      </c>
      <c r="S35" s="55" t="e">
        <f t="shared" si="12"/>
        <v>#VALUE!</v>
      </c>
      <c r="T35" s="55" t="e">
        <f t="shared" si="16"/>
        <v>#VALUE!</v>
      </c>
      <c r="U35" s="50" t="e">
        <f t="shared" si="13"/>
        <v>#VALUE!</v>
      </c>
      <c r="V35" s="50" t="e">
        <f t="shared" si="14"/>
        <v>#VALUE!</v>
      </c>
      <c r="W35" s="50" t="e">
        <f t="shared" si="15"/>
        <v>#VALUE!</v>
      </c>
      <c r="AD35" s="59"/>
    </row>
    <row r="36" spans="2:30" x14ac:dyDescent="0.25">
      <c r="B36" s="50" t="b">
        <f t="shared" si="17"/>
        <v>0</v>
      </c>
      <c r="C36" s="50" t="e">
        <f t="shared" si="18"/>
        <v>#VALUE!</v>
      </c>
      <c r="E36" s="56">
        <v>33</v>
      </c>
      <c r="G36" s="142"/>
      <c r="H36" s="135">
        <v>1</v>
      </c>
      <c r="I36" s="57" t="str">
        <f t="shared" si="4"/>
        <v/>
      </c>
      <c r="J36" s="58" t="e">
        <f t="shared" si="5"/>
        <v>#VALUE!</v>
      </c>
      <c r="K36" s="50" t="e">
        <f t="shared" si="6"/>
        <v>#VALUE!</v>
      </c>
      <c r="L36" s="50" t="e">
        <f t="shared" si="19"/>
        <v>#VALUE!</v>
      </c>
      <c r="M36" s="50" t="e">
        <f t="shared" si="19"/>
        <v>#VALUE!</v>
      </c>
      <c r="N36" s="50" t="e">
        <f t="shared" si="8"/>
        <v>#VALUE!</v>
      </c>
      <c r="O36" s="50" t="e">
        <f t="shared" si="9"/>
        <v>#VALUE!</v>
      </c>
      <c r="P36" s="50">
        <f t="shared" si="10"/>
        <v>0</v>
      </c>
      <c r="R36" s="55" t="e">
        <f t="shared" si="11"/>
        <v>#VALUE!</v>
      </c>
      <c r="S36" s="55" t="e">
        <f t="shared" si="12"/>
        <v>#VALUE!</v>
      </c>
      <c r="T36" s="55" t="e">
        <f t="shared" si="16"/>
        <v>#VALUE!</v>
      </c>
      <c r="U36" s="50" t="e">
        <f t="shared" si="13"/>
        <v>#VALUE!</v>
      </c>
      <c r="V36" s="50" t="e">
        <f t="shared" si="14"/>
        <v>#VALUE!</v>
      </c>
      <c r="W36" s="50" t="e">
        <f t="shared" si="15"/>
        <v>#VALUE!</v>
      </c>
      <c r="AD36" s="59"/>
    </row>
    <row r="37" spans="2:30" x14ac:dyDescent="0.25">
      <c r="B37" s="50" t="b">
        <f t="shared" si="17"/>
        <v>0</v>
      </c>
      <c r="C37" s="50" t="e">
        <f t="shared" si="18"/>
        <v>#VALUE!</v>
      </c>
      <c r="E37" s="56">
        <v>34</v>
      </c>
      <c r="G37" s="142"/>
      <c r="H37" s="135">
        <v>1</v>
      </c>
      <c r="I37" s="57" t="str">
        <f t="shared" si="4"/>
        <v/>
      </c>
      <c r="J37" s="58" t="e">
        <f t="shared" si="5"/>
        <v>#VALUE!</v>
      </c>
      <c r="K37" s="50" t="e">
        <f t="shared" si="6"/>
        <v>#VALUE!</v>
      </c>
      <c r="L37" s="50" t="e">
        <f t="shared" si="19"/>
        <v>#VALUE!</v>
      </c>
      <c r="M37" s="50" t="e">
        <f t="shared" si="19"/>
        <v>#VALUE!</v>
      </c>
      <c r="N37" s="50" t="e">
        <f t="shared" si="8"/>
        <v>#VALUE!</v>
      </c>
      <c r="O37" s="50" t="e">
        <f t="shared" si="9"/>
        <v>#VALUE!</v>
      </c>
      <c r="P37" s="50">
        <f t="shared" si="10"/>
        <v>0</v>
      </c>
      <c r="R37" s="55" t="e">
        <f t="shared" si="11"/>
        <v>#VALUE!</v>
      </c>
      <c r="S37" s="55" t="e">
        <f t="shared" si="12"/>
        <v>#VALUE!</v>
      </c>
      <c r="T37" s="55" t="e">
        <f t="shared" si="16"/>
        <v>#VALUE!</v>
      </c>
      <c r="U37" s="50" t="e">
        <f t="shared" si="13"/>
        <v>#VALUE!</v>
      </c>
      <c r="V37" s="50" t="e">
        <f t="shared" si="14"/>
        <v>#VALUE!</v>
      </c>
      <c r="W37" s="50" t="e">
        <f t="shared" si="15"/>
        <v>#VALUE!</v>
      </c>
      <c r="AD37" s="59"/>
    </row>
    <row r="38" spans="2:30" x14ac:dyDescent="0.25">
      <c r="B38" s="50" t="b">
        <f t="shared" si="17"/>
        <v>0</v>
      </c>
      <c r="C38" s="50" t="e">
        <f t="shared" si="18"/>
        <v>#VALUE!</v>
      </c>
      <c r="E38" s="56">
        <v>35</v>
      </c>
      <c r="G38" s="142"/>
      <c r="H38" s="135">
        <v>1</v>
      </c>
      <c r="I38" s="57" t="str">
        <f t="shared" si="4"/>
        <v/>
      </c>
      <c r="J38" s="58" t="e">
        <f t="shared" si="5"/>
        <v>#VALUE!</v>
      </c>
      <c r="K38" s="50" t="e">
        <f t="shared" si="6"/>
        <v>#VALUE!</v>
      </c>
      <c r="L38" s="50" t="e">
        <f t="shared" si="19"/>
        <v>#VALUE!</v>
      </c>
      <c r="M38" s="50" t="e">
        <f t="shared" si="19"/>
        <v>#VALUE!</v>
      </c>
      <c r="N38" s="50" t="e">
        <f t="shared" si="8"/>
        <v>#VALUE!</v>
      </c>
      <c r="O38" s="50" t="e">
        <f t="shared" si="9"/>
        <v>#VALUE!</v>
      </c>
      <c r="P38" s="50">
        <f t="shared" si="10"/>
        <v>0</v>
      </c>
      <c r="R38" s="55" t="e">
        <f t="shared" si="11"/>
        <v>#VALUE!</v>
      </c>
      <c r="S38" s="55" t="e">
        <f t="shared" si="12"/>
        <v>#VALUE!</v>
      </c>
      <c r="T38" s="55" t="e">
        <f t="shared" si="16"/>
        <v>#VALUE!</v>
      </c>
      <c r="U38" s="50" t="e">
        <f t="shared" si="13"/>
        <v>#VALUE!</v>
      </c>
      <c r="V38" s="50" t="e">
        <f t="shared" si="14"/>
        <v>#VALUE!</v>
      </c>
      <c r="W38" s="50" t="e">
        <f t="shared" si="15"/>
        <v>#VALUE!</v>
      </c>
      <c r="AD38" s="59"/>
    </row>
    <row r="39" spans="2:30" x14ac:dyDescent="0.25">
      <c r="B39" s="50" t="b">
        <f t="shared" si="17"/>
        <v>0</v>
      </c>
      <c r="C39" s="50" t="e">
        <f t="shared" si="18"/>
        <v>#VALUE!</v>
      </c>
      <c r="E39" s="56">
        <v>36</v>
      </c>
      <c r="G39" s="142"/>
      <c r="H39" s="135">
        <v>1</v>
      </c>
      <c r="I39" s="57" t="str">
        <f t="shared" si="4"/>
        <v/>
      </c>
      <c r="J39" s="58" t="e">
        <f t="shared" si="5"/>
        <v>#VALUE!</v>
      </c>
      <c r="K39" s="50" t="e">
        <f t="shared" si="6"/>
        <v>#VALUE!</v>
      </c>
      <c r="L39" s="50" t="e">
        <f t="shared" si="19"/>
        <v>#VALUE!</v>
      </c>
      <c r="M39" s="50" t="e">
        <f t="shared" si="19"/>
        <v>#VALUE!</v>
      </c>
      <c r="N39" s="50" t="e">
        <f t="shared" si="8"/>
        <v>#VALUE!</v>
      </c>
      <c r="O39" s="50" t="e">
        <f t="shared" si="9"/>
        <v>#VALUE!</v>
      </c>
      <c r="P39" s="50">
        <f t="shared" si="10"/>
        <v>0</v>
      </c>
      <c r="R39" s="55" t="e">
        <f t="shared" si="11"/>
        <v>#VALUE!</v>
      </c>
      <c r="S39" s="55" t="e">
        <f t="shared" si="12"/>
        <v>#VALUE!</v>
      </c>
      <c r="T39" s="55" t="e">
        <f t="shared" si="16"/>
        <v>#VALUE!</v>
      </c>
      <c r="U39" s="50" t="e">
        <f t="shared" si="13"/>
        <v>#VALUE!</v>
      </c>
      <c r="V39" s="50" t="e">
        <f t="shared" si="14"/>
        <v>#VALUE!</v>
      </c>
      <c r="W39" s="50" t="e">
        <f t="shared" si="15"/>
        <v>#VALUE!</v>
      </c>
      <c r="AD39" s="59"/>
    </row>
    <row r="40" spans="2:30" x14ac:dyDescent="0.25">
      <c r="B40" s="50" t="b">
        <f t="shared" si="17"/>
        <v>0</v>
      </c>
      <c r="C40" s="50" t="e">
        <f t="shared" si="18"/>
        <v>#VALUE!</v>
      </c>
      <c r="E40" s="56">
        <v>37</v>
      </c>
      <c r="G40" s="142"/>
      <c r="H40" s="135">
        <v>1</v>
      </c>
      <c r="I40" s="57" t="str">
        <f t="shared" si="4"/>
        <v/>
      </c>
      <c r="J40" s="58" t="e">
        <f t="shared" si="5"/>
        <v>#VALUE!</v>
      </c>
      <c r="K40" s="50" t="e">
        <f t="shared" si="6"/>
        <v>#VALUE!</v>
      </c>
      <c r="L40" s="50" t="e">
        <f t="shared" si="19"/>
        <v>#VALUE!</v>
      </c>
      <c r="M40" s="50" t="e">
        <f t="shared" si="19"/>
        <v>#VALUE!</v>
      </c>
      <c r="N40" s="50" t="e">
        <f t="shared" si="8"/>
        <v>#VALUE!</v>
      </c>
      <c r="O40" s="50" t="e">
        <f t="shared" si="9"/>
        <v>#VALUE!</v>
      </c>
      <c r="P40" s="50">
        <f t="shared" si="10"/>
        <v>0</v>
      </c>
      <c r="R40" s="55" t="e">
        <f t="shared" si="11"/>
        <v>#VALUE!</v>
      </c>
      <c r="S40" s="55" t="e">
        <f t="shared" si="12"/>
        <v>#VALUE!</v>
      </c>
      <c r="T40" s="55" t="e">
        <f t="shared" si="16"/>
        <v>#VALUE!</v>
      </c>
      <c r="U40" s="50" t="e">
        <f t="shared" si="13"/>
        <v>#VALUE!</v>
      </c>
      <c r="V40" s="50" t="e">
        <f t="shared" si="14"/>
        <v>#VALUE!</v>
      </c>
      <c r="W40" s="50" t="e">
        <f t="shared" si="15"/>
        <v>#VALUE!</v>
      </c>
      <c r="AD40" s="59"/>
    </row>
    <row r="41" spans="2:30" x14ac:dyDescent="0.25">
      <c r="B41" s="50" t="b">
        <f t="shared" si="17"/>
        <v>0</v>
      </c>
      <c r="C41" s="50" t="e">
        <f t="shared" si="18"/>
        <v>#VALUE!</v>
      </c>
      <c r="E41" s="56">
        <v>38</v>
      </c>
      <c r="G41" s="142"/>
      <c r="H41" s="135">
        <v>1</v>
      </c>
      <c r="I41" s="57" t="str">
        <f t="shared" si="4"/>
        <v/>
      </c>
      <c r="J41" s="58" t="e">
        <f t="shared" si="5"/>
        <v>#VALUE!</v>
      </c>
      <c r="K41" s="50" t="e">
        <f t="shared" si="6"/>
        <v>#VALUE!</v>
      </c>
      <c r="L41" s="50" t="e">
        <f t="shared" si="19"/>
        <v>#VALUE!</v>
      </c>
      <c r="M41" s="50" t="e">
        <f t="shared" si="19"/>
        <v>#VALUE!</v>
      </c>
      <c r="N41" s="50" t="e">
        <f t="shared" si="8"/>
        <v>#VALUE!</v>
      </c>
      <c r="O41" s="50" t="e">
        <f t="shared" si="9"/>
        <v>#VALUE!</v>
      </c>
      <c r="P41" s="50">
        <f t="shared" si="10"/>
        <v>0</v>
      </c>
      <c r="R41" s="55" t="e">
        <f t="shared" si="11"/>
        <v>#VALUE!</v>
      </c>
      <c r="S41" s="55" t="e">
        <f t="shared" si="12"/>
        <v>#VALUE!</v>
      </c>
      <c r="T41" s="55" t="e">
        <f t="shared" si="16"/>
        <v>#VALUE!</v>
      </c>
      <c r="U41" s="50" t="e">
        <f t="shared" si="13"/>
        <v>#VALUE!</v>
      </c>
      <c r="V41" s="50" t="e">
        <f t="shared" si="14"/>
        <v>#VALUE!</v>
      </c>
      <c r="W41" s="50" t="e">
        <f t="shared" si="15"/>
        <v>#VALUE!</v>
      </c>
      <c r="AD41" s="59"/>
    </row>
    <row r="42" spans="2:30" x14ac:dyDescent="0.25">
      <c r="B42" s="50" t="b">
        <f t="shared" si="17"/>
        <v>0</v>
      </c>
      <c r="C42" s="50" t="e">
        <f t="shared" si="18"/>
        <v>#VALUE!</v>
      </c>
      <c r="E42" s="56">
        <v>39</v>
      </c>
      <c r="G42" s="142"/>
      <c r="H42" s="135">
        <v>1</v>
      </c>
      <c r="I42" s="57" t="str">
        <f t="shared" si="4"/>
        <v/>
      </c>
      <c r="J42" s="58" t="e">
        <f t="shared" si="5"/>
        <v>#VALUE!</v>
      </c>
      <c r="K42" s="50" t="e">
        <f t="shared" si="6"/>
        <v>#VALUE!</v>
      </c>
      <c r="L42" s="50" t="e">
        <f t="shared" si="19"/>
        <v>#VALUE!</v>
      </c>
      <c r="M42" s="50" t="e">
        <f t="shared" si="19"/>
        <v>#VALUE!</v>
      </c>
      <c r="N42" s="50" t="e">
        <f t="shared" si="8"/>
        <v>#VALUE!</v>
      </c>
      <c r="O42" s="50" t="e">
        <f t="shared" si="9"/>
        <v>#VALUE!</v>
      </c>
      <c r="P42" s="50">
        <f t="shared" si="10"/>
        <v>0</v>
      </c>
      <c r="R42" s="55" t="e">
        <f t="shared" si="11"/>
        <v>#VALUE!</v>
      </c>
      <c r="S42" s="55" t="e">
        <f t="shared" si="12"/>
        <v>#VALUE!</v>
      </c>
      <c r="T42" s="55" t="e">
        <f t="shared" si="16"/>
        <v>#VALUE!</v>
      </c>
      <c r="U42" s="50" t="e">
        <f t="shared" si="13"/>
        <v>#VALUE!</v>
      </c>
      <c r="V42" s="50" t="e">
        <f t="shared" si="14"/>
        <v>#VALUE!</v>
      </c>
      <c r="W42" s="50" t="e">
        <f t="shared" si="15"/>
        <v>#VALUE!</v>
      </c>
      <c r="AD42" s="59"/>
    </row>
    <row r="43" spans="2:30" x14ac:dyDescent="0.25">
      <c r="B43" s="50" t="b">
        <f t="shared" si="17"/>
        <v>0</v>
      </c>
      <c r="C43" s="50" t="e">
        <f t="shared" si="18"/>
        <v>#VALUE!</v>
      </c>
      <c r="E43" s="56">
        <v>40</v>
      </c>
      <c r="G43" s="142"/>
      <c r="H43" s="135">
        <v>1</v>
      </c>
      <c r="I43" s="57" t="str">
        <f t="shared" si="4"/>
        <v/>
      </c>
      <c r="J43" s="58" t="e">
        <f t="shared" si="5"/>
        <v>#VALUE!</v>
      </c>
      <c r="K43" s="50" t="e">
        <f t="shared" si="6"/>
        <v>#VALUE!</v>
      </c>
      <c r="L43" s="50" t="e">
        <f t="shared" si="19"/>
        <v>#VALUE!</v>
      </c>
      <c r="M43" s="50" t="e">
        <f t="shared" si="19"/>
        <v>#VALUE!</v>
      </c>
      <c r="N43" s="50" t="e">
        <f t="shared" si="8"/>
        <v>#VALUE!</v>
      </c>
      <c r="O43" s="50" t="e">
        <f t="shared" si="9"/>
        <v>#VALUE!</v>
      </c>
      <c r="P43" s="50">
        <f t="shared" si="10"/>
        <v>0</v>
      </c>
      <c r="R43" s="55" t="e">
        <f t="shared" si="11"/>
        <v>#VALUE!</v>
      </c>
      <c r="S43" s="55" t="e">
        <f t="shared" si="12"/>
        <v>#VALUE!</v>
      </c>
      <c r="T43" s="55" t="e">
        <f t="shared" si="16"/>
        <v>#VALUE!</v>
      </c>
      <c r="U43" s="50" t="e">
        <f t="shared" si="13"/>
        <v>#VALUE!</v>
      </c>
      <c r="V43" s="50" t="e">
        <f t="shared" si="14"/>
        <v>#VALUE!</v>
      </c>
      <c r="W43" s="50" t="e">
        <f t="shared" si="15"/>
        <v>#VALUE!</v>
      </c>
      <c r="AD43" s="59"/>
    </row>
    <row r="44" spans="2:30" x14ac:dyDescent="0.25">
      <c r="B44" s="50" t="b">
        <f t="shared" si="17"/>
        <v>0</v>
      </c>
      <c r="C44" s="50" t="e">
        <f t="shared" si="18"/>
        <v>#VALUE!</v>
      </c>
      <c r="E44" s="56">
        <v>41</v>
      </c>
      <c r="G44" s="142"/>
      <c r="H44" s="135">
        <v>1</v>
      </c>
      <c r="I44" s="57" t="str">
        <f t="shared" si="4"/>
        <v/>
      </c>
      <c r="J44" s="58" t="e">
        <f t="shared" si="5"/>
        <v>#VALUE!</v>
      </c>
      <c r="K44" s="50" t="e">
        <f t="shared" si="6"/>
        <v>#VALUE!</v>
      </c>
      <c r="L44" s="50" t="e">
        <f t="shared" si="19"/>
        <v>#VALUE!</v>
      </c>
      <c r="M44" s="50" t="e">
        <f t="shared" si="19"/>
        <v>#VALUE!</v>
      </c>
      <c r="N44" s="50" t="e">
        <f t="shared" si="8"/>
        <v>#VALUE!</v>
      </c>
      <c r="O44" s="50" t="e">
        <f t="shared" si="9"/>
        <v>#VALUE!</v>
      </c>
      <c r="P44" s="50">
        <f t="shared" si="10"/>
        <v>0</v>
      </c>
      <c r="R44" s="55" t="e">
        <f t="shared" si="11"/>
        <v>#VALUE!</v>
      </c>
      <c r="S44" s="55" t="e">
        <f t="shared" si="12"/>
        <v>#VALUE!</v>
      </c>
      <c r="T44" s="55" t="e">
        <f t="shared" si="16"/>
        <v>#VALUE!</v>
      </c>
      <c r="U44" s="50" t="e">
        <f t="shared" si="13"/>
        <v>#VALUE!</v>
      </c>
      <c r="V44" s="50" t="e">
        <f t="shared" si="14"/>
        <v>#VALUE!</v>
      </c>
      <c r="W44" s="50" t="e">
        <f t="shared" si="15"/>
        <v>#VALUE!</v>
      </c>
      <c r="AD44" s="59"/>
    </row>
    <row r="45" spans="2:30" x14ac:dyDescent="0.25">
      <c r="B45" s="50" t="b">
        <f t="shared" si="17"/>
        <v>0</v>
      </c>
      <c r="C45" s="50" t="e">
        <f t="shared" si="18"/>
        <v>#VALUE!</v>
      </c>
      <c r="E45" s="56">
        <v>42</v>
      </c>
      <c r="G45" s="142"/>
      <c r="H45" s="135">
        <v>1</v>
      </c>
      <c r="I45" s="57" t="str">
        <f t="shared" si="4"/>
        <v/>
      </c>
      <c r="J45" s="58" t="e">
        <f t="shared" si="5"/>
        <v>#VALUE!</v>
      </c>
      <c r="K45" s="50" t="e">
        <f t="shared" si="6"/>
        <v>#VALUE!</v>
      </c>
      <c r="L45" s="50" t="e">
        <f t="shared" si="19"/>
        <v>#VALUE!</v>
      </c>
      <c r="M45" s="50" t="e">
        <f t="shared" si="19"/>
        <v>#VALUE!</v>
      </c>
      <c r="N45" s="50" t="e">
        <f t="shared" si="8"/>
        <v>#VALUE!</v>
      </c>
      <c r="O45" s="50" t="e">
        <f t="shared" si="9"/>
        <v>#VALUE!</v>
      </c>
      <c r="P45" s="50">
        <f t="shared" si="10"/>
        <v>0</v>
      </c>
      <c r="R45" s="55" t="e">
        <f t="shared" si="11"/>
        <v>#VALUE!</v>
      </c>
      <c r="S45" s="55" t="e">
        <f t="shared" si="12"/>
        <v>#VALUE!</v>
      </c>
      <c r="T45" s="55" t="e">
        <f t="shared" si="16"/>
        <v>#VALUE!</v>
      </c>
      <c r="U45" s="50" t="e">
        <f t="shared" si="13"/>
        <v>#VALUE!</v>
      </c>
      <c r="V45" s="50" t="e">
        <f t="shared" si="14"/>
        <v>#VALUE!</v>
      </c>
      <c r="W45" s="50" t="e">
        <f t="shared" si="15"/>
        <v>#VALUE!</v>
      </c>
      <c r="AD45" s="59"/>
    </row>
    <row r="46" spans="2:30" x14ac:dyDescent="0.25">
      <c r="B46" s="50" t="b">
        <f t="shared" si="17"/>
        <v>0</v>
      </c>
      <c r="C46" s="50" t="e">
        <f t="shared" si="18"/>
        <v>#VALUE!</v>
      </c>
      <c r="E46" s="56">
        <v>43</v>
      </c>
      <c r="G46" s="142"/>
      <c r="H46" s="135">
        <v>1</v>
      </c>
      <c r="I46" s="57" t="str">
        <f t="shared" si="4"/>
        <v/>
      </c>
      <c r="J46" s="58" t="e">
        <f t="shared" si="5"/>
        <v>#VALUE!</v>
      </c>
      <c r="K46" s="50" t="e">
        <f t="shared" si="6"/>
        <v>#VALUE!</v>
      </c>
      <c r="L46" s="50" t="e">
        <f t="shared" si="19"/>
        <v>#VALUE!</v>
      </c>
      <c r="M46" s="50" t="e">
        <f t="shared" si="19"/>
        <v>#VALUE!</v>
      </c>
      <c r="N46" s="50" t="e">
        <f t="shared" si="8"/>
        <v>#VALUE!</v>
      </c>
      <c r="O46" s="50" t="e">
        <f t="shared" si="9"/>
        <v>#VALUE!</v>
      </c>
      <c r="P46" s="50">
        <f t="shared" si="10"/>
        <v>0</v>
      </c>
      <c r="R46" s="55" t="e">
        <f t="shared" si="11"/>
        <v>#VALUE!</v>
      </c>
      <c r="S46" s="55" t="e">
        <f t="shared" si="12"/>
        <v>#VALUE!</v>
      </c>
      <c r="T46" s="55" t="e">
        <f t="shared" si="16"/>
        <v>#VALUE!</v>
      </c>
      <c r="U46" s="50" t="e">
        <f t="shared" si="13"/>
        <v>#VALUE!</v>
      </c>
      <c r="V46" s="50" t="e">
        <f t="shared" si="14"/>
        <v>#VALUE!</v>
      </c>
      <c r="W46" s="50" t="e">
        <f t="shared" si="15"/>
        <v>#VALUE!</v>
      </c>
      <c r="AD46" s="59"/>
    </row>
    <row r="47" spans="2:30" x14ac:dyDescent="0.25">
      <c r="B47" s="50" t="b">
        <f t="shared" si="17"/>
        <v>0</v>
      </c>
      <c r="C47" s="50" t="e">
        <f t="shared" si="18"/>
        <v>#VALUE!</v>
      </c>
      <c r="E47" s="56">
        <v>44</v>
      </c>
      <c r="G47" s="142"/>
      <c r="H47" s="135">
        <v>1</v>
      </c>
      <c r="I47" s="57" t="str">
        <f t="shared" si="4"/>
        <v/>
      </c>
      <c r="J47" s="58" t="e">
        <f t="shared" si="5"/>
        <v>#VALUE!</v>
      </c>
      <c r="K47" s="50" t="e">
        <f t="shared" si="6"/>
        <v>#VALUE!</v>
      </c>
      <c r="L47" s="50" t="e">
        <f t="shared" si="19"/>
        <v>#VALUE!</v>
      </c>
      <c r="M47" s="50" t="e">
        <f t="shared" si="19"/>
        <v>#VALUE!</v>
      </c>
      <c r="N47" s="50" t="e">
        <f t="shared" si="8"/>
        <v>#VALUE!</v>
      </c>
      <c r="O47" s="50" t="e">
        <f t="shared" si="9"/>
        <v>#VALUE!</v>
      </c>
      <c r="P47" s="50">
        <f t="shared" si="10"/>
        <v>0</v>
      </c>
      <c r="R47" s="55" t="e">
        <f t="shared" si="11"/>
        <v>#VALUE!</v>
      </c>
      <c r="S47" s="55" t="e">
        <f t="shared" si="12"/>
        <v>#VALUE!</v>
      </c>
      <c r="T47" s="55" t="e">
        <f t="shared" si="16"/>
        <v>#VALUE!</v>
      </c>
      <c r="U47" s="50" t="e">
        <f t="shared" si="13"/>
        <v>#VALUE!</v>
      </c>
      <c r="V47" s="50" t="e">
        <f t="shared" si="14"/>
        <v>#VALUE!</v>
      </c>
      <c r="W47" s="50" t="e">
        <f t="shared" si="15"/>
        <v>#VALUE!</v>
      </c>
      <c r="AD47" s="59"/>
    </row>
    <row r="48" spans="2:30" x14ac:dyDescent="0.25">
      <c r="B48" s="50" t="b">
        <f t="shared" si="17"/>
        <v>0</v>
      </c>
      <c r="C48" s="50" t="e">
        <f t="shared" si="18"/>
        <v>#VALUE!</v>
      </c>
      <c r="E48" s="56">
        <v>45</v>
      </c>
      <c r="G48" s="142"/>
      <c r="H48" s="135">
        <v>1</v>
      </c>
      <c r="I48" s="57" t="str">
        <f t="shared" si="4"/>
        <v/>
      </c>
      <c r="J48" s="58" t="e">
        <f t="shared" si="5"/>
        <v>#VALUE!</v>
      </c>
      <c r="K48" s="50" t="e">
        <f t="shared" si="6"/>
        <v>#VALUE!</v>
      </c>
      <c r="L48" s="50" t="e">
        <f t="shared" si="19"/>
        <v>#VALUE!</v>
      </c>
      <c r="M48" s="50" t="e">
        <f t="shared" si="19"/>
        <v>#VALUE!</v>
      </c>
      <c r="N48" s="50" t="e">
        <f t="shared" si="8"/>
        <v>#VALUE!</v>
      </c>
      <c r="O48" s="50" t="e">
        <f t="shared" si="9"/>
        <v>#VALUE!</v>
      </c>
      <c r="P48" s="50">
        <f t="shared" si="10"/>
        <v>0</v>
      </c>
      <c r="R48" s="55" t="e">
        <f t="shared" si="11"/>
        <v>#VALUE!</v>
      </c>
      <c r="S48" s="55" t="e">
        <f t="shared" si="12"/>
        <v>#VALUE!</v>
      </c>
      <c r="T48" s="55" t="e">
        <f t="shared" si="16"/>
        <v>#VALUE!</v>
      </c>
      <c r="U48" s="50" t="e">
        <f t="shared" si="13"/>
        <v>#VALUE!</v>
      </c>
      <c r="V48" s="50" t="e">
        <f t="shared" si="14"/>
        <v>#VALUE!</v>
      </c>
      <c r="W48" s="50" t="e">
        <f t="shared" si="15"/>
        <v>#VALUE!</v>
      </c>
      <c r="AD48" s="59"/>
    </row>
    <row r="49" spans="2:30" x14ac:dyDescent="0.25">
      <c r="B49" s="50" t="b">
        <f t="shared" si="17"/>
        <v>0</v>
      </c>
      <c r="C49" s="50" t="e">
        <f t="shared" si="18"/>
        <v>#VALUE!</v>
      </c>
      <c r="E49" s="56">
        <v>46</v>
      </c>
      <c r="G49" s="142"/>
      <c r="H49" s="135">
        <v>1</v>
      </c>
      <c r="I49" s="57" t="str">
        <f t="shared" si="4"/>
        <v/>
      </c>
      <c r="J49" s="58" t="e">
        <f t="shared" si="5"/>
        <v>#VALUE!</v>
      </c>
      <c r="K49" s="50" t="e">
        <f t="shared" si="6"/>
        <v>#VALUE!</v>
      </c>
      <c r="L49" s="50" t="e">
        <f t="shared" si="19"/>
        <v>#VALUE!</v>
      </c>
      <c r="M49" s="50" t="e">
        <f t="shared" si="19"/>
        <v>#VALUE!</v>
      </c>
      <c r="N49" s="50" t="e">
        <f t="shared" si="8"/>
        <v>#VALUE!</v>
      </c>
      <c r="O49" s="50" t="e">
        <f t="shared" si="9"/>
        <v>#VALUE!</v>
      </c>
      <c r="P49" s="50">
        <f t="shared" si="10"/>
        <v>0</v>
      </c>
      <c r="R49" s="55" t="e">
        <f t="shared" si="11"/>
        <v>#VALUE!</v>
      </c>
      <c r="S49" s="55" t="e">
        <f t="shared" si="12"/>
        <v>#VALUE!</v>
      </c>
      <c r="T49" s="55" t="e">
        <f t="shared" si="16"/>
        <v>#VALUE!</v>
      </c>
      <c r="U49" s="50" t="e">
        <f t="shared" si="13"/>
        <v>#VALUE!</v>
      </c>
      <c r="V49" s="50" t="e">
        <f t="shared" si="14"/>
        <v>#VALUE!</v>
      </c>
      <c r="W49" s="50" t="e">
        <f t="shared" si="15"/>
        <v>#VALUE!</v>
      </c>
      <c r="AD49" s="59"/>
    </row>
    <row r="50" spans="2:30" x14ac:dyDescent="0.25">
      <c r="B50" s="50" t="b">
        <f t="shared" si="17"/>
        <v>0</v>
      </c>
      <c r="C50" s="50" t="e">
        <f t="shared" si="18"/>
        <v>#VALUE!</v>
      </c>
      <c r="E50" s="56">
        <v>47</v>
      </c>
      <c r="G50" s="142"/>
      <c r="H50" s="135">
        <v>1</v>
      </c>
      <c r="I50" s="57" t="str">
        <f t="shared" si="4"/>
        <v/>
      </c>
      <c r="J50" s="58" t="e">
        <f t="shared" si="5"/>
        <v>#VALUE!</v>
      </c>
      <c r="K50" s="50" t="e">
        <f t="shared" si="6"/>
        <v>#VALUE!</v>
      </c>
      <c r="L50" s="50" t="e">
        <f t="shared" si="19"/>
        <v>#VALUE!</v>
      </c>
      <c r="M50" s="50" t="e">
        <f t="shared" si="19"/>
        <v>#VALUE!</v>
      </c>
      <c r="N50" s="50" t="e">
        <f t="shared" si="8"/>
        <v>#VALUE!</v>
      </c>
      <c r="O50" s="50" t="e">
        <f t="shared" si="9"/>
        <v>#VALUE!</v>
      </c>
      <c r="P50" s="50">
        <f t="shared" si="10"/>
        <v>0</v>
      </c>
      <c r="R50" s="55" t="e">
        <f t="shared" si="11"/>
        <v>#VALUE!</v>
      </c>
      <c r="S50" s="55" t="e">
        <f t="shared" si="12"/>
        <v>#VALUE!</v>
      </c>
      <c r="T50" s="55" t="e">
        <f t="shared" si="16"/>
        <v>#VALUE!</v>
      </c>
      <c r="U50" s="50" t="e">
        <f t="shared" si="13"/>
        <v>#VALUE!</v>
      </c>
      <c r="V50" s="50" t="e">
        <f t="shared" si="14"/>
        <v>#VALUE!</v>
      </c>
      <c r="W50" s="50" t="e">
        <f t="shared" si="15"/>
        <v>#VALUE!</v>
      </c>
      <c r="AD50" s="59"/>
    </row>
    <row r="51" spans="2:30" x14ac:dyDescent="0.25">
      <c r="B51" s="50" t="b">
        <f t="shared" si="17"/>
        <v>0</v>
      </c>
      <c r="C51" s="50" t="e">
        <f t="shared" si="18"/>
        <v>#VALUE!</v>
      </c>
      <c r="E51" s="56">
        <v>48</v>
      </c>
      <c r="G51" s="142"/>
      <c r="H51" s="135">
        <v>1</v>
      </c>
      <c r="I51" s="57" t="str">
        <f t="shared" si="4"/>
        <v/>
      </c>
      <c r="J51" s="58" t="e">
        <f t="shared" si="5"/>
        <v>#VALUE!</v>
      </c>
      <c r="K51" s="50" t="e">
        <f t="shared" si="6"/>
        <v>#VALUE!</v>
      </c>
      <c r="L51" s="50" t="e">
        <f t="shared" si="19"/>
        <v>#VALUE!</v>
      </c>
      <c r="M51" s="50" t="e">
        <f t="shared" si="19"/>
        <v>#VALUE!</v>
      </c>
      <c r="N51" s="50" t="e">
        <f t="shared" si="8"/>
        <v>#VALUE!</v>
      </c>
      <c r="O51" s="50" t="e">
        <f t="shared" si="9"/>
        <v>#VALUE!</v>
      </c>
      <c r="P51" s="50">
        <f t="shared" si="10"/>
        <v>0</v>
      </c>
      <c r="R51" s="55" t="e">
        <f t="shared" si="11"/>
        <v>#VALUE!</v>
      </c>
      <c r="S51" s="55" t="e">
        <f t="shared" si="12"/>
        <v>#VALUE!</v>
      </c>
      <c r="T51" s="55" t="e">
        <f t="shared" si="16"/>
        <v>#VALUE!</v>
      </c>
      <c r="U51" s="50" t="e">
        <f t="shared" si="13"/>
        <v>#VALUE!</v>
      </c>
      <c r="V51" s="50" t="e">
        <f t="shared" si="14"/>
        <v>#VALUE!</v>
      </c>
      <c r="W51" s="50" t="e">
        <f t="shared" si="15"/>
        <v>#VALUE!</v>
      </c>
      <c r="AD51" s="59"/>
    </row>
    <row r="52" spans="2:30" x14ac:dyDescent="0.25">
      <c r="B52" s="50" t="b">
        <f t="shared" si="17"/>
        <v>0</v>
      </c>
      <c r="C52" s="50" t="e">
        <f t="shared" si="18"/>
        <v>#VALUE!</v>
      </c>
      <c r="E52" s="56">
        <v>49</v>
      </c>
      <c r="G52" s="142"/>
      <c r="H52" s="135">
        <v>1</v>
      </c>
      <c r="I52" s="57" t="str">
        <f t="shared" si="4"/>
        <v/>
      </c>
      <c r="J52" s="58" t="e">
        <f t="shared" si="5"/>
        <v>#VALUE!</v>
      </c>
      <c r="K52" s="50" t="e">
        <f t="shared" si="6"/>
        <v>#VALUE!</v>
      </c>
      <c r="L52" s="50" t="e">
        <f t="shared" si="19"/>
        <v>#VALUE!</v>
      </c>
      <c r="M52" s="50" t="e">
        <f t="shared" si="19"/>
        <v>#VALUE!</v>
      </c>
      <c r="N52" s="50" t="e">
        <f t="shared" si="8"/>
        <v>#VALUE!</v>
      </c>
      <c r="O52" s="50" t="e">
        <f t="shared" si="9"/>
        <v>#VALUE!</v>
      </c>
      <c r="P52" s="50">
        <f t="shared" si="10"/>
        <v>0</v>
      </c>
      <c r="R52" s="55" t="e">
        <f t="shared" si="11"/>
        <v>#VALUE!</v>
      </c>
      <c r="S52" s="55" t="e">
        <f t="shared" si="12"/>
        <v>#VALUE!</v>
      </c>
      <c r="T52" s="55" t="e">
        <f t="shared" si="16"/>
        <v>#VALUE!</v>
      </c>
      <c r="U52" s="50" t="e">
        <f t="shared" si="13"/>
        <v>#VALUE!</v>
      </c>
      <c r="V52" s="50" t="e">
        <f t="shared" si="14"/>
        <v>#VALUE!</v>
      </c>
      <c r="W52" s="50" t="e">
        <f t="shared" si="15"/>
        <v>#VALUE!</v>
      </c>
      <c r="AD52" s="59"/>
    </row>
    <row r="53" spans="2:30" x14ac:dyDescent="0.25">
      <c r="B53" s="50" t="b">
        <f t="shared" si="17"/>
        <v>0</v>
      </c>
      <c r="C53" s="50" t="e">
        <f t="shared" si="18"/>
        <v>#VALUE!</v>
      </c>
      <c r="E53" s="56">
        <v>50</v>
      </c>
      <c r="G53" s="142"/>
      <c r="H53" s="135">
        <v>1</v>
      </c>
      <c r="I53" s="57" t="str">
        <f t="shared" si="4"/>
        <v/>
      </c>
      <c r="J53" s="58" t="e">
        <f t="shared" si="5"/>
        <v>#VALUE!</v>
      </c>
      <c r="K53" s="50" t="e">
        <f t="shared" si="6"/>
        <v>#VALUE!</v>
      </c>
      <c r="L53" s="50" t="e">
        <f t="shared" si="19"/>
        <v>#VALUE!</v>
      </c>
      <c r="M53" s="50" t="e">
        <f t="shared" si="19"/>
        <v>#VALUE!</v>
      </c>
      <c r="N53" s="50" t="e">
        <f t="shared" si="8"/>
        <v>#VALUE!</v>
      </c>
      <c r="O53" s="50" t="e">
        <f t="shared" si="9"/>
        <v>#VALUE!</v>
      </c>
      <c r="P53" s="50">
        <f t="shared" si="10"/>
        <v>0</v>
      </c>
      <c r="R53" s="55" t="e">
        <f t="shared" si="11"/>
        <v>#VALUE!</v>
      </c>
      <c r="S53" s="55" t="e">
        <f t="shared" si="12"/>
        <v>#VALUE!</v>
      </c>
      <c r="T53" s="55" t="e">
        <f t="shared" si="16"/>
        <v>#VALUE!</v>
      </c>
      <c r="U53" s="50" t="e">
        <f t="shared" si="13"/>
        <v>#VALUE!</v>
      </c>
      <c r="V53" s="50" t="e">
        <f t="shared" si="14"/>
        <v>#VALUE!</v>
      </c>
      <c r="W53" s="50" t="e">
        <f t="shared" si="15"/>
        <v>#VALUE!</v>
      </c>
      <c r="AD53" s="59"/>
    </row>
    <row r="54" spans="2:30" x14ac:dyDescent="0.25">
      <c r="B54" s="50" t="b">
        <f t="shared" si="17"/>
        <v>0</v>
      </c>
      <c r="C54" s="50" t="e">
        <f t="shared" si="18"/>
        <v>#VALUE!</v>
      </c>
      <c r="E54" s="56">
        <v>51</v>
      </c>
      <c r="G54" s="142"/>
      <c r="H54" s="135">
        <v>1</v>
      </c>
      <c r="I54" s="57" t="str">
        <f t="shared" si="4"/>
        <v/>
      </c>
      <c r="J54" s="58" t="e">
        <f t="shared" si="5"/>
        <v>#VALUE!</v>
      </c>
      <c r="K54" s="50" t="e">
        <f t="shared" si="6"/>
        <v>#VALUE!</v>
      </c>
      <c r="L54" s="50" t="e">
        <f t="shared" si="19"/>
        <v>#VALUE!</v>
      </c>
      <c r="M54" s="50" t="e">
        <f t="shared" si="19"/>
        <v>#VALUE!</v>
      </c>
      <c r="N54" s="50" t="e">
        <f t="shared" si="8"/>
        <v>#VALUE!</v>
      </c>
      <c r="O54" s="50" t="e">
        <f t="shared" si="9"/>
        <v>#VALUE!</v>
      </c>
      <c r="P54" s="50">
        <f t="shared" si="10"/>
        <v>0</v>
      </c>
      <c r="R54" s="55" t="e">
        <f t="shared" si="11"/>
        <v>#VALUE!</v>
      </c>
      <c r="S54" s="55" t="e">
        <f t="shared" si="12"/>
        <v>#VALUE!</v>
      </c>
      <c r="T54" s="55" t="e">
        <f t="shared" si="16"/>
        <v>#VALUE!</v>
      </c>
      <c r="U54" s="50" t="e">
        <f t="shared" si="13"/>
        <v>#VALUE!</v>
      </c>
      <c r="V54" s="50" t="e">
        <f t="shared" si="14"/>
        <v>#VALUE!</v>
      </c>
      <c r="W54" s="50" t="e">
        <f t="shared" si="15"/>
        <v>#VALUE!</v>
      </c>
      <c r="AD54" s="59"/>
    </row>
    <row r="55" spans="2:30" x14ac:dyDescent="0.25">
      <c r="B55" s="50" t="b">
        <f t="shared" si="17"/>
        <v>0</v>
      </c>
      <c r="C55" s="50" t="e">
        <f t="shared" si="18"/>
        <v>#VALUE!</v>
      </c>
      <c r="E55" s="56">
        <v>52</v>
      </c>
      <c r="G55" s="142"/>
      <c r="H55" s="135">
        <v>1</v>
      </c>
      <c r="I55" s="57" t="str">
        <f t="shared" si="4"/>
        <v/>
      </c>
      <c r="J55" s="58" t="e">
        <f t="shared" si="5"/>
        <v>#VALUE!</v>
      </c>
      <c r="K55" s="50" t="e">
        <f t="shared" si="6"/>
        <v>#VALUE!</v>
      </c>
      <c r="L55" s="50" t="e">
        <f t="shared" si="19"/>
        <v>#VALUE!</v>
      </c>
      <c r="M55" s="50" t="e">
        <f t="shared" si="19"/>
        <v>#VALUE!</v>
      </c>
      <c r="N55" s="50" t="e">
        <f t="shared" si="8"/>
        <v>#VALUE!</v>
      </c>
      <c r="O55" s="50" t="e">
        <f t="shared" si="9"/>
        <v>#VALUE!</v>
      </c>
      <c r="P55" s="50">
        <f t="shared" si="10"/>
        <v>0</v>
      </c>
      <c r="R55" s="55" t="e">
        <f t="shared" si="11"/>
        <v>#VALUE!</v>
      </c>
      <c r="S55" s="55" t="e">
        <f t="shared" si="12"/>
        <v>#VALUE!</v>
      </c>
      <c r="T55" s="55" t="e">
        <f t="shared" si="16"/>
        <v>#VALUE!</v>
      </c>
      <c r="U55" s="50" t="e">
        <f t="shared" si="13"/>
        <v>#VALUE!</v>
      </c>
      <c r="V55" s="50" t="e">
        <f t="shared" si="14"/>
        <v>#VALUE!</v>
      </c>
      <c r="W55" s="50" t="e">
        <f t="shared" si="15"/>
        <v>#VALUE!</v>
      </c>
      <c r="AD55" s="59"/>
    </row>
    <row r="56" spans="2:30" x14ac:dyDescent="0.25">
      <c r="B56" s="50" t="b">
        <f t="shared" si="17"/>
        <v>0</v>
      </c>
      <c r="C56" s="50" t="e">
        <f t="shared" si="18"/>
        <v>#VALUE!</v>
      </c>
      <c r="E56" s="56">
        <v>53</v>
      </c>
      <c r="G56" s="142"/>
      <c r="H56" s="135">
        <v>1</v>
      </c>
      <c r="I56" s="57" t="str">
        <f t="shared" si="4"/>
        <v/>
      </c>
      <c r="J56" s="58" t="e">
        <f t="shared" si="5"/>
        <v>#VALUE!</v>
      </c>
      <c r="K56" s="50" t="e">
        <f t="shared" si="6"/>
        <v>#VALUE!</v>
      </c>
      <c r="L56" s="50" t="e">
        <f t="shared" si="19"/>
        <v>#VALUE!</v>
      </c>
      <c r="M56" s="50" t="e">
        <f t="shared" si="19"/>
        <v>#VALUE!</v>
      </c>
      <c r="N56" s="50" t="e">
        <f t="shared" si="8"/>
        <v>#VALUE!</v>
      </c>
      <c r="O56" s="50" t="e">
        <f t="shared" si="9"/>
        <v>#VALUE!</v>
      </c>
      <c r="P56" s="50">
        <f t="shared" si="10"/>
        <v>0</v>
      </c>
      <c r="R56" s="55" t="e">
        <f t="shared" si="11"/>
        <v>#VALUE!</v>
      </c>
      <c r="S56" s="55" t="e">
        <f t="shared" si="12"/>
        <v>#VALUE!</v>
      </c>
      <c r="T56" s="55" t="e">
        <f t="shared" si="16"/>
        <v>#VALUE!</v>
      </c>
      <c r="U56" s="50" t="e">
        <f t="shared" si="13"/>
        <v>#VALUE!</v>
      </c>
      <c r="V56" s="50" t="e">
        <f t="shared" si="14"/>
        <v>#VALUE!</v>
      </c>
      <c r="W56" s="50" t="e">
        <f t="shared" si="15"/>
        <v>#VALUE!</v>
      </c>
      <c r="AD56" s="59"/>
    </row>
    <row r="57" spans="2:30" x14ac:dyDescent="0.25">
      <c r="B57" s="50" t="b">
        <f t="shared" si="17"/>
        <v>0</v>
      </c>
      <c r="C57" s="50" t="e">
        <f t="shared" si="18"/>
        <v>#VALUE!</v>
      </c>
      <c r="E57" s="56">
        <v>54</v>
      </c>
      <c r="G57" s="142"/>
      <c r="H57" s="135">
        <v>1</v>
      </c>
      <c r="I57" s="57" t="str">
        <f t="shared" si="4"/>
        <v/>
      </c>
      <c r="J57" s="58" t="e">
        <f t="shared" si="5"/>
        <v>#VALUE!</v>
      </c>
      <c r="K57" s="50" t="e">
        <f t="shared" si="6"/>
        <v>#VALUE!</v>
      </c>
      <c r="L57" s="50" t="e">
        <f t="shared" si="19"/>
        <v>#VALUE!</v>
      </c>
      <c r="M57" s="50" t="e">
        <f t="shared" si="19"/>
        <v>#VALUE!</v>
      </c>
      <c r="N57" s="50" t="e">
        <f t="shared" si="8"/>
        <v>#VALUE!</v>
      </c>
      <c r="O57" s="50" t="e">
        <f t="shared" si="9"/>
        <v>#VALUE!</v>
      </c>
      <c r="P57" s="50">
        <f t="shared" si="10"/>
        <v>0</v>
      </c>
      <c r="R57" s="55" t="e">
        <f t="shared" si="11"/>
        <v>#VALUE!</v>
      </c>
      <c r="S57" s="55" t="e">
        <f t="shared" si="12"/>
        <v>#VALUE!</v>
      </c>
      <c r="T57" s="55" t="e">
        <f t="shared" si="16"/>
        <v>#VALUE!</v>
      </c>
      <c r="U57" s="50" t="e">
        <f t="shared" si="13"/>
        <v>#VALUE!</v>
      </c>
      <c r="V57" s="50" t="e">
        <f t="shared" si="14"/>
        <v>#VALUE!</v>
      </c>
      <c r="W57" s="50" t="e">
        <f t="shared" si="15"/>
        <v>#VALUE!</v>
      </c>
      <c r="AD57" s="59"/>
    </row>
    <row r="58" spans="2:30" x14ac:dyDescent="0.25">
      <c r="B58" s="50" t="b">
        <f t="shared" si="17"/>
        <v>0</v>
      </c>
      <c r="C58" s="50" t="e">
        <f t="shared" si="18"/>
        <v>#VALUE!</v>
      </c>
      <c r="E58" s="56">
        <v>55</v>
      </c>
      <c r="G58" s="142"/>
      <c r="H58" s="135">
        <v>1</v>
      </c>
      <c r="I58" s="57" t="str">
        <f t="shared" si="4"/>
        <v/>
      </c>
      <c r="J58" s="58" t="e">
        <f t="shared" si="5"/>
        <v>#VALUE!</v>
      </c>
      <c r="K58" s="50" t="e">
        <f t="shared" si="6"/>
        <v>#VALUE!</v>
      </c>
      <c r="L58" s="50" t="e">
        <f t="shared" si="19"/>
        <v>#VALUE!</v>
      </c>
      <c r="M58" s="50" t="e">
        <f t="shared" si="19"/>
        <v>#VALUE!</v>
      </c>
      <c r="N58" s="50" t="e">
        <f t="shared" si="8"/>
        <v>#VALUE!</v>
      </c>
      <c r="O58" s="50" t="e">
        <f t="shared" si="9"/>
        <v>#VALUE!</v>
      </c>
      <c r="P58" s="50">
        <f t="shared" si="10"/>
        <v>0</v>
      </c>
      <c r="R58" s="55" t="e">
        <f t="shared" si="11"/>
        <v>#VALUE!</v>
      </c>
      <c r="S58" s="55" t="e">
        <f t="shared" si="12"/>
        <v>#VALUE!</v>
      </c>
      <c r="T58" s="55" t="e">
        <f t="shared" si="16"/>
        <v>#VALUE!</v>
      </c>
      <c r="U58" s="50" t="e">
        <f t="shared" si="13"/>
        <v>#VALUE!</v>
      </c>
      <c r="V58" s="50" t="e">
        <f t="shared" si="14"/>
        <v>#VALUE!</v>
      </c>
      <c r="W58" s="50" t="e">
        <f t="shared" si="15"/>
        <v>#VALUE!</v>
      </c>
      <c r="AD58" s="59"/>
    </row>
    <row r="59" spans="2:30" x14ac:dyDescent="0.25">
      <c r="B59" s="50" t="b">
        <f t="shared" si="17"/>
        <v>0</v>
      </c>
      <c r="C59" s="50" t="e">
        <f t="shared" si="18"/>
        <v>#VALUE!</v>
      </c>
      <c r="E59" s="56">
        <v>56</v>
      </c>
      <c r="G59" s="142"/>
      <c r="H59" s="135">
        <v>1</v>
      </c>
      <c r="I59" s="57" t="str">
        <f t="shared" si="4"/>
        <v/>
      </c>
      <c r="J59" s="58" t="e">
        <f t="shared" si="5"/>
        <v>#VALUE!</v>
      </c>
      <c r="K59" s="50" t="e">
        <f t="shared" si="6"/>
        <v>#VALUE!</v>
      </c>
      <c r="L59" s="50" t="e">
        <f t="shared" si="19"/>
        <v>#VALUE!</v>
      </c>
      <c r="M59" s="50" t="e">
        <f t="shared" si="19"/>
        <v>#VALUE!</v>
      </c>
      <c r="N59" s="50" t="e">
        <f t="shared" si="8"/>
        <v>#VALUE!</v>
      </c>
      <c r="O59" s="50" t="e">
        <f t="shared" si="9"/>
        <v>#VALUE!</v>
      </c>
      <c r="P59" s="50">
        <f t="shared" si="10"/>
        <v>0</v>
      </c>
      <c r="R59" s="55" t="e">
        <f t="shared" si="11"/>
        <v>#VALUE!</v>
      </c>
      <c r="S59" s="55" t="e">
        <f t="shared" si="12"/>
        <v>#VALUE!</v>
      </c>
      <c r="T59" s="55" t="e">
        <f t="shared" si="16"/>
        <v>#VALUE!</v>
      </c>
      <c r="U59" s="50" t="e">
        <f t="shared" si="13"/>
        <v>#VALUE!</v>
      </c>
      <c r="V59" s="50" t="e">
        <f t="shared" si="14"/>
        <v>#VALUE!</v>
      </c>
      <c r="W59" s="50" t="e">
        <f t="shared" si="15"/>
        <v>#VALUE!</v>
      </c>
      <c r="AD59" s="59"/>
    </row>
    <row r="60" spans="2:30" x14ac:dyDescent="0.25">
      <c r="B60" s="50" t="b">
        <f t="shared" si="17"/>
        <v>0</v>
      </c>
      <c r="C60" s="50" t="e">
        <f t="shared" si="18"/>
        <v>#VALUE!</v>
      </c>
      <c r="E60" s="56">
        <v>57</v>
      </c>
      <c r="G60" s="138"/>
      <c r="H60" s="135">
        <v>1</v>
      </c>
      <c r="I60" s="57" t="str">
        <f t="shared" si="4"/>
        <v/>
      </c>
      <c r="J60" s="58" t="e">
        <f t="shared" si="5"/>
        <v>#VALUE!</v>
      </c>
      <c r="K60" s="50" t="e">
        <f t="shared" si="6"/>
        <v>#VALUE!</v>
      </c>
      <c r="L60" s="50" t="e">
        <f t="shared" si="19"/>
        <v>#VALUE!</v>
      </c>
      <c r="M60" s="50" t="e">
        <f t="shared" si="19"/>
        <v>#VALUE!</v>
      </c>
      <c r="N60" s="50" t="e">
        <f t="shared" si="8"/>
        <v>#VALUE!</v>
      </c>
      <c r="O60" s="50" t="e">
        <f t="shared" si="9"/>
        <v>#VALUE!</v>
      </c>
      <c r="P60" s="50">
        <f t="shared" si="10"/>
        <v>0</v>
      </c>
      <c r="R60" s="55" t="e">
        <f t="shared" si="11"/>
        <v>#VALUE!</v>
      </c>
      <c r="S60" s="55" t="e">
        <f t="shared" si="12"/>
        <v>#VALUE!</v>
      </c>
      <c r="T60" s="55" t="e">
        <f t="shared" si="16"/>
        <v>#VALUE!</v>
      </c>
      <c r="U60" s="50" t="e">
        <f t="shared" si="13"/>
        <v>#VALUE!</v>
      </c>
      <c r="V60" s="50" t="e">
        <f t="shared" si="14"/>
        <v>#VALUE!</v>
      </c>
      <c r="W60" s="50" t="e">
        <f t="shared" si="15"/>
        <v>#VALUE!</v>
      </c>
      <c r="AD60" s="59"/>
    </row>
    <row r="61" spans="2:30" x14ac:dyDescent="0.25">
      <c r="B61" s="50" t="b">
        <f t="shared" si="17"/>
        <v>0</v>
      </c>
      <c r="C61" s="50" t="e">
        <f t="shared" si="18"/>
        <v>#VALUE!</v>
      </c>
      <c r="E61" s="56">
        <v>58</v>
      </c>
      <c r="G61" s="138"/>
      <c r="H61" s="135">
        <v>1</v>
      </c>
      <c r="I61" s="57" t="str">
        <f t="shared" si="4"/>
        <v/>
      </c>
      <c r="J61" s="58" t="e">
        <f t="shared" si="5"/>
        <v>#VALUE!</v>
      </c>
      <c r="K61" s="50" t="e">
        <f t="shared" si="6"/>
        <v>#VALUE!</v>
      </c>
      <c r="L61" s="50" t="e">
        <f t="shared" si="19"/>
        <v>#VALUE!</v>
      </c>
      <c r="M61" s="50" t="e">
        <f t="shared" si="19"/>
        <v>#VALUE!</v>
      </c>
      <c r="N61" s="50" t="e">
        <f t="shared" si="8"/>
        <v>#VALUE!</v>
      </c>
      <c r="O61" s="50" t="e">
        <f t="shared" si="9"/>
        <v>#VALUE!</v>
      </c>
      <c r="P61" s="50">
        <f t="shared" si="10"/>
        <v>0</v>
      </c>
      <c r="R61" s="55" t="e">
        <f t="shared" si="11"/>
        <v>#VALUE!</v>
      </c>
      <c r="S61" s="55" t="e">
        <f t="shared" si="12"/>
        <v>#VALUE!</v>
      </c>
      <c r="T61" s="55" t="e">
        <f t="shared" si="16"/>
        <v>#VALUE!</v>
      </c>
      <c r="U61" s="50" t="e">
        <f t="shared" si="13"/>
        <v>#VALUE!</v>
      </c>
      <c r="V61" s="50" t="e">
        <f t="shared" si="14"/>
        <v>#VALUE!</v>
      </c>
      <c r="W61" s="50" t="e">
        <f t="shared" si="15"/>
        <v>#VALUE!</v>
      </c>
      <c r="AD61" s="59"/>
    </row>
    <row r="62" spans="2:30" x14ac:dyDescent="0.25">
      <c r="B62" s="50" t="b">
        <f t="shared" si="17"/>
        <v>0</v>
      </c>
      <c r="C62" s="50" t="e">
        <f t="shared" si="18"/>
        <v>#VALUE!</v>
      </c>
      <c r="E62" s="56">
        <v>59</v>
      </c>
      <c r="G62" s="138"/>
      <c r="H62" s="135">
        <v>1</v>
      </c>
      <c r="I62" s="57" t="str">
        <f t="shared" si="4"/>
        <v/>
      </c>
      <c r="J62" s="58" t="e">
        <f t="shared" si="5"/>
        <v>#VALUE!</v>
      </c>
      <c r="K62" s="50" t="e">
        <f t="shared" si="6"/>
        <v>#VALUE!</v>
      </c>
      <c r="L62" s="50" t="e">
        <f t="shared" si="19"/>
        <v>#VALUE!</v>
      </c>
      <c r="M62" s="50" t="e">
        <f t="shared" si="19"/>
        <v>#VALUE!</v>
      </c>
      <c r="N62" s="50" t="e">
        <f t="shared" si="8"/>
        <v>#VALUE!</v>
      </c>
      <c r="O62" s="50" t="e">
        <f t="shared" si="9"/>
        <v>#VALUE!</v>
      </c>
      <c r="P62" s="50">
        <f t="shared" si="10"/>
        <v>0</v>
      </c>
      <c r="R62" s="55" t="e">
        <f t="shared" si="11"/>
        <v>#VALUE!</v>
      </c>
      <c r="S62" s="55" t="e">
        <f t="shared" si="12"/>
        <v>#VALUE!</v>
      </c>
      <c r="T62" s="55" t="e">
        <f t="shared" si="16"/>
        <v>#VALUE!</v>
      </c>
      <c r="U62" s="50" t="e">
        <f t="shared" si="13"/>
        <v>#VALUE!</v>
      </c>
      <c r="V62" s="50" t="e">
        <f t="shared" si="14"/>
        <v>#VALUE!</v>
      </c>
      <c r="W62" s="50" t="e">
        <f t="shared" si="15"/>
        <v>#VALUE!</v>
      </c>
      <c r="AD62" s="59"/>
    </row>
    <row r="63" spans="2:30" x14ac:dyDescent="0.25">
      <c r="B63" s="50" t="b">
        <f t="shared" si="17"/>
        <v>0</v>
      </c>
      <c r="C63" s="50" t="e">
        <f t="shared" si="18"/>
        <v>#VALUE!</v>
      </c>
      <c r="E63" s="56">
        <v>60</v>
      </c>
      <c r="G63" s="138"/>
      <c r="H63" s="135">
        <v>1</v>
      </c>
      <c r="I63" s="57" t="str">
        <f t="shared" si="4"/>
        <v/>
      </c>
      <c r="J63" s="58" t="e">
        <f t="shared" si="5"/>
        <v>#VALUE!</v>
      </c>
      <c r="K63" s="50" t="e">
        <f t="shared" si="6"/>
        <v>#VALUE!</v>
      </c>
      <c r="L63" s="50" t="e">
        <f t="shared" si="19"/>
        <v>#VALUE!</v>
      </c>
      <c r="M63" s="50" t="e">
        <f t="shared" si="19"/>
        <v>#VALUE!</v>
      </c>
      <c r="N63" s="50" t="e">
        <f t="shared" si="8"/>
        <v>#VALUE!</v>
      </c>
      <c r="O63" s="50" t="e">
        <f t="shared" si="9"/>
        <v>#VALUE!</v>
      </c>
      <c r="P63" s="50">
        <f t="shared" si="10"/>
        <v>0</v>
      </c>
      <c r="R63" s="55" t="e">
        <f t="shared" si="11"/>
        <v>#VALUE!</v>
      </c>
      <c r="S63" s="55" t="e">
        <f t="shared" si="12"/>
        <v>#VALUE!</v>
      </c>
      <c r="T63" s="55" t="e">
        <f t="shared" si="16"/>
        <v>#VALUE!</v>
      </c>
      <c r="U63" s="50" t="e">
        <f t="shared" si="13"/>
        <v>#VALUE!</v>
      </c>
      <c r="V63" s="50" t="e">
        <f t="shared" si="14"/>
        <v>#VALUE!</v>
      </c>
      <c r="W63" s="50" t="e">
        <f t="shared" si="15"/>
        <v>#VALUE!</v>
      </c>
      <c r="AD63" s="59"/>
    </row>
    <row r="64" spans="2:30" x14ac:dyDescent="0.25">
      <c r="B64" s="50" t="b">
        <f t="shared" si="17"/>
        <v>0</v>
      </c>
      <c r="C64" s="50" t="e">
        <f t="shared" si="18"/>
        <v>#VALUE!</v>
      </c>
      <c r="E64" s="56">
        <v>61</v>
      </c>
      <c r="G64" s="138"/>
      <c r="H64" s="135">
        <v>1</v>
      </c>
      <c r="I64" s="57" t="str">
        <f t="shared" si="4"/>
        <v/>
      </c>
      <c r="J64" s="58" t="e">
        <f t="shared" si="5"/>
        <v>#VALUE!</v>
      </c>
      <c r="K64" s="50" t="e">
        <f t="shared" si="6"/>
        <v>#VALUE!</v>
      </c>
      <c r="L64" s="50" t="e">
        <f t="shared" si="19"/>
        <v>#VALUE!</v>
      </c>
      <c r="M64" s="50" t="e">
        <f t="shared" si="19"/>
        <v>#VALUE!</v>
      </c>
      <c r="N64" s="50" t="e">
        <f t="shared" si="8"/>
        <v>#VALUE!</v>
      </c>
      <c r="O64" s="50" t="e">
        <f t="shared" si="9"/>
        <v>#VALUE!</v>
      </c>
      <c r="P64" s="50">
        <f t="shared" si="10"/>
        <v>0</v>
      </c>
      <c r="R64" s="55" t="e">
        <f t="shared" si="11"/>
        <v>#VALUE!</v>
      </c>
      <c r="S64" s="55" t="e">
        <f t="shared" si="12"/>
        <v>#VALUE!</v>
      </c>
      <c r="T64" s="55" t="e">
        <f t="shared" si="16"/>
        <v>#VALUE!</v>
      </c>
      <c r="U64" s="50" t="e">
        <f t="shared" si="13"/>
        <v>#VALUE!</v>
      </c>
      <c r="V64" s="50" t="e">
        <f t="shared" si="14"/>
        <v>#VALUE!</v>
      </c>
      <c r="W64" s="50" t="e">
        <f t="shared" si="15"/>
        <v>#VALUE!</v>
      </c>
      <c r="AD64" s="59"/>
    </row>
    <row r="65" spans="2:30" x14ac:dyDescent="0.25">
      <c r="B65" s="50" t="b">
        <f t="shared" si="17"/>
        <v>0</v>
      </c>
      <c r="C65" s="50" t="e">
        <f t="shared" si="18"/>
        <v>#VALUE!</v>
      </c>
      <c r="E65" s="56">
        <v>62</v>
      </c>
      <c r="G65" s="138"/>
      <c r="H65" s="135">
        <v>1</v>
      </c>
      <c r="I65" s="57" t="str">
        <f t="shared" si="4"/>
        <v/>
      </c>
      <c r="J65" s="58" t="e">
        <f t="shared" si="5"/>
        <v>#VALUE!</v>
      </c>
      <c r="K65" s="50" t="e">
        <f t="shared" si="6"/>
        <v>#VALUE!</v>
      </c>
      <c r="L65" s="50" t="e">
        <f t="shared" si="19"/>
        <v>#VALUE!</v>
      </c>
      <c r="M65" s="50" t="e">
        <f t="shared" si="19"/>
        <v>#VALUE!</v>
      </c>
      <c r="N65" s="50" t="e">
        <f t="shared" si="8"/>
        <v>#VALUE!</v>
      </c>
      <c r="O65" s="50" t="e">
        <f t="shared" si="9"/>
        <v>#VALUE!</v>
      </c>
      <c r="P65" s="50">
        <f t="shared" si="10"/>
        <v>0</v>
      </c>
      <c r="R65" s="55" t="e">
        <f t="shared" si="11"/>
        <v>#VALUE!</v>
      </c>
      <c r="S65" s="55" t="e">
        <f t="shared" si="12"/>
        <v>#VALUE!</v>
      </c>
      <c r="T65" s="55" t="e">
        <f t="shared" si="16"/>
        <v>#VALUE!</v>
      </c>
      <c r="U65" s="50" t="e">
        <f t="shared" si="13"/>
        <v>#VALUE!</v>
      </c>
      <c r="V65" s="50" t="e">
        <f t="shared" si="14"/>
        <v>#VALUE!</v>
      </c>
      <c r="W65" s="50" t="e">
        <f t="shared" si="15"/>
        <v>#VALUE!</v>
      </c>
      <c r="AD65" s="59"/>
    </row>
    <row r="66" spans="2:30" x14ac:dyDescent="0.25">
      <c r="B66" s="50" t="b">
        <f t="shared" si="17"/>
        <v>0</v>
      </c>
      <c r="C66" s="50" t="e">
        <f t="shared" si="18"/>
        <v>#VALUE!</v>
      </c>
      <c r="E66" s="56">
        <v>63</v>
      </c>
      <c r="G66" s="138"/>
      <c r="H66" s="135">
        <v>1</v>
      </c>
      <c r="I66" s="57" t="str">
        <f t="shared" si="4"/>
        <v/>
      </c>
      <c r="J66" s="58" t="e">
        <f t="shared" si="5"/>
        <v>#VALUE!</v>
      </c>
      <c r="K66" s="50" t="e">
        <f t="shared" si="6"/>
        <v>#VALUE!</v>
      </c>
      <c r="L66" s="50" t="e">
        <f t="shared" si="19"/>
        <v>#VALUE!</v>
      </c>
      <c r="M66" s="50" t="e">
        <f t="shared" si="19"/>
        <v>#VALUE!</v>
      </c>
      <c r="N66" s="50" t="e">
        <f t="shared" si="8"/>
        <v>#VALUE!</v>
      </c>
      <c r="O66" s="50" t="e">
        <f t="shared" si="9"/>
        <v>#VALUE!</v>
      </c>
      <c r="P66" s="50">
        <f t="shared" si="10"/>
        <v>0</v>
      </c>
      <c r="R66" s="55" t="e">
        <f t="shared" si="11"/>
        <v>#VALUE!</v>
      </c>
      <c r="S66" s="55" t="e">
        <f t="shared" si="12"/>
        <v>#VALUE!</v>
      </c>
      <c r="T66" s="55" t="e">
        <f t="shared" si="16"/>
        <v>#VALUE!</v>
      </c>
      <c r="U66" s="50" t="e">
        <f t="shared" si="13"/>
        <v>#VALUE!</v>
      </c>
      <c r="V66" s="50" t="e">
        <f t="shared" si="14"/>
        <v>#VALUE!</v>
      </c>
      <c r="W66" s="50" t="e">
        <f t="shared" si="15"/>
        <v>#VALUE!</v>
      </c>
      <c r="AD66" s="59"/>
    </row>
    <row r="67" spans="2:30" x14ac:dyDescent="0.25">
      <c r="B67" s="50" t="b">
        <f t="shared" si="17"/>
        <v>0</v>
      </c>
      <c r="C67" s="50" t="e">
        <f t="shared" si="18"/>
        <v>#VALUE!</v>
      </c>
      <c r="E67" s="56">
        <v>64</v>
      </c>
      <c r="G67" s="138"/>
      <c r="H67" s="135">
        <v>1</v>
      </c>
      <c r="I67" s="57" t="str">
        <f t="shared" si="4"/>
        <v/>
      </c>
      <c r="J67" s="58" t="e">
        <f t="shared" si="5"/>
        <v>#VALUE!</v>
      </c>
      <c r="K67" s="50" t="e">
        <f t="shared" si="6"/>
        <v>#VALUE!</v>
      </c>
      <c r="L67" s="50" t="e">
        <f t="shared" si="19"/>
        <v>#VALUE!</v>
      </c>
      <c r="M67" s="50" t="e">
        <f t="shared" si="19"/>
        <v>#VALUE!</v>
      </c>
      <c r="N67" s="50" t="e">
        <f t="shared" si="8"/>
        <v>#VALUE!</v>
      </c>
      <c r="O67" s="50" t="e">
        <f t="shared" si="9"/>
        <v>#VALUE!</v>
      </c>
      <c r="P67" s="50">
        <f t="shared" si="10"/>
        <v>0</v>
      </c>
      <c r="R67" s="55" t="e">
        <f t="shared" si="11"/>
        <v>#VALUE!</v>
      </c>
      <c r="S67" s="55" t="e">
        <f t="shared" si="12"/>
        <v>#VALUE!</v>
      </c>
      <c r="T67" s="55" t="e">
        <f t="shared" si="16"/>
        <v>#VALUE!</v>
      </c>
      <c r="U67" s="50" t="e">
        <f t="shared" si="13"/>
        <v>#VALUE!</v>
      </c>
      <c r="V67" s="50" t="e">
        <f t="shared" si="14"/>
        <v>#VALUE!</v>
      </c>
      <c r="W67" s="50" t="e">
        <f t="shared" si="15"/>
        <v>#VALUE!</v>
      </c>
      <c r="AD67" s="59"/>
    </row>
    <row r="68" spans="2:30" x14ac:dyDescent="0.25">
      <c r="B68" s="50" t="b">
        <f t="shared" si="17"/>
        <v>0</v>
      </c>
      <c r="C68" s="50" t="e">
        <f t="shared" si="18"/>
        <v>#VALUE!</v>
      </c>
      <c r="E68" s="56">
        <v>65</v>
      </c>
      <c r="G68" s="138"/>
      <c r="H68" s="135">
        <v>1</v>
      </c>
      <c r="I68" s="57" t="str">
        <f t="shared" si="4"/>
        <v/>
      </c>
      <c r="J68" s="58" t="e">
        <f t="shared" si="5"/>
        <v>#VALUE!</v>
      </c>
      <c r="K68" s="50" t="e">
        <f t="shared" si="6"/>
        <v>#VALUE!</v>
      </c>
      <c r="L68" s="50" t="e">
        <f t="shared" si="19"/>
        <v>#VALUE!</v>
      </c>
      <c r="M68" s="50" t="e">
        <f t="shared" si="19"/>
        <v>#VALUE!</v>
      </c>
      <c r="N68" s="50" t="e">
        <f t="shared" si="8"/>
        <v>#VALUE!</v>
      </c>
      <c r="O68" s="50" t="e">
        <f t="shared" si="9"/>
        <v>#VALUE!</v>
      </c>
      <c r="P68" s="50">
        <f t="shared" si="10"/>
        <v>0</v>
      </c>
      <c r="R68" s="55" t="e">
        <f t="shared" si="11"/>
        <v>#VALUE!</v>
      </c>
      <c r="S68" s="55" t="e">
        <f t="shared" si="12"/>
        <v>#VALUE!</v>
      </c>
      <c r="T68" s="55" t="e">
        <f t="shared" si="16"/>
        <v>#VALUE!</v>
      </c>
      <c r="U68" s="50" t="e">
        <f t="shared" si="13"/>
        <v>#VALUE!</v>
      </c>
      <c r="V68" s="50" t="e">
        <f t="shared" si="14"/>
        <v>#VALUE!</v>
      </c>
      <c r="W68" s="50" t="e">
        <f t="shared" si="15"/>
        <v>#VALUE!</v>
      </c>
      <c r="AD68" s="59"/>
    </row>
    <row r="69" spans="2:30" x14ac:dyDescent="0.25">
      <c r="B69" s="50" t="b">
        <f t="shared" si="17"/>
        <v>0</v>
      </c>
      <c r="C69" s="50" t="e">
        <f t="shared" si="18"/>
        <v>#VALUE!</v>
      </c>
      <c r="E69" s="56">
        <v>66</v>
      </c>
      <c r="G69" s="138"/>
      <c r="H69" s="135">
        <v>1</v>
      </c>
      <c r="I69" s="57" t="str">
        <f t="shared" ref="I69:I133" si="20">IF(G69="","",G69&amp;""&amp;"-0")</f>
        <v/>
      </c>
      <c r="J69" s="58" t="e">
        <f t="shared" ref="J69:J132" si="21">RIGHT(I69,K69)</f>
        <v>#VALUE!</v>
      </c>
      <c r="K69" s="50" t="e">
        <f t="shared" ref="K69:K132" si="22">P69-N69</f>
        <v>#VALUE!</v>
      </c>
      <c r="L69" s="50" t="e">
        <f t="shared" si="19"/>
        <v>#VALUE!</v>
      </c>
      <c r="M69" s="50" t="e">
        <f t="shared" si="19"/>
        <v>#VALUE!</v>
      </c>
      <c r="N69" s="50" t="e">
        <f t="shared" ref="N69:N132" si="23">SEARCH("-",I69,2)</f>
        <v>#VALUE!</v>
      </c>
      <c r="O69" s="50" t="e">
        <f t="shared" ref="O69:O132" si="24">SEARCH("-",I69,N69+1)</f>
        <v>#VALUE!</v>
      </c>
      <c r="P69" s="50">
        <f t="shared" ref="P69:P132" si="25">LEN(I69)</f>
        <v>0</v>
      </c>
      <c r="R69" s="55" t="e">
        <f t="shared" ref="R69:R132" si="26">LEFT(I69,N69-1)</f>
        <v>#VALUE!</v>
      </c>
      <c r="S69" s="55" t="e">
        <f t="shared" ref="S69:S132" si="27">LEFT(J69,L69-1)</f>
        <v>#VALUE!</v>
      </c>
      <c r="T69" s="55" t="e">
        <f t="shared" si="16"/>
        <v>#VALUE!</v>
      </c>
      <c r="U69" s="50" t="e">
        <f t="shared" ref="U69:U132" si="28">R69*1*$H69</f>
        <v>#VALUE!</v>
      </c>
      <c r="V69" s="50" t="e">
        <f t="shared" ref="V69:V132" si="29">S69*1*$H69</f>
        <v>#VALUE!</v>
      </c>
      <c r="W69" s="50" t="e">
        <f t="shared" ref="W69:W132" si="30">T69*1*$H69</f>
        <v>#VALUE!</v>
      </c>
      <c r="AD69" s="59"/>
    </row>
    <row r="70" spans="2:30" x14ac:dyDescent="0.25">
      <c r="B70" s="50" t="b">
        <f t="shared" si="17"/>
        <v>0</v>
      </c>
      <c r="C70" s="50" t="e">
        <f t="shared" si="18"/>
        <v>#VALUE!</v>
      </c>
      <c r="E70" s="56">
        <v>67</v>
      </c>
      <c r="G70" s="138"/>
      <c r="H70" s="135">
        <v>1</v>
      </c>
      <c r="I70" s="57" t="str">
        <f t="shared" si="20"/>
        <v/>
      </c>
      <c r="J70" s="58" t="e">
        <f t="shared" si="21"/>
        <v>#VALUE!</v>
      </c>
      <c r="K70" s="50" t="e">
        <f t="shared" si="22"/>
        <v>#VALUE!</v>
      </c>
      <c r="L70" s="50" t="e">
        <f t="shared" si="19"/>
        <v>#VALUE!</v>
      </c>
      <c r="M70" s="50" t="e">
        <f t="shared" si="19"/>
        <v>#VALUE!</v>
      </c>
      <c r="N70" s="50" t="e">
        <f t="shared" si="23"/>
        <v>#VALUE!</v>
      </c>
      <c r="O70" s="50" t="e">
        <f t="shared" si="24"/>
        <v>#VALUE!</v>
      </c>
      <c r="P70" s="50">
        <f t="shared" si="25"/>
        <v>0</v>
      </c>
      <c r="R70" s="55" t="e">
        <f t="shared" si="26"/>
        <v>#VALUE!</v>
      </c>
      <c r="S70" s="55" t="e">
        <f t="shared" si="27"/>
        <v>#VALUE!</v>
      </c>
      <c r="T70" s="55" t="e">
        <f t="shared" ref="T70:T133" si="31">RIGHT(I70,M70)</f>
        <v>#VALUE!</v>
      </c>
      <c r="U70" s="50" t="e">
        <f t="shared" si="28"/>
        <v>#VALUE!</v>
      </c>
      <c r="V70" s="50" t="e">
        <f t="shared" si="29"/>
        <v>#VALUE!</v>
      </c>
      <c r="W70" s="50" t="e">
        <f t="shared" si="30"/>
        <v>#VALUE!</v>
      </c>
      <c r="AD70" s="59"/>
    </row>
    <row r="71" spans="2:30" x14ac:dyDescent="0.25">
      <c r="B71" s="50" t="b">
        <f t="shared" si="17"/>
        <v>0</v>
      </c>
      <c r="C71" s="50" t="e">
        <f t="shared" si="18"/>
        <v>#VALUE!</v>
      </c>
      <c r="E71" s="56">
        <v>68</v>
      </c>
      <c r="G71" s="138"/>
      <c r="H71" s="135">
        <v>1</v>
      </c>
      <c r="I71" s="57" t="str">
        <f t="shared" si="20"/>
        <v/>
      </c>
      <c r="J71" s="58" t="e">
        <f t="shared" si="21"/>
        <v>#VALUE!</v>
      </c>
      <c r="K71" s="50" t="e">
        <f t="shared" si="22"/>
        <v>#VALUE!</v>
      </c>
      <c r="L71" s="50" t="e">
        <f t="shared" si="19"/>
        <v>#VALUE!</v>
      </c>
      <c r="M71" s="50" t="e">
        <f t="shared" si="19"/>
        <v>#VALUE!</v>
      </c>
      <c r="N71" s="50" t="e">
        <f t="shared" si="23"/>
        <v>#VALUE!</v>
      </c>
      <c r="O71" s="50" t="e">
        <f t="shared" si="24"/>
        <v>#VALUE!</v>
      </c>
      <c r="P71" s="50">
        <f t="shared" si="25"/>
        <v>0</v>
      </c>
      <c r="R71" s="55" t="e">
        <f t="shared" si="26"/>
        <v>#VALUE!</v>
      </c>
      <c r="S71" s="55" t="e">
        <f t="shared" si="27"/>
        <v>#VALUE!</v>
      </c>
      <c r="T71" s="55" t="e">
        <f t="shared" si="31"/>
        <v>#VALUE!</v>
      </c>
      <c r="U71" s="50" t="e">
        <f t="shared" si="28"/>
        <v>#VALUE!</v>
      </c>
      <c r="V71" s="50" t="e">
        <f t="shared" si="29"/>
        <v>#VALUE!</v>
      </c>
      <c r="W71" s="50" t="e">
        <f t="shared" si="30"/>
        <v>#VALUE!</v>
      </c>
      <c r="AD71" s="59"/>
    </row>
    <row r="72" spans="2:30" x14ac:dyDescent="0.25">
      <c r="B72" s="50" t="b">
        <f t="shared" si="17"/>
        <v>0</v>
      </c>
      <c r="C72" s="50" t="e">
        <f t="shared" si="18"/>
        <v>#VALUE!</v>
      </c>
      <c r="E72" s="56">
        <v>69</v>
      </c>
      <c r="G72" s="138"/>
      <c r="H72" s="135">
        <v>1</v>
      </c>
      <c r="I72" s="57" t="str">
        <f t="shared" si="20"/>
        <v/>
      </c>
      <c r="J72" s="58" t="e">
        <f t="shared" si="21"/>
        <v>#VALUE!</v>
      </c>
      <c r="K72" s="50" t="e">
        <f t="shared" si="22"/>
        <v>#VALUE!</v>
      </c>
      <c r="L72" s="50" t="e">
        <f t="shared" si="19"/>
        <v>#VALUE!</v>
      </c>
      <c r="M72" s="50" t="e">
        <f t="shared" si="19"/>
        <v>#VALUE!</v>
      </c>
      <c r="N72" s="50" t="e">
        <f t="shared" si="23"/>
        <v>#VALUE!</v>
      </c>
      <c r="O72" s="50" t="e">
        <f t="shared" si="24"/>
        <v>#VALUE!</v>
      </c>
      <c r="P72" s="50">
        <f t="shared" si="25"/>
        <v>0</v>
      </c>
      <c r="R72" s="55" t="e">
        <f t="shared" si="26"/>
        <v>#VALUE!</v>
      </c>
      <c r="S72" s="55" t="e">
        <f t="shared" si="27"/>
        <v>#VALUE!</v>
      </c>
      <c r="T72" s="55" t="e">
        <f t="shared" si="31"/>
        <v>#VALUE!</v>
      </c>
      <c r="U72" s="50" t="e">
        <f t="shared" si="28"/>
        <v>#VALUE!</v>
      </c>
      <c r="V72" s="50" t="e">
        <f t="shared" si="29"/>
        <v>#VALUE!</v>
      </c>
      <c r="W72" s="50" t="e">
        <f t="shared" si="30"/>
        <v>#VALUE!</v>
      </c>
      <c r="AD72" s="59"/>
    </row>
    <row r="73" spans="2:30" x14ac:dyDescent="0.25">
      <c r="B73" s="50" t="b">
        <f t="shared" si="17"/>
        <v>0</v>
      </c>
      <c r="C73" s="50" t="e">
        <f t="shared" si="18"/>
        <v>#VALUE!</v>
      </c>
      <c r="E73" s="56">
        <v>70</v>
      </c>
      <c r="G73" s="138"/>
      <c r="H73" s="135">
        <v>1</v>
      </c>
      <c r="I73" s="57" t="str">
        <f t="shared" si="20"/>
        <v/>
      </c>
      <c r="J73" s="58" t="e">
        <f t="shared" si="21"/>
        <v>#VALUE!</v>
      </c>
      <c r="K73" s="50" t="e">
        <f t="shared" si="22"/>
        <v>#VALUE!</v>
      </c>
      <c r="L73" s="50" t="e">
        <f t="shared" si="19"/>
        <v>#VALUE!</v>
      </c>
      <c r="M73" s="50" t="e">
        <f t="shared" si="19"/>
        <v>#VALUE!</v>
      </c>
      <c r="N73" s="50" t="e">
        <f t="shared" si="23"/>
        <v>#VALUE!</v>
      </c>
      <c r="O73" s="50" t="e">
        <f t="shared" si="24"/>
        <v>#VALUE!</v>
      </c>
      <c r="P73" s="50">
        <f t="shared" si="25"/>
        <v>0</v>
      </c>
      <c r="R73" s="55" t="e">
        <f t="shared" si="26"/>
        <v>#VALUE!</v>
      </c>
      <c r="S73" s="55" t="e">
        <f t="shared" si="27"/>
        <v>#VALUE!</v>
      </c>
      <c r="T73" s="55" t="e">
        <f t="shared" si="31"/>
        <v>#VALUE!</v>
      </c>
      <c r="U73" s="50" t="e">
        <f t="shared" si="28"/>
        <v>#VALUE!</v>
      </c>
      <c r="V73" s="50" t="e">
        <f t="shared" si="29"/>
        <v>#VALUE!</v>
      </c>
      <c r="W73" s="50" t="e">
        <f t="shared" si="30"/>
        <v>#VALUE!</v>
      </c>
      <c r="AD73" s="59"/>
    </row>
    <row r="74" spans="2:30" x14ac:dyDescent="0.25">
      <c r="B74" s="50" t="b">
        <f t="shared" si="17"/>
        <v>0</v>
      </c>
      <c r="C74" s="50" t="e">
        <f t="shared" si="18"/>
        <v>#VALUE!</v>
      </c>
      <c r="E74" s="56">
        <v>71</v>
      </c>
      <c r="G74" s="138"/>
      <c r="H74" s="135">
        <v>1</v>
      </c>
      <c r="I74" s="57" t="str">
        <f t="shared" si="20"/>
        <v/>
      </c>
      <c r="J74" s="58" t="e">
        <f t="shared" si="21"/>
        <v>#VALUE!</v>
      </c>
      <c r="K74" s="50" t="e">
        <f t="shared" si="22"/>
        <v>#VALUE!</v>
      </c>
      <c r="L74" s="50" t="e">
        <f t="shared" si="19"/>
        <v>#VALUE!</v>
      </c>
      <c r="M74" s="50" t="e">
        <f t="shared" si="19"/>
        <v>#VALUE!</v>
      </c>
      <c r="N74" s="50" t="e">
        <f t="shared" si="23"/>
        <v>#VALUE!</v>
      </c>
      <c r="O74" s="50" t="e">
        <f t="shared" si="24"/>
        <v>#VALUE!</v>
      </c>
      <c r="P74" s="50">
        <f t="shared" si="25"/>
        <v>0</v>
      </c>
      <c r="R74" s="55" t="e">
        <f t="shared" si="26"/>
        <v>#VALUE!</v>
      </c>
      <c r="S74" s="55" t="e">
        <f t="shared" si="27"/>
        <v>#VALUE!</v>
      </c>
      <c r="T74" s="55" t="e">
        <f t="shared" si="31"/>
        <v>#VALUE!</v>
      </c>
      <c r="U74" s="50" t="e">
        <f t="shared" si="28"/>
        <v>#VALUE!</v>
      </c>
      <c r="V74" s="50" t="e">
        <f t="shared" si="29"/>
        <v>#VALUE!</v>
      </c>
      <c r="W74" s="50" t="e">
        <f t="shared" si="30"/>
        <v>#VALUE!</v>
      </c>
      <c r="AD74" s="59"/>
    </row>
    <row r="75" spans="2:30" x14ac:dyDescent="0.25">
      <c r="B75" s="50" t="b">
        <f t="shared" si="17"/>
        <v>0</v>
      </c>
      <c r="C75" s="50" t="e">
        <f t="shared" si="18"/>
        <v>#VALUE!</v>
      </c>
      <c r="E75" s="56">
        <v>72</v>
      </c>
      <c r="G75" s="138"/>
      <c r="H75" s="135">
        <v>1</v>
      </c>
      <c r="I75" s="57" t="str">
        <f t="shared" si="20"/>
        <v/>
      </c>
      <c r="J75" s="58" t="e">
        <f t="shared" si="21"/>
        <v>#VALUE!</v>
      </c>
      <c r="K75" s="50" t="e">
        <f t="shared" si="22"/>
        <v>#VALUE!</v>
      </c>
      <c r="L75" s="50" t="e">
        <f t="shared" si="19"/>
        <v>#VALUE!</v>
      </c>
      <c r="M75" s="50" t="e">
        <f t="shared" si="19"/>
        <v>#VALUE!</v>
      </c>
      <c r="N75" s="50" t="e">
        <f t="shared" si="23"/>
        <v>#VALUE!</v>
      </c>
      <c r="O75" s="50" t="e">
        <f t="shared" si="24"/>
        <v>#VALUE!</v>
      </c>
      <c r="P75" s="50">
        <f t="shared" si="25"/>
        <v>0</v>
      </c>
      <c r="R75" s="55" t="e">
        <f t="shared" si="26"/>
        <v>#VALUE!</v>
      </c>
      <c r="S75" s="55" t="e">
        <f t="shared" si="27"/>
        <v>#VALUE!</v>
      </c>
      <c r="T75" s="55" t="e">
        <f t="shared" si="31"/>
        <v>#VALUE!</v>
      </c>
      <c r="U75" s="50" t="e">
        <f t="shared" si="28"/>
        <v>#VALUE!</v>
      </c>
      <c r="V75" s="50" t="e">
        <f t="shared" si="29"/>
        <v>#VALUE!</v>
      </c>
      <c r="W75" s="50" t="e">
        <f t="shared" si="30"/>
        <v>#VALUE!</v>
      </c>
      <c r="AD75" s="59"/>
    </row>
    <row r="76" spans="2:30" x14ac:dyDescent="0.25">
      <c r="B76" s="50" t="b">
        <f t="shared" si="17"/>
        <v>0</v>
      </c>
      <c r="C76" s="50" t="e">
        <f t="shared" si="18"/>
        <v>#VALUE!</v>
      </c>
      <c r="E76" s="56">
        <v>73</v>
      </c>
      <c r="G76" s="138"/>
      <c r="H76" s="135">
        <v>1</v>
      </c>
      <c r="I76" s="57" t="str">
        <f t="shared" si="20"/>
        <v/>
      </c>
      <c r="J76" s="58" t="e">
        <f t="shared" si="21"/>
        <v>#VALUE!</v>
      </c>
      <c r="K76" s="50" t="e">
        <f t="shared" si="22"/>
        <v>#VALUE!</v>
      </c>
      <c r="L76" s="50" t="e">
        <f t="shared" si="19"/>
        <v>#VALUE!</v>
      </c>
      <c r="M76" s="50" t="e">
        <f t="shared" si="19"/>
        <v>#VALUE!</v>
      </c>
      <c r="N76" s="50" t="e">
        <f t="shared" si="23"/>
        <v>#VALUE!</v>
      </c>
      <c r="O76" s="50" t="e">
        <f t="shared" si="24"/>
        <v>#VALUE!</v>
      </c>
      <c r="P76" s="50">
        <f t="shared" si="25"/>
        <v>0</v>
      </c>
      <c r="R76" s="55" t="e">
        <f t="shared" si="26"/>
        <v>#VALUE!</v>
      </c>
      <c r="S76" s="55" t="e">
        <f t="shared" si="27"/>
        <v>#VALUE!</v>
      </c>
      <c r="T76" s="55" t="e">
        <f t="shared" si="31"/>
        <v>#VALUE!</v>
      </c>
      <c r="U76" s="50" t="e">
        <f t="shared" si="28"/>
        <v>#VALUE!</v>
      </c>
      <c r="V76" s="50" t="e">
        <f t="shared" si="29"/>
        <v>#VALUE!</v>
      </c>
      <c r="W76" s="50" t="e">
        <f t="shared" si="30"/>
        <v>#VALUE!</v>
      </c>
      <c r="AD76" s="59"/>
    </row>
    <row r="77" spans="2:30" x14ac:dyDescent="0.25">
      <c r="B77" s="50" t="b">
        <f t="shared" si="17"/>
        <v>0</v>
      </c>
      <c r="C77" s="50" t="e">
        <f t="shared" si="18"/>
        <v>#VALUE!</v>
      </c>
      <c r="E77" s="56">
        <v>74</v>
      </c>
      <c r="G77" s="138"/>
      <c r="H77" s="135">
        <v>1</v>
      </c>
      <c r="I77" s="57" t="str">
        <f t="shared" si="20"/>
        <v/>
      </c>
      <c r="J77" s="58" t="e">
        <f t="shared" si="21"/>
        <v>#VALUE!</v>
      </c>
      <c r="K77" s="50" t="e">
        <f t="shared" si="22"/>
        <v>#VALUE!</v>
      </c>
      <c r="L77" s="50" t="e">
        <f t="shared" si="19"/>
        <v>#VALUE!</v>
      </c>
      <c r="M77" s="50" t="e">
        <f t="shared" si="19"/>
        <v>#VALUE!</v>
      </c>
      <c r="N77" s="50" t="e">
        <f t="shared" si="23"/>
        <v>#VALUE!</v>
      </c>
      <c r="O77" s="50" t="e">
        <f t="shared" si="24"/>
        <v>#VALUE!</v>
      </c>
      <c r="P77" s="50">
        <f t="shared" si="25"/>
        <v>0</v>
      </c>
      <c r="R77" s="55" t="e">
        <f t="shared" si="26"/>
        <v>#VALUE!</v>
      </c>
      <c r="S77" s="55" t="e">
        <f t="shared" si="27"/>
        <v>#VALUE!</v>
      </c>
      <c r="T77" s="55" t="e">
        <f t="shared" si="31"/>
        <v>#VALUE!</v>
      </c>
      <c r="U77" s="50" t="e">
        <f t="shared" si="28"/>
        <v>#VALUE!</v>
      </c>
      <c r="V77" s="50" t="e">
        <f t="shared" si="29"/>
        <v>#VALUE!</v>
      </c>
      <c r="W77" s="50" t="e">
        <f t="shared" si="30"/>
        <v>#VALUE!</v>
      </c>
      <c r="AD77" s="59"/>
    </row>
    <row r="78" spans="2:30" x14ac:dyDescent="0.25">
      <c r="B78" s="50" t="b">
        <f t="shared" ref="B78:B141" si="32">ISNUMBER(C78)</f>
        <v>0</v>
      </c>
      <c r="C78" s="50" t="e">
        <f t="shared" ref="C78:C117" si="33">SUM(U78:W78)</f>
        <v>#VALUE!</v>
      </c>
      <c r="E78" s="56">
        <v>75</v>
      </c>
      <c r="G78" s="138"/>
      <c r="H78" s="135">
        <v>1</v>
      </c>
      <c r="I78" s="57" t="str">
        <f t="shared" si="20"/>
        <v/>
      </c>
      <c r="J78" s="58" t="e">
        <f t="shared" si="21"/>
        <v>#VALUE!</v>
      </c>
      <c r="K78" s="50" t="e">
        <f t="shared" si="22"/>
        <v>#VALUE!</v>
      </c>
      <c r="L78" s="50" t="e">
        <f t="shared" si="19"/>
        <v>#VALUE!</v>
      </c>
      <c r="M78" s="50" t="e">
        <f t="shared" si="19"/>
        <v>#VALUE!</v>
      </c>
      <c r="N78" s="50" t="e">
        <f t="shared" si="23"/>
        <v>#VALUE!</v>
      </c>
      <c r="O78" s="50" t="e">
        <f t="shared" si="24"/>
        <v>#VALUE!</v>
      </c>
      <c r="P78" s="50">
        <f t="shared" si="25"/>
        <v>0</v>
      </c>
      <c r="R78" s="55" t="e">
        <f t="shared" si="26"/>
        <v>#VALUE!</v>
      </c>
      <c r="S78" s="55" t="e">
        <f t="shared" si="27"/>
        <v>#VALUE!</v>
      </c>
      <c r="T78" s="55" t="e">
        <f t="shared" si="31"/>
        <v>#VALUE!</v>
      </c>
      <c r="U78" s="50" t="e">
        <f t="shared" si="28"/>
        <v>#VALUE!</v>
      </c>
      <c r="V78" s="50" t="e">
        <f t="shared" si="29"/>
        <v>#VALUE!</v>
      </c>
      <c r="W78" s="50" t="e">
        <f t="shared" si="30"/>
        <v>#VALUE!</v>
      </c>
      <c r="AD78" s="59"/>
    </row>
    <row r="79" spans="2:30" x14ac:dyDescent="0.25">
      <c r="B79" s="50" t="b">
        <f t="shared" si="32"/>
        <v>0</v>
      </c>
      <c r="C79" s="50" t="e">
        <f t="shared" si="33"/>
        <v>#VALUE!</v>
      </c>
      <c r="E79" s="56">
        <v>76</v>
      </c>
      <c r="G79" s="138"/>
      <c r="H79" s="135">
        <v>1</v>
      </c>
      <c r="I79" s="57" t="str">
        <f t="shared" si="20"/>
        <v/>
      </c>
      <c r="J79" s="58" t="e">
        <f t="shared" si="21"/>
        <v>#VALUE!</v>
      </c>
      <c r="K79" s="50" t="e">
        <f t="shared" si="22"/>
        <v>#VALUE!</v>
      </c>
      <c r="L79" s="50" t="e">
        <f t="shared" si="19"/>
        <v>#VALUE!</v>
      </c>
      <c r="M79" s="50" t="e">
        <f t="shared" si="19"/>
        <v>#VALUE!</v>
      </c>
      <c r="N79" s="50" t="e">
        <f t="shared" si="23"/>
        <v>#VALUE!</v>
      </c>
      <c r="O79" s="50" t="e">
        <f t="shared" si="24"/>
        <v>#VALUE!</v>
      </c>
      <c r="P79" s="50">
        <f t="shared" si="25"/>
        <v>0</v>
      </c>
      <c r="R79" s="55" t="e">
        <f t="shared" si="26"/>
        <v>#VALUE!</v>
      </c>
      <c r="S79" s="55" t="e">
        <f t="shared" si="27"/>
        <v>#VALUE!</v>
      </c>
      <c r="T79" s="55" t="e">
        <f t="shared" si="31"/>
        <v>#VALUE!</v>
      </c>
      <c r="U79" s="50" t="e">
        <f t="shared" si="28"/>
        <v>#VALUE!</v>
      </c>
      <c r="V79" s="50" t="e">
        <f t="shared" si="29"/>
        <v>#VALUE!</v>
      </c>
      <c r="W79" s="50" t="e">
        <f t="shared" si="30"/>
        <v>#VALUE!</v>
      </c>
      <c r="AD79" s="59"/>
    </row>
    <row r="80" spans="2:30" x14ac:dyDescent="0.25">
      <c r="B80" s="50" t="b">
        <f t="shared" si="32"/>
        <v>0</v>
      </c>
      <c r="C80" s="50" t="e">
        <f t="shared" si="33"/>
        <v>#VALUE!</v>
      </c>
      <c r="E80" s="56">
        <v>77</v>
      </c>
      <c r="G80" s="138"/>
      <c r="H80" s="135">
        <v>1</v>
      </c>
      <c r="I80" s="57" t="str">
        <f t="shared" si="20"/>
        <v/>
      </c>
      <c r="J80" s="58" t="e">
        <f t="shared" si="21"/>
        <v>#VALUE!</v>
      </c>
      <c r="K80" s="50" t="e">
        <f t="shared" si="22"/>
        <v>#VALUE!</v>
      </c>
      <c r="L80" s="50" t="e">
        <f t="shared" si="19"/>
        <v>#VALUE!</v>
      </c>
      <c r="M80" s="50" t="e">
        <f t="shared" si="19"/>
        <v>#VALUE!</v>
      </c>
      <c r="N80" s="50" t="e">
        <f t="shared" si="23"/>
        <v>#VALUE!</v>
      </c>
      <c r="O80" s="50" t="e">
        <f t="shared" si="24"/>
        <v>#VALUE!</v>
      </c>
      <c r="P80" s="50">
        <f t="shared" si="25"/>
        <v>0</v>
      </c>
      <c r="R80" s="55" t="e">
        <f t="shared" si="26"/>
        <v>#VALUE!</v>
      </c>
      <c r="S80" s="55" t="e">
        <f t="shared" si="27"/>
        <v>#VALUE!</v>
      </c>
      <c r="T80" s="55" t="e">
        <f t="shared" si="31"/>
        <v>#VALUE!</v>
      </c>
      <c r="U80" s="50" t="e">
        <f t="shared" si="28"/>
        <v>#VALUE!</v>
      </c>
      <c r="V80" s="50" t="e">
        <f t="shared" si="29"/>
        <v>#VALUE!</v>
      </c>
      <c r="W80" s="50" t="e">
        <f t="shared" si="30"/>
        <v>#VALUE!</v>
      </c>
      <c r="AD80" s="59"/>
    </row>
    <row r="81" spans="2:30" x14ac:dyDescent="0.25">
      <c r="B81" s="50" t="b">
        <f t="shared" si="32"/>
        <v>0</v>
      </c>
      <c r="C81" s="50" t="e">
        <f t="shared" si="33"/>
        <v>#VALUE!</v>
      </c>
      <c r="E81" s="56">
        <v>78</v>
      </c>
      <c r="G81" s="138"/>
      <c r="H81" s="135">
        <v>1</v>
      </c>
      <c r="I81" s="57" t="str">
        <f t="shared" si="20"/>
        <v/>
      </c>
      <c r="J81" s="58" t="e">
        <f t="shared" si="21"/>
        <v>#VALUE!</v>
      </c>
      <c r="K81" s="50" t="e">
        <f t="shared" si="22"/>
        <v>#VALUE!</v>
      </c>
      <c r="L81" s="50" t="e">
        <f t="shared" si="19"/>
        <v>#VALUE!</v>
      </c>
      <c r="M81" s="50" t="e">
        <f t="shared" si="19"/>
        <v>#VALUE!</v>
      </c>
      <c r="N81" s="50" t="e">
        <f t="shared" si="23"/>
        <v>#VALUE!</v>
      </c>
      <c r="O81" s="50" t="e">
        <f t="shared" si="24"/>
        <v>#VALUE!</v>
      </c>
      <c r="P81" s="50">
        <f t="shared" si="25"/>
        <v>0</v>
      </c>
      <c r="R81" s="55" t="e">
        <f t="shared" si="26"/>
        <v>#VALUE!</v>
      </c>
      <c r="S81" s="55" t="e">
        <f t="shared" si="27"/>
        <v>#VALUE!</v>
      </c>
      <c r="T81" s="55" t="e">
        <f t="shared" si="31"/>
        <v>#VALUE!</v>
      </c>
      <c r="U81" s="50" t="e">
        <f t="shared" si="28"/>
        <v>#VALUE!</v>
      </c>
      <c r="V81" s="50" t="e">
        <f t="shared" si="29"/>
        <v>#VALUE!</v>
      </c>
      <c r="W81" s="50" t="e">
        <f t="shared" si="30"/>
        <v>#VALUE!</v>
      </c>
      <c r="AD81" s="59"/>
    </row>
    <row r="82" spans="2:30" x14ac:dyDescent="0.25">
      <c r="B82" s="50" t="b">
        <f t="shared" si="32"/>
        <v>0</v>
      </c>
      <c r="C82" s="50" t="e">
        <f t="shared" si="33"/>
        <v>#VALUE!</v>
      </c>
      <c r="E82" s="56">
        <v>79</v>
      </c>
      <c r="G82" s="138"/>
      <c r="H82" s="135">
        <v>1</v>
      </c>
      <c r="I82" s="57" t="str">
        <f t="shared" si="20"/>
        <v/>
      </c>
      <c r="J82" s="58" t="e">
        <f t="shared" si="21"/>
        <v>#VALUE!</v>
      </c>
      <c r="K82" s="50" t="e">
        <f t="shared" si="22"/>
        <v>#VALUE!</v>
      </c>
      <c r="L82" s="50" t="e">
        <f t="shared" si="19"/>
        <v>#VALUE!</v>
      </c>
      <c r="M82" s="50" t="e">
        <f t="shared" si="19"/>
        <v>#VALUE!</v>
      </c>
      <c r="N82" s="50" t="e">
        <f t="shared" si="23"/>
        <v>#VALUE!</v>
      </c>
      <c r="O82" s="50" t="e">
        <f t="shared" si="24"/>
        <v>#VALUE!</v>
      </c>
      <c r="P82" s="50">
        <f t="shared" si="25"/>
        <v>0</v>
      </c>
      <c r="R82" s="55" t="e">
        <f t="shared" si="26"/>
        <v>#VALUE!</v>
      </c>
      <c r="S82" s="55" t="e">
        <f t="shared" si="27"/>
        <v>#VALUE!</v>
      </c>
      <c r="T82" s="55" t="e">
        <f t="shared" si="31"/>
        <v>#VALUE!</v>
      </c>
      <c r="U82" s="50" t="e">
        <f t="shared" si="28"/>
        <v>#VALUE!</v>
      </c>
      <c r="V82" s="50" t="e">
        <f t="shared" si="29"/>
        <v>#VALUE!</v>
      </c>
      <c r="W82" s="50" t="e">
        <f t="shared" si="30"/>
        <v>#VALUE!</v>
      </c>
      <c r="AD82" s="59"/>
    </row>
    <row r="83" spans="2:30" x14ac:dyDescent="0.25">
      <c r="B83" s="50" t="b">
        <f t="shared" si="32"/>
        <v>0</v>
      </c>
      <c r="C83" s="50" t="e">
        <f t="shared" si="33"/>
        <v>#VALUE!</v>
      </c>
      <c r="E83" s="56">
        <v>80</v>
      </c>
      <c r="G83" s="138"/>
      <c r="H83" s="135">
        <v>1</v>
      </c>
      <c r="I83" s="57" t="str">
        <f t="shared" si="20"/>
        <v/>
      </c>
      <c r="J83" s="58" t="e">
        <f t="shared" si="21"/>
        <v>#VALUE!</v>
      </c>
      <c r="K83" s="50" t="e">
        <f t="shared" si="22"/>
        <v>#VALUE!</v>
      </c>
      <c r="L83" s="50" t="e">
        <f t="shared" si="19"/>
        <v>#VALUE!</v>
      </c>
      <c r="M83" s="50" t="e">
        <f t="shared" si="19"/>
        <v>#VALUE!</v>
      </c>
      <c r="N83" s="50" t="e">
        <f t="shared" si="23"/>
        <v>#VALUE!</v>
      </c>
      <c r="O83" s="50" t="e">
        <f t="shared" si="24"/>
        <v>#VALUE!</v>
      </c>
      <c r="P83" s="50">
        <f t="shared" si="25"/>
        <v>0</v>
      </c>
      <c r="R83" s="55" t="e">
        <f t="shared" si="26"/>
        <v>#VALUE!</v>
      </c>
      <c r="S83" s="55" t="e">
        <f t="shared" si="27"/>
        <v>#VALUE!</v>
      </c>
      <c r="T83" s="55" t="e">
        <f t="shared" si="31"/>
        <v>#VALUE!</v>
      </c>
      <c r="U83" s="50" t="e">
        <f t="shared" si="28"/>
        <v>#VALUE!</v>
      </c>
      <c r="V83" s="50" t="e">
        <f t="shared" si="29"/>
        <v>#VALUE!</v>
      </c>
      <c r="W83" s="50" t="e">
        <f t="shared" si="30"/>
        <v>#VALUE!</v>
      </c>
      <c r="AD83" s="59"/>
    </row>
    <row r="84" spans="2:30" x14ac:dyDescent="0.25">
      <c r="B84" s="50" t="b">
        <f t="shared" si="32"/>
        <v>0</v>
      </c>
      <c r="C84" s="50" t="e">
        <f t="shared" si="33"/>
        <v>#VALUE!</v>
      </c>
      <c r="E84" s="56">
        <v>81</v>
      </c>
      <c r="G84" s="138"/>
      <c r="H84" s="135">
        <v>1</v>
      </c>
      <c r="I84" s="57" t="str">
        <f t="shared" si="20"/>
        <v/>
      </c>
      <c r="J84" s="58" t="e">
        <f t="shared" si="21"/>
        <v>#VALUE!</v>
      </c>
      <c r="K84" s="50" t="e">
        <f t="shared" si="22"/>
        <v>#VALUE!</v>
      </c>
      <c r="L84" s="50" t="e">
        <f t="shared" si="19"/>
        <v>#VALUE!</v>
      </c>
      <c r="M84" s="50" t="e">
        <f t="shared" si="19"/>
        <v>#VALUE!</v>
      </c>
      <c r="N84" s="50" t="e">
        <f t="shared" si="23"/>
        <v>#VALUE!</v>
      </c>
      <c r="O84" s="50" t="e">
        <f t="shared" si="24"/>
        <v>#VALUE!</v>
      </c>
      <c r="P84" s="50">
        <f t="shared" si="25"/>
        <v>0</v>
      </c>
      <c r="R84" s="55" t="e">
        <f t="shared" si="26"/>
        <v>#VALUE!</v>
      </c>
      <c r="S84" s="55" t="e">
        <f t="shared" si="27"/>
        <v>#VALUE!</v>
      </c>
      <c r="T84" s="55" t="e">
        <f t="shared" si="31"/>
        <v>#VALUE!</v>
      </c>
      <c r="U84" s="50" t="e">
        <f t="shared" si="28"/>
        <v>#VALUE!</v>
      </c>
      <c r="V84" s="50" t="e">
        <f t="shared" si="29"/>
        <v>#VALUE!</v>
      </c>
      <c r="W84" s="50" t="e">
        <f t="shared" si="30"/>
        <v>#VALUE!</v>
      </c>
      <c r="AD84" s="59"/>
    </row>
    <row r="85" spans="2:30" x14ac:dyDescent="0.25">
      <c r="B85" s="50" t="b">
        <f t="shared" si="32"/>
        <v>0</v>
      </c>
      <c r="C85" s="50" t="e">
        <f t="shared" si="33"/>
        <v>#VALUE!</v>
      </c>
      <c r="E85" s="56">
        <v>82</v>
      </c>
      <c r="G85" s="138"/>
      <c r="H85" s="135">
        <v>1</v>
      </c>
      <c r="I85" s="57" t="str">
        <f t="shared" si="20"/>
        <v/>
      </c>
      <c r="J85" s="58" t="e">
        <f t="shared" si="21"/>
        <v>#VALUE!</v>
      </c>
      <c r="K85" s="50" t="e">
        <f t="shared" si="22"/>
        <v>#VALUE!</v>
      </c>
      <c r="L85" s="50" t="e">
        <f t="shared" ref="L85:M132" si="34">O85-N85</f>
        <v>#VALUE!</v>
      </c>
      <c r="M85" s="50" t="e">
        <f t="shared" si="34"/>
        <v>#VALUE!</v>
      </c>
      <c r="N85" s="50" t="e">
        <f t="shared" si="23"/>
        <v>#VALUE!</v>
      </c>
      <c r="O85" s="50" t="e">
        <f t="shared" si="24"/>
        <v>#VALUE!</v>
      </c>
      <c r="P85" s="50">
        <f t="shared" si="25"/>
        <v>0</v>
      </c>
      <c r="R85" s="55" t="e">
        <f t="shared" si="26"/>
        <v>#VALUE!</v>
      </c>
      <c r="S85" s="55" t="e">
        <f t="shared" si="27"/>
        <v>#VALUE!</v>
      </c>
      <c r="T85" s="55" t="e">
        <f t="shared" si="31"/>
        <v>#VALUE!</v>
      </c>
      <c r="U85" s="50" t="e">
        <f t="shared" si="28"/>
        <v>#VALUE!</v>
      </c>
      <c r="V85" s="50" t="e">
        <f t="shared" si="29"/>
        <v>#VALUE!</v>
      </c>
      <c r="W85" s="50" t="e">
        <f t="shared" si="30"/>
        <v>#VALUE!</v>
      </c>
      <c r="AD85" s="59"/>
    </row>
    <row r="86" spans="2:30" x14ac:dyDescent="0.25">
      <c r="B86" s="50" t="b">
        <f t="shared" si="32"/>
        <v>0</v>
      </c>
      <c r="C86" s="50" t="e">
        <f t="shared" si="33"/>
        <v>#VALUE!</v>
      </c>
      <c r="E86" s="56">
        <v>83</v>
      </c>
      <c r="G86" s="138"/>
      <c r="H86" s="135">
        <v>1</v>
      </c>
      <c r="I86" s="57" t="str">
        <f t="shared" si="20"/>
        <v/>
      </c>
      <c r="J86" s="58" t="e">
        <f t="shared" si="21"/>
        <v>#VALUE!</v>
      </c>
      <c r="K86" s="50" t="e">
        <f t="shared" si="22"/>
        <v>#VALUE!</v>
      </c>
      <c r="L86" s="50" t="e">
        <f t="shared" si="34"/>
        <v>#VALUE!</v>
      </c>
      <c r="M86" s="50" t="e">
        <f t="shared" si="34"/>
        <v>#VALUE!</v>
      </c>
      <c r="N86" s="50" t="e">
        <f t="shared" si="23"/>
        <v>#VALUE!</v>
      </c>
      <c r="O86" s="50" t="e">
        <f t="shared" si="24"/>
        <v>#VALUE!</v>
      </c>
      <c r="P86" s="50">
        <f t="shared" si="25"/>
        <v>0</v>
      </c>
      <c r="R86" s="55" t="e">
        <f t="shared" si="26"/>
        <v>#VALUE!</v>
      </c>
      <c r="S86" s="55" t="e">
        <f t="shared" si="27"/>
        <v>#VALUE!</v>
      </c>
      <c r="T86" s="55" t="e">
        <f t="shared" si="31"/>
        <v>#VALUE!</v>
      </c>
      <c r="U86" s="50" t="e">
        <f t="shared" si="28"/>
        <v>#VALUE!</v>
      </c>
      <c r="V86" s="50" t="e">
        <f t="shared" si="29"/>
        <v>#VALUE!</v>
      </c>
      <c r="W86" s="50" t="e">
        <f t="shared" si="30"/>
        <v>#VALUE!</v>
      </c>
      <c r="AD86" s="59"/>
    </row>
    <row r="87" spans="2:30" x14ac:dyDescent="0.25">
      <c r="B87" s="50" t="b">
        <f t="shared" si="32"/>
        <v>0</v>
      </c>
      <c r="C87" s="50" t="e">
        <f t="shared" si="33"/>
        <v>#VALUE!</v>
      </c>
      <c r="E87" s="56">
        <v>84</v>
      </c>
      <c r="G87" s="138"/>
      <c r="H87" s="135">
        <v>1</v>
      </c>
      <c r="I87" s="57" t="str">
        <f t="shared" si="20"/>
        <v/>
      </c>
      <c r="J87" s="58" t="e">
        <f t="shared" si="21"/>
        <v>#VALUE!</v>
      </c>
      <c r="K87" s="50" t="e">
        <f t="shared" si="22"/>
        <v>#VALUE!</v>
      </c>
      <c r="L87" s="50" t="e">
        <f t="shared" si="34"/>
        <v>#VALUE!</v>
      </c>
      <c r="M87" s="50" t="e">
        <f t="shared" si="34"/>
        <v>#VALUE!</v>
      </c>
      <c r="N87" s="50" t="e">
        <f t="shared" si="23"/>
        <v>#VALUE!</v>
      </c>
      <c r="O87" s="50" t="e">
        <f t="shared" si="24"/>
        <v>#VALUE!</v>
      </c>
      <c r="P87" s="50">
        <f t="shared" si="25"/>
        <v>0</v>
      </c>
      <c r="R87" s="55" t="e">
        <f t="shared" si="26"/>
        <v>#VALUE!</v>
      </c>
      <c r="S87" s="55" t="e">
        <f t="shared" si="27"/>
        <v>#VALUE!</v>
      </c>
      <c r="T87" s="55" t="e">
        <f t="shared" si="31"/>
        <v>#VALUE!</v>
      </c>
      <c r="U87" s="50" t="e">
        <f t="shared" si="28"/>
        <v>#VALUE!</v>
      </c>
      <c r="V87" s="50" t="e">
        <f t="shared" si="29"/>
        <v>#VALUE!</v>
      </c>
      <c r="W87" s="50" t="e">
        <f t="shared" si="30"/>
        <v>#VALUE!</v>
      </c>
      <c r="AD87" s="59"/>
    </row>
    <row r="88" spans="2:30" x14ac:dyDescent="0.25">
      <c r="B88" s="50" t="b">
        <f t="shared" si="32"/>
        <v>0</v>
      </c>
      <c r="C88" s="50" t="e">
        <f t="shared" si="33"/>
        <v>#VALUE!</v>
      </c>
      <c r="E88" s="56">
        <v>85</v>
      </c>
      <c r="G88" s="138"/>
      <c r="H88" s="135">
        <v>1</v>
      </c>
      <c r="I88" s="57" t="str">
        <f t="shared" si="20"/>
        <v/>
      </c>
      <c r="J88" s="58" t="e">
        <f t="shared" si="21"/>
        <v>#VALUE!</v>
      </c>
      <c r="K88" s="50" t="e">
        <f t="shared" si="22"/>
        <v>#VALUE!</v>
      </c>
      <c r="L88" s="50" t="e">
        <f t="shared" si="34"/>
        <v>#VALUE!</v>
      </c>
      <c r="M88" s="50" t="e">
        <f t="shared" si="34"/>
        <v>#VALUE!</v>
      </c>
      <c r="N88" s="50" t="e">
        <f t="shared" si="23"/>
        <v>#VALUE!</v>
      </c>
      <c r="O88" s="50" t="e">
        <f t="shared" si="24"/>
        <v>#VALUE!</v>
      </c>
      <c r="P88" s="50">
        <f t="shared" si="25"/>
        <v>0</v>
      </c>
      <c r="R88" s="55" t="e">
        <f t="shared" si="26"/>
        <v>#VALUE!</v>
      </c>
      <c r="S88" s="55" t="e">
        <f t="shared" si="27"/>
        <v>#VALUE!</v>
      </c>
      <c r="T88" s="55" t="e">
        <f t="shared" si="31"/>
        <v>#VALUE!</v>
      </c>
      <c r="U88" s="50" t="e">
        <f t="shared" si="28"/>
        <v>#VALUE!</v>
      </c>
      <c r="V88" s="50" t="e">
        <f t="shared" si="29"/>
        <v>#VALUE!</v>
      </c>
      <c r="W88" s="50" t="e">
        <f t="shared" si="30"/>
        <v>#VALUE!</v>
      </c>
      <c r="AD88" s="59"/>
    </row>
    <row r="89" spans="2:30" x14ac:dyDescent="0.25">
      <c r="B89" s="50" t="b">
        <f t="shared" si="32"/>
        <v>0</v>
      </c>
      <c r="C89" s="50" t="e">
        <f t="shared" si="33"/>
        <v>#VALUE!</v>
      </c>
      <c r="E89" s="56">
        <v>86</v>
      </c>
      <c r="G89" s="138"/>
      <c r="H89" s="135">
        <v>1</v>
      </c>
      <c r="I89" s="57" t="str">
        <f t="shared" si="20"/>
        <v/>
      </c>
      <c r="J89" s="58" t="e">
        <f t="shared" si="21"/>
        <v>#VALUE!</v>
      </c>
      <c r="K89" s="50" t="e">
        <f t="shared" si="22"/>
        <v>#VALUE!</v>
      </c>
      <c r="L89" s="50" t="e">
        <f t="shared" si="34"/>
        <v>#VALUE!</v>
      </c>
      <c r="M89" s="50" t="e">
        <f t="shared" si="34"/>
        <v>#VALUE!</v>
      </c>
      <c r="N89" s="50" t="e">
        <f t="shared" si="23"/>
        <v>#VALUE!</v>
      </c>
      <c r="O89" s="50" t="e">
        <f t="shared" si="24"/>
        <v>#VALUE!</v>
      </c>
      <c r="P89" s="50">
        <f t="shared" si="25"/>
        <v>0</v>
      </c>
      <c r="R89" s="55" t="e">
        <f t="shared" si="26"/>
        <v>#VALUE!</v>
      </c>
      <c r="S89" s="55" t="e">
        <f t="shared" si="27"/>
        <v>#VALUE!</v>
      </c>
      <c r="T89" s="55" t="e">
        <f t="shared" si="31"/>
        <v>#VALUE!</v>
      </c>
      <c r="U89" s="50" t="e">
        <f t="shared" si="28"/>
        <v>#VALUE!</v>
      </c>
      <c r="V89" s="50" t="e">
        <f t="shared" si="29"/>
        <v>#VALUE!</v>
      </c>
      <c r="W89" s="50" t="e">
        <f t="shared" si="30"/>
        <v>#VALUE!</v>
      </c>
      <c r="AD89" s="59"/>
    </row>
    <row r="90" spans="2:30" x14ac:dyDescent="0.25">
      <c r="B90" s="50" t="b">
        <f t="shared" si="32"/>
        <v>0</v>
      </c>
      <c r="C90" s="50" t="e">
        <f t="shared" si="33"/>
        <v>#VALUE!</v>
      </c>
      <c r="E90" s="56">
        <v>87</v>
      </c>
      <c r="G90" s="138"/>
      <c r="H90" s="135">
        <v>1</v>
      </c>
      <c r="I90" s="57" t="str">
        <f t="shared" si="20"/>
        <v/>
      </c>
      <c r="J90" s="58" t="e">
        <f t="shared" si="21"/>
        <v>#VALUE!</v>
      </c>
      <c r="K90" s="50" t="e">
        <f t="shared" si="22"/>
        <v>#VALUE!</v>
      </c>
      <c r="L90" s="50" t="e">
        <f t="shared" si="34"/>
        <v>#VALUE!</v>
      </c>
      <c r="M90" s="50" t="e">
        <f t="shared" si="34"/>
        <v>#VALUE!</v>
      </c>
      <c r="N90" s="50" t="e">
        <f t="shared" si="23"/>
        <v>#VALUE!</v>
      </c>
      <c r="O90" s="50" t="e">
        <f t="shared" si="24"/>
        <v>#VALUE!</v>
      </c>
      <c r="P90" s="50">
        <f t="shared" si="25"/>
        <v>0</v>
      </c>
      <c r="R90" s="55" t="e">
        <f t="shared" si="26"/>
        <v>#VALUE!</v>
      </c>
      <c r="S90" s="55" t="e">
        <f t="shared" si="27"/>
        <v>#VALUE!</v>
      </c>
      <c r="T90" s="55" t="e">
        <f t="shared" si="31"/>
        <v>#VALUE!</v>
      </c>
      <c r="U90" s="50" t="e">
        <f t="shared" si="28"/>
        <v>#VALUE!</v>
      </c>
      <c r="V90" s="50" t="e">
        <f t="shared" si="29"/>
        <v>#VALUE!</v>
      </c>
      <c r="W90" s="50" t="e">
        <f t="shared" si="30"/>
        <v>#VALUE!</v>
      </c>
      <c r="AD90" s="59"/>
    </row>
    <row r="91" spans="2:30" x14ac:dyDescent="0.25">
      <c r="B91" s="50" t="b">
        <f t="shared" si="32"/>
        <v>0</v>
      </c>
      <c r="C91" s="50" t="e">
        <f t="shared" si="33"/>
        <v>#VALUE!</v>
      </c>
      <c r="E91" s="56">
        <v>88</v>
      </c>
      <c r="G91" s="138"/>
      <c r="H91" s="135">
        <v>1</v>
      </c>
      <c r="I91" s="57" t="str">
        <f t="shared" si="20"/>
        <v/>
      </c>
      <c r="J91" s="58" t="e">
        <f t="shared" si="21"/>
        <v>#VALUE!</v>
      </c>
      <c r="K91" s="50" t="e">
        <f t="shared" si="22"/>
        <v>#VALUE!</v>
      </c>
      <c r="L91" s="50" t="e">
        <f t="shared" si="34"/>
        <v>#VALUE!</v>
      </c>
      <c r="M91" s="50" t="e">
        <f t="shared" si="34"/>
        <v>#VALUE!</v>
      </c>
      <c r="N91" s="50" t="e">
        <f t="shared" si="23"/>
        <v>#VALUE!</v>
      </c>
      <c r="O91" s="50" t="e">
        <f t="shared" si="24"/>
        <v>#VALUE!</v>
      </c>
      <c r="P91" s="50">
        <f t="shared" si="25"/>
        <v>0</v>
      </c>
      <c r="R91" s="55" t="e">
        <f t="shared" si="26"/>
        <v>#VALUE!</v>
      </c>
      <c r="S91" s="55" t="e">
        <f t="shared" si="27"/>
        <v>#VALUE!</v>
      </c>
      <c r="T91" s="55" t="e">
        <f t="shared" si="31"/>
        <v>#VALUE!</v>
      </c>
      <c r="U91" s="50" t="e">
        <f t="shared" si="28"/>
        <v>#VALUE!</v>
      </c>
      <c r="V91" s="50" t="e">
        <f t="shared" si="29"/>
        <v>#VALUE!</v>
      </c>
      <c r="W91" s="50" t="e">
        <f t="shared" si="30"/>
        <v>#VALUE!</v>
      </c>
      <c r="AD91" s="59"/>
    </row>
    <row r="92" spans="2:30" x14ac:dyDescent="0.25">
      <c r="B92" s="50" t="b">
        <f t="shared" si="32"/>
        <v>0</v>
      </c>
      <c r="C92" s="50" t="e">
        <f t="shared" si="33"/>
        <v>#VALUE!</v>
      </c>
      <c r="E92" s="56">
        <v>89</v>
      </c>
      <c r="G92" s="138"/>
      <c r="H92" s="135">
        <v>1</v>
      </c>
      <c r="I92" s="57" t="str">
        <f t="shared" si="20"/>
        <v/>
      </c>
      <c r="J92" s="58" t="e">
        <f t="shared" si="21"/>
        <v>#VALUE!</v>
      </c>
      <c r="K92" s="50" t="e">
        <f t="shared" si="22"/>
        <v>#VALUE!</v>
      </c>
      <c r="L92" s="50" t="e">
        <f t="shared" si="34"/>
        <v>#VALUE!</v>
      </c>
      <c r="M92" s="50" t="e">
        <f t="shared" si="34"/>
        <v>#VALUE!</v>
      </c>
      <c r="N92" s="50" t="e">
        <f t="shared" si="23"/>
        <v>#VALUE!</v>
      </c>
      <c r="O92" s="50" t="e">
        <f t="shared" si="24"/>
        <v>#VALUE!</v>
      </c>
      <c r="P92" s="50">
        <f t="shared" si="25"/>
        <v>0</v>
      </c>
      <c r="R92" s="55" t="e">
        <f t="shared" si="26"/>
        <v>#VALUE!</v>
      </c>
      <c r="S92" s="55" t="e">
        <f t="shared" si="27"/>
        <v>#VALUE!</v>
      </c>
      <c r="T92" s="55" t="e">
        <f t="shared" si="31"/>
        <v>#VALUE!</v>
      </c>
      <c r="U92" s="50" t="e">
        <f t="shared" si="28"/>
        <v>#VALUE!</v>
      </c>
      <c r="V92" s="50" t="e">
        <f t="shared" si="29"/>
        <v>#VALUE!</v>
      </c>
      <c r="W92" s="50" t="e">
        <f t="shared" si="30"/>
        <v>#VALUE!</v>
      </c>
      <c r="AD92" s="59"/>
    </row>
    <row r="93" spans="2:30" x14ac:dyDescent="0.25">
      <c r="B93" s="50" t="b">
        <f t="shared" si="32"/>
        <v>0</v>
      </c>
      <c r="C93" s="50" t="e">
        <f t="shared" si="33"/>
        <v>#VALUE!</v>
      </c>
      <c r="E93" s="56">
        <v>90</v>
      </c>
      <c r="G93" s="138"/>
      <c r="H93" s="135">
        <v>1</v>
      </c>
      <c r="I93" s="57" t="str">
        <f t="shared" si="20"/>
        <v/>
      </c>
      <c r="J93" s="58" t="e">
        <f t="shared" si="21"/>
        <v>#VALUE!</v>
      </c>
      <c r="K93" s="50" t="e">
        <f t="shared" si="22"/>
        <v>#VALUE!</v>
      </c>
      <c r="L93" s="50" t="e">
        <f t="shared" si="34"/>
        <v>#VALUE!</v>
      </c>
      <c r="M93" s="50" t="e">
        <f t="shared" si="34"/>
        <v>#VALUE!</v>
      </c>
      <c r="N93" s="50" t="e">
        <f t="shared" si="23"/>
        <v>#VALUE!</v>
      </c>
      <c r="O93" s="50" t="e">
        <f t="shared" si="24"/>
        <v>#VALUE!</v>
      </c>
      <c r="P93" s="50">
        <f t="shared" si="25"/>
        <v>0</v>
      </c>
      <c r="R93" s="55" t="e">
        <f t="shared" si="26"/>
        <v>#VALUE!</v>
      </c>
      <c r="S93" s="55" t="e">
        <f t="shared" si="27"/>
        <v>#VALUE!</v>
      </c>
      <c r="T93" s="55" t="e">
        <f t="shared" si="31"/>
        <v>#VALUE!</v>
      </c>
      <c r="U93" s="50" t="e">
        <f t="shared" si="28"/>
        <v>#VALUE!</v>
      </c>
      <c r="V93" s="50" t="e">
        <f t="shared" si="29"/>
        <v>#VALUE!</v>
      </c>
      <c r="W93" s="50" t="e">
        <f t="shared" si="30"/>
        <v>#VALUE!</v>
      </c>
      <c r="AD93" s="59"/>
    </row>
    <row r="94" spans="2:30" x14ac:dyDescent="0.25">
      <c r="B94" s="50" t="b">
        <f t="shared" si="32"/>
        <v>0</v>
      </c>
      <c r="C94" s="50" t="e">
        <f t="shared" si="33"/>
        <v>#VALUE!</v>
      </c>
      <c r="E94" s="56">
        <v>91</v>
      </c>
      <c r="G94" s="138"/>
      <c r="H94" s="135">
        <v>1</v>
      </c>
      <c r="I94" s="57" t="str">
        <f t="shared" si="20"/>
        <v/>
      </c>
      <c r="J94" s="58" t="e">
        <f t="shared" si="21"/>
        <v>#VALUE!</v>
      </c>
      <c r="K94" s="50" t="e">
        <f t="shared" si="22"/>
        <v>#VALUE!</v>
      </c>
      <c r="L94" s="50" t="e">
        <f t="shared" si="34"/>
        <v>#VALUE!</v>
      </c>
      <c r="M94" s="50" t="e">
        <f t="shared" si="34"/>
        <v>#VALUE!</v>
      </c>
      <c r="N94" s="50" t="e">
        <f t="shared" si="23"/>
        <v>#VALUE!</v>
      </c>
      <c r="O94" s="50" t="e">
        <f t="shared" si="24"/>
        <v>#VALUE!</v>
      </c>
      <c r="P94" s="50">
        <f t="shared" si="25"/>
        <v>0</v>
      </c>
      <c r="R94" s="55" t="e">
        <f t="shared" si="26"/>
        <v>#VALUE!</v>
      </c>
      <c r="S94" s="55" t="e">
        <f t="shared" si="27"/>
        <v>#VALUE!</v>
      </c>
      <c r="T94" s="55" t="e">
        <f t="shared" si="31"/>
        <v>#VALUE!</v>
      </c>
      <c r="U94" s="50" t="e">
        <f t="shared" si="28"/>
        <v>#VALUE!</v>
      </c>
      <c r="V94" s="50" t="e">
        <f t="shared" si="29"/>
        <v>#VALUE!</v>
      </c>
      <c r="W94" s="50" t="e">
        <f t="shared" si="30"/>
        <v>#VALUE!</v>
      </c>
      <c r="AD94" s="59"/>
    </row>
    <row r="95" spans="2:30" x14ac:dyDescent="0.25">
      <c r="B95" s="50" t="b">
        <f t="shared" si="32"/>
        <v>0</v>
      </c>
      <c r="C95" s="50" t="e">
        <f t="shared" si="33"/>
        <v>#VALUE!</v>
      </c>
      <c r="E95" s="56">
        <v>92</v>
      </c>
      <c r="G95" s="138"/>
      <c r="H95" s="135">
        <v>1</v>
      </c>
      <c r="I95" s="57" t="str">
        <f t="shared" si="20"/>
        <v/>
      </c>
      <c r="J95" s="58" t="e">
        <f t="shared" si="21"/>
        <v>#VALUE!</v>
      </c>
      <c r="K95" s="50" t="e">
        <f t="shared" si="22"/>
        <v>#VALUE!</v>
      </c>
      <c r="L95" s="50" t="e">
        <f t="shared" si="34"/>
        <v>#VALUE!</v>
      </c>
      <c r="M95" s="50" t="e">
        <f t="shared" si="34"/>
        <v>#VALUE!</v>
      </c>
      <c r="N95" s="50" t="e">
        <f t="shared" si="23"/>
        <v>#VALUE!</v>
      </c>
      <c r="O95" s="50" t="e">
        <f t="shared" si="24"/>
        <v>#VALUE!</v>
      </c>
      <c r="P95" s="50">
        <f t="shared" si="25"/>
        <v>0</v>
      </c>
      <c r="R95" s="55" t="e">
        <f t="shared" si="26"/>
        <v>#VALUE!</v>
      </c>
      <c r="S95" s="55" t="e">
        <f t="shared" si="27"/>
        <v>#VALUE!</v>
      </c>
      <c r="T95" s="55" t="e">
        <f t="shared" si="31"/>
        <v>#VALUE!</v>
      </c>
      <c r="U95" s="50" t="e">
        <f t="shared" si="28"/>
        <v>#VALUE!</v>
      </c>
      <c r="V95" s="50" t="e">
        <f t="shared" si="29"/>
        <v>#VALUE!</v>
      </c>
      <c r="W95" s="50" t="e">
        <f t="shared" si="30"/>
        <v>#VALUE!</v>
      </c>
      <c r="AD95" s="59"/>
    </row>
    <row r="96" spans="2:30" x14ac:dyDescent="0.25">
      <c r="B96" s="50" t="b">
        <f t="shared" si="32"/>
        <v>0</v>
      </c>
      <c r="C96" s="50" t="e">
        <f t="shared" si="33"/>
        <v>#VALUE!</v>
      </c>
      <c r="E96" s="56">
        <v>93</v>
      </c>
      <c r="G96" s="138"/>
      <c r="H96" s="135">
        <v>1</v>
      </c>
      <c r="I96" s="57" t="str">
        <f t="shared" si="20"/>
        <v/>
      </c>
      <c r="J96" s="58" t="e">
        <f t="shared" si="21"/>
        <v>#VALUE!</v>
      </c>
      <c r="K96" s="50" t="e">
        <f t="shared" si="22"/>
        <v>#VALUE!</v>
      </c>
      <c r="L96" s="50" t="e">
        <f t="shared" si="34"/>
        <v>#VALUE!</v>
      </c>
      <c r="M96" s="50" t="e">
        <f t="shared" si="34"/>
        <v>#VALUE!</v>
      </c>
      <c r="N96" s="50" t="e">
        <f t="shared" si="23"/>
        <v>#VALUE!</v>
      </c>
      <c r="O96" s="50" t="e">
        <f t="shared" si="24"/>
        <v>#VALUE!</v>
      </c>
      <c r="P96" s="50">
        <f t="shared" si="25"/>
        <v>0</v>
      </c>
      <c r="R96" s="55" t="e">
        <f t="shared" si="26"/>
        <v>#VALUE!</v>
      </c>
      <c r="S96" s="55" t="e">
        <f t="shared" si="27"/>
        <v>#VALUE!</v>
      </c>
      <c r="T96" s="55" t="e">
        <f t="shared" si="31"/>
        <v>#VALUE!</v>
      </c>
      <c r="U96" s="50" t="e">
        <f t="shared" si="28"/>
        <v>#VALUE!</v>
      </c>
      <c r="V96" s="50" t="e">
        <f t="shared" si="29"/>
        <v>#VALUE!</v>
      </c>
      <c r="W96" s="50" t="e">
        <f t="shared" si="30"/>
        <v>#VALUE!</v>
      </c>
      <c r="AD96" s="59"/>
    </row>
    <row r="97" spans="2:30" x14ac:dyDescent="0.25">
      <c r="B97" s="50" t="b">
        <f t="shared" si="32"/>
        <v>0</v>
      </c>
      <c r="C97" s="50" t="e">
        <f t="shared" si="33"/>
        <v>#VALUE!</v>
      </c>
      <c r="E97" s="56">
        <v>94</v>
      </c>
      <c r="G97" s="138"/>
      <c r="H97" s="135">
        <v>1</v>
      </c>
      <c r="I97" s="57" t="str">
        <f t="shared" si="20"/>
        <v/>
      </c>
      <c r="J97" s="58" t="e">
        <f t="shared" si="21"/>
        <v>#VALUE!</v>
      </c>
      <c r="K97" s="50" t="e">
        <f t="shared" si="22"/>
        <v>#VALUE!</v>
      </c>
      <c r="L97" s="50" t="e">
        <f t="shared" si="34"/>
        <v>#VALUE!</v>
      </c>
      <c r="M97" s="50" t="e">
        <f t="shared" si="34"/>
        <v>#VALUE!</v>
      </c>
      <c r="N97" s="50" t="e">
        <f t="shared" si="23"/>
        <v>#VALUE!</v>
      </c>
      <c r="O97" s="50" t="e">
        <f t="shared" si="24"/>
        <v>#VALUE!</v>
      </c>
      <c r="P97" s="50">
        <f t="shared" si="25"/>
        <v>0</v>
      </c>
      <c r="R97" s="55" t="e">
        <f t="shared" si="26"/>
        <v>#VALUE!</v>
      </c>
      <c r="S97" s="55" t="e">
        <f t="shared" si="27"/>
        <v>#VALUE!</v>
      </c>
      <c r="T97" s="55" t="e">
        <f t="shared" si="31"/>
        <v>#VALUE!</v>
      </c>
      <c r="U97" s="50" t="e">
        <f t="shared" si="28"/>
        <v>#VALUE!</v>
      </c>
      <c r="V97" s="50" t="e">
        <f t="shared" si="29"/>
        <v>#VALUE!</v>
      </c>
      <c r="W97" s="50" t="e">
        <f t="shared" si="30"/>
        <v>#VALUE!</v>
      </c>
      <c r="AD97" s="59"/>
    </row>
    <row r="98" spans="2:30" x14ac:dyDescent="0.25">
      <c r="B98" s="50" t="b">
        <f t="shared" si="32"/>
        <v>0</v>
      </c>
      <c r="C98" s="50" t="e">
        <f t="shared" si="33"/>
        <v>#VALUE!</v>
      </c>
      <c r="E98" s="56">
        <v>95</v>
      </c>
      <c r="G98" s="138"/>
      <c r="H98" s="135">
        <v>1</v>
      </c>
      <c r="I98" s="57" t="str">
        <f t="shared" si="20"/>
        <v/>
      </c>
      <c r="J98" s="58" t="e">
        <f t="shared" si="21"/>
        <v>#VALUE!</v>
      </c>
      <c r="K98" s="50" t="e">
        <f t="shared" si="22"/>
        <v>#VALUE!</v>
      </c>
      <c r="L98" s="50" t="e">
        <f t="shared" si="34"/>
        <v>#VALUE!</v>
      </c>
      <c r="M98" s="50" t="e">
        <f t="shared" si="34"/>
        <v>#VALUE!</v>
      </c>
      <c r="N98" s="50" t="e">
        <f t="shared" si="23"/>
        <v>#VALUE!</v>
      </c>
      <c r="O98" s="50" t="e">
        <f t="shared" si="24"/>
        <v>#VALUE!</v>
      </c>
      <c r="P98" s="50">
        <f t="shared" si="25"/>
        <v>0</v>
      </c>
      <c r="R98" s="55" t="e">
        <f t="shared" si="26"/>
        <v>#VALUE!</v>
      </c>
      <c r="S98" s="55" t="e">
        <f t="shared" si="27"/>
        <v>#VALUE!</v>
      </c>
      <c r="T98" s="55" t="e">
        <f t="shared" si="31"/>
        <v>#VALUE!</v>
      </c>
      <c r="U98" s="50" t="e">
        <f t="shared" si="28"/>
        <v>#VALUE!</v>
      </c>
      <c r="V98" s="50" t="e">
        <f t="shared" si="29"/>
        <v>#VALUE!</v>
      </c>
      <c r="W98" s="50" t="e">
        <f t="shared" si="30"/>
        <v>#VALUE!</v>
      </c>
      <c r="AD98" s="59"/>
    </row>
    <row r="99" spans="2:30" x14ac:dyDescent="0.25">
      <c r="B99" s="50" t="b">
        <f t="shared" si="32"/>
        <v>0</v>
      </c>
      <c r="C99" s="50" t="e">
        <f t="shared" si="33"/>
        <v>#VALUE!</v>
      </c>
      <c r="E99" s="56">
        <v>96</v>
      </c>
      <c r="G99" s="138"/>
      <c r="H99" s="135">
        <v>1</v>
      </c>
      <c r="I99" s="57" t="str">
        <f t="shared" si="20"/>
        <v/>
      </c>
      <c r="J99" s="58" t="e">
        <f t="shared" si="21"/>
        <v>#VALUE!</v>
      </c>
      <c r="K99" s="50" t="e">
        <f t="shared" si="22"/>
        <v>#VALUE!</v>
      </c>
      <c r="L99" s="50" t="e">
        <f t="shared" si="34"/>
        <v>#VALUE!</v>
      </c>
      <c r="M99" s="50" t="e">
        <f t="shared" si="34"/>
        <v>#VALUE!</v>
      </c>
      <c r="N99" s="50" t="e">
        <f t="shared" si="23"/>
        <v>#VALUE!</v>
      </c>
      <c r="O99" s="50" t="e">
        <f t="shared" si="24"/>
        <v>#VALUE!</v>
      </c>
      <c r="P99" s="50">
        <f t="shared" si="25"/>
        <v>0</v>
      </c>
      <c r="R99" s="55" t="e">
        <f t="shared" si="26"/>
        <v>#VALUE!</v>
      </c>
      <c r="S99" s="55" t="e">
        <f t="shared" si="27"/>
        <v>#VALUE!</v>
      </c>
      <c r="T99" s="55" t="e">
        <f t="shared" si="31"/>
        <v>#VALUE!</v>
      </c>
      <c r="U99" s="50" t="e">
        <f t="shared" si="28"/>
        <v>#VALUE!</v>
      </c>
      <c r="V99" s="50" t="e">
        <f t="shared" si="29"/>
        <v>#VALUE!</v>
      </c>
      <c r="W99" s="50" t="e">
        <f t="shared" si="30"/>
        <v>#VALUE!</v>
      </c>
      <c r="AD99" s="59"/>
    </row>
    <row r="100" spans="2:30" x14ac:dyDescent="0.25">
      <c r="B100" s="50" t="b">
        <f t="shared" si="32"/>
        <v>0</v>
      </c>
      <c r="C100" s="50" t="e">
        <f t="shared" si="33"/>
        <v>#VALUE!</v>
      </c>
      <c r="E100" s="56">
        <v>97</v>
      </c>
      <c r="G100" s="138"/>
      <c r="H100" s="135">
        <v>1</v>
      </c>
      <c r="I100" s="57" t="str">
        <f t="shared" si="20"/>
        <v/>
      </c>
      <c r="J100" s="58" t="e">
        <f t="shared" si="21"/>
        <v>#VALUE!</v>
      </c>
      <c r="K100" s="50" t="e">
        <f t="shared" si="22"/>
        <v>#VALUE!</v>
      </c>
      <c r="L100" s="50" t="e">
        <f t="shared" si="34"/>
        <v>#VALUE!</v>
      </c>
      <c r="M100" s="50" t="e">
        <f t="shared" si="34"/>
        <v>#VALUE!</v>
      </c>
      <c r="N100" s="50" t="e">
        <f t="shared" si="23"/>
        <v>#VALUE!</v>
      </c>
      <c r="O100" s="50" t="e">
        <f t="shared" si="24"/>
        <v>#VALUE!</v>
      </c>
      <c r="P100" s="50">
        <f t="shared" si="25"/>
        <v>0</v>
      </c>
      <c r="R100" s="55" t="e">
        <f t="shared" si="26"/>
        <v>#VALUE!</v>
      </c>
      <c r="S100" s="55" t="e">
        <f t="shared" si="27"/>
        <v>#VALUE!</v>
      </c>
      <c r="T100" s="55" t="e">
        <f t="shared" si="31"/>
        <v>#VALUE!</v>
      </c>
      <c r="U100" s="50" t="e">
        <f t="shared" si="28"/>
        <v>#VALUE!</v>
      </c>
      <c r="V100" s="50" t="e">
        <f t="shared" si="29"/>
        <v>#VALUE!</v>
      </c>
      <c r="W100" s="50" t="e">
        <f t="shared" si="30"/>
        <v>#VALUE!</v>
      </c>
      <c r="AD100" s="59"/>
    </row>
    <row r="101" spans="2:30" x14ac:dyDescent="0.25">
      <c r="B101" s="50" t="b">
        <f t="shared" si="32"/>
        <v>0</v>
      </c>
      <c r="C101" s="50" t="e">
        <f t="shared" si="33"/>
        <v>#VALUE!</v>
      </c>
      <c r="E101" s="56">
        <v>98</v>
      </c>
      <c r="G101" s="138"/>
      <c r="H101" s="135">
        <v>1</v>
      </c>
      <c r="I101" s="57" t="str">
        <f t="shared" si="20"/>
        <v/>
      </c>
      <c r="J101" s="58" t="e">
        <f t="shared" si="21"/>
        <v>#VALUE!</v>
      </c>
      <c r="K101" s="50" t="e">
        <f t="shared" si="22"/>
        <v>#VALUE!</v>
      </c>
      <c r="L101" s="50" t="e">
        <f t="shared" si="34"/>
        <v>#VALUE!</v>
      </c>
      <c r="M101" s="50" t="e">
        <f t="shared" si="34"/>
        <v>#VALUE!</v>
      </c>
      <c r="N101" s="50" t="e">
        <f t="shared" si="23"/>
        <v>#VALUE!</v>
      </c>
      <c r="O101" s="50" t="e">
        <f t="shared" si="24"/>
        <v>#VALUE!</v>
      </c>
      <c r="P101" s="50">
        <f t="shared" si="25"/>
        <v>0</v>
      </c>
      <c r="R101" s="55" t="e">
        <f t="shared" si="26"/>
        <v>#VALUE!</v>
      </c>
      <c r="S101" s="55" t="e">
        <f t="shared" si="27"/>
        <v>#VALUE!</v>
      </c>
      <c r="T101" s="55" t="e">
        <f t="shared" si="31"/>
        <v>#VALUE!</v>
      </c>
      <c r="U101" s="50" t="e">
        <f t="shared" si="28"/>
        <v>#VALUE!</v>
      </c>
      <c r="V101" s="50" t="e">
        <f t="shared" si="29"/>
        <v>#VALUE!</v>
      </c>
      <c r="W101" s="50" t="e">
        <f t="shared" si="30"/>
        <v>#VALUE!</v>
      </c>
      <c r="AD101" s="59"/>
    </row>
    <row r="102" spans="2:30" x14ac:dyDescent="0.25">
      <c r="B102" s="50" t="b">
        <f t="shared" si="32"/>
        <v>0</v>
      </c>
      <c r="C102" s="50" t="e">
        <f t="shared" si="33"/>
        <v>#VALUE!</v>
      </c>
      <c r="E102" s="56">
        <v>99</v>
      </c>
      <c r="G102" s="138"/>
      <c r="H102" s="135">
        <v>1</v>
      </c>
      <c r="I102" s="57" t="str">
        <f t="shared" si="20"/>
        <v/>
      </c>
      <c r="J102" s="58" t="e">
        <f t="shared" si="21"/>
        <v>#VALUE!</v>
      </c>
      <c r="K102" s="50" t="e">
        <f t="shared" si="22"/>
        <v>#VALUE!</v>
      </c>
      <c r="L102" s="50" t="e">
        <f t="shared" si="34"/>
        <v>#VALUE!</v>
      </c>
      <c r="M102" s="50" t="e">
        <f t="shared" si="34"/>
        <v>#VALUE!</v>
      </c>
      <c r="N102" s="50" t="e">
        <f t="shared" si="23"/>
        <v>#VALUE!</v>
      </c>
      <c r="O102" s="50" t="e">
        <f t="shared" si="24"/>
        <v>#VALUE!</v>
      </c>
      <c r="P102" s="50">
        <f t="shared" si="25"/>
        <v>0</v>
      </c>
      <c r="R102" s="55" t="e">
        <f t="shared" si="26"/>
        <v>#VALUE!</v>
      </c>
      <c r="S102" s="55" t="e">
        <f t="shared" si="27"/>
        <v>#VALUE!</v>
      </c>
      <c r="T102" s="55" t="e">
        <f t="shared" si="31"/>
        <v>#VALUE!</v>
      </c>
      <c r="U102" s="50" t="e">
        <f t="shared" si="28"/>
        <v>#VALUE!</v>
      </c>
      <c r="V102" s="50" t="e">
        <f t="shared" si="29"/>
        <v>#VALUE!</v>
      </c>
      <c r="W102" s="50" t="e">
        <f t="shared" si="30"/>
        <v>#VALUE!</v>
      </c>
      <c r="AD102" s="59"/>
    </row>
    <row r="103" spans="2:30" x14ac:dyDescent="0.25">
      <c r="B103" s="50" t="b">
        <f t="shared" si="32"/>
        <v>0</v>
      </c>
      <c r="C103" s="50" t="e">
        <f t="shared" si="33"/>
        <v>#VALUE!</v>
      </c>
      <c r="E103" s="56">
        <v>100</v>
      </c>
      <c r="G103" s="138"/>
      <c r="H103" s="135">
        <v>1</v>
      </c>
      <c r="I103" s="57" t="str">
        <f t="shared" si="20"/>
        <v/>
      </c>
      <c r="J103" s="58" t="e">
        <f t="shared" si="21"/>
        <v>#VALUE!</v>
      </c>
      <c r="K103" s="50" t="e">
        <f t="shared" si="22"/>
        <v>#VALUE!</v>
      </c>
      <c r="L103" s="50" t="e">
        <f t="shared" si="34"/>
        <v>#VALUE!</v>
      </c>
      <c r="M103" s="50" t="e">
        <f t="shared" si="34"/>
        <v>#VALUE!</v>
      </c>
      <c r="N103" s="50" t="e">
        <f t="shared" si="23"/>
        <v>#VALUE!</v>
      </c>
      <c r="O103" s="50" t="e">
        <f t="shared" si="24"/>
        <v>#VALUE!</v>
      </c>
      <c r="P103" s="50">
        <f t="shared" si="25"/>
        <v>0</v>
      </c>
      <c r="R103" s="55" t="e">
        <f t="shared" si="26"/>
        <v>#VALUE!</v>
      </c>
      <c r="S103" s="55" t="e">
        <f t="shared" si="27"/>
        <v>#VALUE!</v>
      </c>
      <c r="T103" s="55" t="e">
        <f t="shared" si="31"/>
        <v>#VALUE!</v>
      </c>
      <c r="U103" s="50" t="e">
        <f t="shared" si="28"/>
        <v>#VALUE!</v>
      </c>
      <c r="V103" s="50" t="e">
        <f t="shared" si="29"/>
        <v>#VALUE!</v>
      </c>
      <c r="W103" s="50" t="e">
        <f t="shared" si="30"/>
        <v>#VALUE!</v>
      </c>
      <c r="AD103" s="59"/>
    </row>
    <row r="104" spans="2:30" x14ac:dyDescent="0.25">
      <c r="B104" s="50" t="b">
        <f t="shared" si="32"/>
        <v>0</v>
      </c>
      <c r="C104" s="50" t="e">
        <f t="shared" si="33"/>
        <v>#VALUE!</v>
      </c>
      <c r="E104" s="56">
        <v>101</v>
      </c>
      <c r="G104" s="138"/>
      <c r="H104" s="135">
        <v>1</v>
      </c>
      <c r="I104" s="57" t="str">
        <f t="shared" si="20"/>
        <v/>
      </c>
      <c r="J104" s="58" t="e">
        <f t="shared" si="21"/>
        <v>#VALUE!</v>
      </c>
      <c r="K104" s="50" t="e">
        <f t="shared" si="22"/>
        <v>#VALUE!</v>
      </c>
      <c r="L104" s="50" t="e">
        <f t="shared" si="34"/>
        <v>#VALUE!</v>
      </c>
      <c r="M104" s="50" t="e">
        <f t="shared" si="34"/>
        <v>#VALUE!</v>
      </c>
      <c r="N104" s="50" t="e">
        <f t="shared" si="23"/>
        <v>#VALUE!</v>
      </c>
      <c r="O104" s="50" t="e">
        <f t="shared" si="24"/>
        <v>#VALUE!</v>
      </c>
      <c r="P104" s="50">
        <f t="shared" si="25"/>
        <v>0</v>
      </c>
      <c r="R104" s="55" t="e">
        <f t="shared" si="26"/>
        <v>#VALUE!</v>
      </c>
      <c r="S104" s="55" t="e">
        <f t="shared" si="27"/>
        <v>#VALUE!</v>
      </c>
      <c r="T104" s="55" t="e">
        <f t="shared" si="31"/>
        <v>#VALUE!</v>
      </c>
      <c r="U104" s="50" t="e">
        <f t="shared" si="28"/>
        <v>#VALUE!</v>
      </c>
      <c r="V104" s="50" t="e">
        <f t="shared" si="29"/>
        <v>#VALUE!</v>
      </c>
      <c r="W104" s="50" t="e">
        <f t="shared" si="30"/>
        <v>#VALUE!</v>
      </c>
      <c r="AD104" s="59"/>
    </row>
    <row r="105" spans="2:30" x14ac:dyDescent="0.25">
      <c r="B105" s="50" t="b">
        <f t="shared" si="32"/>
        <v>0</v>
      </c>
      <c r="C105" s="50" t="e">
        <f t="shared" si="33"/>
        <v>#VALUE!</v>
      </c>
      <c r="E105" s="56">
        <v>102</v>
      </c>
      <c r="G105" s="138"/>
      <c r="H105" s="135">
        <v>1</v>
      </c>
      <c r="I105" s="57" t="str">
        <f t="shared" si="20"/>
        <v/>
      </c>
      <c r="J105" s="58" t="e">
        <f t="shared" si="21"/>
        <v>#VALUE!</v>
      </c>
      <c r="K105" s="50" t="e">
        <f t="shared" si="22"/>
        <v>#VALUE!</v>
      </c>
      <c r="L105" s="50" t="e">
        <f t="shared" si="34"/>
        <v>#VALUE!</v>
      </c>
      <c r="M105" s="50" t="e">
        <f t="shared" si="34"/>
        <v>#VALUE!</v>
      </c>
      <c r="N105" s="50" t="e">
        <f t="shared" si="23"/>
        <v>#VALUE!</v>
      </c>
      <c r="O105" s="50" t="e">
        <f t="shared" si="24"/>
        <v>#VALUE!</v>
      </c>
      <c r="P105" s="50">
        <f t="shared" si="25"/>
        <v>0</v>
      </c>
      <c r="R105" s="55" t="e">
        <f t="shared" si="26"/>
        <v>#VALUE!</v>
      </c>
      <c r="S105" s="55" t="e">
        <f t="shared" si="27"/>
        <v>#VALUE!</v>
      </c>
      <c r="T105" s="55" t="e">
        <f t="shared" si="31"/>
        <v>#VALUE!</v>
      </c>
      <c r="U105" s="50" t="e">
        <f t="shared" si="28"/>
        <v>#VALUE!</v>
      </c>
      <c r="V105" s="50" t="e">
        <f t="shared" si="29"/>
        <v>#VALUE!</v>
      </c>
      <c r="W105" s="50" t="e">
        <f t="shared" si="30"/>
        <v>#VALUE!</v>
      </c>
      <c r="AD105" s="59"/>
    </row>
    <row r="106" spans="2:30" x14ac:dyDescent="0.25">
      <c r="B106" s="50" t="b">
        <f t="shared" si="32"/>
        <v>0</v>
      </c>
      <c r="C106" s="50" t="e">
        <f t="shared" si="33"/>
        <v>#VALUE!</v>
      </c>
      <c r="E106" s="56">
        <v>103</v>
      </c>
      <c r="G106" s="138"/>
      <c r="H106" s="135">
        <v>1</v>
      </c>
      <c r="I106" s="57" t="str">
        <f t="shared" si="20"/>
        <v/>
      </c>
      <c r="J106" s="58" t="e">
        <f t="shared" si="21"/>
        <v>#VALUE!</v>
      </c>
      <c r="K106" s="50" t="e">
        <f t="shared" si="22"/>
        <v>#VALUE!</v>
      </c>
      <c r="L106" s="50" t="e">
        <f t="shared" si="34"/>
        <v>#VALUE!</v>
      </c>
      <c r="M106" s="50" t="e">
        <f t="shared" si="34"/>
        <v>#VALUE!</v>
      </c>
      <c r="N106" s="50" t="e">
        <f t="shared" si="23"/>
        <v>#VALUE!</v>
      </c>
      <c r="O106" s="50" t="e">
        <f t="shared" si="24"/>
        <v>#VALUE!</v>
      </c>
      <c r="P106" s="50">
        <f t="shared" si="25"/>
        <v>0</v>
      </c>
      <c r="R106" s="55" t="e">
        <f t="shared" si="26"/>
        <v>#VALUE!</v>
      </c>
      <c r="S106" s="55" t="e">
        <f t="shared" si="27"/>
        <v>#VALUE!</v>
      </c>
      <c r="T106" s="55" t="e">
        <f t="shared" si="31"/>
        <v>#VALUE!</v>
      </c>
      <c r="U106" s="50" t="e">
        <f t="shared" si="28"/>
        <v>#VALUE!</v>
      </c>
      <c r="V106" s="50" t="e">
        <f t="shared" si="29"/>
        <v>#VALUE!</v>
      </c>
      <c r="W106" s="50" t="e">
        <f t="shared" si="30"/>
        <v>#VALUE!</v>
      </c>
      <c r="AD106" s="59"/>
    </row>
    <row r="107" spans="2:30" x14ac:dyDescent="0.25">
      <c r="B107" s="50" t="b">
        <f t="shared" si="32"/>
        <v>0</v>
      </c>
      <c r="C107" s="50" t="e">
        <f t="shared" si="33"/>
        <v>#VALUE!</v>
      </c>
      <c r="E107" s="56">
        <v>104</v>
      </c>
      <c r="G107" s="138"/>
      <c r="H107" s="135">
        <v>1</v>
      </c>
      <c r="I107" s="57" t="str">
        <f t="shared" si="20"/>
        <v/>
      </c>
      <c r="J107" s="58" t="e">
        <f t="shared" si="21"/>
        <v>#VALUE!</v>
      </c>
      <c r="K107" s="50" t="e">
        <f t="shared" si="22"/>
        <v>#VALUE!</v>
      </c>
      <c r="L107" s="50" t="e">
        <f t="shared" si="34"/>
        <v>#VALUE!</v>
      </c>
      <c r="M107" s="50" t="e">
        <f t="shared" si="34"/>
        <v>#VALUE!</v>
      </c>
      <c r="N107" s="50" t="e">
        <f t="shared" si="23"/>
        <v>#VALUE!</v>
      </c>
      <c r="O107" s="50" t="e">
        <f t="shared" si="24"/>
        <v>#VALUE!</v>
      </c>
      <c r="P107" s="50">
        <f t="shared" si="25"/>
        <v>0</v>
      </c>
      <c r="R107" s="55" t="e">
        <f t="shared" si="26"/>
        <v>#VALUE!</v>
      </c>
      <c r="S107" s="55" t="e">
        <f t="shared" si="27"/>
        <v>#VALUE!</v>
      </c>
      <c r="T107" s="55" t="e">
        <f t="shared" si="31"/>
        <v>#VALUE!</v>
      </c>
      <c r="U107" s="50" t="e">
        <f t="shared" si="28"/>
        <v>#VALUE!</v>
      </c>
      <c r="V107" s="50" t="e">
        <f t="shared" si="29"/>
        <v>#VALUE!</v>
      </c>
      <c r="W107" s="50" t="e">
        <f t="shared" si="30"/>
        <v>#VALUE!</v>
      </c>
      <c r="AD107" s="59"/>
    </row>
    <row r="108" spans="2:30" x14ac:dyDescent="0.25">
      <c r="B108" s="50" t="b">
        <f t="shared" si="32"/>
        <v>0</v>
      </c>
      <c r="C108" s="50" t="e">
        <f t="shared" si="33"/>
        <v>#VALUE!</v>
      </c>
      <c r="E108" s="56">
        <v>105</v>
      </c>
      <c r="G108" s="138"/>
      <c r="H108" s="135">
        <v>1</v>
      </c>
      <c r="I108" s="57" t="str">
        <f t="shared" si="20"/>
        <v/>
      </c>
      <c r="J108" s="58" t="e">
        <f t="shared" si="21"/>
        <v>#VALUE!</v>
      </c>
      <c r="K108" s="50" t="e">
        <f t="shared" si="22"/>
        <v>#VALUE!</v>
      </c>
      <c r="L108" s="50" t="e">
        <f t="shared" si="34"/>
        <v>#VALUE!</v>
      </c>
      <c r="M108" s="50" t="e">
        <f t="shared" si="34"/>
        <v>#VALUE!</v>
      </c>
      <c r="N108" s="50" t="e">
        <f t="shared" si="23"/>
        <v>#VALUE!</v>
      </c>
      <c r="O108" s="50" t="e">
        <f t="shared" si="24"/>
        <v>#VALUE!</v>
      </c>
      <c r="P108" s="50">
        <f t="shared" si="25"/>
        <v>0</v>
      </c>
      <c r="R108" s="55" t="e">
        <f t="shared" si="26"/>
        <v>#VALUE!</v>
      </c>
      <c r="S108" s="55" t="e">
        <f t="shared" si="27"/>
        <v>#VALUE!</v>
      </c>
      <c r="T108" s="55" t="e">
        <f t="shared" si="31"/>
        <v>#VALUE!</v>
      </c>
      <c r="U108" s="50" t="e">
        <f t="shared" si="28"/>
        <v>#VALUE!</v>
      </c>
      <c r="V108" s="50" t="e">
        <f t="shared" si="29"/>
        <v>#VALUE!</v>
      </c>
      <c r="W108" s="50" t="e">
        <f t="shared" si="30"/>
        <v>#VALUE!</v>
      </c>
      <c r="AD108" s="59"/>
    </row>
    <row r="109" spans="2:30" x14ac:dyDescent="0.25">
      <c r="B109" s="50" t="b">
        <f t="shared" si="32"/>
        <v>0</v>
      </c>
      <c r="C109" s="50" t="e">
        <f t="shared" si="33"/>
        <v>#VALUE!</v>
      </c>
      <c r="E109" s="56">
        <v>106</v>
      </c>
      <c r="G109" s="138"/>
      <c r="H109" s="135">
        <v>1</v>
      </c>
      <c r="I109" s="57" t="str">
        <f t="shared" si="20"/>
        <v/>
      </c>
      <c r="J109" s="58" t="e">
        <f t="shared" si="21"/>
        <v>#VALUE!</v>
      </c>
      <c r="K109" s="50" t="e">
        <f t="shared" si="22"/>
        <v>#VALUE!</v>
      </c>
      <c r="L109" s="50" t="e">
        <f t="shared" si="34"/>
        <v>#VALUE!</v>
      </c>
      <c r="M109" s="50" t="e">
        <f t="shared" si="34"/>
        <v>#VALUE!</v>
      </c>
      <c r="N109" s="50" t="e">
        <f t="shared" si="23"/>
        <v>#VALUE!</v>
      </c>
      <c r="O109" s="50" t="e">
        <f t="shared" si="24"/>
        <v>#VALUE!</v>
      </c>
      <c r="P109" s="50">
        <f t="shared" si="25"/>
        <v>0</v>
      </c>
      <c r="R109" s="55" t="e">
        <f t="shared" si="26"/>
        <v>#VALUE!</v>
      </c>
      <c r="S109" s="55" t="e">
        <f t="shared" si="27"/>
        <v>#VALUE!</v>
      </c>
      <c r="T109" s="55" t="e">
        <f t="shared" si="31"/>
        <v>#VALUE!</v>
      </c>
      <c r="U109" s="50" t="e">
        <f t="shared" si="28"/>
        <v>#VALUE!</v>
      </c>
      <c r="V109" s="50" t="e">
        <f t="shared" si="29"/>
        <v>#VALUE!</v>
      </c>
      <c r="W109" s="50" t="e">
        <f t="shared" si="30"/>
        <v>#VALUE!</v>
      </c>
      <c r="AD109" s="59"/>
    </row>
    <row r="110" spans="2:30" x14ac:dyDescent="0.25">
      <c r="B110" s="50" t="b">
        <f t="shared" si="32"/>
        <v>0</v>
      </c>
      <c r="C110" s="50" t="e">
        <f t="shared" si="33"/>
        <v>#VALUE!</v>
      </c>
      <c r="E110" s="56">
        <v>107</v>
      </c>
      <c r="G110" s="138"/>
      <c r="H110" s="135">
        <v>1</v>
      </c>
      <c r="I110" s="57" t="str">
        <f t="shared" si="20"/>
        <v/>
      </c>
      <c r="J110" s="58" t="e">
        <f t="shared" si="21"/>
        <v>#VALUE!</v>
      </c>
      <c r="K110" s="50" t="e">
        <f t="shared" si="22"/>
        <v>#VALUE!</v>
      </c>
      <c r="L110" s="50" t="e">
        <f t="shared" si="34"/>
        <v>#VALUE!</v>
      </c>
      <c r="M110" s="50" t="e">
        <f t="shared" si="34"/>
        <v>#VALUE!</v>
      </c>
      <c r="N110" s="50" t="e">
        <f t="shared" si="23"/>
        <v>#VALUE!</v>
      </c>
      <c r="O110" s="50" t="e">
        <f t="shared" si="24"/>
        <v>#VALUE!</v>
      </c>
      <c r="P110" s="50">
        <f t="shared" si="25"/>
        <v>0</v>
      </c>
      <c r="R110" s="55" t="e">
        <f t="shared" si="26"/>
        <v>#VALUE!</v>
      </c>
      <c r="S110" s="55" t="e">
        <f t="shared" si="27"/>
        <v>#VALUE!</v>
      </c>
      <c r="T110" s="55" t="e">
        <f t="shared" si="31"/>
        <v>#VALUE!</v>
      </c>
      <c r="U110" s="50" t="e">
        <f t="shared" si="28"/>
        <v>#VALUE!</v>
      </c>
      <c r="V110" s="50" t="e">
        <f t="shared" si="29"/>
        <v>#VALUE!</v>
      </c>
      <c r="W110" s="50" t="e">
        <f t="shared" si="30"/>
        <v>#VALUE!</v>
      </c>
      <c r="AD110" s="59"/>
    </row>
    <row r="111" spans="2:30" x14ac:dyDescent="0.25">
      <c r="B111" s="50" t="b">
        <f t="shared" si="32"/>
        <v>0</v>
      </c>
      <c r="C111" s="50" t="e">
        <f t="shared" si="33"/>
        <v>#VALUE!</v>
      </c>
      <c r="E111" s="56">
        <v>108</v>
      </c>
      <c r="G111" s="138"/>
      <c r="H111" s="135">
        <v>1</v>
      </c>
      <c r="I111" s="57" t="str">
        <f t="shared" si="20"/>
        <v/>
      </c>
      <c r="J111" s="58" t="e">
        <f t="shared" si="21"/>
        <v>#VALUE!</v>
      </c>
      <c r="K111" s="50" t="e">
        <f t="shared" si="22"/>
        <v>#VALUE!</v>
      </c>
      <c r="L111" s="50" t="e">
        <f t="shared" si="34"/>
        <v>#VALUE!</v>
      </c>
      <c r="M111" s="50" t="e">
        <f t="shared" si="34"/>
        <v>#VALUE!</v>
      </c>
      <c r="N111" s="50" t="e">
        <f t="shared" si="23"/>
        <v>#VALUE!</v>
      </c>
      <c r="O111" s="50" t="e">
        <f t="shared" si="24"/>
        <v>#VALUE!</v>
      </c>
      <c r="P111" s="50">
        <f t="shared" si="25"/>
        <v>0</v>
      </c>
      <c r="R111" s="55" t="e">
        <f t="shared" si="26"/>
        <v>#VALUE!</v>
      </c>
      <c r="S111" s="55" t="e">
        <f t="shared" si="27"/>
        <v>#VALUE!</v>
      </c>
      <c r="T111" s="55" t="e">
        <f t="shared" si="31"/>
        <v>#VALUE!</v>
      </c>
      <c r="U111" s="50" t="e">
        <f t="shared" si="28"/>
        <v>#VALUE!</v>
      </c>
      <c r="V111" s="50" t="e">
        <f t="shared" si="29"/>
        <v>#VALUE!</v>
      </c>
      <c r="W111" s="50" t="e">
        <f t="shared" si="30"/>
        <v>#VALUE!</v>
      </c>
      <c r="AD111" s="59"/>
    </row>
    <row r="112" spans="2:30" x14ac:dyDescent="0.25">
      <c r="B112" s="50" t="b">
        <f t="shared" si="32"/>
        <v>0</v>
      </c>
      <c r="C112" s="50" t="e">
        <f t="shared" si="33"/>
        <v>#VALUE!</v>
      </c>
      <c r="E112" s="56">
        <v>109</v>
      </c>
      <c r="G112" s="138"/>
      <c r="H112" s="135">
        <v>1</v>
      </c>
      <c r="I112" s="57" t="str">
        <f t="shared" si="20"/>
        <v/>
      </c>
      <c r="J112" s="58" t="e">
        <f t="shared" si="21"/>
        <v>#VALUE!</v>
      </c>
      <c r="K112" s="50" t="e">
        <f t="shared" si="22"/>
        <v>#VALUE!</v>
      </c>
      <c r="L112" s="50" t="e">
        <f t="shared" si="34"/>
        <v>#VALUE!</v>
      </c>
      <c r="M112" s="50" t="e">
        <f t="shared" si="34"/>
        <v>#VALUE!</v>
      </c>
      <c r="N112" s="50" t="e">
        <f t="shared" si="23"/>
        <v>#VALUE!</v>
      </c>
      <c r="O112" s="50" t="e">
        <f t="shared" si="24"/>
        <v>#VALUE!</v>
      </c>
      <c r="P112" s="50">
        <f t="shared" si="25"/>
        <v>0</v>
      </c>
      <c r="R112" s="55" t="e">
        <f t="shared" si="26"/>
        <v>#VALUE!</v>
      </c>
      <c r="S112" s="55" t="e">
        <f t="shared" si="27"/>
        <v>#VALUE!</v>
      </c>
      <c r="T112" s="55" t="e">
        <f t="shared" si="31"/>
        <v>#VALUE!</v>
      </c>
      <c r="U112" s="50" t="e">
        <f t="shared" si="28"/>
        <v>#VALUE!</v>
      </c>
      <c r="V112" s="50" t="e">
        <f t="shared" si="29"/>
        <v>#VALUE!</v>
      </c>
      <c r="W112" s="50" t="e">
        <f t="shared" si="30"/>
        <v>#VALUE!</v>
      </c>
      <c r="AD112" s="59"/>
    </row>
    <row r="113" spans="2:30" x14ac:dyDescent="0.25">
      <c r="B113" s="50" t="b">
        <f t="shared" si="32"/>
        <v>0</v>
      </c>
      <c r="C113" s="50" t="e">
        <f t="shared" si="33"/>
        <v>#VALUE!</v>
      </c>
      <c r="E113" s="56">
        <v>110</v>
      </c>
      <c r="G113" s="138"/>
      <c r="H113" s="135">
        <v>1</v>
      </c>
      <c r="I113" s="57" t="str">
        <f t="shared" si="20"/>
        <v/>
      </c>
      <c r="J113" s="58" t="e">
        <f t="shared" si="21"/>
        <v>#VALUE!</v>
      </c>
      <c r="K113" s="50" t="e">
        <f t="shared" si="22"/>
        <v>#VALUE!</v>
      </c>
      <c r="L113" s="50" t="e">
        <f t="shared" si="34"/>
        <v>#VALUE!</v>
      </c>
      <c r="M113" s="50" t="e">
        <f t="shared" si="34"/>
        <v>#VALUE!</v>
      </c>
      <c r="N113" s="50" t="e">
        <f t="shared" si="23"/>
        <v>#VALUE!</v>
      </c>
      <c r="O113" s="50" t="e">
        <f t="shared" si="24"/>
        <v>#VALUE!</v>
      </c>
      <c r="P113" s="50">
        <f t="shared" si="25"/>
        <v>0</v>
      </c>
      <c r="R113" s="55" t="e">
        <f t="shared" si="26"/>
        <v>#VALUE!</v>
      </c>
      <c r="S113" s="55" t="e">
        <f t="shared" si="27"/>
        <v>#VALUE!</v>
      </c>
      <c r="T113" s="55" t="e">
        <f t="shared" si="31"/>
        <v>#VALUE!</v>
      </c>
      <c r="U113" s="50" t="e">
        <f t="shared" si="28"/>
        <v>#VALUE!</v>
      </c>
      <c r="V113" s="50" t="e">
        <f t="shared" si="29"/>
        <v>#VALUE!</v>
      </c>
      <c r="W113" s="50" t="e">
        <f t="shared" si="30"/>
        <v>#VALUE!</v>
      </c>
      <c r="AD113" s="59"/>
    </row>
    <row r="114" spans="2:30" x14ac:dyDescent="0.25">
      <c r="B114" s="50" t="b">
        <f t="shared" si="32"/>
        <v>0</v>
      </c>
      <c r="C114" s="50" t="e">
        <f t="shared" si="33"/>
        <v>#VALUE!</v>
      </c>
      <c r="E114" s="56">
        <v>111</v>
      </c>
      <c r="G114" s="138"/>
      <c r="H114" s="135">
        <v>1</v>
      </c>
      <c r="I114" s="57" t="str">
        <f t="shared" si="20"/>
        <v/>
      </c>
      <c r="J114" s="58" t="e">
        <f t="shared" si="21"/>
        <v>#VALUE!</v>
      </c>
      <c r="K114" s="50" t="e">
        <f t="shared" si="22"/>
        <v>#VALUE!</v>
      </c>
      <c r="L114" s="50" t="e">
        <f t="shared" si="34"/>
        <v>#VALUE!</v>
      </c>
      <c r="M114" s="50" t="e">
        <f t="shared" si="34"/>
        <v>#VALUE!</v>
      </c>
      <c r="N114" s="50" t="e">
        <f t="shared" si="23"/>
        <v>#VALUE!</v>
      </c>
      <c r="O114" s="50" t="e">
        <f t="shared" si="24"/>
        <v>#VALUE!</v>
      </c>
      <c r="P114" s="50">
        <f t="shared" si="25"/>
        <v>0</v>
      </c>
      <c r="R114" s="55" t="e">
        <f t="shared" si="26"/>
        <v>#VALUE!</v>
      </c>
      <c r="S114" s="55" t="e">
        <f t="shared" si="27"/>
        <v>#VALUE!</v>
      </c>
      <c r="T114" s="55" t="e">
        <f t="shared" si="31"/>
        <v>#VALUE!</v>
      </c>
      <c r="U114" s="50" t="e">
        <f t="shared" si="28"/>
        <v>#VALUE!</v>
      </c>
      <c r="V114" s="50" t="e">
        <f t="shared" si="29"/>
        <v>#VALUE!</v>
      </c>
      <c r="W114" s="50" t="e">
        <f t="shared" si="30"/>
        <v>#VALUE!</v>
      </c>
      <c r="AD114" s="59"/>
    </row>
    <row r="115" spans="2:30" x14ac:dyDescent="0.25">
      <c r="B115" s="50" t="b">
        <f t="shared" si="32"/>
        <v>0</v>
      </c>
      <c r="C115" s="50" t="e">
        <f t="shared" si="33"/>
        <v>#VALUE!</v>
      </c>
      <c r="E115" s="56">
        <v>112</v>
      </c>
      <c r="G115" s="138"/>
      <c r="H115" s="135">
        <v>1</v>
      </c>
      <c r="I115" s="57" t="str">
        <f t="shared" si="20"/>
        <v/>
      </c>
      <c r="J115" s="58" t="e">
        <f t="shared" si="21"/>
        <v>#VALUE!</v>
      </c>
      <c r="K115" s="50" t="e">
        <f t="shared" si="22"/>
        <v>#VALUE!</v>
      </c>
      <c r="L115" s="50" t="e">
        <f t="shared" si="34"/>
        <v>#VALUE!</v>
      </c>
      <c r="M115" s="50" t="e">
        <f t="shared" si="34"/>
        <v>#VALUE!</v>
      </c>
      <c r="N115" s="50" t="e">
        <f t="shared" si="23"/>
        <v>#VALUE!</v>
      </c>
      <c r="O115" s="50" t="e">
        <f t="shared" si="24"/>
        <v>#VALUE!</v>
      </c>
      <c r="P115" s="50">
        <f t="shared" si="25"/>
        <v>0</v>
      </c>
      <c r="R115" s="55" t="e">
        <f t="shared" si="26"/>
        <v>#VALUE!</v>
      </c>
      <c r="S115" s="55" t="e">
        <f t="shared" si="27"/>
        <v>#VALUE!</v>
      </c>
      <c r="T115" s="55" t="e">
        <f t="shared" si="31"/>
        <v>#VALUE!</v>
      </c>
      <c r="U115" s="50" t="e">
        <f t="shared" si="28"/>
        <v>#VALUE!</v>
      </c>
      <c r="V115" s="50" t="e">
        <f t="shared" si="29"/>
        <v>#VALUE!</v>
      </c>
      <c r="W115" s="50" t="e">
        <f t="shared" si="30"/>
        <v>#VALUE!</v>
      </c>
      <c r="AD115" s="59"/>
    </row>
    <row r="116" spans="2:30" x14ac:dyDescent="0.25">
      <c r="B116" s="50" t="b">
        <f t="shared" si="32"/>
        <v>0</v>
      </c>
      <c r="C116" s="50" t="e">
        <f t="shared" si="33"/>
        <v>#VALUE!</v>
      </c>
      <c r="E116" s="56">
        <v>113</v>
      </c>
      <c r="G116" s="138"/>
      <c r="H116" s="135">
        <v>1</v>
      </c>
      <c r="I116" s="57" t="str">
        <f t="shared" si="20"/>
        <v/>
      </c>
      <c r="J116" s="58" t="e">
        <f t="shared" si="21"/>
        <v>#VALUE!</v>
      </c>
      <c r="K116" s="50" t="e">
        <f t="shared" si="22"/>
        <v>#VALUE!</v>
      </c>
      <c r="L116" s="50" t="e">
        <f t="shared" si="34"/>
        <v>#VALUE!</v>
      </c>
      <c r="M116" s="50" t="e">
        <f t="shared" si="34"/>
        <v>#VALUE!</v>
      </c>
      <c r="N116" s="50" t="e">
        <f t="shared" si="23"/>
        <v>#VALUE!</v>
      </c>
      <c r="O116" s="50" t="e">
        <f t="shared" si="24"/>
        <v>#VALUE!</v>
      </c>
      <c r="P116" s="50">
        <f t="shared" si="25"/>
        <v>0</v>
      </c>
      <c r="R116" s="55" t="e">
        <f t="shared" si="26"/>
        <v>#VALUE!</v>
      </c>
      <c r="S116" s="55" t="e">
        <f t="shared" si="27"/>
        <v>#VALUE!</v>
      </c>
      <c r="T116" s="55" t="e">
        <f t="shared" si="31"/>
        <v>#VALUE!</v>
      </c>
      <c r="U116" s="50" t="e">
        <f t="shared" si="28"/>
        <v>#VALUE!</v>
      </c>
      <c r="V116" s="50" t="e">
        <f t="shared" si="29"/>
        <v>#VALUE!</v>
      </c>
      <c r="W116" s="50" t="e">
        <f t="shared" si="30"/>
        <v>#VALUE!</v>
      </c>
      <c r="AD116" s="59"/>
    </row>
    <row r="117" spans="2:30" x14ac:dyDescent="0.25">
      <c r="B117" s="50" t="b">
        <f t="shared" si="32"/>
        <v>0</v>
      </c>
      <c r="C117" s="50" t="e">
        <f t="shared" si="33"/>
        <v>#VALUE!</v>
      </c>
      <c r="E117" s="56">
        <v>114</v>
      </c>
      <c r="G117" s="138"/>
      <c r="H117" s="135">
        <v>1</v>
      </c>
      <c r="I117" s="57" t="str">
        <f t="shared" si="20"/>
        <v/>
      </c>
      <c r="J117" s="58" t="e">
        <f t="shared" si="21"/>
        <v>#VALUE!</v>
      </c>
      <c r="K117" s="50" t="e">
        <f t="shared" si="22"/>
        <v>#VALUE!</v>
      </c>
      <c r="L117" s="50" t="e">
        <f t="shared" si="34"/>
        <v>#VALUE!</v>
      </c>
      <c r="M117" s="50" t="e">
        <f t="shared" si="34"/>
        <v>#VALUE!</v>
      </c>
      <c r="N117" s="50" t="e">
        <f t="shared" si="23"/>
        <v>#VALUE!</v>
      </c>
      <c r="O117" s="50" t="e">
        <f t="shared" si="24"/>
        <v>#VALUE!</v>
      </c>
      <c r="P117" s="50">
        <f t="shared" si="25"/>
        <v>0</v>
      </c>
      <c r="R117" s="55" t="e">
        <f t="shared" si="26"/>
        <v>#VALUE!</v>
      </c>
      <c r="S117" s="55" t="e">
        <f t="shared" si="27"/>
        <v>#VALUE!</v>
      </c>
      <c r="T117" s="55" t="e">
        <f t="shared" si="31"/>
        <v>#VALUE!</v>
      </c>
      <c r="U117" s="50" t="e">
        <f t="shared" si="28"/>
        <v>#VALUE!</v>
      </c>
      <c r="V117" s="50" t="e">
        <f t="shared" si="29"/>
        <v>#VALUE!</v>
      </c>
      <c r="W117" s="50" t="e">
        <f t="shared" si="30"/>
        <v>#VALUE!</v>
      </c>
      <c r="AD117" s="59"/>
    </row>
    <row r="118" spans="2:30" x14ac:dyDescent="0.25">
      <c r="B118" s="50" t="b">
        <f t="shared" si="32"/>
        <v>0</v>
      </c>
      <c r="C118" s="50" t="e">
        <f t="shared" ref="C118:C181" si="35">SUM(U118:W118)</f>
        <v>#VALUE!</v>
      </c>
      <c r="E118" s="56">
        <v>115</v>
      </c>
      <c r="G118" s="138"/>
      <c r="H118" s="135">
        <v>1</v>
      </c>
      <c r="I118" s="57" t="str">
        <f t="shared" si="20"/>
        <v/>
      </c>
      <c r="J118" s="58" t="e">
        <f t="shared" si="21"/>
        <v>#VALUE!</v>
      </c>
      <c r="K118" s="50" t="e">
        <f t="shared" si="22"/>
        <v>#VALUE!</v>
      </c>
      <c r="L118" s="50" t="e">
        <f t="shared" si="34"/>
        <v>#VALUE!</v>
      </c>
      <c r="M118" s="50" t="e">
        <f t="shared" si="34"/>
        <v>#VALUE!</v>
      </c>
      <c r="N118" s="50" t="e">
        <f t="shared" si="23"/>
        <v>#VALUE!</v>
      </c>
      <c r="O118" s="50" t="e">
        <f t="shared" si="24"/>
        <v>#VALUE!</v>
      </c>
      <c r="P118" s="50">
        <f t="shared" si="25"/>
        <v>0</v>
      </c>
      <c r="R118" s="55" t="e">
        <f t="shared" si="26"/>
        <v>#VALUE!</v>
      </c>
      <c r="S118" s="55" t="e">
        <f t="shared" si="27"/>
        <v>#VALUE!</v>
      </c>
      <c r="T118" s="55" t="e">
        <f t="shared" si="31"/>
        <v>#VALUE!</v>
      </c>
      <c r="U118" s="50" t="e">
        <f t="shared" si="28"/>
        <v>#VALUE!</v>
      </c>
      <c r="V118" s="50" t="e">
        <f t="shared" si="29"/>
        <v>#VALUE!</v>
      </c>
      <c r="W118" s="50" t="e">
        <f t="shared" si="30"/>
        <v>#VALUE!</v>
      </c>
      <c r="AD118" s="59"/>
    </row>
    <row r="119" spans="2:30" x14ac:dyDescent="0.25">
      <c r="B119" s="50" t="b">
        <f t="shared" si="32"/>
        <v>0</v>
      </c>
      <c r="C119" s="50" t="e">
        <f t="shared" si="35"/>
        <v>#VALUE!</v>
      </c>
      <c r="E119" s="56">
        <v>116</v>
      </c>
      <c r="G119" s="138"/>
      <c r="H119" s="135">
        <v>1</v>
      </c>
      <c r="I119" s="57" t="str">
        <f t="shared" si="20"/>
        <v/>
      </c>
      <c r="J119" s="58" t="e">
        <f t="shared" si="21"/>
        <v>#VALUE!</v>
      </c>
      <c r="K119" s="50" t="e">
        <f t="shared" si="22"/>
        <v>#VALUE!</v>
      </c>
      <c r="L119" s="50" t="e">
        <f t="shared" si="34"/>
        <v>#VALUE!</v>
      </c>
      <c r="M119" s="50" t="e">
        <f t="shared" si="34"/>
        <v>#VALUE!</v>
      </c>
      <c r="N119" s="50" t="e">
        <f t="shared" si="23"/>
        <v>#VALUE!</v>
      </c>
      <c r="O119" s="50" t="e">
        <f t="shared" si="24"/>
        <v>#VALUE!</v>
      </c>
      <c r="P119" s="50">
        <f t="shared" si="25"/>
        <v>0</v>
      </c>
      <c r="R119" s="55" t="e">
        <f t="shared" si="26"/>
        <v>#VALUE!</v>
      </c>
      <c r="S119" s="55" t="e">
        <f t="shared" si="27"/>
        <v>#VALUE!</v>
      </c>
      <c r="T119" s="55" t="e">
        <f t="shared" si="31"/>
        <v>#VALUE!</v>
      </c>
      <c r="U119" s="50" t="e">
        <f t="shared" si="28"/>
        <v>#VALUE!</v>
      </c>
      <c r="V119" s="50" t="e">
        <f t="shared" si="29"/>
        <v>#VALUE!</v>
      </c>
      <c r="W119" s="50" t="e">
        <f t="shared" si="30"/>
        <v>#VALUE!</v>
      </c>
      <c r="AD119" s="59"/>
    </row>
    <row r="120" spans="2:30" x14ac:dyDescent="0.25">
      <c r="B120" s="50" t="b">
        <f t="shared" si="32"/>
        <v>0</v>
      </c>
      <c r="C120" s="50" t="e">
        <f t="shared" si="35"/>
        <v>#VALUE!</v>
      </c>
      <c r="E120" s="56">
        <v>117</v>
      </c>
      <c r="G120" s="138"/>
      <c r="H120" s="135">
        <v>1</v>
      </c>
      <c r="I120" s="57" t="str">
        <f t="shared" si="20"/>
        <v/>
      </c>
      <c r="J120" s="58" t="e">
        <f t="shared" si="21"/>
        <v>#VALUE!</v>
      </c>
      <c r="K120" s="50" t="e">
        <f t="shared" si="22"/>
        <v>#VALUE!</v>
      </c>
      <c r="L120" s="50" t="e">
        <f t="shared" si="34"/>
        <v>#VALUE!</v>
      </c>
      <c r="M120" s="50" t="e">
        <f t="shared" si="34"/>
        <v>#VALUE!</v>
      </c>
      <c r="N120" s="50" t="e">
        <f t="shared" si="23"/>
        <v>#VALUE!</v>
      </c>
      <c r="O120" s="50" t="e">
        <f t="shared" si="24"/>
        <v>#VALUE!</v>
      </c>
      <c r="P120" s="50">
        <f t="shared" si="25"/>
        <v>0</v>
      </c>
      <c r="R120" s="55" t="e">
        <f t="shared" si="26"/>
        <v>#VALUE!</v>
      </c>
      <c r="S120" s="55" t="e">
        <f t="shared" si="27"/>
        <v>#VALUE!</v>
      </c>
      <c r="T120" s="55" t="e">
        <f t="shared" si="31"/>
        <v>#VALUE!</v>
      </c>
      <c r="U120" s="50" t="e">
        <f t="shared" si="28"/>
        <v>#VALUE!</v>
      </c>
      <c r="V120" s="50" t="e">
        <f t="shared" si="29"/>
        <v>#VALUE!</v>
      </c>
      <c r="W120" s="50" t="e">
        <f t="shared" si="30"/>
        <v>#VALUE!</v>
      </c>
      <c r="AD120" s="59"/>
    </row>
    <row r="121" spans="2:30" x14ac:dyDescent="0.25">
      <c r="B121" s="50" t="b">
        <f t="shared" si="32"/>
        <v>0</v>
      </c>
      <c r="C121" s="50" t="e">
        <f t="shared" si="35"/>
        <v>#VALUE!</v>
      </c>
      <c r="E121" s="56">
        <v>118</v>
      </c>
      <c r="G121" s="138"/>
      <c r="H121" s="135">
        <v>1</v>
      </c>
      <c r="I121" s="57" t="str">
        <f t="shared" si="20"/>
        <v/>
      </c>
      <c r="J121" s="58" t="e">
        <f t="shared" si="21"/>
        <v>#VALUE!</v>
      </c>
      <c r="K121" s="50" t="e">
        <f t="shared" si="22"/>
        <v>#VALUE!</v>
      </c>
      <c r="L121" s="50" t="e">
        <f t="shared" si="34"/>
        <v>#VALUE!</v>
      </c>
      <c r="M121" s="50" t="e">
        <f t="shared" si="34"/>
        <v>#VALUE!</v>
      </c>
      <c r="N121" s="50" t="e">
        <f t="shared" si="23"/>
        <v>#VALUE!</v>
      </c>
      <c r="O121" s="50" t="e">
        <f t="shared" si="24"/>
        <v>#VALUE!</v>
      </c>
      <c r="P121" s="50">
        <f t="shared" si="25"/>
        <v>0</v>
      </c>
      <c r="R121" s="55" t="e">
        <f t="shared" si="26"/>
        <v>#VALUE!</v>
      </c>
      <c r="S121" s="55" t="e">
        <f t="shared" si="27"/>
        <v>#VALUE!</v>
      </c>
      <c r="T121" s="55" t="e">
        <f t="shared" si="31"/>
        <v>#VALUE!</v>
      </c>
      <c r="U121" s="50" t="e">
        <f t="shared" si="28"/>
        <v>#VALUE!</v>
      </c>
      <c r="V121" s="50" t="e">
        <f t="shared" si="29"/>
        <v>#VALUE!</v>
      </c>
      <c r="W121" s="50" t="e">
        <f t="shared" si="30"/>
        <v>#VALUE!</v>
      </c>
      <c r="AD121" s="59"/>
    </row>
    <row r="122" spans="2:30" x14ac:dyDescent="0.25">
      <c r="B122" s="50" t="b">
        <f t="shared" si="32"/>
        <v>0</v>
      </c>
      <c r="C122" s="50" t="e">
        <f t="shared" si="35"/>
        <v>#VALUE!</v>
      </c>
      <c r="E122" s="56">
        <v>119</v>
      </c>
      <c r="G122" s="138"/>
      <c r="H122" s="135">
        <v>1</v>
      </c>
      <c r="I122" s="57" t="str">
        <f t="shared" si="20"/>
        <v/>
      </c>
      <c r="J122" s="58" t="e">
        <f t="shared" si="21"/>
        <v>#VALUE!</v>
      </c>
      <c r="K122" s="50" t="e">
        <f t="shared" si="22"/>
        <v>#VALUE!</v>
      </c>
      <c r="L122" s="50" t="e">
        <f t="shared" si="34"/>
        <v>#VALUE!</v>
      </c>
      <c r="M122" s="50" t="e">
        <f t="shared" si="34"/>
        <v>#VALUE!</v>
      </c>
      <c r="N122" s="50" t="e">
        <f t="shared" si="23"/>
        <v>#VALUE!</v>
      </c>
      <c r="O122" s="50" t="e">
        <f t="shared" si="24"/>
        <v>#VALUE!</v>
      </c>
      <c r="P122" s="50">
        <f t="shared" si="25"/>
        <v>0</v>
      </c>
      <c r="R122" s="55" t="e">
        <f t="shared" si="26"/>
        <v>#VALUE!</v>
      </c>
      <c r="S122" s="55" t="e">
        <f t="shared" si="27"/>
        <v>#VALUE!</v>
      </c>
      <c r="T122" s="55" t="e">
        <f t="shared" si="31"/>
        <v>#VALUE!</v>
      </c>
      <c r="U122" s="50" t="e">
        <f t="shared" si="28"/>
        <v>#VALUE!</v>
      </c>
      <c r="V122" s="50" t="e">
        <f t="shared" si="29"/>
        <v>#VALUE!</v>
      </c>
      <c r="W122" s="50" t="e">
        <f t="shared" si="30"/>
        <v>#VALUE!</v>
      </c>
      <c r="AD122" s="59"/>
    </row>
    <row r="123" spans="2:30" x14ac:dyDescent="0.25">
      <c r="B123" s="50" t="b">
        <f t="shared" si="32"/>
        <v>0</v>
      </c>
      <c r="C123" s="50" t="e">
        <f t="shared" si="35"/>
        <v>#VALUE!</v>
      </c>
      <c r="E123" s="56">
        <v>120</v>
      </c>
      <c r="G123" s="138"/>
      <c r="H123" s="135">
        <v>1</v>
      </c>
      <c r="I123" s="57" t="str">
        <f t="shared" si="20"/>
        <v/>
      </c>
      <c r="J123" s="58" t="e">
        <f t="shared" si="21"/>
        <v>#VALUE!</v>
      </c>
      <c r="K123" s="50" t="e">
        <f t="shared" si="22"/>
        <v>#VALUE!</v>
      </c>
      <c r="L123" s="50" t="e">
        <f t="shared" si="34"/>
        <v>#VALUE!</v>
      </c>
      <c r="M123" s="50" t="e">
        <f t="shared" si="34"/>
        <v>#VALUE!</v>
      </c>
      <c r="N123" s="50" t="e">
        <f t="shared" si="23"/>
        <v>#VALUE!</v>
      </c>
      <c r="O123" s="50" t="e">
        <f t="shared" si="24"/>
        <v>#VALUE!</v>
      </c>
      <c r="P123" s="50">
        <f t="shared" si="25"/>
        <v>0</v>
      </c>
      <c r="R123" s="55" t="e">
        <f t="shared" si="26"/>
        <v>#VALUE!</v>
      </c>
      <c r="S123" s="55" t="e">
        <f t="shared" si="27"/>
        <v>#VALUE!</v>
      </c>
      <c r="T123" s="55" t="e">
        <f t="shared" si="31"/>
        <v>#VALUE!</v>
      </c>
      <c r="U123" s="50" t="e">
        <f t="shared" si="28"/>
        <v>#VALUE!</v>
      </c>
      <c r="V123" s="50" t="e">
        <f t="shared" si="29"/>
        <v>#VALUE!</v>
      </c>
      <c r="W123" s="50" t="e">
        <f t="shared" si="30"/>
        <v>#VALUE!</v>
      </c>
      <c r="AD123" s="59"/>
    </row>
    <row r="124" spans="2:30" x14ac:dyDescent="0.25">
      <c r="B124" s="50" t="b">
        <f t="shared" si="32"/>
        <v>0</v>
      </c>
      <c r="C124" s="50" t="e">
        <f t="shared" si="35"/>
        <v>#VALUE!</v>
      </c>
      <c r="E124" s="56">
        <v>121</v>
      </c>
      <c r="G124" s="138"/>
      <c r="H124" s="135">
        <v>1</v>
      </c>
      <c r="I124" s="57" t="str">
        <f t="shared" si="20"/>
        <v/>
      </c>
      <c r="J124" s="58" t="e">
        <f t="shared" si="21"/>
        <v>#VALUE!</v>
      </c>
      <c r="K124" s="50" t="e">
        <f t="shared" si="22"/>
        <v>#VALUE!</v>
      </c>
      <c r="L124" s="50" t="e">
        <f t="shared" si="34"/>
        <v>#VALUE!</v>
      </c>
      <c r="M124" s="50" t="e">
        <f t="shared" si="34"/>
        <v>#VALUE!</v>
      </c>
      <c r="N124" s="50" t="e">
        <f t="shared" si="23"/>
        <v>#VALUE!</v>
      </c>
      <c r="O124" s="50" t="e">
        <f t="shared" si="24"/>
        <v>#VALUE!</v>
      </c>
      <c r="P124" s="50">
        <f t="shared" si="25"/>
        <v>0</v>
      </c>
      <c r="R124" s="55" t="e">
        <f t="shared" si="26"/>
        <v>#VALUE!</v>
      </c>
      <c r="S124" s="55" t="e">
        <f t="shared" si="27"/>
        <v>#VALUE!</v>
      </c>
      <c r="T124" s="55" t="e">
        <f t="shared" si="31"/>
        <v>#VALUE!</v>
      </c>
      <c r="U124" s="50" t="e">
        <f t="shared" si="28"/>
        <v>#VALUE!</v>
      </c>
      <c r="V124" s="50" t="e">
        <f t="shared" si="29"/>
        <v>#VALUE!</v>
      </c>
      <c r="W124" s="50" t="e">
        <f t="shared" si="30"/>
        <v>#VALUE!</v>
      </c>
      <c r="AD124" s="59"/>
    </row>
    <row r="125" spans="2:30" x14ac:dyDescent="0.25">
      <c r="B125" s="50" t="b">
        <f t="shared" si="32"/>
        <v>0</v>
      </c>
      <c r="C125" s="50" t="e">
        <f t="shared" si="35"/>
        <v>#VALUE!</v>
      </c>
      <c r="E125" s="56">
        <v>122</v>
      </c>
      <c r="G125" s="138"/>
      <c r="H125" s="135">
        <v>1</v>
      </c>
      <c r="I125" s="57" t="str">
        <f t="shared" si="20"/>
        <v/>
      </c>
      <c r="J125" s="58" t="e">
        <f t="shared" si="21"/>
        <v>#VALUE!</v>
      </c>
      <c r="K125" s="50" t="e">
        <f t="shared" si="22"/>
        <v>#VALUE!</v>
      </c>
      <c r="L125" s="50" t="e">
        <f t="shared" si="34"/>
        <v>#VALUE!</v>
      </c>
      <c r="M125" s="50" t="e">
        <f t="shared" si="34"/>
        <v>#VALUE!</v>
      </c>
      <c r="N125" s="50" t="e">
        <f t="shared" si="23"/>
        <v>#VALUE!</v>
      </c>
      <c r="O125" s="50" t="e">
        <f t="shared" si="24"/>
        <v>#VALUE!</v>
      </c>
      <c r="P125" s="50">
        <f t="shared" si="25"/>
        <v>0</v>
      </c>
      <c r="R125" s="55" t="e">
        <f t="shared" si="26"/>
        <v>#VALUE!</v>
      </c>
      <c r="S125" s="55" t="e">
        <f t="shared" si="27"/>
        <v>#VALUE!</v>
      </c>
      <c r="T125" s="55" t="e">
        <f t="shared" si="31"/>
        <v>#VALUE!</v>
      </c>
      <c r="U125" s="50" t="e">
        <f t="shared" si="28"/>
        <v>#VALUE!</v>
      </c>
      <c r="V125" s="50" t="e">
        <f t="shared" si="29"/>
        <v>#VALUE!</v>
      </c>
      <c r="W125" s="50" t="e">
        <f t="shared" si="30"/>
        <v>#VALUE!</v>
      </c>
      <c r="AD125" s="59"/>
    </row>
    <row r="126" spans="2:30" x14ac:dyDescent="0.25">
      <c r="B126" s="50" t="b">
        <f t="shared" si="32"/>
        <v>0</v>
      </c>
      <c r="C126" s="50" t="e">
        <f t="shared" si="35"/>
        <v>#VALUE!</v>
      </c>
      <c r="E126" s="56">
        <v>123</v>
      </c>
      <c r="G126" s="138"/>
      <c r="H126" s="135">
        <v>1</v>
      </c>
      <c r="I126" s="57" t="str">
        <f t="shared" si="20"/>
        <v/>
      </c>
      <c r="J126" s="58" t="e">
        <f t="shared" si="21"/>
        <v>#VALUE!</v>
      </c>
      <c r="K126" s="50" t="e">
        <f t="shared" si="22"/>
        <v>#VALUE!</v>
      </c>
      <c r="L126" s="50" t="e">
        <f t="shared" si="34"/>
        <v>#VALUE!</v>
      </c>
      <c r="M126" s="50" t="e">
        <f t="shared" si="34"/>
        <v>#VALUE!</v>
      </c>
      <c r="N126" s="50" t="e">
        <f t="shared" si="23"/>
        <v>#VALUE!</v>
      </c>
      <c r="O126" s="50" t="e">
        <f t="shared" si="24"/>
        <v>#VALUE!</v>
      </c>
      <c r="P126" s="50">
        <f t="shared" si="25"/>
        <v>0</v>
      </c>
      <c r="R126" s="55" t="e">
        <f t="shared" si="26"/>
        <v>#VALUE!</v>
      </c>
      <c r="S126" s="55" t="e">
        <f t="shared" si="27"/>
        <v>#VALUE!</v>
      </c>
      <c r="T126" s="55" t="e">
        <f t="shared" si="31"/>
        <v>#VALUE!</v>
      </c>
      <c r="U126" s="50" t="e">
        <f t="shared" si="28"/>
        <v>#VALUE!</v>
      </c>
      <c r="V126" s="50" t="e">
        <f t="shared" si="29"/>
        <v>#VALUE!</v>
      </c>
      <c r="W126" s="50" t="e">
        <f t="shared" si="30"/>
        <v>#VALUE!</v>
      </c>
      <c r="AD126" s="59"/>
    </row>
    <row r="127" spans="2:30" x14ac:dyDescent="0.25">
      <c r="B127" s="50" t="b">
        <f t="shared" si="32"/>
        <v>0</v>
      </c>
      <c r="C127" s="50" t="e">
        <f t="shared" si="35"/>
        <v>#VALUE!</v>
      </c>
      <c r="E127" s="56">
        <v>124</v>
      </c>
      <c r="G127" s="138"/>
      <c r="H127" s="135">
        <v>1</v>
      </c>
      <c r="I127" s="57" t="str">
        <f t="shared" si="20"/>
        <v/>
      </c>
      <c r="J127" s="58" t="e">
        <f t="shared" si="21"/>
        <v>#VALUE!</v>
      </c>
      <c r="K127" s="50" t="e">
        <f t="shared" si="22"/>
        <v>#VALUE!</v>
      </c>
      <c r="L127" s="50" t="e">
        <f t="shared" si="34"/>
        <v>#VALUE!</v>
      </c>
      <c r="M127" s="50" t="e">
        <f t="shared" si="34"/>
        <v>#VALUE!</v>
      </c>
      <c r="N127" s="50" t="e">
        <f t="shared" si="23"/>
        <v>#VALUE!</v>
      </c>
      <c r="O127" s="50" t="e">
        <f t="shared" si="24"/>
        <v>#VALUE!</v>
      </c>
      <c r="P127" s="50">
        <f t="shared" si="25"/>
        <v>0</v>
      </c>
      <c r="R127" s="55" t="e">
        <f t="shared" si="26"/>
        <v>#VALUE!</v>
      </c>
      <c r="S127" s="55" t="e">
        <f t="shared" si="27"/>
        <v>#VALUE!</v>
      </c>
      <c r="T127" s="55" t="e">
        <f t="shared" si="31"/>
        <v>#VALUE!</v>
      </c>
      <c r="U127" s="50" t="e">
        <f t="shared" si="28"/>
        <v>#VALUE!</v>
      </c>
      <c r="V127" s="50" t="e">
        <f t="shared" si="29"/>
        <v>#VALUE!</v>
      </c>
      <c r="W127" s="50" t="e">
        <f t="shared" si="30"/>
        <v>#VALUE!</v>
      </c>
      <c r="AD127" s="59"/>
    </row>
    <row r="128" spans="2:30" x14ac:dyDescent="0.25">
      <c r="B128" s="50" t="b">
        <f t="shared" si="32"/>
        <v>0</v>
      </c>
      <c r="C128" s="50" t="e">
        <f t="shared" si="35"/>
        <v>#VALUE!</v>
      </c>
      <c r="E128" s="56">
        <v>125</v>
      </c>
      <c r="G128" s="138"/>
      <c r="H128" s="135">
        <v>1</v>
      </c>
      <c r="I128" s="57" t="str">
        <f t="shared" si="20"/>
        <v/>
      </c>
      <c r="J128" s="58" t="e">
        <f t="shared" si="21"/>
        <v>#VALUE!</v>
      </c>
      <c r="K128" s="50" t="e">
        <f t="shared" si="22"/>
        <v>#VALUE!</v>
      </c>
      <c r="L128" s="50" t="e">
        <f t="shared" si="34"/>
        <v>#VALUE!</v>
      </c>
      <c r="M128" s="50" t="e">
        <f t="shared" si="34"/>
        <v>#VALUE!</v>
      </c>
      <c r="N128" s="50" t="e">
        <f t="shared" si="23"/>
        <v>#VALUE!</v>
      </c>
      <c r="O128" s="50" t="e">
        <f t="shared" si="24"/>
        <v>#VALUE!</v>
      </c>
      <c r="P128" s="50">
        <f t="shared" si="25"/>
        <v>0</v>
      </c>
      <c r="R128" s="55" t="e">
        <f t="shared" si="26"/>
        <v>#VALUE!</v>
      </c>
      <c r="S128" s="55" t="e">
        <f t="shared" si="27"/>
        <v>#VALUE!</v>
      </c>
      <c r="T128" s="55" t="e">
        <f t="shared" si="31"/>
        <v>#VALUE!</v>
      </c>
      <c r="U128" s="50" t="e">
        <f t="shared" si="28"/>
        <v>#VALUE!</v>
      </c>
      <c r="V128" s="50" t="e">
        <f t="shared" si="29"/>
        <v>#VALUE!</v>
      </c>
      <c r="W128" s="50" t="e">
        <f t="shared" si="30"/>
        <v>#VALUE!</v>
      </c>
      <c r="AD128" s="59"/>
    </row>
    <row r="129" spans="2:30" x14ac:dyDescent="0.25">
      <c r="B129" s="50" t="b">
        <f t="shared" si="32"/>
        <v>0</v>
      </c>
      <c r="C129" s="50" t="e">
        <f t="shared" si="35"/>
        <v>#VALUE!</v>
      </c>
      <c r="E129" s="56">
        <v>126</v>
      </c>
      <c r="G129" s="138"/>
      <c r="H129" s="135">
        <v>1</v>
      </c>
      <c r="I129" s="57" t="str">
        <f t="shared" si="20"/>
        <v/>
      </c>
      <c r="J129" s="58" t="e">
        <f t="shared" si="21"/>
        <v>#VALUE!</v>
      </c>
      <c r="K129" s="50" t="e">
        <f t="shared" si="22"/>
        <v>#VALUE!</v>
      </c>
      <c r="L129" s="50" t="e">
        <f t="shared" si="34"/>
        <v>#VALUE!</v>
      </c>
      <c r="M129" s="50" t="e">
        <f t="shared" si="34"/>
        <v>#VALUE!</v>
      </c>
      <c r="N129" s="50" t="e">
        <f t="shared" si="23"/>
        <v>#VALUE!</v>
      </c>
      <c r="O129" s="50" t="e">
        <f t="shared" si="24"/>
        <v>#VALUE!</v>
      </c>
      <c r="P129" s="50">
        <f t="shared" si="25"/>
        <v>0</v>
      </c>
      <c r="R129" s="55" t="e">
        <f t="shared" si="26"/>
        <v>#VALUE!</v>
      </c>
      <c r="S129" s="55" t="e">
        <f t="shared" si="27"/>
        <v>#VALUE!</v>
      </c>
      <c r="T129" s="55" t="e">
        <f t="shared" si="31"/>
        <v>#VALUE!</v>
      </c>
      <c r="U129" s="50" t="e">
        <f t="shared" si="28"/>
        <v>#VALUE!</v>
      </c>
      <c r="V129" s="50" t="e">
        <f t="shared" si="29"/>
        <v>#VALUE!</v>
      </c>
      <c r="W129" s="50" t="e">
        <f t="shared" si="30"/>
        <v>#VALUE!</v>
      </c>
      <c r="AD129" s="59"/>
    </row>
    <row r="130" spans="2:30" x14ac:dyDescent="0.25">
      <c r="B130" s="50" t="b">
        <f t="shared" si="32"/>
        <v>0</v>
      </c>
      <c r="C130" s="50" t="e">
        <f t="shared" si="35"/>
        <v>#VALUE!</v>
      </c>
      <c r="E130" s="56">
        <v>127</v>
      </c>
      <c r="G130" s="138"/>
      <c r="H130" s="135">
        <v>1</v>
      </c>
      <c r="I130" s="57" t="str">
        <f t="shared" si="20"/>
        <v/>
      </c>
      <c r="J130" s="58" t="e">
        <f t="shared" si="21"/>
        <v>#VALUE!</v>
      </c>
      <c r="K130" s="50" t="e">
        <f t="shared" si="22"/>
        <v>#VALUE!</v>
      </c>
      <c r="L130" s="50" t="e">
        <f t="shared" si="34"/>
        <v>#VALUE!</v>
      </c>
      <c r="M130" s="50" t="e">
        <f t="shared" si="34"/>
        <v>#VALUE!</v>
      </c>
      <c r="N130" s="50" t="e">
        <f t="shared" si="23"/>
        <v>#VALUE!</v>
      </c>
      <c r="O130" s="50" t="e">
        <f t="shared" si="24"/>
        <v>#VALUE!</v>
      </c>
      <c r="P130" s="50">
        <f t="shared" si="25"/>
        <v>0</v>
      </c>
      <c r="R130" s="55" t="e">
        <f t="shared" si="26"/>
        <v>#VALUE!</v>
      </c>
      <c r="S130" s="55" t="e">
        <f t="shared" si="27"/>
        <v>#VALUE!</v>
      </c>
      <c r="T130" s="55" t="e">
        <f t="shared" si="31"/>
        <v>#VALUE!</v>
      </c>
      <c r="U130" s="50" t="e">
        <f t="shared" si="28"/>
        <v>#VALUE!</v>
      </c>
      <c r="V130" s="50" t="e">
        <f t="shared" si="29"/>
        <v>#VALUE!</v>
      </c>
      <c r="W130" s="50" t="e">
        <f t="shared" si="30"/>
        <v>#VALUE!</v>
      </c>
      <c r="AD130" s="59"/>
    </row>
    <row r="131" spans="2:30" x14ac:dyDescent="0.25">
      <c r="B131" s="50" t="b">
        <f t="shared" si="32"/>
        <v>0</v>
      </c>
      <c r="C131" s="50" t="e">
        <f t="shared" si="35"/>
        <v>#VALUE!</v>
      </c>
      <c r="E131" s="56">
        <v>128</v>
      </c>
      <c r="G131" s="138"/>
      <c r="H131" s="135">
        <v>1</v>
      </c>
      <c r="I131" s="57" t="str">
        <f t="shared" si="20"/>
        <v/>
      </c>
      <c r="J131" s="58" t="e">
        <f t="shared" si="21"/>
        <v>#VALUE!</v>
      </c>
      <c r="K131" s="50" t="e">
        <f t="shared" si="22"/>
        <v>#VALUE!</v>
      </c>
      <c r="L131" s="50" t="e">
        <f t="shared" si="34"/>
        <v>#VALUE!</v>
      </c>
      <c r="M131" s="50" t="e">
        <f t="shared" si="34"/>
        <v>#VALUE!</v>
      </c>
      <c r="N131" s="50" t="e">
        <f t="shared" si="23"/>
        <v>#VALUE!</v>
      </c>
      <c r="O131" s="50" t="e">
        <f t="shared" si="24"/>
        <v>#VALUE!</v>
      </c>
      <c r="P131" s="50">
        <f t="shared" si="25"/>
        <v>0</v>
      </c>
      <c r="R131" s="55" t="e">
        <f t="shared" si="26"/>
        <v>#VALUE!</v>
      </c>
      <c r="S131" s="55" t="e">
        <f t="shared" si="27"/>
        <v>#VALUE!</v>
      </c>
      <c r="T131" s="55" t="e">
        <f t="shared" si="31"/>
        <v>#VALUE!</v>
      </c>
      <c r="U131" s="50" t="e">
        <f t="shared" si="28"/>
        <v>#VALUE!</v>
      </c>
      <c r="V131" s="50" t="e">
        <f t="shared" si="29"/>
        <v>#VALUE!</v>
      </c>
      <c r="W131" s="50" t="e">
        <f t="shared" si="30"/>
        <v>#VALUE!</v>
      </c>
      <c r="AD131" s="59"/>
    </row>
    <row r="132" spans="2:30" x14ac:dyDescent="0.25">
      <c r="B132" s="50" t="b">
        <f t="shared" si="32"/>
        <v>0</v>
      </c>
      <c r="C132" s="50" t="e">
        <f t="shared" si="35"/>
        <v>#VALUE!</v>
      </c>
      <c r="E132" s="56">
        <v>129</v>
      </c>
      <c r="G132" s="138"/>
      <c r="H132" s="135">
        <v>1</v>
      </c>
      <c r="I132" s="57" t="str">
        <f t="shared" si="20"/>
        <v/>
      </c>
      <c r="J132" s="58" t="e">
        <f t="shared" si="21"/>
        <v>#VALUE!</v>
      </c>
      <c r="K132" s="50" t="e">
        <f t="shared" si="22"/>
        <v>#VALUE!</v>
      </c>
      <c r="L132" s="50" t="e">
        <f t="shared" si="34"/>
        <v>#VALUE!</v>
      </c>
      <c r="M132" s="50" t="e">
        <f t="shared" si="34"/>
        <v>#VALUE!</v>
      </c>
      <c r="N132" s="50" t="e">
        <f t="shared" si="23"/>
        <v>#VALUE!</v>
      </c>
      <c r="O132" s="50" t="e">
        <f t="shared" si="24"/>
        <v>#VALUE!</v>
      </c>
      <c r="P132" s="50">
        <f t="shared" si="25"/>
        <v>0</v>
      </c>
      <c r="R132" s="55" t="e">
        <f t="shared" si="26"/>
        <v>#VALUE!</v>
      </c>
      <c r="S132" s="55" t="e">
        <f t="shared" si="27"/>
        <v>#VALUE!</v>
      </c>
      <c r="T132" s="55" t="e">
        <f t="shared" si="31"/>
        <v>#VALUE!</v>
      </c>
      <c r="U132" s="50" t="e">
        <f t="shared" si="28"/>
        <v>#VALUE!</v>
      </c>
      <c r="V132" s="50" t="e">
        <f t="shared" si="29"/>
        <v>#VALUE!</v>
      </c>
      <c r="W132" s="50" t="e">
        <f t="shared" si="30"/>
        <v>#VALUE!</v>
      </c>
    </row>
    <row r="133" spans="2:30" x14ac:dyDescent="0.25">
      <c r="B133" s="50" t="b">
        <f t="shared" si="32"/>
        <v>0</v>
      </c>
      <c r="C133" s="50" t="e">
        <f t="shared" si="35"/>
        <v>#VALUE!</v>
      </c>
      <c r="E133" s="56">
        <v>130</v>
      </c>
      <c r="G133" s="138"/>
      <c r="H133" s="135">
        <v>1</v>
      </c>
      <c r="I133" s="57" t="str">
        <f t="shared" si="20"/>
        <v/>
      </c>
      <c r="J133" s="58" t="e">
        <f t="shared" ref="J133:J196" si="36">RIGHT(I133,K133)</f>
        <v>#VALUE!</v>
      </c>
      <c r="K133" s="50" t="e">
        <f t="shared" ref="K133:K196" si="37">P133-N133</f>
        <v>#VALUE!</v>
      </c>
      <c r="L133" s="50" t="e">
        <f t="shared" ref="L133:M196" si="38">O133-N133</f>
        <v>#VALUE!</v>
      </c>
      <c r="M133" s="50" t="e">
        <f t="shared" si="38"/>
        <v>#VALUE!</v>
      </c>
      <c r="N133" s="50" t="e">
        <f t="shared" ref="N133:N196" si="39">SEARCH("-",I133,2)</f>
        <v>#VALUE!</v>
      </c>
      <c r="O133" s="50" t="e">
        <f t="shared" ref="O133:O196" si="40">SEARCH("-",I133,N133+1)</f>
        <v>#VALUE!</v>
      </c>
      <c r="P133" s="50">
        <f t="shared" ref="P133:P196" si="41">LEN(I133)</f>
        <v>0</v>
      </c>
      <c r="R133" s="55" t="e">
        <f t="shared" ref="R133:R196" si="42">LEFT(I133,N133-1)</f>
        <v>#VALUE!</v>
      </c>
      <c r="S133" s="55" t="e">
        <f t="shared" ref="S133:S196" si="43">LEFT(J133,L133-1)</f>
        <v>#VALUE!</v>
      </c>
      <c r="T133" s="55" t="e">
        <f t="shared" si="31"/>
        <v>#VALUE!</v>
      </c>
      <c r="U133" s="50" t="e">
        <f t="shared" ref="U133:U196" si="44">R133*1*$H133</f>
        <v>#VALUE!</v>
      </c>
      <c r="V133" s="50" t="e">
        <f t="shared" ref="V133:V196" si="45">S133*1*$H133</f>
        <v>#VALUE!</v>
      </c>
      <c r="W133" s="50" t="e">
        <f t="shared" ref="W133:W196" si="46">T133*1*$H133</f>
        <v>#VALUE!</v>
      </c>
    </row>
    <row r="134" spans="2:30" x14ac:dyDescent="0.25">
      <c r="B134" s="50" t="b">
        <f t="shared" si="32"/>
        <v>0</v>
      </c>
      <c r="C134" s="50" t="e">
        <f t="shared" si="35"/>
        <v>#VALUE!</v>
      </c>
      <c r="E134" s="56">
        <v>131</v>
      </c>
      <c r="G134" s="138"/>
      <c r="H134" s="135">
        <v>1</v>
      </c>
      <c r="I134" s="57" t="str">
        <f t="shared" ref="I134:I197" si="47">IF(G134="","",G134&amp;""&amp;"-0")</f>
        <v/>
      </c>
      <c r="J134" s="58" t="e">
        <f t="shared" si="36"/>
        <v>#VALUE!</v>
      </c>
      <c r="K134" s="50" t="e">
        <f t="shared" si="37"/>
        <v>#VALUE!</v>
      </c>
      <c r="L134" s="50" t="e">
        <f t="shared" si="38"/>
        <v>#VALUE!</v>
      </c>
      <c r="M134" s="50" t="e">
        <f t="shared" si="38"/>
        <v>#VALUE!</v>
      </c>
      <c r="N134" s="50" t="e">
        <f t="shared" si="39"/>
        <v>#VALUE!</v>
      </c>
      <c r="O134" s="50" t="e">
        <f t="shared" si="40"/>
        <v>#VALUE!</v>
      </c>
      <c r="P134" s="50">
        <f t="shared" si="41"/>
        <v>0</v>
      </c>
      <c r="R134" s="55" t="e">
        <f t="shared" si="42"/>
        <v>#VALUE!</v>
      </c>
      <c r="S134" s="55" t="e">
        <f t="shared" si="43"/>
        <v>#VALUE!</v>
      </c>
      <c r="T134" s="55" t="e">
        <f t="shared" ref="T134:T197" si="48">RIGHT(I134,M134)</f>
        <v>#VALUE!</v>
      </c>
      <c r="U134" s="50" t="e">
        <f t="shared" si="44"/>
        <v>#VALUE!</v>
      </c>
      <c r="V134" s="50" t="e">
        <f t="shared" si="45"/>
        <v>#VALUE!</v>
      </c>
      <c r="W134" s="50" t="e">
        <f t="shared" si="46"/>
        <v>#VALUE!</v>
      </c>
    </row>
    <row r="135" spans="2:30" x14ac:dyDescent="0.25">
      <c r="B135" s="50" t="b">
        <f t="shared" si="32"/>
        <v>0</v>
      </c>
      <c r="C135" s="50" t="e">
        <f t="shared" si="35"/>
        <v>#VALUE!</v>
      </c>
      <c r="E135" s="56">
        <v>132</v>
      </c>
      <c r="G135" s="138"/>
      <c r="H135" s="135">
        <v>1</v>
      </c>
      <c r="I135" s="57" t="str">
        <f t="shared" si="47"/>
        <v/>
      </c>
      <c r="J135" s="58" t="e">
        <f t="shared" si="36"/>
        <v>#VALUE!</v>
      </c>
      <c r="K135" s="50" t="e">
        <f t="shared" si="37"/>
        <v>#VALUE!</v>
      </c>
      <c r="L135" s="50" t="e">
        <f t="shared" si="38"/>
        <v>#VALUE!</v>
      </c>
      <c r="M135" s="50" t="e">
        <f t="shared" si="38"/>
        <v>#VALUE!</v>
      </c>
      <c r="N135" s="50" t="e">
        <f t="shared" si="39"/>
        <v>#VALUE!</v>
      </c>
      <c r="O135" s="50" t="e">
        <f t="shared" si="40"/>
        <v>#VALUE!</v>
      </c>
      <c r="P135" s="50">
        <f t="shared" si="41"/>
        <v>0</v>
      </c>
      <c r="R135" s="55" t="e">
        <f t="shared" si="42"/>
        <v>#VALUE!</v>
      </c>
      <c r="S135" s="55" t="e">
        <f t="shared" si="43"/>
        <v>#VALUE!</v>
      </c>
      <c r="T135" s="55" t="e">
        <f t="shared" si="48"/>
        <v>#VALUE!</v>
      </c>
      <c r="U135" s="50" t="e">
        <f t="shared" si="44"/>
        <v>#VALUE!</v>
      </c>
      <c r="V135" s="50" t="e">
        <f t="shared" si="45"/>
        <v>#VALUE!</v>
      </c>
      <c r="W135" s="50" t="e">
        <f t="shared" si="46"/>
        <v>#VALUE!</v>
      </c>
    </row>
    <row r="136" spans="2:30" x14ac:dyDescent="0.25">
      <c r="B136" s="50" t="b">
        <f t="shared" si="32"/>
        <v>0</v>
      </c>
      <c r="C136" s="50" t="e">
        <f t="shared" si="35"/>
        <v>#VALUE!</v>
      </c>
      <c r="E136" s="56">
        <v>133</v>
      </c>
      <c r="G136" s="138"/>
      <c r="H136" s="135">
        <v>1</v>
      </c>
      <c r="I136" s="57" t="str">
        <f t="shared" si="47"/>
        <v/>
      </c>
      <c r="J136" s="58" t="e">
        <f t="shared" si="36"/>
        <v>#VALUE!</v>
      </c>
      <c r="K136" s="50" t="e">
        <f t="shared" si="37"/>
        <v>#VALUE!</v>
      </c>
      <c r="L136" s="50" t="e">
        <f t="shared" si="38"/>
        <v>#VALUE!</v>
      </c>
      <c r="M136" s="50" t="e">
        <f t="shared" si="38"/>
        <v>#VALUE!</v>
      </c>
      <c r="N136" s="50" t="e">
        <f t="shared" si="39"/>
        <v>#VALUE!</v>
      </c>
      <c r="O136" s="50" t="e">
        <f t="shared" si="40"/>
        <v>#VALUE!</v>
      </c>
      <c r="P136" s="50">
        <f t="shared" si="41"/>
        <v>0</v>
      </c>
      <c r="R136" s="55" t="e">
        <f t="shared" si="42"/>
        <v>#VALUE!</v>
      </c>
      <c r="S136" s="55" t="e">
        <f t="shared" si="43"/>
        <v>#VALUE!</v>
      </c>
      <c r="T136" s="55" t="e">
        <f t="shared" si="48"/>
        <v>#VALUE!</v>
      </c>
      <c r="U136" s="50" t="e">
        <f t="shared" si="44"/>
        <v>#VALUE!</v>
      </c>
      <c r="V136" s="50" t="e">
        <f t="shared" si="45"/>
        <v>#VALUE!</v>
      </c>
      <c r="W136" s="50" t="e">
        <f t="shared" si="46"/>
        <v>#VALUE!</v>
      </c>
    </row>
    <row r="137" spans="2:30" x14ac:dyDescent="0.25">
      <c r="B137" s="50" t="b">
        <f t="shared" si="32"/>
        <v>0</v>
      </c>
      <c r="C137" s="50" t="e">
        <f t="shared" si="35"/>
        <v>#VALUE!</v>
      </c>
      <c r="E137" s="56">
        <v>134</v>
      </c>
      <c r="G137" s="138"/>
      <c r="H137" s="135">
        <v>1</v>
      </c>
      <c r="I137" s="57" t="str">
        <f t="shared" si="47"/>
        <v/>
      </c>
      <c r="J137" s="58" t="e">
        <f t="shared" si="36"/>
        <v>#VALUE!</v>
      </c>
      <c r="K137" s="50" t="e">
        <f t="shared" si="37"/>
        <v>#VALUE!</v>
      </c>
      <c r="L137" s="50" t="e">
        <f t="shared" si="38"/>
        <v>#VALUE!</v>
      </c>
      <c r="M137" s="50" t="e">
        <f t="shared" si="38"/>
        <v>#VALUE!</v>
      </c>
      <c r="N137" s="50" t="e">
        <f t="shared" si="39"/>
        <v>#VALUE!</v>
      </c>
      <c r="O137" s="50" t="e">
        <f t="shared" si="40"/>
        <v>#VALUE!</v>
      </c>
      <c r="P137" s="50">
        <f t="shared" si="41"/>
        <v>0</v>
      </c>
      <c r="R137" s="55" t="e">
        <f t="shared" si="42"/>
        <v>#VALUE!</v>
      </c>
      <c r="S137" s="55" t="e">
        <f t="shared" si="43"/>
        <v>#VALUE!</v>
      </c>
      <c r="T137" s="55" t="e">
        <f t="shared" si="48"/>
        <v>#VALUE!</v>
      </c>
      <c r="U137" s="50" t="e">
        <f t="shared" si="44"/>
        <v>#VALUE!</v>
      </c>
      <c r="V137" s="50" t="e">
        <f t="shared" si="45"/>
        <v>#VALUE!</v>
      </c>
      <c r="W137" s="50" t="e">
        <f t="shared" si="46"/>
        <v>#VALUE!</v>
      </c>
    </row>
    <row r="138" spans="2:30" x14ac:dyDescent="0.25">
      <c r="B138" s="50" t="b">
        <f t="shared" si="32"/>
        <v>0</v>
      </c>
      <c r="C138" s="50" t="e">
        <f t="shared" si="35"/>
        <v>#VALUE!</v>
      </c>
      <c r="E138" s="56">
        <v>135</v>
      </c>
      <c r="G138" s="138"/>
      <c r="H138" s="135">
        <v>1</v>
      </c>
      <c r="I138" s="57" t="str">
        <f t="shared" si="47"/>
        <v/>
      </c>
      <c r="J138" s="58" t="e">
        <f t="shared" si="36"/>
        <v>#VALUE!</v>
      </c>
      <c r="K138" s="50" t="e">
        <f t="shared" si="37"/>
        <v>#VALUE!</v>
      </c>
      <c r="L138" s="50" t="e">
        <f t="shared" si="38"/>
        <v>#VALUE!</v>
      </c>
      <c r="M138" s="50" t="e">
        <f t="shared" si="38"/>
        <v>#VALUE!</v>
      </c>
      <c r="N138" s="50" t="e">
        <f t="shared" si="39"/>
        <v>#VALUE!</v>
      </c>
      <c r="O138" s="50" t="e">
        <f t="shared" si="40"/>
        <v>#VALUE!</v>
      </c>
      <c r="P138" s="50">
        <f t="shared" si="41"/>
        <v>0</v>
      </c>
      <c r="R138" s="55" t="e">
        <f t="shared" si="42"/>
        <v>#VALUE!</v>
      </c>
      <c r="S138" s="55" t="e">
        <f t="shared" si="43"/>
        <v>#VALUE!</v>
      </c>
      <c r="T138" s="55" t="e">
        <f t="shared" si="48"/>
        <v>#VALUE!</v>
      </c>
      <c r="U138" s="50" t="e">
        <f t="shared" si="44"/>
        <v>#VALUE!</v>
      </c>
      <c r="V138" s="50" t="e">
        <f t="shared" si="45"/>
        <v>#VALUE!</v>
      </c>
      <c r="W138" s="50" t="e">
        <f t="shared" si="46"/>
        <v>#VALUE!</v>
      </c>
    </row>
    <row r="139" spans="2:30" x14ac:dyDescent="0.25">
      <c r="B139" s="50" t="b">
        <f t="shared" si="32"/>
        <v>0</v>
      </c>
      <c r="C139" s="50" t="e">
        <f t="shared" si="35"/>
        <v>#VALUE!</v>
      </c>
      <c r="E139" s="56">
        <v>136</v>
      </c>
      <c r="G139" s="138"/>
      <c r="H139" s="135">
        <v>1</v>
      </c>
      <c r="I139" s="57" t="str">
        <f t="shared" si="47"/>
        <v/>
      </c>
      <c r="J139" s="58" t="e">
        <f t="shared" si="36"/>
        <v>#VALUE!</v>
      </c>
      <c r="K139" s="50" t="e">
        <f t="shared" si="37"/>
        <v>#VALUE!</v>
      </c>
      <c r="L139" s="50" t="e">
        <f t="shared" si="38"/>
        <v>#VALUE!</v>
      </c>
      <c r="M139" s="50" t="e">
        <f t="shared" si="38"/>
        <v>#VALUE!</v>
      </c>
      <c r="N139" s="50" t="e">
        <f t="shared" si="39"/>
        <v>#VALUE!</v>
      </c>
      <c r="O139" s="50" t="e">
        <f t="shared" si="40"/>
        <v>#VALUE!</v>
      </c>
      <c r="P139" s="50">
        <f t="shared" si="41"/>
        <v>0</v>
      </c>
      <c r="R139" s="55" t="e">
        <f t="shared" si="42"/>
        <v>#VALUE!</v>
      </c>
      <c r="S139" s="55" t="e">
        <f t="shared" si="43"/>
        <v>#VALUE!</v>
      </c>
      <c r="T139" s="55" t="e">
        <f t="shared" si="48"/>
        <v>#VALUE!</v>
      </c>
      <c r="U139" s="50" t="e">
        <f t="shared" si="44"/>
        <v>#VALUE!</v>
      </c>
      <c r="V139" s="50" t="e">
        <f t="shared" si="45"/>
        <v>#VALUE!</v>
      </c>
      <c r="W139" s="50" t="e">
        <f t="shared" si="46"/>
        <v>#VALUE!</v>
      </c>
    </row>
    <row r="140" spans="2:30" x14ac:dyDescent="0.25">
      <c r="B140" s="50" t="b">
        <f t="shared" si="32"/>
        <v>0</v>
      </c>
      <c r="C140" s="50" t="e">
        <f t="shared" si="35"/>
        <v>#VALUE!</v>
      </c>
      <c r="E140" s="56">
        <v>137</v>
      </c>
      <c r="G140" s="138"/>
      <c r="H140" s="135">
        <v>1</v>
      </c>
      <c r="I140" s="57" t="str">
        <f t="shared" si="47"/>
        <v/>
      </c>
      <c r="J140" s="58" t="e">
        <f t="shared" si="36"/>
        <v>#VALUE!</v>
      </c>
      <c r="K140" s="50" t="e">
        <f t="shared" si="37"/>
        <v>#VALUE!</v>
      </c>
      <c r="L140" s="50" t="e">
        <f t="shared" si="38"/>
        <v>#VALUE!</v>
      </c>
      <c r="M140" s="50" t="e">
        <f t="shared" si="38"/>
        <v>#VALUE!</v>
      </c>
      <c r="N140" s="50" t="e">
        <f t="shared" si="39"/>
        <v>#VALUE!</v>
      </c>
      <c r="O140" s="50" t="e">
        <f t="shared" si="40"/>
        <v>#VALUE!</v>
      </c>
      <c r="P140" s="50">
        <f t="shared" si="41"/>
        <v>0</v>
      </c>
      <c r="R140" s="55" t="e">
        <f t="shared" si="42"/>
        <v>#VALUE!</v>
      </c>
      <c r="S140" s="55" t="e">
        <f t="shared" si="43"/>
        <v>#VALUE!</v>
      </c>
      <c r="T140" s="55" t="e">
        <f t="shared" si="48"/>
        <v>#VALUE!</v>
      </c>
      <c r="U140" s="50" t="e">
        <f t="shared" si="44"/>
        <v>#VALUE!</v>
      </c>
      <c r="V140" s="50" t="e">
        <f t="shared" si="45"/>
        <v>#VALUE!</v>
      </c>
      <c r="W140" s="50" t="e">
        <f t="shared" si="46"/>
        <v>#VALUE!</v>
      </c>
    </row>
    <row r="141" spans="2:30" x14ac:dyDescent="0.25">
      <c r="B141" s="50" t="b">
        <f t="shared" si="32"/>
        <v>0</v>
      </c>
      <c r="C141" s="50" t="e">
        <f t="shared" si="35"/>
        <v>#VALUE!</v>
      </c>
      <c r="E141" s="56">
        <v>138</v>
      </c>
      <c r="G141" s="138"/>
      <c r="H141" s="135">
        <v>1</v>
      </c>
      <c r="I141" s="57" t="str">
        <f t="shared" si="47"/>
        <v/>
      </c>
      <c r="J141" s="58" t="e">
        <f t="shared" si="36"/>
        <v>#VALUE!</v>
      </c>
      <c r="K141" s="50" t="e">
        <f t="shared" si="37"/>
        <v>#VALUE!</v>
      </c>
      <c r="L141" s="50" t="e">
        <f t="shared" si="38"/>
        <v>#VALUE!</v>
      </c>
      <c r="M141" s="50" t="e">
        <f t="shared" si="38"/>
        <v>#VALUE!</v>
      </c>
      <c r="N141" s="50" t="e">
        <f t="shared" si="39"/>
        <v>#VALUE!</v>
      </c>
      <c r="O141" s="50" t="e">
        <f t="shared" si="40"/>
        <v>#VALUE!</v>
      </c>
      <c r="P141" s="50">
        <f t="shared" si="41"/>
        <v>0</v>
      </c>
      <c r="R141" s="55" t="e">
        <f t="shared" si="42"/>
        <v>#VALUE!</v>
      </c>
      <c r="S141" s="55" t="e">
        <f t="shared" si="43"/>
        <v>#VALUE!</v>
      </c>
      <c r="T141" s="55" t="e">
        <f t="shared" si="48"/>
        <v>#VALUE!</v>
      </c>
      <c r="U141" s="50" t="e">
        <f t="shared" si="44"/>
        <v>#VALUE!</v>
      </c>
      <c r="V141" s="50" t="e">
        <f t="shared" si="45"/>
        <v>#VALUE!</v>
      </c>
      <c r="W141" s="50" t="e">
        <f t="shared" si="46"/>
        <v>#VALUE!</v>
      </c>
    </row>
    <row r="142" spans="2:30" x14ac:dyDescent="0.25">
      <c r="B142" s="50" t="b">
        <f t="shared" ref="B142:B205" si="49">ISNUMBER(C142)</f>
        <v>0</v>
      </c>
      <c r="C142" s="50" t="e">
        <f t="shared" si="35"/>
        <v>#VALUE!</v>
      </c>
      <c r="E142" s="56">
        <v>139</v>
      </c>
      <c r="G142" s="138"/>
      <c r="H142" s="135">
        <v>1</v>
      </c>
      <c r="I142" s="57" t="str">
        <f t="shared" si="47"/>
        <v/>
      </c>
      <c r="J142" s="58" t="e">
        <f t="shared" si="36"/>
        <v>#VALUE!</v>
      </c>
      <c r="K142" s="50" t="e">
        <f t="shared" si="37"/>
        <v>#VALUE!</v>
      </c>
      <c r="L142" s="50" t="e">
        <f t="shared" si="38"/>
        <v>#VALUE!</v>
      </c>
      <c r="M142" s="50" t="e">
        <f t="shared" si="38"/>
        <v>#VALUE!</v>
      </c>
      <c r="N142" s="50" t="e">
        <f t="shared" si="39"/>
        <v>#VALUE!</v>
      </c>
      <c r="O142" s="50" t="e">
        <f t="shared" si="40"/>
        <v>#VALUE!</v>
      </c>
      <c r="P142" s="50">
        <f t="shared" si="41"/>
        <v>0</v>
      </c>
      <c r="R142" s="55" t="e">
        <f t="shared" si="42"/>
        <v>#VALUE!</v>
      </c>
      <c r="S142" s="55" t="e">
        <f t="shared" si="43"/>
        <v>#VALUE!</v>
      </c>
      <c r="T142" s="55" t="e">
        <f t="shared" si="48"/>
        <v>#VALUE!</v>
      </c>
      <c r="U142" s="50" t="e">
        <f t="shared" si="44"/>
        <v>#VALUE!</v>
      </c>
      <c r="V142" s="50" t="e">
        <f t="shared" si="45"/>
        <v>#VALUE!</v>
      </c>
      <c r="W142" s="50" t="e">
        <f t="shared" si="46"/>
        <v>#VALUE!</v>
      </c>
    </row>
    <row r="143" spans="2:30" x14ac:dyDescent="0.25">
      <c r="B143" s="50" t="b">
        <f t="shared" si="49"/>
        <v>0</v>
      </c>
      <c r="C143" s="50" t="e">
        <f t="shared" si="35"/>
        <v>#VALUE!</v>
      </c>
      <c r="E143" s="56">
        <v>140</v>
      </c>
      <c r="G143" s="138"/>
      <c r="H143" s="135">
        <v>1</v>
      </c>
      <c r="I143" s="57" t="str">
        <f t="shared" si="47"/>
        <v/>
      </c>
      <c r="J143" s="58" t="e">
        <f t="shared" si="36"/>
        <v>#VALUE!</v>
      </c>
      <c r="K143" s="50" t="e">
        <f t="shared" si="37"/>
        <v>#VALUE!</v>
      </c>
      <c r="L143" s="50" t="e">
        <f t="shared" si="38"/>
        <v>#VALUE!</v>
      </c>
      <c r="M143" s="50" t="e">
        <f t="shared" si="38"/>
        <v>#VALUE!</v>
      </c>
      <c r="N143" s="50" t="e">
        <f t="shared" si="39"/>
        <v>#VALUE!</v>
      </c>
      <c r="O143" s="50" t="e">
        <f t="shared" si="40"/>
        <v>#VALUE!</v>
      </c>
      <c r="P143" s="50">
        <f t="shared" si="41"/>
        <v>0</v>
      </c>
      <c r="R143" s="55" t="e">
        <f t="shared" si="42"/>
        <v>#VALUE!</v>
      </c>
      <c r="S143" s="55" t="e">
        <f t="shared" si="43"/>
        <v>#VALUE!</v>
      </c>
      <c r="T143" s="55" t="e">
        <f t="shared" si="48"/>
        <v>#VALUE!</v>
      </c>
      <c r="U143" s="50" t="e">
        <f t="shared" si="44"/>
        <v>#VALUE!</v>
      </c>
      <c r="V143" s="50" t="e">
        <f t="shared" si="45"/>
        <v>#VALUE!</v>
      </c>
      <c r="W143" s="50" t="e">
        <f t="shared" si="46"/>
        <v>#VALUE!</v>
      </c>
    </row>
    <row r="144" spans="2:30" x14ac:dyDescent="0.25">
      <c r="B144" s="50" t="b">
        <f t="shared" si="49"/>
        <v>0</v>
      </c>
      <c r="C144" s="50" t="e">
        <f t="shared" si="35"/>
        <v>#VALUE!</v>
      </c>
      <c r="E144" s="56">
        <v>141</v>
      </c>
      <c r="G144" s="138"/>
      <c r="H144" s="135">
        <v>1</v>
      </c>
      <c r="I144" s="57" t="str">
        <f t="shared" si="47"/>
        <v/>
      </c>
      <c r="J144" s="58" t="e">
        <f t="shared" si="36"/>
        <v>#VALUE!</v>
      </c>
      <c r="K144" s="50" t="e">
        <f t="shared" si="37"/>
        <v>#VALUE!</v>
      </c>
      <c r="L144" s="50" t="e">
        <f t="shared" si="38"/>
        <v>#VALUE!</v>
      </c>
      <c r="M144" s="50" t="e">
        <f t="shared" si="38"/>
        <v>#VALUE!</v>
      </c>
      <c r="N144" s="50" t="e">
        <f t="shared" si="39"/>
        <v>#VALUE!</v>
      </c>
      <c r="O144" s="50" t="e">
        <f t="shared" si="40"/>
        <v>#VALUE!</v>
      </c>
      <c r="P144" s="50">
        <f t="shared" si="41"/>
        <v>0</v>
      </c>
      <c r="R144" s="55" t="e">
        <f t="shared" si="42"/>
        <v>#VALUE!</v>
      </c>
      <c r="S144" s="55" t="e">
        <f t="shared" si="43"/>
        <v>#VALUE!</v>
      </c>
      <c r="T144" s="55" t="e">
        <f t="shared" si="48"/>
        <v>#VALUE!</v>
      </c>
      <c r="U144" s="50" t="e">
        <f t="shared" si="44"/>
        <v>#VALUE!</v>
      </c>
      <c r="V144" s="50" t="e">
        <f t="shared" si="45"/>
        <v>#VALUE!</v>
      </c>
      <c r="W144" s="50" t="e">
        <f t="shared" si="46"/>
        <v>#VALUE!</v>
      </c>
    </row>
    <row r="145" spans="2:23" x14ac:dyDescent="0.25">
      <c r="B145" s="50" t="b">
        <f t="shared" si="49"/>
        <v>0</v>
      </c>
      <c r="C145" s="50" t="e">
        <f t="shared" si="35"/>
        <v>#VALUE!</v>
      </c>
      <c r="E145" s="56">
        <v>142</v>
      </c>
      <c r="G145" s="138"/>
      <c r="H145" s="135">
        <v>1</v>
      </c>
      <c r="I145" s="57" t="str">
        <f t="shared" si="47"/>
        <v/>
      </c>
      <c r="J145" s="58" t="e">
        <f t="shared" si="36"/>
        <v>#VALUE!</v>
      </c>
      <c r="K145" s="50" t="e">
        <f t="shared" si="37"/>
        <v>#VALUE!</v>
      </c>
      <c r="L145" s="50" t="e">
        <f t="shared" si="38"/>
        <v>#VALUE!</v>
      </c>
      <c r="M145" s="50" t="e">
        <f t="shared" si="38"/>
        <v>#VALUE!</v>
      </c>
      <c r="N145" s="50" t="e">
        <f t="shared" si="39"/>
        <v>#VALUE!</v>
      </c>
      <c r="O145" s="50" t="e">
        <f t="shared" si="40"/>
        <v>#VALUE!</v>
      </c>
      <c r="P145" s="50">
        <f t="shared" si="41"/>
        <v>0</v>
      </c>
      <c r="R145" s="55" t="e">
        <f t="shared" si="42"/>
        <v>#VALUE!</v>
      </c>
      <c r="S145" s="55" t="e">
        <f t="shared" si="43"/>
        <v>#VALUE!</v>
      </c>
      <c r="T145" s="55" t="e">
        <f t="shared" si="48"/>
        <v>#VALUE!</v>
      </c>
      <c r="U145" s="50" t="e">
        <f t="shared" si="44"/>
        <v>#VALUE!</v>
      </c>
      <c r="V145" s="50" t="e">
        <f t="shared" si="45"/>
        <v>#VALUE!</v>
      </c>
      <c r="W145" s="50" t="e">
        <f t="shared" si="46"/>
        <v>#VALUE!</v>
      </c>
    </row>
    <row r="146" spans="2:23" x14ac:dyDescent="0.25">
      <c r="B146" s="50" t="b">
        <f t="shared" si="49"/>
        <v>0</v>
      </c>
      <c r="C146" s="50" t="e">
        <f t="shared" si="35"/>
        <v>#VALUE!</v>
      </c>
      <c r="E146" s="56">
        <v>143</v>
      </c>
      <c r="G146" s="138"/>
      <c r="H146" s="135">
        <v>1</v>
      </c>
      <c r="I146" s="57" t="str">
        <f t="shared" si="47"/>
        <v/>
      </c>
      <c r="J146" s="58" t="e">
        <f t="shared" si="36"/>
        <v>#VALUE!</v>
      </c>
      <c r="K146" s="50" t="e">
        <f t="shared" si="37"/>
        <v>#VALUE!</v>
      </c>
      <c r="L146" s="50" t="e">
        <f t="shared" si="38"/>
        <v>#VALUE!</v>
      </c>
      <c r="M146" s="50" t="e">
        <f t="shared" si="38"/>
        <v>#VALUE!</v>
      </c>
      <c r="N146" s="50" t="e">
        <f t="shared" si="39"/>
        <v>#VALUE!</v>
      </c>
      <c r="O146" s="50" t="e">
        <f t="shared" si="40"/>
        <v>#VALUE!</v>
      </c>
      <c r="P146" s="50">
        <f t="shared" si="41"/>
        <v>0</v>
      </c>
      <c r="R146" s="55" t="e">
        <f t="shared" si="42"/>
        <v>#VALUE!</v>
      </c>
      <c r="S146" s="55" t="e">
        <f t="shared" si="43"/>
        <v>#VALUE!</v>
      </c>
      <c r="T146" s="55" t="e">
        <f t="shared" si="48"/>
        <v>#VALUE!</v>
      </c>
      <c r="U146" s="50" t="e">
        <f t="shared" si="44"/>
        <v>#VALUE!</v>
      </c>
      <c r="V146" s="50" t="e">
        <f t="shared" si="45"/>
        <v>#VALUE!</v>
      </c>
      <c r="W146" s="50" t="e">
        <f t="shared" si="46"/>
        <v>#VALUE!</v>
      </c>
    </row>
    <row r="147" spans="2:23" x14ac:dyDescent="0.25">
      <c r="B147" s="50" t="b">
        <f t="shared" si="49"/>
        <v>0</v>
      </c>
      <c r="C147" s="50" t="e">
        <f t="shared" si="35"/>
        <v>#VALUE!</v>
      </c>
      <c r="E147" s="56">
        <v>144</v>
      </c>
      <c r="G147" s="138"/>
      <c r="H147" s="135">
        <v>1</v>
      </c>
      <c r="I147" s="57" t="str">
        <f t="shared" si="47"/>
        <v/>
      </c>
      <c r="J147" s="58" t="e">
        <f t="shared" si="36"/>
        <v>#VALUE!</v>
      </c>
      <c r="K147" s="50" t="e">
        <f t="shared" si="37"/>
        <v>#VALUE!</v>
      </c>
      <c r="L147" s="50" t="e">
        <f t="shared" si="38"/>
        <v>#VALUE!</v>
      </c>
      <c r="M147" s="50" t="e">
        <f t="shared" si="38"/>
        <v>#VALUE!</v>
      </c>
      <c r="N147" s="50" t="e">
        <f t="shared" si="39"/>
        <v>#VALUE!</v>
      </c>
      <c r="O147" s="50" t="e">
        <f t="shared" si="40"/>
        <v>#VALUE!</v>
      </c>
      <c r="P147" s="50">
        <f t="shared" si="41"/>
        <v>0</v>
      </c>
      <c r="R147" s="55" t="e">
        <f t="shared" si="42"/>
        <v>#VALUE!</v>
      </c>
      <c r="S147" s="55" t="e">
        <f t="shared" si="43"/>
        <v>#VALUE!</v>
      </c>
      <c r="T147" s="55" t="e">
        <f t="shared" si="48"/>
        <v>#VALUE!</v>
      </c>
      <c r="U147" s="50" t="e">
        <f t="shared" si="44"/>
        <v>#VALUE!</v>
      </c>
      <c r="V147" s="50" t="e">
        <f t="shared" si="45"/>
        <v>#VALUE!</v>
      </c>
      <c r="W147" s="50" t="e">
        <f t="shared" si="46"/>
        <v>#VALUE!</v>
      </c>
    </row>
    <row r="148" spans="2:23" x14ac:dyDescent="0.25">
      <c r="B148" s="50" t="b">
        <f t="shared" si="49"/>
        <v>0</v>
      </c>
      <c r="C148" s="50" t="e">
        <f t="shared" si="35"/>
        <v>#VALUE!</v>
      </c>
      <c r="E148" s="56">
        <v>145</v>
      </c>
      <c r="G148" s="138"/>
      <c r="H148" s="135">
        <v>1</v>
      </c>
      <c r="I148" s="57" t="str">
        <f t="shared" si="47"/>
        <v/>
      </c>
      <c r="J148" s="58" t="e">
        <f t="shared" si="36"/>
        <v>#VALUE!</v>
      </c>
      <c r="K148" s="50" t="e">
        <f t="shared" si="37"/>
        <v>#VALUE!</v>
      </c>
      <c r="L148" s="50" t="e">
        <f t="shared" si="38"/>
        <v>#VALUE!</v>
      </c>
      <c r="M148" s="50" t="e">
        <f t="shared" si="38"/>
        <v>#VALUE!</v>
      </c>
      <c r="N148" s="50" t="e">
        <f t="shared" si="39"/>
        <v>#VALUE!</v>
      </c>
      <c r="O148" s="50" t="e">
        <f t="shared" si="40"/>
        <v>#VALUE!</v>
      </c>
      <c r="P148" s="50">
        <f t="shared" si="41"/>
        <v>0</v>
      </c>
      <c r="R148" s="55" t="e">
        <f t="shared" si="42"/>
        <v>#VALUE!</v>
      </c>
      <c r="S148" s="55" t="e">
        <f t="shared" si="43"/>
        <v>#VALUE!</v>
      </c>
      <c r="T148" s="55" t="e">
        <f t="shared" si="48"/>
        <v>#VALUE!</v>
      </c>
      <c r="U148" s="50" t="e">
        <f t="shared" si="44"/>
        <v>#VALUE!</v>
      </c>
      <c r="V148" s="50" t="e">
        <f t="shared" si="45"/>
        <v>#VALUE!</v>
      </c>
      <c r="W148" s="50" t="e">
        <f t="shared" si="46"/>
        <v>#VALUE!</v>
      </c>
    </row>
    <row r="149" spans="2:23" x14ac:dyDescent="0.25">
      <c r="B149" s="50" t="b">
        <f t="shared" si="49"/>
        <v>0</v>
      </c>
      <c r="C149" s="50" t="e">
        <f t="shared" si="35"/>
        <v>#VALUE!</v>
      </c>
      <c r="E149" s="56">
        <v>146</v>
      </c>
      <c r="G149" s="138"/>
      <c r="H149" s="135">
        <v>1</v>
      </c>
      <c r="I149" s="57" t="str">
        <f t="shared" si="47"/>
        <v/>
      </c>
      <c r="J149" s="58" t="e">
        <f t="shared" si="36"/>
        <v>#VALUE!</v>
      </c>
      <c r="K149" s="50" t="e">
        <f t="shared" si="37"/>
        <v>#VALUE!</v>
      </c>
      <c r="L149" s="50" t="e">
        <f t="shared" si="38"/>
        <v>#VALUE!</v>
      </c>
      <c r="M149" s="50" t="e">
        <f t="shared" si="38"/>
        <v>#VALUE!</v>
      </c>
      <c r="N149" s="50" t="e">
        <f t="shared" si="39"/>
        <v>#VALUE!</v>
      </c>
      <c r="O149" s="50" t="e">
        <f t="shared" si="40"/>
        <v>#VALUE!</v>
      </c>
      <c r="P149" s="50">
        <f t="shared" si="41"/>
        <v>0</v>
      </c>
      <c r="R149" s="55" t="e">
        <f t="shared" si="42"/>
        <v>#VALUE!</v>
      </c>
      <c r="S149" s="55" t="e">
        <f t="shared" si="43"/>
        <v>#VALUE!</v>
      </c>
      <c r="T149" s="55" t="e">
        <f t="shared" si="48"/>
        <v>#VALUE!</v>
      </c>
      <c r="U149" s="50" t="e">
        <f t="shared" si="44"/>
        <v>#VALUE!</v>
      </c>
      <c r="V149" s="50" t="e">
        <f t="shared" si="45"/>
        <v>#VALUE!</v>
      </c>
      <c r="W149" s="50" t="e">
        <f t="shared" si="46"/>
        <v>#VALUE!</v>
      </c>
    </row>
    <row r="150" spans="2:23" x14ac:dyDescent="0.25">
      <c r="B150" s="50" t="b">
        <f t="shared" si="49"/>
        <v>0</v>
      </c>
      <c r="C150" s="50" t="e">
        <f t="shared" si="35"/>
        <v>#VALUE!</v>
      </c>
      <c r="E150" s="56">
        <v>147</v>
      </c>
      <c r="G150" s="138"/>
      <c r="H150" s="135">
        <v>1</v>
      </c>
      <c r="I150" s="57" t="str">
        <f t="shared" si="47"/>
        <v/>
      </c>
      <c r="J150" s="58" t="e">
        <f t="shared" si="36"/>
        <v>#VALUE!</v>
      </c>
      <c r="K150" s="50" t="e">
        <f t="shared" si="37"/>
        <v>#VALUE!</v>
      </c>
      <c r="L150" s="50" t="e">
        <f t="shared" si="38"/>
        <v>#VALUE!</v>
      </c>
      <c r="M150" s="50" t="e">
        <f t="shared" si="38"/>
        <v>#VALUE!</v>
      </c>
      <c r="N150" s="50" t="e">
        <f t="shared" si="39"/>
        <v>#VALUE!</v>
      </c>
      <c r="O150" s="50" t="e">
        <f t="shared" si="40"/>
        <v>#VALUE!</v>
      </c>
      <c r="P150" s="50">
        <f t="shared" si="41"/>
        <v>0</v>
      </c>
      <c r="R150" s="55" t="e">
        <f t="shared" si="42"/>
        <v>#VALUE!</v>
      </c>
      <c r="S150" s="55" t="e">
        <f t="shared" si="43"/>
        <v>#VALUE!</v>
      </c>
      <c r="T150" s="55" t="e">
        <f t="shared" si="48"/>
        <v>#VALUE!</v>
      </c>
      <c r="U150" s="50" t="e">
        <f t="shared" si="44"/>
        <v>#VALUE!</v>
      </c>
      <c r="V150" s="50" t="e">
        <f t="shared" si="45"/>
        <v>#VALUE!</v>
      </c>
      <c r="W150" s="50" t="e">
        <f t="shared" si="46"/>
        <v>#VALUE!</v>
      </c>
    </row>
    <row r="151" spans="2:23" x14ac:dyDescent="0.25">
      <c r="B151" s="50" t="b">
        <f t="shared" si="49"/>
        <v>0</v>
      </c>
      <c r="C151" s="50" t="e">
        <f t="shared" si="35"/>
        <v>#VALUE!</v>
      </c>
      <c r="E151" s="56">
        <v>148</v>
      </c>
      <c r="G151" s="138"/>
      <c r="H151" s="135">
        <v>1</v>
      </c>
      <c r="I151" s="57" t="str">
        <f t="shared" si="47"/>
        <v/>
      </c>
      <c r="J151" s="58" t="e">
        <f t="shared" si="36"/>
        <v>#VALUE!</v>
      </c>
      <c r="K151" s="50" t="e">
        <f t="shared" si="37"/>
        <v>#VALUE!</v>
      </c>
      <c r="L151" s="50" t="e">
        <f t="shared" si="38"/>
        <v>#VALUE!</v>
      </c>
      <c r="M151" s="50" t="e">
        <f t="shared" si="38"/>
        <v>#VALUE!</v>
      </c>
      <c r="N151" s="50" t="e">
        <f t="shared" si="39"/>
        <v>#VALUE!</v>
      </c>
      <c r="O151" s="50" t="e">
        <f t="shared" si="40"/>
        <v>#VALUE!</v>
      </c>
      <c r="P151" s="50">
        <f t="shared" si="41"/>
        <v>0</v>
      </c>
      <c r="R151" s="55" t="e">
        <f t="shared" si="42"/>
        <v>#VALUE!</v>
      </c>
      <c r="S151" s="55" t="e">
        <f t="shared" si="43"/>
        <v>#VALUE!</v>
      </c>
      <c r="T151" s="55" t="e">
        <f t="shared" si="48"/>
        <v>#VALUE!</v>
      </c>
      <c r="U151" s="50" t="e">
        <f t="shared" si="44"/>
        <v>#VALUE!</v>
      </c>
      <c r="V151" s="50" t="e">
        <f t="shared" si="45"/>
        <v>#VALUE!</v>
      </c>
      <c r="W151" s="50" t="e">
        <f t="shared" si="46"/>
        <v>#VALUE!</v>
      </c>
    </row>
    <row r="152" spans="2:23" x14ac:dyDescent="0.25">
      <c r="B152" s="50" t="b">
        <f t="shared" si="49"/>
        <v>0</v>
      </c>
      <c r="C152" s="50" t="e">
        <f t="shared" si="35"/>
        <v>#VALUE!</v>
      </c>
      <c r="E152" s="56">
        <v>149</v>
      </c>
      <c r="G152" s="138"/>
      <c r="H152" s="135">
        <v>1</v>
      </c>
      <c r="I152" s="57" t="str">
        <f t="shared" si="47"/>
        <v/>
      </c>
      <c r="J152" s="58" t="e">
        <f t="shared" si="36"/>
        <v>#VALUE!</v>
      </c>
      <c r="K152" s="50" t="e">
        <f t="shared" si="37"/>
        <v>#VALUE!</v>
      </c>
      <c r="L152" s="50" t="e">
        <f t="shared" si="38"/>
        <v>#VALUE!</v>
      </c>
      <c r="M152" s="50" t="e">
        <f t="shared" si="38"/>
        <v>#VALUE!</v>
      </c>
      <c r="N152" s="50" t="e">
        <f t="shared" si="39"/>
        <v>#VALUE!</v>
      </c>
      <c r="O152" s="50" t="e">
        <f t="shared" si="40"/>
        <v>#VALUE!</v>
      </c>
      <c r="P152" s="50">
        <f t="shared" si="41"/>
        <v>0</v>
      </c>
      <c r="R152" s="55" t="e">
        <f t="shared" si="42"/>
        <v>#VALUE!</v>
      </c>
      <c r="S152" s="55" t="e">
        <f t="shared" si="43"/>
        <v>#VALUE!</v>
      </c>
      <c r="T152" s="55" t="e">
        <f t="shared" si="48"/>
        <v>#VALUE!</v>
      </c>
      <c r="U152" s="50" t="e">
        <f t="shared" si="44"/>
        <v>#VALUE!</v>
      </c>
      <c r="V152" s="50" t="e">
        <f t="shared" si="45"/>
        <v>#VALUE!</v>
      </c>
      <c r="W152" s="50" t="e">
        <f t="shared" si="46"/>
        <v>#VALUE!</v>
      </c>
    </row>
    <row r="153" spans="2:23" x14ac:dyDescent="0.25">
      <c r="B153" s="50" t="b">
        <f t="shared" si="49"/>
        <v>0</v>
      </c>
      <c r="C153" s="50" t="e">
        <f t="shared" si="35"/>
        <v>#VALUE!</v>
      </c>
      <c r="E153" s="56">
        <v>150</v>
      </c>
      <c r="G153" s="138"/>
      <c r="H153" s="135">
        <v>1</v>
      </c>
      <c r="I153" s="57" t="str">
        <f t="shared" si="47"/>
        <v/>
      </c>
      <c r="J153" s="58" t="e">
        <f t="shared" si="36"/>
        <v>#VALUE!</v>
      </c>
      <c r="K153" s="50" t="e">
        <f t="shared" si="37"/>
        <v>#VALUE!</v>
      </c>
      <c r="L153" s="50" t="e">
        <f t="shared" si="38"/>
        <v>#VALUE!</v>
      </c>
      <c r="M153" s="50" t="e">
        <f t="shared" si="38"/>
        <v>#VALUE!</v>
      </c>
      <c r="N153" s="50" t="e">
        <f t="shared" si="39"/>
        <v>#VALUE!</v>
      </c>
      <c r="O153" s="50" t="e">
        <f t="shared" si="40"/>
        <v>#VALUE!</v>
      </c>
      <c r="P153" s="50">
        <f t="shared" si="41"/>
        <v>0</v>
      </c>
      <c r="R153" s="55" t="e">
        <f t="shared" si="42"/>
        <v>#VALUE!</v>
      </c>
      <c r="S153" s="55" t="e">
        <f t="shared" si="43"/>
        <v>#VALUE!</v>
      </c>
      <c r="T153" s="55" t="e">
        <f t="shared" si="48"/>
        <v>#VALUE!</v>
      </c>
      <c r="U153" s="50" t="e">
        <f t="shared" si="44"/>
        <v>#VALUE!</v>
      </c>
      <c r="V153" s="50" t="e">
        <f t="shared" si="45"/>
        <v>#VALUE!</v>
      </c>
      <c r="W153" s="50" t="e">
        <f t="shared" si="46"/>
        <v>#VALUE!</v>
      </c>
    </row>
    <row r="154" spans="2:23" x14ac:dyDescent="0.25">
      <c r="B154" s="50" t="b">
        <f t="shared" si="49"/>
        <v>0</v>
      </c>
      <c r="C154" s="50" t="e">
        <f t="shared" si="35"/>
        <v>#VALUE!</v>
      </c>
      <c r="E154" s="56">
        <v>151</v>
      </c>
      <c r="G154" s="138"/>
      <c r="H154" s="135">
        <v>1</v>
      </c>
      <c r="I154" s="57" t="str">
        <f t="shared" si="47"/>
        <v/>
      </c>
      <c r="J154" s="58" t="e">
        <f t="shared" si="36"/>
        <v>#VALUE!</v>
      </c>
      <c r="K154" s="50" t="e">
        <f t="shared" si="37"/>
        <v>#VALUE!</v>
      </c>
      <c r="L154" s="50" t="e">
        <f t="shared" si="38"/>
        <v>#VALUE!</v>
      </c>
      <c r="M154" s="50" t="e">
        <f t="shared" si="38"/>
        <v>#VALUE!</v>
      </c>
      <c r="N154" s="50" t="e">
        <f t="shared" si="39"/>
        <v>#VALUE!</v>
      </c>
      <c r="O154" s="50" t="e">
        <f t="shared" si="40"/>
        <v>#VALUE!</v>
      </c>
      <c r="P154" s="50">
        <f t="shared" si="41"/>
        <v>0</v>
      </c>
      <c r="R154" s="55" t="e">
        <f t="shared" si="42"/>
        <v>#VALUE!</v>
      </c>
      <c r="S154" s="55" t="e">
        <f t="shared" si="43"/>
        <v>#VALUE!</v>
      </c>
      <c r="T154" s="55" t="e">
        <f t="shared" si="48"/>
        <v>#VALUE!</v>
      </c>
      <c r="U154" s="50" t="e">
        <f t="shared" si="44"/>
        <v>#VALUE!</v>
      </c>
      <c r="V154" s="50" t="e">
        <f t="shared" si="45"/>
        <v>#VALUE!</v>
      </c>
      <c r="W154" s="50" t="e">
        <f t="shared" si="46"/>
        <v>#VALUE!</v>
      </c>
    </row>
    <row r="155" spans="2:23" x14ac:dyDescent="0.25">
      <c r="B155" s="50" t="b">
        <f t="shared" si="49"/>
        <v>0</v>
      </c>
      <c r="C155" s="50" t="e">
        <f t="shared" si="35"/>
        <v>#VALUE!</v>
      </c>
      <c r="E155" s="56">
        <v>152</v>
      </c>
      <c r="G155" s="138"/>
      <c r="H155" s="135">
        <v>1</v>
      </c>
      <c r="I155" s="57" t="str">
        <f t="shared" si="47"/>
        <v/>
      </c>
      <c r="J155" s="58" t="e">
        <f t="shared" si="36"/>
        <v>#VALUE!</v>
      </c>
      <c r="K155" s="50" t="e">
        <f t="shared" si="37"/>
        <v>#VALUE!</v>
      </c>
      <c r="L155" s="50" t="e">
        <f t="shared" si="38"/>
        <v>#VALUE!</v>
      </c>
      <c r="M155" s="50" t="e">
        <f t="shared" si="38"/>
        <v>#VALUE!</v>
      </c>
      <c r="N155" s="50" t="e">
        <f t="shared" si="39"/>
        <v>#VALUE!</v>
      </c>
      <c r="O155" s="50" t="e">
        <f t="shared" si="40"/>
        <v>#VALUE!</v>
      </c>
      <c r="P155" s="50">
        <f t="shared" si="41"/>
        <v>0</v>
      </c>
      <c r="R155" s="55" t="e">
        <f t="shared" si="42"/>
        <v>#VALUE!</v>
      </c>
      <c r="S155" s="55" t="e">
        <f t="shared" si="43"/>
        <v>#VALUE!</v>
      </c>
      <c r="T155" s="55" t="e">
        <f t="shared" si="48"/>
        <v>#VALUE!</v>
      </c>
      <c r="U155" s="50" t="e">
        <f t="shared" si="44"/>
        <v>#VALUE!</v>
      </c>
      <c r="V155" s="50" t="e">
        <f t="shared" si="45"/>
        <v>#VALUE!</v>
      </c>
      <c r="W155" s="50" t="e">
        <f t="shared" si="46"/>
        <v>#VALUE!</v>
      </c>
    </row>
    <row r="156" spans="2:23" x14ac:dyDescent="0.25">
      <c r="B156" s="50" t="b">
        <f t="shared" si="49"/>
        <v>0</v>
      </c>
      <c r="C156" s="50" t="e">
        <f t="shared" si="35"/>
        <v>#VALUE!</v>
      </c>
      <c r="E156" s="56">
        <v>153</v>
      </c>
      <c r="G156" s="138"/>
      <c r="H156" s="135">
        <v>1</v>
      </c>
      <c r="I156" s="57" t="str">
        <f t="shared" si="47"/>
        <v/>
      </c>
      <c r="J156" s="58" t="e">
        <f t="shared" si="36"/>
        <v>#VALUE!</v>
      </c>
      <c r="K156" s="50" t="e">
        <f t="shared" si="37"/>
        <v>#VALUE!</v>
      </c>
      <c r="L156" s="50" t="e">
        <f t="shared" si="38"/>
        <v>#VALUE!</v>
      </c>
      <c r="M156" s="50" t="e">
        <f t="shared" si="38"/>
        <v>#VALUE!</v>
      </c>
      <c r="N156" s="50" t="e">
        <f t="shared" si="39"/>
        <v>#VALUE!</v>
      </c>
      <c r="O156" s="50" t="e">
        <f t="shared" si="40"/>
        <v>#VALUE!</v>
      </c>
      <c r="P156" s="50">
        <f t="shared" si="41"/>
        <v>0</v>
      </c>
      <c r="R156" s="55" t="e">
        <f t="shared" si="42"/>
        <v>#VALUE!</v>
      </c>
      <c r="S156" s="55" t="e">
        <f t="shared" si="43"/>
        <v>#VALUE!</v>
      </c>
      <c r="T156" s="55" t="e">
        <f t="shared" si="48"/>
        <v>#VALUE!</v>
      </c>
      <c r="U156" s="50" t="e">
        <f t="shared" si="44"/>
        <v>#VALUE!</v>
      </c>
      <c r="V156" s="50" t="e">
        <f t="shared" si="45"/>
        <v>#VALUE!</v>
      </c>
      <c r="W156" s="50" t="e">
        <f t="shared" si="46"/>
        <v>#VALUE!</v>
      </c>
    </row>
    <row r="157" spans="2:23" x14ac:dyDescent="0.25">
      <c r="B157" s="50" t="b">
        <f t="shared" si="49"/>
        <v>0</v>
      </c>
      <c r="C157" s="50" t="e">
        <f t="shared" si="35"/>
        <v>#VALUE!</v>
      </c>
      <c r="E157" s="56">
        <v>154</v>
      </c>
      <c r="G157" s="138"/>
      <c r="H157" s="135">
        <v>1</v>
      </c>
      <c r="I157" s="57" t="str">
        <f t="shared" si="47"/>
        <v/>
      </c>
      <c r="J157" s="58" t="e">
        <f t="shared" si="36"/>
        <v>#VALUE!</v>
      </c>
      <c r="K157" s="50" t="e">
        <f t="shared" si="37"/>
        <v>#VALUE!</v>
      </c>
      <c r="L157" s="50" t="e">
        <f t="shared" si="38"/>
        <v>#VALUE!</v>
      </c>
      <c r="M157" s="50" t="e">
        <f t="shared" si="38"/>
        <v>#VALUE!</v>
      </c>
      <c r="N157" s="50" t="e">
        <f t="shared" si="39"/>
        <v>#VALUE!</v>
      </c>
      <c r="O157" s="50" t="e">
        <f t="shared" si="40"/>
        <v>#VALUE!</v>
      </c>
      <c r="P157" s="50">
        <f t="shared" si="41"/>
        <v>0</v>
      </c>
      <c r="R157" s="55" t="e">
        <f t="shared" si="42"/>
        <v>#VALUE!</v>
      </c>
      <c r="S157" s="55" t="e">
        <f t="shared" si="43"/>
        <v>#VALUE!</v>
      </c>
      <c r="T157" s="55" t="e">
        <f t="shared" si="48"/>
        <v>#VALUE!</v>
      </c>
      <c r="U157" s="50" t="e">
        <f t="shared" si="44"/>
        <v>#VALUE!</v>
      </c>
      <c r="V157" s="50" t="e">
        <f t="shared" si="45"/>
        <v>#VALUE!</v>
      </c>
      <c r="W157" s="50" t="e">
        <f t="shared" si="46"/>
        <v>#VALUE!</v>
      </c>
    </row>
    <row r="158" spans="2:23" x14ac:dyDescent="0.25">
      <c r="B158" s="50" t="b">
        <f t="shared" si="49"/>
        <v>0</v>
      </c>
      <c r="C158" s="50" t="e">
        <f t="shared" si="35"/>
        <v>#VALUE!</v>
      </c>
      <c r="E158" s="56">
        <v>155</v>
      </c>
      <c r="G158" s="138"/>
      <c r="H158" s="135">
        <v>1</v>
      </c>
      <c r="I158" s="57" t="str">
        <f t="shared" si="47"/>
        <v/>
      </c>
      <c r="J158" s="58" t="e">
        <f t="shared" si="36"/>
        <v>#VALUE!</v>
      </c>
      <c r="K158" s="50" t="e">
        <f t="shared" si="37"/>
        <v>#VALUE!</v>
      </c>
      <c r="L158" s="50" t="e">
        <f t="shared" si="38"/>
        <v>#VALUE!</v>
      </c>
      <c r="M158" s="50" t="e">
        <f t="shared" si="38"/>
        <v>#VALUE!</v>
      </c>
      <c r="N158" s="50" t="e">
        <f t="shared" si="39"/>
        <v>#VALUE!</v>
      </c>
      <c r="O158" s="50" t="e">
        <f t="shared" si="40"/>
        <v>#VALUE!</v>
      </c>
      <c r="P158" s="50">
        <f t="shared" si="41"/>
        <v>0</v>
      </c>
      <c r="R158" s="55" t="e">
        <f t="shared" si="42"/>
        <v>#VALUE!</v>
      </c>
      <c r="S158" s="55" t="e">
        <f t="shared" si="43"/>
        <v>#VALUE!</v>
      </c>
      <c r="T158" s="55" t="e">
        <f t="shared" si="48"/>
        <v>#VALUE!</v>
      </c>
      <c r="U158" s="50" t="e">
        <f t="shared" si="44"/>
        <v>#VALUE!</v>
      </c>
      <c r="V158" s="50" t="e">
        <f t="shared" si="45"/>
        <v>#VALUE!</v>
      </c>
      <c r="W158" s="50" t="e">
        <f t="shared" si="46"/>
        <v>#VALUE!</v>
      </c>
    </row>
    <row r="159" spans="2:23" x14ac:dyDescent="0.25">
      <c r="B159" s="50" t="b">
        <f t="shared" si="49"/>
        <v>0</v>
      </c>
      <c r="C159" s="50" t="e">
        <f t="shared" si="35"/>
        <v>#VALUE!</v>
      </c>
      <c r="E159" s="56">
        <v>156</v>
      </c>
      <c r="G159" s="138"/>
      <c r="H159" s="135">
        <v>1</v>
      </c>
      <c r="I159" s="57" t="str">
        <f t="shared" si="47"/>
        <v/>
      </c>
      <c r="J159" s="58" t="e">
        <f t="shared" si="36"/>
        <v>#VALUE!</v>
      </c>
      <c r="K159" s="50" t="e">
        <f t="shared" si="37"/>
        <v>#VALUE!</v>
      </c>
      <c r="L159" s="50" t="e">
        <f t="shared" si="38"/>
        <v>#VALUE!</v>
      </c>
      <c r="M159" s="50" t="e">
        <f t="shared" si="38"/>
        <v>#VALUE!</v>
      </c>
      <c r="N159" s="50" t="e">
        <f t="shared" si="39"/>
        <v>#VALUE!</v>
      </c>
      <c r="O159" s="50" t="e">
        <f t="shared" si="40"/>
        <v>#VALUE!</v>
      </c>
      <c r="P159" s="50">
        <f t="shared" si="41"/>
        <v>0</v>
      </c>
      <c r="R159" s="55" t="e">
        <f t="shared" si="42"/>
        <v>#VALUE!</v>
      </c>
      <c r="S159" s="55" t="e">
        <f t="shared" si="43"/>
        <v>#VALUE!</v>
      </c>
      <c r="T159" s="55" t="e">
        <f t="shared" si="48"/>
        <v>#VALUE!</v>
      </c>
      <c r="U159" s="50" t="e">
        <f t="shared" si="44"/>
        <v>#VALUE!</v>
      </c>
      <c r="V159" s="50" t="e">
        <f t="shared" si="45"/>
        <v>#VALUE!</v>
      </c>
      <c r="W159" s="50" t="e">
        <f t="shared" si="46"/>
        <v>#VALUE!</v>
      </c>
    </row>
    <row r="160" spans="2:23" x14ac:dyDescent="0.25">
      <c r="B160" s="50" t="b">
        <f t="shared" si="49"/>
        <v>0</v>
      </c>
      <c r="C160" s="50" t="e">
        <f t="shared" si="35"/>
        <v>#VALUE!</v>
      </c>
      <c r="E160" s="56">
        <v>157</v>
      </c>
      <c r="G160" s="138"/>
      <c r="H160" s="135">
        <v>1</v>
      </c>
      <c r="I160" s="57" t="str">
        <f t="shared" si="47"/>
        <v/>
      </c>
      <c r="J160" s="58" t="e">
        <f t="shared" si="36"/>
        <v>#VALUE!</v>
      </c>
      <c r="K160" s="50" t="e">
        <f t="shared" si="37"/>
        <v>#VALUE!</v>
      </c>
      <c r="L160" s="50" t="e">
        <f t="shared" si="38"/>
        <v>#VALUE!</v>
      </c>
      <c r="M160" s="50" t="e">
        <f t="shared" si="38"/>
        <v>#VALUE!</v>
      </c>
      <c r="N160" s="50" t="e">
        <f t="shared" si="39"/>
        <v>#VALUE!</v>
      </c>
      <c r="O160" s="50" t="e">
        <f t="shared" si="40"/>
        <v>#VALUE!</v>
      </c>
      <c r="P160" s="50">
        <f t="shared" si="41"/>
        <v>0</v>
      </c>
      <c r="R160" s="55" t="e">
        <f t="shared" si="42"/>
        <v>#VALUE!</v>
      </c>
      <c r="S160" s="55" t="e">
        <f t="shared" si="43"/>
        <v>#VALUE!</v>
      </c>
      <c r="T160" s="55" t="e">
        <f t="shared" si="48"/>
        <v>#VALUE!</v>
      </c>
      <c r="U160" s="50" t="e">
        <f t="shared" si="44"/>
        <v>#VALUE!</v>
      </c>
      <c r="V160" s="50" t="e">
        <f t="shared" si="45"/>
        <v>#VALUE!</v>
      </c>
      <c r="W160" s="50" t="e">
        <f t="shared" si="46"/>
        <v>#VALUE!</v>
      </c>
    </row>
    <row r="161" spans="2:23" x14ac:dyDescent="0.25">
      <c r="B161" s="50" t="b">
        <f t="shared" si="49"/>
        <v>0</v>
      </c>
      <c r="C161" s="50" t="e">
        <f t="shared" si="35"/>
        <v>#VALUE!</v>
      </c>
      <c r="E161" s="56">
        <v>158</v>
      </c>
      <c r="G161" s="138"/>
      <c r="H161" s="135">
        <v>1</v>
      </c>
      <c r="I161" s="57" t="str">
        <f t="shared" si="47"/>
        <v/>
      </c>
      <c r="J161" s="58" t="e">
        <f t="shared" si="36"/>
        <v>#VALUE!</v>
      </c>
      <c r="K161" s="50" t="e">
        <f t="shared" si="37"/>
        <v>#VALUE!</v>
      </c>
      <c r="L161" s="50" t="e">
        <f t="shared" si="38"/>
        <v>#VALUE!</v>
      </c>
      <c r="M161" s="50" t="e">
        <f t="shared" si="38"/>
        <v>#VALUE!</v>
      </c>
      <c r="N161" s="50" t="e">
        <f t="shared" si="39"/>
        <v>#VALUE!</v>
      </c>
      <c r="O161" s="50" t="e">
        <f t="shared" si="40"/>
        <v>#VALUE!</v>
      </c>
      <c r="P161" s="50">
        <f t="shared" si="41"/>
        <v>0</v>
      </c>
      <c r="R161" s="55" t="e">
        <f t="shared" si="42"/>
        <v>#VALUE!</v>
      </c>
      <c r="S161" s="55" t="e">
        <f t="shared" si="43"/>
        <v>#VALUE!</v>
      </c>
      <c r="T161" s="55" t="e">
        <f t="shared" si="48"/>
        <v>#VALUE!</v>
      </c>
      <c r="U161" s="50" t="e">
        <f t="shared" si="44"/>
        <v>#VALUE!</v>
      </c>
      <c r="V161" s="50" t="e">
        <f t="shared" si="45"/>
        <v>#VALUE!</v>
      </c>
      <c r="W161" s="50" t="e">
        <f t="shared" si="46"/>
        <v>#VALUE!</v>
      </c>
    </row>
    <row r="162" spans="2:23" x14ac:dyDescent="0.25">
      <c r="B162" s="50" t="b">
        <f t="shared" si="49"/>
        <v>0</v>
      </c>
      <c r="C162" s="50" t="e">
        <f t="shared" si="35"/>
        <v>#VALUE!</v>
      </c>
      <c r="E162" s="56">
        <v>159</v>
      </c>
      <c r="G162" s="138"/>
      <c r="H162" s="135">
        <v>1</v>
      </c>
      <c r="I162" s="57" t="str">
        <f t="shared" si="47"/>
        <v/>
      </c>
      <c r="J162" s="58" t="e">
        <f t="shared" si="36"/>
        <v>#VALUE!</v>
      </c>
      <c r="K162" s="50" t="e">
        <f t="shared" si="37"/>
        <v>#VALUE!</v>
      </c>
      <c r="L162" s="50" t="e">
        <f t="shared" si="38"/>
        <v>#VALUE!</v>
      </c>
      <c r="M162" s="50" t="e">
        <f t="shared" si="38"/>
        <v>#VALUE!</v>
      </c>
      <c r="N162" s="50" t="e">
        <f t="shared" si="39"/>
        <v>#VALUE!</v>
      </c>
      <c r="O162" s="50" t="e">
        <f t="shared" si="40"/>
        <v>#VALUE!</v>
      </c>
      <c r="P162" s="50">
        <f t="shared" si="41"/>
        <v>0</v>
      </c>
      <c r="R162" s="55" t="e">
        <f t="shared" si="42"/>
        <v>#VALUE!</v>
      </c>
      <c r="S162" s="55" t="e">
        <f t="shared" si="43"/>
        <v>#VALUE!</v>
      </c>
      <c r="T162" s="55" t="e">
        <f t="shared" si="48"/>
        <v>#VALUE!</v>
      </c>
      <c r="U162" s="50" t="e">
        <f t="shared" si="44"/>
        <v>#VALUE!</v>
      </c>
      <c r="V162" s="50" t="e">
        <f t="shared" si="45"/>
        <v>#VALUE!</v>
      </c>
      <c r="W162" s="50" t="e">
        <f t="shared" si="46"/>
        <v>#VALUE!</v>
      </c>
    </row>
    <row r="163" spans="2:23" x14ac:dyDescent="0.25">
      <c r="B163" s="50" t="b">
        <f t="shared" si="49"/>
        <v>0</v>
      </c>
      <c r="C163" s="50" t="e">
        <f t="shared" si="35"/>
        <v>#VALUE!</v>
      </c>
      <c r="E163" s="56">
        <v>160</v>
      </c>
      <c r="G163" s="138"/>
      <c r="H163" s="135">
        <v>1</v>
      </c>
      <c r="I163" s="57" t="str">
        <f t="shared" si="47"/>
        <v/>
      </c>
      <c r="J163" s="58" t="e">
        <f t="shared" si="36"/>
        <v>#VALUE!</v>
      </c>
      <c r="K163" s="50" t="e">
        <f t="shared" si="37"/>
        <v>#VALUE!</v>
      </c>
      <c r="L163" s="50" t="e">
        <f t="shared" si="38"/>
        <v>#VALUE!</v>
      </c>
      <c r="M163" s="50" t="e">
        <f t="shared" si="38"/>
        <v>#VALUE!</v>
      </c>
      <c r="N163" s="50" t="e">
        <f t="shared" si="39"/>
        <v>#VALUE!</v>
      </c>
      <c r="O163" s="50" t="e">
        <f t="shared" si="40"/>
        <v>#VALUE!</v>
      </c>
      <c r="P163" s="50">
        <f t="shared" si="41"/>
        <v>0</v>
      </c>
      <c r="R163" s="55" t="e">
        <f t="shared" si="42"/>
        <v>#VALUE!</v>
      </c>
      <c r="S163" s="55" t="e">
        <f t="shared" si="43"/>
        <v>#VALUE!</v>
      </c>
      <c r="T163" s="55" t="e">
        <f t="shared" si="48"/>
        <v>#VALUE!</v>
      </c>
      <c r="U163" s="50" t="e">
        <f t="shared" si="44"/>
        <v>#VALUE!</v>
      </c>
      <c r="V163" s="50" t="e">
        <f t="shared" si="45"/>
        <v>#VALUE!</v>
      </c>
      <c r="W163" s="50" t="e">
        <f t="shared" si="46"/>
        <v>#VALUE!</v>
      </c>
    </row>
    <row r="164" spans="2:23" x14ac:dyDescent="0.25">
      <c r="B164" s="50" t="b">
        <f t="shared" si="49"/>
        <v>0</v>
      </c>
      <c r="C164" s="50" t="e">
        <f t="shared" si="35"/>
        <v>#VALUE!</v>
      </c>
      <c r="E164" s="56">
        <v>161</v>
      </c>
      <c r="G164" s="138"/>
      <c r="H164" s="135">
        <v>1</v>
      </c>
      <c r="I164" s="57" t="str">
        <f t="shared" si="47"/>
        <v/>
      </c>
      <c r="J164" s="58" t="e">
        <f t="shared" si="36"/>
        <v>#VALUE!</v>
      </c>
      <c r="K164" s="50" t="e">
        <f t="shared" si="37"/>
        <v>#VALUE!</v>
      </c>
      <c r="L164" s="50" t="e">
        <f t="shared" si="38"/>
        <v>#VALUE!</v>
      </c>
      <c r="M164" s="50" t="e">
        <f t="shared" si="38"/>
        <v>#VALUE!</v>
      </c>
      <c r="N164" s="50" t="e">
        <f t="shared" si="39"/>
        <v>#VALUE!</v>
      </c>
      <c r="O164" s="50" t="e">
        <f t="shared" si="40"/>
        <v>#VALUE!</v>
      </c>
      <c r="P164" s="50">
        <f t="shared" si="41"/>
        <v>0</v>
      </c>
      <c r="R164" s="55" t="e">
        <f t="shared" si="42"/>
        <v>#VALUE!</v>
      </c>
      <c r="S164" s="55" t="e">
        <f t="shared" si="43"/>
        <v>#VALUE!</v>
      </c>
      <c r="T164" s="55" t="e">
        <f t="shared" si="48"/>
        <v>#VALUE!</v>
      </c>
      <c r="U164" s="50" t="e">
        <f t="shared" si="44"/>
        <v>#VALUE!</v>
      </c>
      <c r="V164" s="50" t="e">
        <f t="shared" si="45"/>
        <v>#VALUE!</v>
      </c>
      <c r="W164" s="50" t="e">
        <f t="shared" si="46"/>
        <v>#VALUE!</v>
      </c>
    </row>
    <row r="165" spans="2:23" x14ac:dyDescent="0.25">
      <c r="B165" s="50" t="b">
        <f t="shared" si="49"/>
        <v>0</v>
      </c>
      <c r="C165" s="50" t="e">
        <f t="shared" si="35"/>
        <v>#VALUE!</v>
      </c>
      <c r="E165" s="56">
        <v>162</v>
      </c>
      <c r="G165" s="138"/>
      <c r="H165" s="135">
        <v>1</v>
      </c>
      <c r="I165" s="57" t="str">
        <f t="shared" si="47"/>
        <v/>
      </c>
      <c r="J165" s="58" t="e">
        <f t="shared" si="36"/>
        <v>#VALUE!</v>
      </c>
      <c r="K165" s="50" t="e">
        <f t="shared" si="37"/>
        <v>#VALUE!</v>
      </c>
      <c r="L165" s="50" t="e">
        <f t="shared" si="38"/>
        <v>#VALUE!</v>
      </c>
      <c r="M165" s="50" t="e">
        <f t="shared" si="38"/>
        <v>#VALUE!</v>
      </c>
      <c r="N165" s="50" t="e">
        <f t="shared" si="39"/>
        <v>#VALUE!</v>
      </c>
      <c r="O165" s="50" t="e">
        <f t="shared" si="40"/>
        <v>#VALUE!</v>
      </c>
      <c r="P165" s="50">
        <f t="shared" si="41"/>
        <v>0</v>
      </c>
      <c r="R165" s="55" t="e">
        <f t="shared" si="42"/>
        <v>#VALUE!</v>
      </c>
      <c r="S165" s="55" t="e">
        <f t="shared" si="43"/>
        <v>#VALUE!</v>
      </c>
      <c r="T165" s="55" t="e">
        <f t="shared" si="48"/>
        <v>#VALUE!</v>
      </c>
      <c r="U165" s="50" t="e">
        <f t="shared" si="44"/>
        <v>#VALUE!</v>
      </c>
      <c r="V165" s="50" t="e">
        <f t="shared" si="45"/>
        <v>#VALUE!</v>
      </c>
      <c r="W165" s="50" t="e">
        <f t="shared" si="46"/>
        <v>#VALUE!</v>
      </c>
    </row>
    <row r="166" spans="2:23" x14ac:dyDescent="0.25">
      <c r="B166" s="50" t="b">
        <f t="shared" si="49"/>
        <v>0</v>
      </c>
      <c r="C166" s="50" t="e">
        <f t="shared" si="35"/>
        <v>#VALUE!</v>
      </c>
      <c r="E166" s="56">
        <v>163</v>
      </c>
      <c r="G166" s="138"/>
      <c r="H166" s="135">
        <v>1</v>
      </c>
      <c r="I166" s="57" t="str">
        <f t="shared" si="47"/>
        <v/>
      </c>
      <c r="J166" s="58" t="e">
        <f t="shared" si="36"/>
        <v>#VALUE!</v>
      </c>
      <c r="K166" s="50" t="e">
        <f t="shared" si="37"/>
        <v>#VALUE!</v>
      </c>
      <c r="L166" s="50" t="e">
        <f t="shared" si="38"/>
        <v>#VALUE!</v>
      </c>
      <c r="M166" s="50" t="e">
        <f t="shared" si="38"/>
        <v>#VALUE!</v>
      </c>
      <c r="N166" s="50" t="e">
        <f t="shared" si="39"/>
        <v>#VALUE!</v>
      </c>
      <c r="O166" s="50" t="e">
        <f t="shared" si="40"/>
        <v>#VALUE!</v>
      </c>
      <c r="P166" s="50">
        <f t="shared" si="41"/>
        <v>0</v>
      </c>
      <c r="R166" s="55" t="e">
        <f t="shared" si="42"/>
        <v>#VALUE!</v>
      </c>
      <c r="S166" s="55" t="e">
        <f t="shared" si="43"/>
        <v>#VALUE!</v>
      </c>
      <c r="T166" s="55" t="e">
        <f t="shared" si="48"/>
        <v>#VALUE!</v>
      </c>
      <c r="U166" s="50" t="e">
        <f t="shared" si="44"/>
        <v>#VALUE!</v>
      </c>
      <c r="V166" s="50" t="e">
        <f t="shared" si="45"/>
        <v>#VALUE!</v>
      </c>
      <c r="W166" s="50" t="e">
        <f t="shared" si="46"/>
        <v>#VALUE!</v>
      </c>
    </row>
    <row r="167" spans="2:23" x14ac:dyDescent="0.25">
      <c r="B167" s="50" t="b">
        <f t="shared" si="49"/>
        <v>0</v>
      </c>
      <c r="C167" s="50" t="e">
        <f t="shared" si="35"/>
        <v>#VALUE!</v>
      </c>
      <c r="E167" s="56">
        <v>164</v>
      </c>
      <c r="G167" s="138"/>
      <c r="H167" s="135">
        <v>1</v>
      </c>
      <c r="I167" s="57" t="str">
        <f t="shared" si="47"/>
        <v/>
      </c>
      <c r="J167" s="58" t="e">
        <f t="shared" si="36"/>
        <v>#VALUE!</v>
      </c>
      <c r="K167" s="50" t="e">
        <f t="shared" si="37"/>
        <v>#VALUE!</v>
      </c>
      <c r="L167" s="50" t="e">
        <f t="shared" si="38"/>
        <v>#VALUE!</v>
      </c>
      <c r="M167" s="50" t="e">
        <f t="shared" si="38"/>
        <v>#VALUE!</v>
      </c>
      <c r="N167" s="50" t="e">
        <f t="shared" si="39"/>
        <v>#VALUE!</v>
      </c>
      <c r="O167" s="50" t="e">
        <f t="shared" si="40"/>
        <v>#VALUE!</v>
      </c>
      <c r="P167" s="50">
        <f t="shared" si="41"/>
        <v>0</v>
      </c>
      <c r="R167" s="55" t="e">
        <f t="shared" si="42"/>
        <v>#VALUE!</v>
      </c>
      <c r="S167" s="55" t="e">
        <f t="shared" si="43"/>
        <v>#VALUE!</v>
      </c>
      <c r="T167" s="55" t="e">
        <f t="shared" si="48"/>
        <v>#VALUE!</v>
      </c>
      <c r="U167" s="50" t="e">
        <f t="shared" si="44"/>
        <v>#VALUE!</v>
      </c>
      <c r="V167" s="50" t="e">
        <f t="shared" si="45"/>
        <v>#VALUE!</v>
      </c>
      <c r="W167" s="50" t="e">
        <f t="shared" si="46"/>
        <v>#VALUE!</v>
      </c>
    </row>
    <row r="168" spans="2:23" x14ac:dyDescent="0.25">
      <c r="B168" s="50" t="b">
        <f t="shared" si="49"/>
        <v>0</v>
      </c>
      <c r="C168" s="50" t="e">
        <f t="shared" si="35"/>
        <v>#VALUE!</v>
      </c>
      <c r="E168" s="56">
        <v>165</v>
      </c>
      <c r="G168" s="138"/>
      <c r="H168" s="135">
        <v>1</v>
      </c>
      <c r="I168" s="57" t="str">
        <f t="shared" si="47"/>
        <v/>
      </c>
      <c r="J168" s="58" t="e">
        <f t="shared" si="36"/>
        <v>#VALUE!</v>
      </c>
      <c r="K168" s="50" t="e">
        <f t="shared" si="37"/>
        <v>#VALUE!</v>
      </c>
      <c r="L168" s="50" t="e">
        <f t="shared" si="38"/>
        <v>#VALUE!</v>
      </c>
      <c r="M168" s="50" t="e">
        <f t="shared" si="38"/>
        <v>#VALUE!</v>
      </c>
      <c r="N168" s="50" t="e">
        <f t="shared" si="39"/>
        <v>#VALUE!</v>
      </c>
      <c r="O168" s="50" t="e">
        <f t="shared" si="40"/>
        <v>#VALUE!</v>
      </c>
      <c r="P168" s="50">
        <f t="shared" si="41"/>
        <v>0</v>
      </c>
      <c r="R168" s="55" t="e">
        <f t="shared" si="42"/>
        <v>#VALUE!</v>
      </c>
      <c r="S168" s="55" t="e">
        <f t="shared" si="43"/>
        <v>#VALUE!</v>
      </c>
      <c r="T168" s="55" t="e">
        <f t="shared" si="48"/>
        <v>#VALUE!</v>
      </c>
      <c r="U168" s="50" t="e">
        <f t="shared" si="44"/>
        <v>#VALUE!</v>
      </c>
      <c r="V168" s="50" t="e">
        <f t="shared" si="45"/>
        <v>#VALUE!</v>
      </c>
      <c r="W168" s="50" t="e">
        <f t="shared" si="46"/>
        <v>#VALUE!</v>
      </c>
    </row>
    <row r="169" spans="2:23" x14ac:dyDescent="0.25">
      <c r="B169" s="50" t="b">
        <f t="shared" si="49"/>
        <v>0</v>
      </c>
      <c r="C169" s="50" t="e">
        <f t="shared" si="35"/>
        <v>#VALUE!</v>
      </c>
      <c r="E169" s="56">
        <v>166</v>
      </c>
      <c r="G169" s="138"/>
      <c r="H169" s="135">
        <v>1</v>
      </c>
      <c r="I169" s="57" t="str">
        <f t="shared" si="47"/>
        <v/>
      </c>
      <c r="J169" s="58" t="e">
        <f t="shared" si="36"/>
        <v>#VALUE!</v>
      </c>
      <c r="K169" s="50" t="e">
        <f t="shared" si="37"/>
        <v>#VALUE!</v>
      </c>
      <c r="L169" s="50" t="e">
        <f t="shared" si="38"/>
        <v>#VALUE!</v>
      </c>
      <c r="M169" s="50" t="e">
        <f t="shared" si="38"/>
        <v>#VALUE!</v>
      </c>
      <c r="N169" s="50" t="e">
        <f t="shared" si="39"/>
        <v>#VALUE!</v>
      </c>
      <c r="O169" s="50" t="e">
        <f t="shared" si="40"/>
        <v>#VALUE!</v>
      </c>
      <c r="P169" s="50">
        <f t="shared" si="41"/>
        <v>0</v>
      </c>
      <c r="R169" s="55" t="e">
        <f t="shared" si="42"/>
        <v>#VALUE!</v>
      </c>
      <c r="S169" s="55" t="e">
        <f t="shared" si="43"/>
        <v>#VALUE!</v>
      </c>
      <c r="T169" s="55" t="e">
        <f t="shared" si="48"/>
        <v>#VALUE!</v>
      </c>
      <c r="U169" s="50" t="e">
        <f t="shared" si="44"/>
        <v>#VALUE!</v>
      </c>
      <c r="V169" s="50" t="e">
        <f t="shared" si="45"/>
        <v>#VALUE!</v>
      </c>
      <c r="W169" s="50" t="e">
        <f t="shared" si="46"/>
        <v>#VALUE!</v>
      </c>
    </row>
    <row r="170" spans="2:23" x14ac:dyDescent="0.25">
      <c r="B170" s="50" t="b">
        <f t="shared" si="49"/>
        <v>0</v>
      </c>
      <c r="C170" s="50" t="e">
        <f t="shared" si="35"/>
        <v>#VALUE!</v>
      </c>
      <c r="E170" s="56">
        <v>167</v>
      </c>
      <c r="G170" s="138"/>
      <c r="H170" s="135">
        <v>1</v>
      </c>
      <c r="I170" s="57" t="str">
        <f t="shared" si="47"/>
        <v/>
      </c>
      <c r="J170" s="58" t="e">
        <f t="shared" si="36"/>
        <v>#VALUE!</v>
      </c>
      <c r="K170" s="50" t="e">
        <f t="shared" si="37"/>
        <v>#VALUE!</v>
      </c>
      <c r="L170" s="50" t="e">
        <f t="shared" si="38"/>
        <v>#VALUE!</v>
      </c>
      <c r="M170" s="50" t="e">
        <f t="shared" si="38"/>
        <v>#VALUE!</v>
      </c>
      <c r="N170" s="50" t="e">
        <f t="shared" si="39"/>
        <v>#VALUE!</v>
      </c>
      <c r="O170" s="50" t="e">
        <f t="shared" si="40"/>
        <v>#VALUE!</v>
      </c>
      <c r="P170" s="50">
        <f t="shared" si="41"/>
        <v>0</v>
      </c>
      <c r="R170" s="55" t="e">
        <f t="shared" si="42"/>
        <v>#VALUE!</v>
      </c>
      <c r="S170" s="55" t="e">
        <f t="shared" si="43"/>
        <v>#VALUE!</v>
      </c>
      <c r="T170" s="55" t="e">
        <f t="shared" si="48"/>
        <v>#VALUE!</v>
      </c>
      <c r="U170" s="50" t="e">
        <f t="shared" si="44"/>
        <v>#VALUE!</v>
      </c>
      <c r="V170" s="50" t="e">
        <f t="shared" si="45"/>
        <v>#VALUE!</v>
      </c>
      <c r="W170" s="50" t="e">
        <f t="shared" si="46"/>
        <v>#VALUE!</v>
      </c>
    </row>
    <row r="171" spans="2:23" x14ac:dyDescent="0.25">
      <c r="B171" s="50" t="b">
        <f t="shared" si="49"/>
        <v>0</v>
      </c>
      <c r="C171" s="50" t="e">
        <f t="shared" si="35"/>
        <v>#VALUE!</v>
      </c>
      <c r="E171" s="56">
        <v>168</v>
      </c>
      <c r="G171" s="138"/>
      <c r="H171" s="135">
        <v>1</v>
      </c>
      <c r="I171" s="57" t="str">
        <f t="shared" si="47"/>
        <v/>
      </c>
      <c r="J171" s="58" t="e">
        <f t="shared" si="36"/>
        <v>#VALUE!</v>
      </c>
      <c r="K171" s="50" t="e">
        <f t="shared" si="37"/>
        <v>#VALUE!</v>
      </c>
      <c r="L171" s="50" t="e">
        <f t="shared" si="38"/>
        <v>#VALUE!</v>
      </c>
      <c r="M171" s="50" t="e">
        <f t="shared" si="38"/>
        <v>#VALUE!</v>
      </c>
      <c r="N171" s="50" t="e">
        <f t="shared" si="39"/>
        <v>#VALUE!</v>
      </c>
      <c r="O171" s="50" t="e">
        <f t="shared" si="40"/>
        <v>#VALUE!</v>
      </c>
      <c r="P171" s="50">
        <f t="shared" si="41"/>
        <v>0</v>
      </c>
      <c r="R171" s="55" t="e">
        <f t="shared" si="42"/>
        <v>#VALUE!</v>
      </c>
      <c r="S171" s="55" t="e">
        <f t="shared" si="43"/>
        <v>#VALUE!</v>
      </c>
      <c r="T171" s="55" t="e">
        <f t="shared" si="48"/>
        <v>#VALUE!</v>
      </c>
      <c r="U171" s="50" t="e">
        <f t="shared" si="44"/>
        <v>#VALUE!</v>
      </c>
      <c r="V171" s="50" t="e">
        <f t="shared" si="45"/>
        <v>#VALUE!</v>
      </c>
      <c r="W171" s="50" t="e">
        <f t="shared" si="46"/>
        <v>#VALUE!</v>
      </c>
    </row>
    <row r="172" spans="2:23" x14ac:dyDescent="0.25">
      <c r="B172" s="50" t="b">
        <f t="shared" si="49"/>
        <v>0</v>
      </c>
      <c r="C172" s="50" t="e">
        <f t="shared" si="35"/>
        <v>#VALUE!</v>
      </c>
      <c r="E172" s="56">
        <v>169</v>
      </c>
      <c r="G172" s="138"/>
      <c r="H172" s="135">
        <v>1</v>
      </c>
      <c r="I172" s="57" t="str">
        <f t="shared" si="47"/>
        <v/>
      </c>
      <c r="J172" s="58" t="e">
        <f t="shared" si="36"/>
        <v>#VALUE!</v>
      </c>
      <c r="K172" s="50" t="e">
        <f t="shared" si="37"/>
        <v>#VALUE!</v>
      </c>
      <c r="L172" s="50" t="e">
        <f t="shared" si="38"/>
        <v>#VALUE!</v>
      </c>
      <c r="M172" s="50" t="e">
        <f t="shared" si="38"/>
        <v>#VALUE!</v>
      </c>
      <c r="N172" s="50" t="e">
        <f t="shared" si="39"/>
        <v>#VALUE!</v>
      </c>
      <c r="O172" s="50" t="e">
        <f t="shared" si="40"/>
        <v>#VALUE!</v>
      </c>
      <c r="P172" s="50">
        <f t="shared" si="41"/>
        <v>0</v>
      </c>
      <c r="R172" s="55" t="e">
        <f t="shared" si="42"/>
        <v>#VALUE!</v>
      </c>
      <c r="S172" s="55" t="e">
        <f t="shared" si="43"/>
        <v>#VALUE!</v>
      </c>
      <c r="T172" s="55" t="e">
        <f t="shared" si="48"/>
        <v>#VALUE!</v>
      </c>
      <c r="U172" s="50" t="e">
        <f t="shared" si="44"/>
        <v>#VALUE!</v>
      </c>
      <c r="V172" s="50" t="e">
        <f t="shared" si="45"/>
        <v>#VALUE!</v>
      </c>
      <c r="W172" s="50" t="e">
        <f t="shared" si="46"/>
        <v>#VALUE!</v>
      </c>
    </row>
    <row r="173" spans="2:23" x14ac:dyDescent="0.25">
      <c r="B173" s="50" t="b">
        <f t="shared" si="49"/>
        <v>0</v>
      </c>
      <c r="C173" s="50" t="e">
        <f t="shared" si="35"/>
        <v>#VALUE!</v>
      </c>
      <c r="E173" s="56">
        <v>170</v>
      </c>
      <c r="G173" s="138"/>
      <c r="H173" s="135">
        <v>1</v>
      </c>
      <c r="I173" s="57" t="str">
        <f t="shared" si="47"/>
        <v/>
      </c>
      <c r="J173" s="58" t="e">
        <f t="shared" si="36"/>
        <v>#VALUE!</v>
      </c>
      <c r="K173" s="50" t="e">
        <f t="shared" si="37"/>
        <v>#VALUE!</v>
      </c>
      <c r="L173" s="50" t="e">
        <f t="shared" si="38"/>
        <v>#VALUE!</v>
      </c>
      <c r="M173" s="50" t="e">
        <f t="shared" si="38"/>
        <v>#VALUE!</v>
      </c>
      <c r="N173" s="50" t="e">
        <f t="shared" si="39"/>
        <v>#VALUE!</v>
      </c>
      <c r="O173" s="50" t="e">
        <f t="shared" si="40"/>
        <v>#VALUE!</v>
      </c>
      <c r="P173" s="50">
        <f t="shared" si="41"/>
        <v>0</v>
      </c>
      <c r="R173" s="55" t="e">
        <f t="shared" si="42"/>
        <v>#VALUE!</v>
      </c>
      <c r="S173" s="55" t="e">
        <f t="shared" si="43"/>
        <v>#VALUE!</v>
      </c>
      <c r="T173" s="55" t="e">
        <f t="shared" si="48"/>
        <v>#VALUE!</v>
      </c>
      <c r="U173" s="50" t="e">
        <f t="shared" si="44"/>
        <v>#VALUE!</v>
      </c>
      <c r="V173" s="50" t="e">
        <f t="shared" si="45"/>
        <v>#VALUE!</v>
      </c>
      <c r="W173" s="50" t="e">
        <f t="shared" si="46"/>
        <v>#VALUE!</v>
      </c>
    </row>
    <row r="174" spans="2:23" x14ac:dyDescent="0.25">
      <c r="B174" s="50" t="b">
        <f t="shared" si="49"/>
        <v>0</v>
      </c>
      <c r="C174" s="50" t="e">
        <f t="shared" si="35"/>
        <v>#VALUE!</v>
      </c>
      <c r="E174" s="56">
        <v>171</v>
      </c>
      <c r="G174" s="138"/>
      <c r="H174" s="135">
        <v>1</v>
      </c>
      <c r="I174" s="57" t="str">
        <f t="shared" si="47"/>
        <v/>
      </c>
      <c r="J174" s="58" t="e">
        <f t="shared" si="36"/>
        <v>#VALUE!</v>
      </c>
      <c r="K174" s="50" t="e">
        <f t="shared" si="37"/>
        <v>#VALUE!</v>
      </c>
      <c r="L174" s="50" t="e">
        <f t="shared" si="38"/>
        <v>#VALUE!</v>
      </c>
      <c r="M174" s="50" t="e">
        <f t="shared" si="38"/>
        <v>#VALUE!</v>
      </c>
      <c r="N174" s="50" t="e">
        <f t="shared" si="39"/>
        <v>#VALUE!</v>
      </c>
      <c r="O174" s="50" t="e">
        <f t="shared" si="40"/>
        <v>#VALUE!</v>
      </c>
      <c r="P174" s="50">
        <f t="shared" si="41"/>
        <v>0</v>
      </c>
      <c r="R174" s="55" t="e">
        <f t="shared" si="42"/>
        <v>#VALUE!</v>
      </c>
      <c r="S174" s="55" t="e">
        <f t="shared" si="43"/>
        <v>#VALUE!</v>
      </c>
      <c r="T174" s="55" t="e">
        <f t="shared" si="48"/>
        <v>#VALUE!</v>
      </c>
      <c r="U174" s="50" t="e">
        <f t="shared" si="44"/>
        <v>#VALUE!</v>
      </c>
      <c r="V174" s="50" t="e">
        <f t="shared" si="45"/>
        <v>#VALUE!</v>
      </c>
      <c r="W174" s="50" t="e">
        <f t="shared" si="46"/>
        <v>#VALUE!</v>
      </c>
    </row>
    <row r="175" spans="2:23" x14ac:dyDescent="0.25">
      <c r="B175" s="50" t="b">
        <f t="shared" si="49"/>
        <v>0</v>
      </c>
      <c r="C175" s="50" t="e">
        <f t="shared" si="35"/>
        <v>#VALUE!</v>
      </c>
      <c r="E175" s="56">
        <v>172</v>
      </c>
      <c r="G175" s="138"/>
      <c r="H175" s="135">
        <v>1</v>
      </c>
      <c r="I175" s="57" t="str">
        <f t="shared" si="47"/>
        <v/>
      </c>
      <c r="J175" s="58" t="e">
        <f t="shared" si="36"/>
        <v>#VALUE!</v>
      </c>
      <c r="K175" s="50" t="e">
        <f t="shared" si="37"/>
        <v>#VALUE!</v>
      </c>
      <c r="L175" s="50" t="e">
        <f t="shared" si="38"/>
        <v>#VALUE!</v>
      </c>
      <c r="M175" s="50" t="e">
        <f t="shared" si="38"/>
        <v>#VALUE!</v>
      </c>
      <c r="N175" s="50" t="e">
        <f t="shared" si="39"/>
        <v>#VALUE!</v>
      </c>
      <c r="O175" s="50" t="e">
        <f t="shared" si="40"/>
        <v>#VALUE!</v>
      </c>
      <c r="P175" s="50">
        <f t="shared" si="41"/>
        <v>0</v>
      </c>
      <c r="R175" s="55" t="e">
        <f t="shared" si="42"/>
        <v>#VALUE!</v>
      </c>
      <c r="S175" s="55" t="e">
        <f t="shared" si="43"/>
        <v>#VALUE!</v>
      </c>
      <c r="T175" s="55" t="e">
        <f t="shared" si="48"/>
        <v>#VALUE!</v>
      </c>
      <c r="U175" s="50" t="e">
        <f t="shared" si="44"/>
        <v>#VALUE!</v>
      </c>
      <c r="V175" s="50" t="e">
        <f t="shared" si="45"/>
        <v>#VALUE!</v>
      </c>
      <c r="W175" s="50" t="e">
        <f t="shared" si="46"/>
        <v>#VALUE!</v>
      </c>
    </row>
    <row r="176" spans="2:23" x14ac:dyDescent="0.25">
      <c r="B176" s="50" t="b">
        <f t="shared" si="49"/>
        <v>0</v>
      </c>
      <c r="C176" s="50" t="e">
        <f t="shared" si="35"/>
        <v>#VALUE!</v>
      </c>
      <c r="E176" s="56">
        <v>173</v>
      </c>
      <c r="G176" s="138"/>
      <c r="H176" s="135">
        <v>1</v>
      </c>
      <c r="I176" s="57" t="str">
        <f t="shared" si="47"/>
        <v/>
      </c>
      <c r="J176" s="58" t="e">
        <f t="shared" si="36"/>
        <v>#VALUE!</v>
      </c>
      <c r="K176" s="50" t="e">
        <f t="shared" si="37"/>
        <v>#VALUE!</v>
      </c>
      <c r="L176" s="50" t="e">
        <f t="shared" si="38"/>
        <v>#VALUE!</v>
      </c>
      <c r="M176" s="50" t="e">
        <f t="shared" si="38"/>
        <v>#VALUE!</v>
      </c>
      <c r="N176" s="50" t="e">
        <f t="shared" si="39"/>
        <v>#VALUE!</v>
      </c>
      <c r="O176" s="50" t="e">
        <f t="shared" si="40"/>
        <v>#VALUE!</v>
      </c>
      <c r="P176" s="50">
        <f t="shared" si="41"/>
        <v>0</v>
      </c>
      <c r="R176" s="55" t="e">
        <f t="shared" si="42"/>
        <v>#VALUE!</v>
      </c>
      <c r="S176" s="55" t="e">
        <f t="shared" si="43"/>
        <v>#VALUE!</v>
      </c>
      <c r="T176" s="55" t="e">
        <f t="shared" si="48"/>
        <v>#VALUE!</v>
      </c>
      <c r="U176" s="50" t="e">
        <f t="shared" si="44"/>
        <v>#VALUE!</v>
      </c>
      <c r="V176" s="50" t="e">
        <f t="shared" si="45"/>
        <v>#VALUE!</v>
      </c>
      <c r="W176" s="50" t="e">
        <f t="shared" si="46"/>
        <v>#VALUE!</v>
      </c>
    </row>
    <row r="177" spans="2:23" x14ac:dyDescent="0.25">
      <c r="B177" s="50" t="b">
        <f t="shared" si="49"/>
        <v>0</v>
      </c>
      <c r="C177" s="50" t="e">
        <f t="shared" si="35"/>
        <v>#VALUE!</v>
      </c>
      <c r="E177" s="56">
        <v>174</v>
      </c>
      <c r="G177" s="138"/>
      <c r="H177" s="135">
        <v>1</v>
      </c>
      <c r="I177" s="57" t="str">
        <f t="shared" si="47"/>
        <v/>
      </c>
      <c r="J177" s="58" t="e">
        <f t="shared" si="36"/>
        <v>#VALUE!</v>
      </c>
      <c r="K177" s="50" t="e">
        <f t="shared" si="37"/>
        <v>#VALUE!</v>
      </c>
      <c r="L177" s="50" t="e">
        <f t="shared" si="38"/>
        <v>#VALUE!</v>
      </c>
      <c r="M177" s="50" t="e">
        <f t="shared" si="38"/>
        <v>#VALUE!</v>
      </c>
      <c r="N177" s="50" t="e">
        <f t="shared" si="39"/>
        <v>#VALUE!</v>
      </c>
      <c r="O177" s="50" t="e">
        <f t="shared" si="40"/>
        <v>#VALUE!</v>
      </c>
      <c r="P177" s="50">
        <f t="shared" si="41"/>
        <v>0</v>
      </c>
      <c r="R177" s="55" t="e">
        <f t="shared" si="42"/>
        <v>#VALUE!</v>
      </c>
      <c r="S177" s="55" t="e">
        <f t="shared" si="43"/>
        <v>#VALUE!</v>
      </c>
      <c r="T177" s="55" t="e">
        <f t="shared" si="48"/>
        <v>#VALUE!</v>
      </c>
      <c r="U177" s="50" t="e">
        <f t="shared" si="44"/>
        <v>#VALUE!</v>
      </c>
      <c r="V177" s="50" t="e">
        <f t="shared" si="45"/>
        <v>#VALUE!</v>
      </c>
      <c r="W177" s="50" t="e">
        <f t="shared" si="46"/>
        <v>#VALUE!</v>
      </c>
    </row>
    <row r="178" spans="2:23" x14ac:dyDescent="0.25">
      <c r="B178" s="50" t="b">
        <f t="shared" si="49"/>
        <v>0</v>
      </c>
      <c r="C178" s="50" t="e">
        <f t="shared" si="35"/>
        <v>#VALUE!</v>
      </c>
      <c r="E178" s="56">
        <v>175</v>
      </c>
      <c r="G178" s="138"/>
      <c r="H178" s="135">
        <v>1</v>
      </c>
      <c r="I178" s="57" t="str">
        <f t="shared" si="47"/>
        <v/>
      </c>
      <c r="J178" s="58" t="e">
        <f t="shared" si="36"/>
        <v>#VALUE!</v>
      </c>
      <c r="K178" s="50" t="e">
        <f t="shared" si="37"/>
        <v>#VALUE!</v>
      </c>
      <c r="L178" s="50" t="e">
        <f t="shared" si="38"/>
        <v>#VALUE!</v>
      </c>
      <c r="M178" s="50" t="e">
        <f t="shared" si="38"/>
        <v>#VALUE!</v>
      </c>
      <c r="N178" s="50" t="e">
        <f t="shared" si="39"/>
        <v>#VALUE!</v>
      </c>
      <c r="O178" s="50" t="e">
        <f t="shared" si="40"/>
        <v>#VALUE!</v>
      </c>
      <c r="P178" s="50">
        <f t="shared" si="41"/>
        <v>0</v>
      </c>
      <c r="R178" s="55" t="e">
        <f t="shared" si="42"/>
        <v>#VALUE!</v>
      </c>
      <c r="S178" s="55" t="e">
        <f t="shared" si="43"/>
        <v>#VALUE!</v>
      </c>
      <c r="T178" s="55" t="e">
        <f t="shared" si="48"/>
        <v>#VALUE!</v>
      </c>
      <c r="U178" s="50" t="e">
        <f t="shared" si="44"/>
        <v>#VALUE!</v>
      </c>
      <c r="V178" s="50" t="e">
        <f t="shared" si="45"/>
        <v>#VALUE!</v>
      </c>
      <c r="W178" s="50" t="e">
        <f t="shared" si="46"/>
        <v>#VALUE!</v>
      </c>
    </row>
    <row r="179" spans="2:23" x14ac:dyDescent="0.25">
      <c r="B179" s="50" t="b">
        <f t="shared" si="49"/>
        <v>0</v>
      </c>
      <c r="C179" s="50" t="e">
        <f t="shared" si="35"/>
        <v>#VALUE!</v>
      </c>
      <c r="E179" s="56">
        <v>176</v>
      </c>
      <c r="G179" s="138"/>
      <c r="H179" s="135">
        <v>1</v>
      </c>
      <c r="I179" s="57" t="str">
        <f t="shared" si="47"/>
        <v/>
      </c>
      <c r="J179" s="58" t="e">
        <f t="shared" si="36"/>
        <v>#VALUE!</v>
      </c>
      <c r="K179" s="50" t="e">
        <f t="shared" si="37"/>
        <v>#VALUE!</v>
      </c>
      <c r="L179" s="50" t="e">
        <f t="shared" si="38"/>
        <v>#VALUE!</v>
      </c>
      <c r="M179" s="50" t="e">
        <f t="shared" si="38"/>
        <v>#VALUE!</v>
      </c>
      <c r="N179" s="50" t="e">
        <f t="shared" si="39"/>
        <v>#VALUE!</v>
      </c>
      <c r="O179" s="50" t="e">
        <f t="shared" si="40"/>
        <v>#VALUE!</v>
      </c>
      <c r="P179" s="50">
        <f t="shared" si="41"/>
        <v>0</v>
      </c>
      <c r="R179" s="55" t="e">
        <f t="shared" si="42"/>
        <v>#VALUE!</v>
      </c>
      <c r="S179" s="55" t="e">
        <f t="shared" si="43"/>
        <v>#VALUE!</v>
      </c>
      <c r="T179" s="55" t="e">
        <f t="shared" si="48"/>
        <v>#VALUE!</v>
      </c>
      <c r="U179" s="50" t="e">
        <f t="shared" si="44"/>
        <v>#VALUE!</v>
      </c>
      <c r="V179" s="50" t="e">
        <f t="shared" si="45"/>
        <v>#VALUE!</v>
      </c>
      <c r="W179" s="50" t="e">
        <f t="shared" si="46"/>
        <v>#VALUE!</v>
      </c>
    </row>
    <row r="180" spans="2:23" x14ac:dyDescent="0.25">
      <c r="B180" s="50" t="b">
        <f t="shared" si="49"/>
        <v>0</v>
      </c>
      <c r="C180" s="50" t="e">
        <f t="shared" si="35"/>
        <v>#VALUE!</v>
      </c>
      <c r="E180" s="56">
        <v>177</v>
      </c>
      <c r="G180" s="138"/>
      <c r="H180" s="135">
        <v>1</v>
      </c>
      <c r="I180" s="57" t="str">
        <f t="shared" si="47"/>
        <v/>
      </c>
      <c r="J180" s="58" t="e">
        <f t="shared" si="36"/>
        <v>#VALUE!</v>
      </c>
      <c r="K180" s="50" t="e">
        <f t="shared" si="37"/>
        <v>#VALUE!</v>
      </c>
      <c r="L180" s="50" t="e">
        <f t="shared" si="38"/>
        <v>#VALUE!</v>
      </c>
      <c r="M180" s="50" t="e">
        <f t="shared" si="38"/>
        <v>#VALUE!</v>
      </c>
      <c r="N180" s="50" t="e">
        <f t="shared" si="39"/>
        <v>#VALUE!</v>
      </c>
      <c r="O180" s="50" t="e">
        <f t="shared" si="40"/>
        <v>#VALUE!</v>
      </c>
      <c r="P180" s="50">
        <f t="shared" si="41"/>
        <v>0</v>
      </c>
      <c r="R180" s="55" t="e">
        <f t="shared" si="42"/>
        <v>#VALUE!</v>
      </c>
      <c r="S180" s="55" t="e">
        <f t="shared" si="43"/>
        <v>#VALUE!</v>
      </c>
      <c r="T180" s="55" t="e">
        <f t="shared" si="48"/>
        <v>#VALUE!</v>
      </c>
      <c r="U180" s="50" t="e">
        <f t="shared" si="44"/>
        <v>#VALUE!</v>
      </c>
      <c r="V180" s="50" t="e">
        <f t="shared" si="45"/>
        <v>#VALUE!</v>
      </c>
      <c r="W180" s="50" t="e">
        <f t="shared" si="46"/>
        <v>#VALUE!</v>
      </c>
    </row>
    <row r="181" spans="2:23" x14ac:dyDescent="0.25">
      <c r="B181" s="50" t="b">
        <f t="shared" si="49"/>
        <v>0</v>
      </c>
      <c r="C181" s="50" t="e">
        <f t="shared" si="35"/>
        <v>#VALUE!</v>
      </c>
      <c r="E181" s="56">
        <v>178</v>
      </c>
      <c r="G181" s="138"/>
      <c r="H181" s="135">
        <v>1</v>
      </c>
      <c r="I181" s="57" t="str">
        <f t="shared" si="47"/>
        <v/>
      </c>
      <c r="J181" s="58" t="e">
        <f t="shared" si="36"/>
        <v>#VALUE!</v>
      </c>
      <c r="K181" s="50" t="e">
        <f t="shared" si="37"/>
        <v>#VALUE!</v>
      </c>
      <c r="L181" s="50" t="e">
        <f t="shared" si="38"/>
        <v>#VALUE!</v>
      </c>
      <c r="M181" s="50" t="e">
        <f t="shared" si="38"/>
        <v>#VALUE!</v>
      </c>
      <c r="N181" s="50" t="e">
        <f t="shared" si="39"/>
        <v>#VALUE!</v>
      </c>
      <c r="O181" s="50" t="e">
        <f t="shared" si="40"/>
        <v>#VALUE!</v>
      </c>
      <c r="P181" s="50">
        <f t="shared" si="41"/>
        <v>0</v>
      </c>
      <c r="R181" s="55" t="e">
        <f t="shared" si="42"/>
        <v>#VALUE!</v>
      </c>
      <c r="S181" s="55" t="e">
        <f t="shared" si="43"/>
        <v>#VALUE!</v>
      </c>
      <c r="T181" s="55" t="e">
        <f t="shared" si="48"/>
        <v>#VALUE!</v>
      </c>
      <c r="U181" s="50" t="e">
        <f t="shared" si="44"/>
        <v>#VALUE!</v>
      </c>
      <c r="V181" s="50" t="e">
        <f t="shared" si="45"/>
        <v>#VALUE!</v>
      </c>
      <c r="W181" s="50" t="e">
        <f t="shared" si="46"/>
        <v>#VALUE!</v>
      </c>
    </row>
    <row r="182" spans="2:23" x14ac:dyDescent="0.25">
      <c r="B182" s="50" t="b">
        <f t="shared" si="49"/>
        <v>0</v>
      </c>
      <c r="C182" s="50" t="e">
        <f t="shared" ref="C182:C245" si="50">SUM(U182:W182)</f>
        <v>#VALUE!</v>
      </c>
      <c r="E182" s="56">
        <v>179</v>
      </c>
      <c r="G182" s="138"/>
      <c r="H182" s="135">
        <v>1</v>
      </c>
      <c r="I182" s="57" t="str">
        <f t="shared" si="47"/>
        <v/>
      </c>
      <c r="J182" s="58" t="e">
        <f t="shared" si="36"/>
        <v>#VALUE!</v>
      </c>
      <c r="K182" s="50" t="e">
        <f t="shared" si="37"/>
        <v>#VALUE!</v>
      </c>
      <c r="L182" s="50" t="e">
        <f t="shared" si="38"/>
        <v>#VALUE!</v>
      </c>
      <c r="M182" s="50" t="e">
        <f t="shared" si="38"/>
        <v>#VALUE!</v>
      </c>
      <c r="N182" s="50" t="e">
        <f t="shared" si="39"/>
        <v>#VALUE!</v>
      </c>
      <c r="O182" s="50" t="e">
        <f t="shared" si="40"/>
        <v>#VALUE!</v>
      </c>
      <c r="P182" s="50">
        <f t="shared" si="41"/>
        <v>0</v>
      </c>
      <c r="R182" s="55" t="e">
        <f t="shared" si="42"/>
        <v>#VALUE!</v>
      </c>
      <c r="S182" s="55" t="e">
        <f t="shared" si="43"/>
        <v>#VALUE!</v>
      </c>
      <c r="T182" s="55" t="e">
        <f t="shared" si="48"/>
        <v>#VALUE!</v>
      </c>
      <c r="U182" s="50" t="e">
        <f t="shared" si="44"/>
        <v>#VALUE!</v>
      </c>
      <c r="V182" s="50" t="e">
        <f t="shared" si="45"/>
        <v>#VALUE!</v>
      </c>
      <c r="W182" s="50" t="e">
        <f t="shared" si="46"/>
        <v>#VALUE!</v>
      </c>
    </row>
    <row r="183" spans="2:23" x14ac:dyDescent="0.25">
      <c r="B183" s="50" t="b">
        <f t="shared" si="49"/>
        <v>0</v>
      </c>
      <c r="C183" s="50" t="e">
        <f t="shared" si="50"/>
        <v>#VALUE!</v>
      </c>
      <c r="E183" s="56">
        <v>180</v>
      </c>
      <c r="G183" s="138"/>
      <c r="H183" s="135">
        <v>1</v>
      </c>
      <c r="I183" s="57" t="str">
        <f t="shared" si="47"/>
        <v/>
      </c>
      <c r="J183" s="58" t="e">
        <f t="shared" si="36"/>
        <v>#VALUE!</v>
      </c>
      <c r="K183" s="50" t="e">
        <f t="shared" si="37"/>
        <v>#VALUE!</v>
      </c>
      <c r="L183" s="50" t="e">
        <f t="shared" si="38"/>
        <v>#VALUE!</v>
      </c>
      <c r="M183" s="50" t="e">
        <f t="shared" si="38"/>
        <v>#VALUE!</v>
      </c>
      <c r="N183" s="50" t="e">
        <f t="shared" si="39"/>
        <v>#VALUE!</v>
      </c>
      <c r="O183" s="50" t="e">
        <f t="shared" si="40"/>
        <v>#VALUE!</v>
      </c>
      <c r="P183" s="50">
        <f t="shared" si="41"/>
        <v>0</v>
      </c>
      <c r="R183" s="55" t="e">
        <f t="shared" si="42"/>
        <v>#VALUE!</v>
      </c>
      <c r="S183" s="55" t="e">
        <f t="shared" si="43"/>
        <v>#VALUE!</v>
      </c>
      <c r="T183" s="55" t="e">
        <f t="shared" si="48"/>
        <v>#VALUE!</v>
      </c>
      <c r="U183" s="50" t="e">
        <f t="shared" si="44"/>
        <v>#VALUE!</v>
      </c>
      <c r="V183" s="50" t="e">
        <f t="shared" si="45"/>
        <v>#VALUE!</v>
      </c>
      <c r="W183" s="50" t="e">
        <f t="shared" si="46"/>
        <v>#VALUE!</v>
      </c>
    </row>
    <row r="184" spans="2:23" x14ac:dyDescent="0.25">
      <c r="B184" s="50" t="b">
        <f t="shared" si="49"/>
        <v>0</v>
      </c>
      <c r="C184" s="50" t="e">
        <f t="shared" si="50"/>
        <v>#VALUE!</v>
      </c>
      <c r="E184" s="56">
        <v>181</v>
      </c>
      <c r="G184" s="138"/>
      <c r="H184" s="135">
        <v>1</v>
      </c>
      <c r="I184" s="57" t="str">
        <f t="shared" si="47"/>
        <v/>
      </c>
      <c r="J184" s="58" t="e">
        <f t="shared" si="36"/>
        <v>#VALUE!</v>
      </c>
      <c r="K184" s="50" t="e">
        <f t="shared" si="37"/>
        <v>#VALUE!</v>
      </c>
      <c r="L184" s="50" t="e">
        <f t="shared" si="38"/>
        <v>#VALUE!</v>
      </c>
      <c r="M184" s="50" t="e">
        <f t="shared" si="38"/>
        <v>#VALUE!</v>
      </c>
      <c r="N184" s="50" t="e">
        <f t="shared" si="39"/>
        <v>#VALUE!</v>
      </c>
      <c r="O184" s="50" t="e">
        <f t="shared" si="40"/>
        <v>#VALUE!</v>
      </c>
      <c r="P184" s="50">
        <f t="shared" si="41"/>
        <v>0</v>
      </c>
      <c r="R184" s="55" t="e">
        <f t="shared" si="42"/>
        <v>#VALUE!</v>
      </c>
      <c r="S184" s="55" t="e">
        <f t="shared" si="43"/>
        <v>#VALUE!</v>
      </c>
      <c r="T184" s="55" t="e">
        <f t="shared" si="48"/>
        <v>#VALUE!</v>
      </c>
      <c r="U184" s="50" t="e">
        <f t="shared" si="44"/>
        <v>#VALUE!</v>
      </c>
      <c r="V184" s="50" t="e">
        <f t="shared" si="45"/>
        <v>#VALUE!</v>
      </c>
      <c r="W184" s="50" t="e">
        <f t="shared" si="46"/>
        <v>#VALUE!</v>
      </c>
    </row>
    <row r="185" spans="2:23" x14ac:dyDescent="0.25">
      <c r="B185" s="50" t="b">
        <f t="shared" si="49"/>
        <v>0</v>
      </c>
      <c r="C185" s="50" t="e">
        <f t="shared" si="50"/>
        <v>#VALUE!</v>
      </c>
      <c r="E185" s="56">
        <v>182</v>
      </c>
      <c r="G185" s="138"/>
      <c r="H185" s="135">
        <v>1</v>
      </c>
      <c r="I185" s="57" t="str">
        <f t="shared" si="47"/>
        <v/>
      </c>
      <c r="J185" s="58" t="e">
        <f t="shared" si="36"/>
        <v>#VALUE!</v>
      </c>
      <c r="K185" s="50" t="e">
        <f t="shared" si="37"/>
        <v>#VALUE!</v>
      </c>
      <c r="L185" s="50" t="e">
        <f t="shared" si="38"/>
        <v>#VALUE!</v>
      </c>
      <c r="M185" s="50" t="e">
        <f t="shared" si="38"/>
        <v>#VALUE!</v>
      </c>
      <c r="N185" s="50" t="e">
        <f t="shared" si="39"/>
        <v>#VALUE!</v>
      </c>
      <c r="O185" s="50" t="e">
        <f t="shared" si="40"/>
        <v>#VALUE!</v>
      </c>
      <c r="P185" s="50">
        <f t="shared" si="41"/>
        <v>0</v>
      </c>
      <c r="R185" s="55" t="e">
        <f t="shared" si="42"/>
        <v>#VALUE!</v>
      </c>
      <c r="S185" s="55" t="e">
        <f t="shared" si="43"/>
        <v>#VALUE!</v>
      </c>
      <c r="T185" s="55" t="e">
        <f t="shared" si="48"/>
        <v>#VALUE!</v>
      </c>
      <c r="U185" s="50" t="e">
        <f t="shared" si="44"/>
        <v>#VALUE!</v>
      </c>
      <c r="V185" s="50" t="e">
        <f t="shared" si="45"/>
        <v>#VALUE!</v>
      </c>
      <c r="W185" s="50" t="e">
        <f t="shared" si="46"/>
        <v>#VALUE!</v>
      </c>
    </row>
    <row r="186" spans="2:23" x14ac:dyDescent="0.25">
      <c r="B186" s="50" t="b">
        <f t="shared" si="49"/>
        <v>0</v>
      </c>
      <c r="C186" s="50" t="e">
        <f t="shared" si="50"/>
        <v>#VALUE!</v>
      </c>
      <c r="E186" s="56">
        <v>183</v>
      </c>
      <c r="G186" s="138"/>
      <c r="H186" s="135">
        <v>1</v>
      </c>
      <c r="I186" s="57" t="str">
        <f t="shared" si="47"/>
        <v/>
      </c>
      <c r="J186" s="58" t="e">
        <f t="shared" si="36"/>
        <v>#VALUE!</v>
      </c>
      <c r="K186" s="50" t="e">
        <f t="shared" si="37"/>
        <v>#VALUE!</v>
      </c>
      <c r="L186" s="50" t="e">
        <f t="shared" si="38"/>
        <v>#VALUE!</v>
      </c>
      <c r="M186" s="50" t="e">
        <f t="shared" si="38"/>
        <v>#VALUE!</v>
      </c>
      <c r="N186" s="50" t="e">
        <f t="shared" si="39"/>
        <v>#VALUE!</v>
      </c>
      <c r="O186" s="50" t="e">
        <f t="shared" si="40"/>
        <v>#VALUE!</v>
      </c>
      <c r="P186" s="50">
        <f t="shared" si="41"/>
        <v>0</v>
      </c>
      <c r="R186" s="55" t="e">
        <f t="shared" si="42"/>
        <v>#VALUE!</v>
      </c>
      <c r="S186" s="55" t="e">
        <f t="shared" si="43"/>
        <v>#VALUE!</v>
      </c>
      <c r="T186" s="55" t="e">
        <f t="shared" si="48"/>
        <v>#VALUE!</v>
      </c>
      <c r="U186" s="50" t="e">
        <f t="shared" si="44"/>
        <v>#VALUE!</v>
      </c>
      <c r="V186" s="50" t="e">
        <f t="shared" si="45"/>
        <v>#VALUE!</v>
      </c>
      <c r="W186" s="50" t="e">
        <f t="shared" si="46"/>
        <v>#VALUE!</v>
      </c>
    </row>
    <row r="187" spans="2:23" x14ac:dyDescent="0.25">
      <c r="B187" s="50" t="b">
        <f t="shared" si="49"/>
        <v>0</v>
      </c>
      <c r="C187" s="50" t="e">
        <f t="shared" si="50"/>
        <v>#VALUE!</v>
      </c>
      <c r="E187" s="56">
        <v>184</v>
      </c>
      <c r="G187" s="138"/>
      <c r="H187" s="135">
        <v>1</v>
      </c>
      <c r="I187" s="57" t="str">
        <f t="shared" si="47"/>
        <v/>
      </c>
      <c r="J187" s="58" t="e">
        <f t="shared" si="36"/>
        <v>#VALUE!</v>
      </c>
      <c r="K187" s="50" t="e">
        <f t="shared" si="37"/>
        <v>#VALUE!</v>
      </c>
      <c r="L187" s="50" t="e">
        <f t="shared" si="38"/>
        <v>#VALUE!</v>
      </c>
      <c r="M187" s="50" t="e">
        <f t="shared" si="38"/>
        <v>#VALUE!</v>
      </c>
      <c r="N187" s="50" t="e">
        <f t="shared" si="39"/>
        <v>#VALUE!</v>
      </c>
      <c r="O187" s="50" t="e">
        <f t="shared" si="40"/>
        <v>#VALUE!</v>
      </c>
      <c r="P187" s="50">
        <f t="shared" si="41"/>
        <v>0</v>
      </c>
      <c r="R187" s="55" t="e">
        <f t="shared" si="42"/>
        <v>#VALUE!</v>
      </c>
      <c r="S187" s="55" t="e">
        <f t="shared" si="43"/>
        <v>#VALUE!</v>
      </c>
      <c r="T187" s="55" t="e">
        <f t="shared" si="48"/>
        <v>#VALUE!</v>
      </c>
      <c r="U187" s="50" t="e">
        <f t="shared" si="44"/>
        <v>#VALUE!</v>
      </c>
      <c r="V187" s="50" t="e">
        <f t="shared" si="45"/>
        <v>#VALUE!</v>
      </c>
      <c r="W187" s="50" t="e">
        <f t="shared" si="46"/>
        <v>#VALUE!</v>
      </c>
    </row>
    <row r="188" spans="2:23" x14ac:dyDescent="0.25">
      <c r="B188" s="50" t="b">
        <f t="shared" si="49"/>
        <v>0</v>
      </c>
      <c r="C188" s="50" t="e">
        <f t="shared" si="50"/>
        <v>#VALUE!</v>
      </c>
      <c r="E188" s="56">
        <v>185</v>
      </c>
      <c r="G188" s="138"/>
      <c r="H188" s="135">
        <v>1</v>
      </c>
      <c r="I188" s="57" t="str">
        <f t="shared" si="47"/>
        <v/>
      </c>
      <c r="J188" s="58" t="e">
        <f t="shared" si="36"/>
        <v>#VALUE!</v>
      </c>
      <c r="K188" s="50" t="e">
        <f t="shared" si="37"/>
        <v>#VALUE!</v>
      </c>
      <c r="L188" s="50" t="e">
        <f t="shared" si="38"/>
        <v>#VALUE!</v>
      </c>
      <c r="M188" s="50" t="e">
        <f t="shared" si="38"/>
        <v>#VALUE!</v>
      </c>
      <c r="N188" s="50" t="e">
        <f t="shared" si="39"/>
        <v>#VALUE!</v>
      </c>
      <c r="O188" s="50" t="e">
        <f t="shared" si="40"/>
        <v>#VALUE!</v>
      </c>
      <c r="P188" s="50">
        <f t="shared" si="41"/>
        <v>0</v>
      </c>
      <c r="R188" s="55" t="e">
        <f t="shared" si="42"/>
        <v>#VALUE!</v>
      </c>
      <c r="S188" s="55" t="e">
        <f t="shared" si="43"/>
        <v>#VALUE!</v>
      </c>
      <c r="T188" s="55" t="e">
        <f t="shared" si="48"/>
        <v>#VALUE!</v>
      </c>
      <c r="U188" s="50" t="e">
        <f t="shared" si="44"/>
        <v>#VALUE!</v>
      </c>
      <c r="V188" s="50" t="e">
        <f t="shared" si="45"/>
        <v>#VALUE!</v>
      </c>
      <c r="W188" s="50" t="e">
        <f t="shared" si="46"/>
        <v>#VALUE!</v>
      </c>
    </row>
    <row r="189" spans="2:23" x14ac:dyDescent="0.25">
      <c r="B189" s="50" t="b">
        <f t="shared" si="49"/>
        <v>0</v>
      </c>
      <c r="C189" s="50" t="e">
        <f t="shared" si="50"/>
        <v>#VALUE!</v>
      </c>
      <c r="E189" s="56">
        <v>186</v>
      </c>
      <c r="G189" s="138"/>
      <c r="H189" s="135">
        <v>1</v>
      </c>
      <c r="I189" s="57" t="str">
        <f t="shared" si="47"/>
        <v/>
      </c>
      <c r="J189" s="58" t="e">
        <f t="shared" si="36"/>
        <v>#VALUE!</v>
      </c>
      <c r="K189" s="50" t="e">
        <f t="shared" si="37"/>
        <v>#VALUE!</v>
      </c>
      <c r="L189" s="50" t="e">
        <f t="shared" si="38"/>
        <v>#VALUE!</v>
      </c>
      <c r="M189" s="50" t="e">
        <f t="shared" si="38"/>
        <v>#VALUE!</v>
      </c>
      <c r="N189" s="50" t="e">
        <f t="shared" si="39"/>
        <v>#VALUE!</v>
      </c>
      <c r="O189" s="50" t="e">
        <f t="shared" si="40"/>
        <v>#VALUE!</v>
      </c>
      <c r="P189" s="50">
        <f t="shared" si="41"/>
        <v>0</v>
      </c>
      <c r="R189" s="55" t="e">
        <f t="shared" si="42"/>
        <v>#VALUE!</v>
      </c>
      <c r="S189" s="55" t="e">
        <f t="shared" si="43"/>
        <v>#VALUE!</v>
      </c>
      <c r="T189" s="55" t="e">
        <f t="shared" si="48"/>
        <v>#VALUE!</v>
      </c>
      <c r="U189" s="50" t="e">
        <f t="shared" si="44"/>
        <v>#VALUE!</v>
      </c>
      <c r="V189" s="50" t="e">
        <f t="shared" si="45"/>
        <v>#VALUE!</v>
      </c>
      <c r="W189" s="50" t="e">
        <f t="shared" si="46"/>
        <v>#VALUE!</v>
      </c>
    </row>
    <row r="190" spans="2:23" x14ac:dyDescent="0.25">
      <c r="B190" s="50" t="b">
        <f t="shared" si="49"/>
        <v>0</v>
      </c>
      <c r="C190" s="50" t="e">
        <f t="shared" si="50"/>
        <v>#VALUE!</v>
      </c>
      <c r="E190" s="56">
        <v>187</v>
      </c>
      <c r="G190" s="138"/>
      <c r="H190" s="135">
        <v>1</v>
      </c>
      <c r="I190" s="57" t="str">
        <f t="shared" si="47"/>
        <v/>
      </c>
      <c r="J190" s="58" t="e">
        <f t="shared" si="36"/>
        <v>#VALUE!</v>
      </c>
      <c r="K190" s="50" t="e">
        <f t="shared" si="37"/>
        <v>#VALUE!</v>
      </c>
      <c r="L190" s="50" t="e">
        <f t="shared" si="38"/>
        <v>#VALUE!</v>
      </c>
      <c r="M190" s="50" t="e">
        <f t="shared" si="38"/>
        <v>#VALUE!</v>
      </c>
      <c r="N190" s="50" t="e">
        <f t="shared" si="39"/>
        <v>#VALUE!</v>
      </c>
      <c r="O190" s="50" t="e">
        <f t="shared" si="40"/>
        <v>#VALUE!</v>
      </c>
      <c r="P190" s="50">
        <f t="shared" si="41"/>
        <v>0</v>
      </c>
      <c r="R190" s="55" t="e">
        <f t="shared" si="42"/>
        <v>#VALUE!</v>
      </c>
      <c r="S190" s="55" t="e">
        <f t="shared" si="43"/>
        <v>#VALUE!</v>
      </c>
      <c r="T190" s="55" t="e">
        <f t="shared" si="48"/>
        <v>#VALUE!</v>
      </c>
      <c r="U190" s="50" t="e">
        <f t="shared" si="44"/>
        <v>#VALUE!</v>
      </c>
      <c r="V190" s="50" t="e">
        <f t="shared" si="45"/>
        <v>#VALUE!</v>
      </c>
      <c r="W190" s="50" t="e">
        <f t="shared" si="46"/>
        <v>#VALUE!</v>
      </c>
    </row>
    <row r="191" spans="2:23" x14ac:dyDescent="0.25">
      <c r="B191" s="50" t="b">
        <f t="shared" si="49"/>
        <v>0</v>
      </c>
      <c r="C191" s="50" t="e">
        <f t="shared" si="50"/>
        <v>#VALUE!</v>
      </c>
      <c r="E191" s="56">
        <v>188</v>
      </c>
      <c r="G191" s="138"/>
      <c r="H191" s="135">
        <v>1</v>
      </c>
      <c r="I191" s="57" t="str">
        <f t="shared" si="47"/>
        <v/>
      </c>
      <c r="J191" s="58" t="e">
        <f t="shared" si="36"/>
        <v>#VALUE!</v>
      </c>
      <c r="K191" s="50" t="e">
        <f t="shared" si="37"/>
        <v>#VALUE!</v>
      </c>
      <c r="L191" s="50" t="e">
        <f t="shared" si="38"/>
        <v>#VALUE!</v>
      </c>
      <c r="M191" s="50" t="e">
        <f t="shared" si="38"/>
        <v>#VALUE!</v>
      </c>
      <c r="N191" s="50" t="e">
        <f t="shared" si="39"/>
        <v>#VALUE!</v>
      </c>
      <c r="O191" s="50" t="e">
        <f t="shared" si="40"/>
        <v>#VALUE!</v>
      </c>
      <c r="P191" s="50">
        <f t="shared" si="41"/>
        <v>0</v>
      </c>
      <c r="R191" s="55" t="e">
        <f t="shared" si="42"/>
        <v>#VALUE!</v>
      </c>
      <c r="S191" s="55" t="e">
        <f t="shared" si="43"/>
        <v>#VALUE!</v>
      </c>
      <c r="T191" s="55" t="e">
        <f t="shared" si="48"/>
        <v>#VALUE!</v>
      </c>
      <c r="U191" s="50" t="e">
        <f t="shared" si="44"/>
        <v>#VALUE!</v>
      </c>
      <c r="V191" s="50" t="e">
        <f t="shared" si="45"/>
        <v>#VALUE!</v>
      </c>
      <c r="W191" s="50" t="e">
        <f t="shared" si="46"/>
        <v>#VALUE!</v>
      </c>
    </row>
    <row r="192" spans="2:23" x14ac:dyDescent="0.25">
      <c r="B192" s="50" t="b">
        <f t="shared" si="49"/>
        <v>0</v>
      </c>
      <c r="C192" s="50" t="e">
        <f t="shared" si="50"/>
        <v>#VALUE!</v>
      </c>
      <c r="E192" s="56">
        <v>189</v>
      </c>
      <c r="G192" s="138"/>
      <c r="H192" s="135">
        <v>1</v>
      </c>
      <c r="I192" s="57" t="str">
        <f t="shared" si="47"/>
        <v/>
      </c>
      <c r="J192" s="58" t="e">
        <f t="shared" si="36"/>
        <v>#VALUE!</v>
      </c>
      <c r="K192" s="50" t="e">
        <f t="shared" si="37"/>
        <v>#VALUE!</v>
      </c>
      <c r="L192" s="50" t="e">
        <f t="shared" si="38"/>
        <v>#VALUE!</v>
      </c>
      <c r="M192" s="50" t="e">
        <f t="shared" si="38"/>
        <v>#VALUE!</v>
      </c>
      <c r="N192" s="50" t="e">
        <f t="shared" si="39"/>
        <v>#VALUE!</v>
      </c>
      <c r="O192" s="50" t="e">
        <f t="shared" si="40"/>
        <v>#VALUE!</v>
      </c>
      <c r="P192" s="50">
        <f t="shared" si="41"/>
        <v>0</v>
      </c>
      <c r="R192" s="55" t="e">
        <f t="shared" si="42"/>
        <v>#VALUE!</v>
      </c>
      <c r="S192" s="55" t="e">
        <f t="shared" si="43"/>
        <v>#VALUE!</v>
      </c>
      <c r="T192" s="55" t="e">
        <f t="shared" si="48"/>
        <v>#VALUE!</v>
      </c>
      <c r="U192" s="50" t="e">
        <f t="shared" si="44"/>
        <v>#VALUE!</v>
      </c>
      <c r="V192" s="50" t="e">
        <f t="shared" si="45"/>
        <v>#VALUE!</v>
      </c>
      <c r="W192" s="50" t="e">
        <f t="shared" si="46"/>
        <v>#VALUE!</v>
      </c>
    </row>
    <row r="193" spans="2:23" x14ac:dyDescent="0.25">
      <c r="B193" s="50" t="b">
        <f t="shared" si="49"/>
        <v>0</v>
      </c>
      <c r="C193" s="50" t="e">
        <f t="shared" si="50"/>
        <v>#VALUE!</v>
      </c>
      <c r="E193" s="56">
        <v>190</v>
      </c>
      <c r="G193" s="138"/>
      <c r="H193" s="135">
        <v>1</v>
      </c>
      <c r="I193" s="57" t="str">
        <f t="shared" si="47"/>
        <v/>
      </c>
      <c r="J193" s="58" t="e">
        <f t="shared" si="36"/>
        <v>#VALUE!</v>
      </c>
      <c r="K193" s="50" t="e">
        <f t="shared" si="37"/>
        <v>#VALUE!</v>
      </c>
      <c r="L193" s="50" t="e">
        <f t="shared" si="38"/>
        <v>#VALUE!</v>
      </c>
      <c r="M193" s="50" t="e">
        <f t="shared" si="38"/>
        <v>#VALUE!</v>
      </c>
      <c r="N193" s="50" t="e">
        <f t="shared" si="39"/>
        <v>#VALUE!</v>
      </c>
      <c r="O193" s="50" t="e">
        <f t="shared" si="40"/>
        <v>#VALUE!</v>
      </c>
      <c r="P193" s="50">
        <f t="shared" si="41"/>
        <v>0</v>
      </c>
      <c r="R193" s="55" t="e">
        <f t="shared" si="42"/>
        <v>#VALUE!</v>
      </c>
      <c r="S193" s="55" t="e">
        <f t="shared" si="43"/>
        <v>#VALUE!</v>
      </c>
      <c r="T193" s="55" t="e">
        <f t="shared" si="48"/>
        <v>#VALUE!</v>
      </c>
      <c r="U193" s="50" t="e">
        <f t="shared" si="44"/>
        <v>#VALUE!</v>
      </c>
      <c r="V193" s="50" t="e">
        <f t="shared" si="45"/>
        <v>#VALUE!</v>
      </c>
      <c r="W193" s="50" t="e">
        <f t="shared" si="46"/>
        <v>#VALUE!</v>
      </c>
    </row>
    <row r="194" spans="2:23" x14ac:dyDescent="0.25">
      <c r="B194" s="50" t="b">
        <f t="shared" si="49"/>
        <v>0</v>
      </c>
      <c r="C194" s="50" t="e">
        <f t="shared" si="50"/>
        <v>#VALUE!</v>
      </c>
      <c r="E194" s="56">
        <v>191</v>
      </c>
      <c r="G194" s="138"/>
      <c r="H194" s="135">
        <v>1</v>
      </c>
      <c r="I194" s="57" t="str">
        <f t="shared" si="47"/>
        <v/>
      </c>
      <c r="J194" s="58" t="e">
        <f t="shared" si="36"/>
        <v>#VALUE!</v>
      </c>
      <c r="K194" s="50" t="e">
        <f t="shared" si="37"/>
        <v>#VALUE!</v>
      </c>
      <c r="L194" s="50" t="e">
        <f t="shared" si="38"/>
        <v>#VALUE!</v>
      </c>
      <c r="M194" s="50" t="e">
        <f t="shared" si="38"/>
        <v>#VALUE!</v>
      </c>
      <c r="N194" s="50" t="e">
        <f t="shared" si="39"/>
        <v>#VALUE!</v>
      </c>
      <c r="O194" s="50" t="e">
        <f t="shared" si="40"/>
        <v>#VALUE!</v>
      </c>
      <c r="P194" s="50">
        <f t="shared" si="41"/>
        <v>0</v>
      </c>
      <c r="R194" s="55" t="e">
        <f t="shared" si="42"/>
        <v>#VALUE!</v>
      </c>
      <c r="S194" s="55" t="e">
        <f t="shared" si="43"/>
        <v>#VALUE!</v>
      </c>
      <c r="T194" s="55" t="e">
        <f t="shared" si="48"/>
        <v>#VALUE!</v>
      </c>
      <c r="U194" s="50" t="e">
        <f t="shared" si="44"/>
        <v>#VALUE!</v>
      </c>
      <c r="V194" s="50" t="e">
        <f t="shared" si="45"/>
        <v>#VALUE!</v>
      </c>
      <c r="W194" s="50" t="e">
        <f t="shared" si="46"/>
        <v>#VALUE!</v>
      </c>
    </row>
    <row r="195" spans="2:23" x14ac:dyDescent="0.25">
      <c r="B195" s="50" t="b">
        <f t="shared" si="49"/>
        <v>0</v>
      </c>
      <c r="C195" s="50" t="e">
        <f t="shared" si="50"/>
        <v>#VALUE!</v>
      </c>
      <c r="E195" s="56">
        <v>192</v>
      </c>
      <c r="G195" s="138"/>
      <c r="H195" s="135">
        <v>1</v>
      </c>
      <c r="I195" s="57" t="str">
        <f t="shared" si="47"/>
        <v/>
      </c>
      <c r="J195" s="58" t="e">
        <f t="shared" si="36"/>
        <v>#VALUE!</v>
      </c>
      <c r="K195" s="50" t="e">
        <f t="shared" si="37"/>
        <v>#VALUE!</v>
      </c>
      <c r="L195" s="50" t="e">
        <f t="shared" si="38"/>
        <v>#VALUE!</v>
      </c>
      <c r="M195" s="50" t="e">
        <f t="shared" si="38"/>
        <v>#VALUE!</v>
      </c>
      <c r="N195" s="50" t="e">
        <f t="shared" si="39"/>
        <v>#VALUE!</v>
      </c>
      <c r="O195" s="50" t="e">
        <f t="shared" si="40"/>
        <v>#VALUE!</v>
      </c>
      <c r="P195" s="50">
        <f t="shared" si="41"/>
        <v>0</v>
      </c>
      <c r="R195" s="55" t="e">
        <f t="shared" si="42"/>
        <v>#VALUE!</v>
      </c>
      <c r="S195" s="55" t="e">
        <f t="shared" si="43"/>
        <v>#VALUE!</v>
      </c>
      <c r="T195" s="55" t="e">
        <f t="shared" si="48"/>
        <v>#VALUE!</v>
      </c>
      <c r="U195" s="50" t="e">
        <f t="shared" si="44"/>
        <v>#VALUE!</v>
      </c>
      <c r="V195" s="50" t="e">
        <f t="shared" si="45"/>
        <v>#VALUE!</v>
      </c>
      <c r="W195" s="50" t="e">
        <f t="shared" si="46"/>
        <v>#VALUE!</v>
      </c>
    </row>
    <row r="196" spans="2:23" x14ac:dyDescent="0.25">
      <c r="B196" s="50" t="b">
        <f t="shared" si="49"/>
        <v>0</v>
      </c>
      <c r="C196" s="50" t="e">
        <f t="shared" si="50"/>
        <v>#VALUE!</v>
      </c>
      <c r="E196" s="56">
        <v>193</v>
      </c>
      <c r="G196" s="138"/>
      <c r="H196" s="135">
        <v>1</v>
      </c>
      <c r="I196" s="57" t="str">
        <f t="shared" si="47"/>
        <v/>
      </c>
      <c r="J196" s="58" t="e">
        <f t="shared" si="36"/>
        <v>#VALUE!</v>
      </c>
      <c r="K196" s="50" t="e">
        <f t="shared" si="37"/>
        <v>#VALUE!</v>
      </c>
      <c r="L196" s="50" t="e">
        <f t="shared" si="38"/>
        <v>#VALUE!</v>
      </c>
      <c r="M196" s="50" t="e">
        <f t="shared" si="38"/>
        <v>#VALUE!</v>
      </c>
      <c r="N196" s="50" t="e">
        <f t="shared" si="39"/>
        <v>#VALUE!</v>
      </c>
      <c r="O196" s="50" t="e">
        <f t="shared" si="40"/>
        <v>#VALUE!</v>
      </c>
      <c r="P196" s="50">
        <f t="shared" si="41"/>
        <v>0</v>
      </c>
      <c r="R196" s="55" t="e">
        <f t="shared" si="42"/>
        <v>#VALUE!</v>
      </c>
      <c r="S196" s="55" t="e">
        <f t="shared" si="43"/>
        <v>#VALUE!</v>
      </c>
      <c r="T196" s="55" t="e">
        <f t="shared" si="48"/>
        <v>#VALUE!</v>
      </c>
      <c r="U196" s="50" t="e">
        <f t="shared" si="44"/>
        <v>#VALUE!</v>
      </c>
      <c r="V196" s="50" t="e">
        <f t="shared" si="45"/>
        <v>#VALUE!</v>
      </c>
      <c r="W196" s="50" t="e">
        <f t="shared" si="46"/>
        <v>#VALUE!</v>
      </c>
    </row>
    <row r="197" spans="2:23" x14ac:dyDescent="0.25">
      <c r="B197" s="50" t="b">
        <f t="shared" si="49"/>
        <v>0</v>
      </c>
      <c r="C197" s="50" t="e">
        <f t="shared" si="50"/>
        <v>#VALUE!</v>
      </c>
      <c r="E197" s="56">
        <v>194</v>
      </c>
      <c r="G197" s="138"/>
      <c r="H197" s="135">
        <v>1</v>
      </c>
      <c r="I197" s="57" t="str">
        <f t="shared" si="47"/>
        <v/>
      </c>
      <c r="J197" s="58" t="e">
        <f t="shared" ref="J197:J260" si="51">RIGHT(I197,K197)</f>
        <v>#VALUE!</v>
      </c>
      <c r="K197" s="50" t="e">
        <f t="shared" ref="K197:K260" si="52">P197-N197</f>
        <v>#VALUE!</v>
      </c>
      <c r="L197" s="50" t="e">
        <f t="shared" ref="L197:M260" si="53">O197-N197</f>
        <v>#VALUE!</v>
      </c>
      <c r="M197" s="50" t="e">
        <f t="shared" si="53"/>
        <v>#VALUE!</v>
      </c>
      <c r="N197" s="50" t="e">
        <f t="shared" ref="N197:N260" si="54">SEARCH("-",I197,2)</f>
        <v>#VALUE!</v>
      </c>
      <c r="O197" s="50" t="e">
        <f t="shared" ref="O197:O260" si="55">SEARCH("-",I197,N197+1)</f>
        <v>#VALUE!</v>
      </c>
      <c r="P197" s="50">
        <f t="shared" ref="P197:P260" si="56">LEN(I197)</f>
        <v>0</v>
      </c>
      <c r="R197" s="55" t="e">
        <f t="shared" ref="R197:R260" si="57">LEFT(I197,N197-1)</f>
        <v>#VALUE!</v>
      </c>
      <c r="S197" s="55" t="e">
        <f t="shared" ref="S197:S260" si="58">LEFT(J197,L197-1)</f>
        <v>#VALUE!</v>
      </c>
      <c r="T197" s="55" t="e">
        <f t="shared" si="48"/>
        <v>#VALUE!</v>
      </c>
      <c r="U197" s="50" t="e">
        <f t="shared" ref="U197:U260" si="59">R197*1*$H197</f>
        <v>#VALUE!</v>
      </c>
      <c r="V197" s="50" t="e">
        <f t="shared" ref="V197:V260" si="60">S197*1*$H197</f>
        <v>#VALUE!</v>
      </c>
      <c r="W197" s="50" t="e">
        <f t="shared" ref="W197:W260" si="61">T197*1*$H197</f>
        <v>#VALUE!</v>
      </c>
    </row>
    <row r="198" spans="2:23" x14ac:dyDescent="0.25">
      <c r="B198" s="50" t="b">
        <f t="shared" si="49"/>
        <v>0</v>
      </c>
      <c r="C198" s="50" t="e">
        <f t="shared" si="50"/>
        <v>#VALUE!</v>
      </c>
      <c r="E198" s="56">
        <v>195</v>
      </c>
      <c r="G198" s="138"/>
      <c r="H198" s="135">
        <v>1</v>
      </c>
      <c r="I198" s="57" t="str">
        <f t="shared" ref="I198:I261" si="62">IF(G198="","",G198&amp;""&amp;"-0")</f>
        <v/>
      </c>
      <c r="J198" s="58" t="e">
        <f t="shared" si="51"/>
        <v>#VALUE!</v>
      </c>
      <c r="K198" s="50" t="e">
        <f t="shared" si="52"/>
        <v>#VALUE!</v>
      </c>
      <c r="L198" s="50" t="e">
        <f t="shared" si="53"/>
        <v>#VALUE!</v>
      </c>
      <c r="M198" s="50" t="e">
        <f t="shared" si="53"/>
        <v>#VALUE!</v>
      </c>
      <c r="N198" s="50" t="e">
        <f t="shared" si="54"/>
        <v>#VALUE!</v>
      </c>
      <c r="O198" s="50" t="e">
        <f t="shared" si="55"/>
        <v>#VALUE!</v>
      </c>
      <c r="P198" s="50">
        <f t="shared" si="56"/>
        <v>0</v>
      </c>
      <c r="R198" s="55" t="e">
        <f t="shared" si="57"/>
        <v>#VALUE!</v>
      </c>
      <c r="S198" s="55" t="e">
        <f t="shared" si="58"/>
        <v>#VALUE!</v>
      </c>
      <c r="T198" s="55" t="e">
        <f t="shared" ref="T198:T261" si="63">RIGHT(I198,M198)</f>
        <v>#VALUE!</v>
      </c>
      <c r="U198" s="50" t="e">
        <f t="shared" si="59"/>
        <v>#VALUE!</v>
      </c>
      <c r="V198" s="50" t="e">
        <f t="shared" si="60"/>
        <v>#VALUE!</v>
      </c>
      <c r="W198" s="50" t="e">
        <f t="shared" si="61"/>
        <v>#VALUE!</v>
      </c>
    </row>
    <row r="199" spans="2:23" x14ac:dyDescent="0.25">
      <c r="B199" s="50" t="b">
        <f t="shared" si="49"/>
        <v>0</v>
      </c>
      <c r="C199" s="50" t="e">
        <f t="shared" si="50"/>
        <v>#VALUE!</v>
      </c>
      <c r="E199" s="56">
        <v>196</v>
      </c>
      <c r="G199" s="138"/>
      <c r="H199" s="135">
        <v>1</v>
      </c>
      <c r="I199" s="57" t="str">
        <f t="shared" si="62"/>
        <v/>
      </c>
      <c r="J199" s="58" t="e">
        <f t="shared" si="51"/>
        <v>#VALUE!</v>
      </c>
      <c r="K199" s="50" t="e">
        <f t="shared" si="52"/>
        <v>#VALUE!</v>
      </c>
      <c r="L199" s="50" t="e">
        <f t="shared" si="53"/>
        <v>#VALUE!</v>
      </c>
      <c r="M199" s="50" t="e">
        <f t="shared" si="53"/>
        <v>#VALUE!</v>
      </c>
      <c r="N199" s="50" t="e">
        <f t="shared" si="54"/>
        <v>#VALUE!</v>
      </c>
      <c r="O199" s="50" t="e">
        <f t="shared" si="55"/>
        <v>#VALUE!</v>
      </c>
      <c r="P199" s="50">
        <f t="shared" si="56"/>
        <v>0</v>
      </c>
      <c r="R199" s="55" t="e">
        <f t="shared" si="57"/>
        <v>#VALUE!</v>
      </c>
      <c r="S199" s="55" t="e">
        <f t="shared" si="58"/>
        <v>#VALUE!</v>
      </c>
      <c r="T199" s="55" t="e">
        <f t="shared" si="63"/>
        <v>#VALUE!</v>
      </c>
      <c r="U199" s="50" t="e">
        <f t="shared" si="59"/>
        <v>#VALUE!</v>
      </c>
      <c r="V199" s="50" t="e">
        <f t="shared" si="60"/>
        <v>#VALUE!</v>
      </c>
      <c r="W199" s="50" t="e">
        <f t="shared" si="61"/>
        <v>#VALUE!</v>
      </c>
    </row>
    <row r="200" spans="2:23" x14ac:dyDescent="0.25">
      <c r="B200" s="50" t="b">
        <f t="shared" si="49"/>
        <v>0</v>
      </c>
      <c r="C200" s="50" t="e">
        <f t="shared" si="50"/>
        <v>#VALUE!</v>
      </c>
      <c r="E200" s="56">
        <v>197</v>
      </c>
      <c r="G200" s="138"/>
      <c r="H200" s="135">
        <v>1</v>
      </c>
      <c r="I200" s="57" t="str">
        <f t="shared" si="62"/>
        <v/>
      </c>
      <c r="J200" s="58" t="e">
        <f t="shared" si="51"/>
        <v>#VALUE!</v>
      </c>
      <c r="K200" s="50" t="e">
        <f t="shared" si="52"/>
        <v>#VALUE!</v>
      </c>
      <c r="L200" s="50" t="e">
        <f t="shared" si="53"/>
        <v>#VALUE!</v>
      </c>
      <c r="M200" s="50" t="e">
        <f t="shared" si="53"/>
        <v>#VALUE!</v>
      </c>
      <c r="N200" s="50" t="e">
        <f t="shared" si="54"/>
        <v>#VALUE!</v>
      </c>
      <c r="O200" s="50" t="e">
        <f t="shared" si="55"/>
        <v>#VALUE!</v>
      </c>
      <c r="P200" s="50">
        <f t="shared" si="56"/>
        <v>0</v>
      </c>
      <c r="R200" s="55" t="e">
        <f t="shared" si="57"/>
        <v>#VALUE!</v>
      </c>
      <c r="S200" s="55" t="e">
        <f t="shared" si="58"/>
        <v>#VALUE!</v>
      </c>
      <c r="T200" s="55" t="e">
        <f t="shared" si="63"/>
        <v>#VALUE!</v>
      </c>
      <c r="U200" s="50" t="e">
        <f t="shared" si="59"/>
        <v>#VALUE!</v>
      </c>
      <c r="V200" s="50" t="e">
        <f t="shared" si="60"/>
        <v>#VALUE!</v>
      </c>
      <c r="W200" s="50" t="e">
        <f t="shared" si="61"/>
        <v>#VALUE!</v>
      </c>
    </row>
    <row r="201" spans="2:23" x14ac:dyDescent="0.25">
      <c r="B201" s="50" t="b">
        <f t="shared" si="49"/>
        <v>0</v>
      </c>
      <c r="C201" s="50" t="e">
        <f t="shared" si="50"/>
        <v>#VALUE!</v>
      </c>
      <c r="E201" s="56">
        <v>198</v>
      </c>
      <c r="G201" s="138"/>
      <c r="H201" s="135">
        <v>1</v>
      </c>
      <c r="I201" s="57" t="str">
        <f t="shared" si="62"/>
        <v/>
      </c>
      <c r="J201" s="58" t="e">
        <f t="shared" si="51"/>
        <v>#VALUE!</v>
      </c>
      <c r="K201" s="50" t="e">
        <f t="shared" si="52"/>
        <v>#VALUE!</v>
      </c>
      <c r="L201" s="50" t="e">
        <f t="shared" si="53"/>
        <v>#VALUE!</v>
      </c>
      <c r="M201" s="50" t="e">
        <f t="shared" si="53"/>
        <v>#VALUE!</v>
      </c>
      <c r="N201" s="50" t="e">
        <f t="shared" si="54"/>
        <v>#VALUE!</v>
      </c>
      <c r="O201" s="50" t="e">
        <f t="shared" si="55"/>
        <v>#VALUE!</v>
      </c>
      <c r="P201" s="50">
        <f t="shared" si="56"/>
        <v>0</v>
      </c>
      <c r="R201" s="55" t="e">
        <f t="shared" si="57"/>
        <v>#VALUE!</v>
      </c>
      <c r="S201" s="55" t="e">
        <f t="shared" si="58"/>
        <v>#VALUE!</v>
      </c>
      <c r="T201" s="55" t="e">
        <f t="shared" si="63"/>
        <v>#VALUE!</v>
      </c>
      <c r="U201" s="50" t="e">
        <f t="shared" si="59"/>
        <v>#VALUE!</v>
      </c>
      <c r="V201" s="50" t="e">
        <f t="shared" si="60"/>
        <v>#VALUE!</v>
      </c>
      <c r="W201" s="50" t="e">
        <f t="shared" si="61"/>
        <v>#VALUE!</v>
      </c>
    </row>
    <row r="202" spans="2:23" x14ac:dyDescent="0.25">
      <c r="B202" s="50" t="b">
        <f t="shared" si="49"/>
        <v>0</v>
      </c>
      <c r="C202" s="50" t="e">
        <f t="shared" si="50"/>
        <v>#VALUE!</v>
      </c>
      <c r="E202" s="56">
        <v>199</v>
      </c>
      <c r="G202" s="138"/>
      <c r="H202" s="135">
        <v>1</v>
      </c>
      <c r="I202" s="57" t="str">
        <f t="shared" si="62"/>
        <v/>
      </c>
      <c r="J202" s="58" t="e">
        <f t="shared" si="51"/>
        <v>#VALUE!</v>
      </c>
      <c r="K202" s="50" t="e">
        <f t="shared" si="52"/>
        <v>#VALUE!</v>
      </c>
      <c r="L202" s="50" t="e">
        <f t="shared" si="53"/>
        <v>#VALUE!</v>
      </c>
      <c r="M202" s="50" t="e">
        <f t="shared" si="53"/>
        <v>#VALUE!</v>
      </c>
      <c r="N202" s="50" t="e">
        <f t="shared" si="54"/>
        <v>#VALUE!</v>
      </c>
      <c r="O202" s="50" t="e">
        <f t="shared" si="55"/>
        <v>#VALUE!</v>
      </c>
      <c r="P202" s="50">
        <f t="shared" si="56"/>
        <v>0</v>
      </c>
      <c r="R202" s="55" t="e">
        <f t="shared" si="57"/>
        <v>#VALUE!</v>
      </c>
      <c r="S202" s="55" t="e">
        <f t="shared" si="58"/>
        <v>#VALUE!</v>
      </c>
      <c r="T202" s="55" t="e">
        <f t="shared" si="63"/>
        <v>#VALUE!</v>
      </c>
      <c r="U202" s="50" t="e">
        <f t="shared" si="59"/>
        <v>#VALUE!</v>
      </c>
      <c r="V202" s="50" t="e">
        <f t="shared" si="60"/>
        <v>#VALUE!</v>
      </c>
      <c r="W202" s="50" t="e">
        <f t="shared" si="61"/>
        <v>#VALUE!</v>
      </c>
    </row>
    <row r="203" spans="2:23" x14ac:dyDescent="0.25">
      <c r="B203" s="50" t="b">
        <f t="shared" si="49"/>
        <v>0</v>
      </c>
      <c r="C203" s="50" t="e">
        <f t="shared" si="50"/>
        <v>#VALUE!</v>
      </c>
      <c r="E203" s="56">
        <v>200</v>
      </c>
      <c r="G203" s="138"/>
      <c r="H203" s="135">
        <v>1</v>
      </c>
      <c r="I203" s="57" t="str">
        <f t="shared" si="62"/>
        <v/>
      </c>
      <c r="J203" s="58" t="e">
        <f t="shared" si="51"/>
        <v>#VALUE!</v>
      </c>
      <c r="K203" s="50" t="e">
        <f t="shared" si="52"/>
        <v>#VALUE!</v>
      </c>
      <c r="L203" s="50" t="e">
        <f t="shared" si="53"/>
        <v>#VALUE!</v>
      </c>
      <c r="M203" s="50" t="e">
        <f t="shared" si="53"/>
        <v>#VALUE!</v>
      </c>
      <c r="N203" s="50" t="e">
        <f t="shared" si="54"/>
        <v>#VALUE!</v>
      </c>
      <c r="O203" s="50" t="e">
        <f t="shared" si="55"/>
        <v>#VALUE!</v>
      </c>
      <c r="P203" s="50">
        <f t="shared" si="56"/>
        <v>0</v>
      </c>
      <c r="R203" s="55" t="e">
        <f t="shared" si="57"/>
        <v>#VALUE!</v>
      </c>
      <c r="S203" s="55" t="e">
        <f t="shared" si="58"/>
        <v>#VALUE!</v>
      </c>
      <c r="T203" s="55" t="e">
        <f t="shared" si="63"/>
        <v>#VALUE!</v>
      </c>
      <c r="U203" s="50" t="e">
        <f t="shared" si="59"/>
        <v>#VALUE!</v>
      </c>
      <c r="V203" s="50" t="e">
        <f t="shared" si="60"/>
        <v>#VALUE!</v>
      </c>
      <c r="W203" s="50" t="e">
        <f t="shared" si="61"/>
        <v>#VALUE!</v>
      </c>
    </row>
    <row r="204" spans="2:23" x14ac:dyDescent="0.25">
      <c r="B204" s="50" t="b">
        <f t="shared" si="49"/>
        <v>0</v>
      </c>
      <c r="C204" s="50" t="e">
        <f t="shared" si="50"/>
        <v>#VALUE!</v>
      </c>
      <c r="E204" s="56">
        <v>201</v>
      </c>
      <c r="G204" s="138"/>
      <c r="H204" s="135">
        <v>1</v>
      </c>
      <c r="I204" s="57" t="str">
        <f t="shared" si="62"/>
        <v/>
      </c>
      <c r="J204" s="58" t="e">
        <f t="shared" si="51"/>
        <v>#VALUE!</v>
      </c>
      <c r="K204" s="50" t="e">
        <f t="shared" si="52"/>
        <v>#VALUE!</v>
      </c>
      <c r="L204" s="50" t="e">
        <f t="shared" si="53"/>
        <v>#VALUE!</v>
      </c>
      <c r="M204" s="50" t="e">
        <f t="shared" si="53"/>
        <v>#VALUE!</v>
      </c>
      <c r="N204" s="50" t="e">
        <f t="shared" si="54"/>
        <v>#VALUE!</v>
      </c>
      <c r="O204" s="50" t="e">
        <f t="shared" si="55"/>
        <v>#VALUE!</v>
      </c>
      <c r="P204" s="50">
        <f t="shared" si="56"/>
        <v>0</v>
      </c>
      <c r="R204" s="55" t="e">
        <f t="shared" si="57"/>
        <v>#VALUE!</v>
      </c>
      <c r="S204" s="55" t="e">
        <f t="shared" si="58"/>
        <v>#VALUE!</v>
      </c>
      <c r="T204" s="55" t="e">
        <f t="shared" si="63"/>
        <v>#VALUE!</v>
      </c>
      <c r="U204" s="50" t="e">
        <f t="shared" si="59"/>
        <v>#VALUE!</v>
      </c>
      <c r="V204" s="50" t="e">
        <f t="shared" si="60"/>
        <v>#VALUE!</v>
      </c>
      <c r="W204" s="50" t="e">
        <f t="shared" si="61"/>
        <v>#VALUE!</v>
      </c>
    </row>
    <row r="205" spans="2:23" x14ac:dyDescent="0.25">
      <c r="B205" s="50" t="b">
        <f t="shared" si="49"/>
        <v>0</v>
      </c>
      <c r="C205" s="50" t="e">
        <f t="shared" si="50"/>
        <v>#VALUE!</v>
      </c>
      <c r="E205" s="56">
        <v>202</v>
      </c>
      <c r="G205" s="138"/>
      <c r="H205" s="135">
        <v>1</v>
      </c>
      <c r="I205" s="57" t="str">
        <f t="shared" si="62"/>
        <v/>
      </c>
      <c r="J205" s="58" t="e">
        <f t="shared" si="51"/>
        <v>#VALUE!</v>
      </c>
      <c r="K205" s="50" t="e">
        <f t="shared" si="52"/>
        <v>#VALUE!</v>
      </c>
      <c r="L205" s="50" t="e">
        <f t="shared" si="53"/>
        <v>#VALUE!</v>
      </c>
      <c r="M205" s="50" t="e">
        <f t="shared" si="53"/>
        <v>#VALUE!</v>
      </c>
      <c r="N205" s="50" t="e">
        <f t="shared" si="54"/>
        <v>#VALUE!</v>
      </c>
      <c r="O205" s="50" t="e">
        <f t="shared" si="55"/>
        <v>#VALUE!</v>
      </c>
      <c r="P205" s="50">
        <f t="shared" si="56"/>
        <v>0</v>
      </c>
      <c r="R205" s="55" t="e">
        <f t="shared" si="57"/>
        <v>#VALUE!</v>
      </c>
      <c r="S205" s="55" t="e">
        <f t="shared" si="58"/>
        <v>#VALUE!</v>
      </c>
      <c r="T205" s="55" t="e">
        <f t="shared" si="63"/>
        <v>#VALUE!</v>
      </c>
      <c r="U205" s="50" t="e">
        <f t="shared" si="59"/>
        <v>#VALUE!</v>
      </c>
      <c r="V205" s="50" t="e">
        <f t="shared" si="60"/>
        <v>#VALUE!</v>
      </c>
      <c r="W205" s="50" t="e">
        <f t="shared" si="61"/>
        <v>#VALUE!</v>
      </c>
    </row>
    <row r="206" spans="2:23" x14ac:dyDescent="0.25">
      <c r="B206" s="50" t="b">
        <f t="shared" ref="B206:B269" si="64">ISNUMBER(C206)</f>
        <v>0</v>
      </c>
      <c r="C206" s="50" t="e">
        <f t="shared" si="50"/>
        <v>#VALUE!</v>
      </c>
      <c r="E206" s="56">
        <v>203</v>
      </c>
      <c r="G206" s="138"/>
      <c r="H206" s="135">
        <v>1</v>
      </c>
      <c r="I206" s="57" t="str">
        <f t="shared" si="62"/>
        <v/>
      </c>
      <c r="J206" s="58" t="e">
        <f t="shared" si="51"/>
        <v>#VALUE!</v>
      </c>
      <c r="K206" s="50" t="e">
        <f t="shared" si="52"/>
        <v>#VALUE!</v>
      </c>
      <c r="L206" s="50" t="e">
        <f t="shared" si="53"/>
        <v>#VALUE!</v>
      </c>
      <c r="M206" s="50" t="e">
        <f t="shared" si="53"/>
        <v>#VALUE!</v>
      </c>
      <c r="N206" s="50" t="e">
        <f t="shared" si="54"/>
        <v>#VALUE!</v>
      </c>
      <c r="O206" s="50" t="e">
        <f t="shared" si="55"/>
        <v>#VALUE!</v>
      </c>
      <c r="P206" s="50">
        <f t="shared" si="56"/>
        <v>0</v>
      </c>
      <c r="R206" s="55" t="e">
        <f t="shared" si="57"/>
        <v>#VALUE!</v>
      </c>
      <c r="S206" s="55" t="e">
        <f t="shared" si="58"/>
        <v>#VALUE!</v>
      </c>
      <c r="T206" s="55" t="e">
        <f t="shared" si="63"/>
        <v>#VALUE!</v>
      </c>
      <c r="U206" s="50" t="e">
        <f t="shared" si="59"/>
        <v>#VALUE!</v>
      </c>
      <c r="V206" s="50" t="e">
        <f t="shared" si="60"/>
        <v>#VALUE!</v>
      </c>
      <c r="W206" s="50" t="e">
        <f t="shared" si="61"/>
        <v>#VALUE!</v>
      </c>
    </row>
    <row r="207" spans="2:23" x14ac:dyDescent="0.25">
      <c r="B207" s="50" t="b">
        <f t="shared" si="64"/>
        <v>0</v>
      </c>
      <c r="C207" s="50" t="e">
        <f t="shared" si="50"/>
        <v>#VALUE!</v>
      </c>
      <c r="E207" s="56">
        <v>204</v>
      </c>
      <c r="G207" s="138"/>
      <c r="H207" s="135">
        <v>1</v>
      </c>
      <c r="I207" s="57" t="str">
        <f t="shared" si="62"/>
        <v/>
      </c>
      <c r="J207" s="58" t="e">
        <f t="shared" si="51"/>
        <v>#VALUE!</v>
      </c>
      <c r="K207" s="50" t="e">
        <f t="shared" si="52"/>
        <v>#VALUE!</v>
      </c>
      <c r="L207" s="50" t="e">
        <f t="shared" si="53"/>
        <v>#VALUE!</v>
      </c>
      <c r="M207" s="50" t="e">
        <f t="shared" si="53"/>
        <v>#VALUE!</v>
      </c>
      <c r="N207" s="50" t="e">
        <f t="shared" si="54"/>
        <v>#VALUE!</v>
      </c>
      <c r="O207" s="50" t="e">
        <f t="shared" si="55"/>
        <v>#VALUE!</v>
      </c>
      <c r="P207" s="50">
        <f t="shared" si="56"/>
        <v>0</v>
      </c>
      <c r="R207" s="55" t="e">
        <f t="shared" si="57"/>
        <v>#VALUE!</v>
      </c>
      <c r="S207" s="55" t="e">
        <f t="shared" si="58"/>
        <v>#VALUE!</v>
      </c>
      <c r="T207" s="55" t="e">
        <f t="shared" si="63"/>
        <v>#VALUE!</v>
      </c>
      <c r="U207" s="50" t="e">
        <f t="shared" si="59"/>
        <v>#VALUE!</v>
      </c>
      <c r="V207" s="50" t="e">
        <f t="shared" si="60"/>
        <v>#VALUE!</v>
      </c>
      <c r="W207" s="50" t="e">
        <f t="shared" si="61"/>
        <v>#VALUE!</v>
      </c>
    </row>
    <row r="208" spans="2:23" x14ac:dyDescent="0.25">
      <c r="B208" s="50" t="b">
        <f t="shared" si="64"/>
        <v>0</v>
      </c>
      <c r="C208" s="50" t="e">
        <f t="shared" si="50"/>
        <v>#VALUE!</v>
      </c>
      <c r="E208" s="56">
        <v>205</v>
      </c>
      <c r="G208" s="138"/>
      <c r="H208" s="135">
        <v>1</v>
      </c>
      <c r="I208" s="57" t="str">
        <f t="shared" si="62"/>
        <v/>
      </c>
      <c r="J208" s="58" t="e">
        <f t="shared" si="51"/>
        <v>#VALUE!</v>
      </c>
      <c r="K208" s="50" t="e">
        <f t="shared" si="52"/>
        <v>#VALUE!</v>
      </c>
      <c r="L208" s="50" t="e">
        <f t="shared" si="53"/>
        <v>#VALUE!</v>
      </c>
      <c r="M208" s="50" t="e">
        <f t="shared" si="53"/>
        <v>#VALUE!</v>
      </c>
      <c r="N208" s="50" t="e">
        <f t="shared" si="54"/>
        <v>#VALUE!</v>
      </c>
      <c r="O208" s="50" t="e">
        <f t="shared" si="55"/>
        <v>#VALUE!</v>
      </c>
      <c r="P208" s="50">
        <f t="shared" si="56"/>
        <v>0</v>
      </c>
      <c r="R208" s="55" t="e">
        <f t="shared" si="57"/>
        <v>#VALUE!</v>
      </c>
      <c r="S208" s="55" t="e">
        <f t="shared" si="58"/>
        <v>#VALUE!</v>
      </c>
      <c r="T208" s="55" t="e">
        <f t="shared" si="63"/>
        <v>#VALUE!</v>
      </c>
      <c r="U208" s="50" t="e">
        <f t="shared" si="59"/>
        <v>#VALUE!</v>
      </c>
      <c r="V208" s="50" t="e">
        <f t="shared" si="60"/>
        <v>#VALUE!</v>
      </c>
      <c r="W208" s="50" t="e">
        <f t="shared" si="61"/>
        <v>#VALUE!</v>
      </c>
    </row>
    <row r="209" spans="2:23" x14ac:dyDescent="0.25">
      <c r="B209" s="50" t="b">
        <f t="shared" si="64"/>
        <v>0</v>
      </c>
      <c r="C209" s="50" t="e">
        <f t="shared" si="50"/>
        <v>#VALUE!</v>
      </c>
      <c r="E209" s="56">
        <v>206</v>
      </c>
      <c r="G209" s="138"/>
      <c r="H209" s="135">
        <v>1</v>
      </c>
      <c r="I209" s="57" t="str">
        <f t="shared" si="62"/>
        <v/>
      </c>
      <c r="J209" s="58" t="e">
        <f t="shared" si="51"/>
        <v>#VALUE!</v>
      </c>
      <c r="K209" s="50" t="e">
        <f t="shared" si="52"/>
        <v>#VALUE!</v>
      </c>
      <c r="L209" s="50" t="e">
        <f t="shared" si="53"/>
        <v>#VALUE!</v>
      </c>
      <c r="M209" s="50" t="e">
        <f t="shared" si="53"/>
        <v>#VALUE!</v>
      </c>
      <c r="N209" s="50" t="e">
        <f t="shared" si="54"/>
        <v>#VALUE!</v>
      </c>
      <c r="O209" s="50" t="e">
        <f t="shared" si="55"/>
        <v>#VALUE!</v>
      </c>
      <c r="P209" s="50">
        <f t="shared" si="56"/>
        <v>0</v>
      </c>
      <c r="R209" s="55" t="e">
        <f t="shared" si="57"/>
        <v>#VALUE!</v>
      </c>
      <c r="S209" s="55" t="e">
        <f t="shared" si="58"/>
        <v>#VALUE!</v>
      </c>
      <c r="T209" s="55" t="e">
        <f t="shared" si="63"/>
        <v>#VALUE!</v>
      </c>
      <c r="U209" s="50" t="e">
        <f t="shared" si="59"/>
        <v>#VALUE!</v>
      </c>
      <c r="V209" s="50" t="e">
        <f t="shared" si="60"/>
        <v>#VALUE!</v>
      </c>
      <c r="W209" s="50" t="e">
        <f t="shared" si="61"/>
        <v>#VALUE!</v>
      </c>
    </row>
    <row r="210" spans="2:23" x14ac:dyDescent="0.25">
      <c r="B210" s="50" t="b">
        <f t="shared" si="64"/>
        <v>0</v>
      </c>
      <c r="C210" s="50" t="e">
        <f t="shared" si="50"/>
        <v>#VALUE!</v>
      </c>
      <c r="E210" s="56">
        <v>207</v>
      </c>
      <c r="G210" s="138"/>
      <c r="H210" s="135">
        <v>1</v>
      </c>
      <c r="I210" s="57" t="str">
        <f t="shared" si="62"/>
        <v/>
      </c>
      <c r="J210" s="58" t="e">
        <f t="shared" si="51"/>
        <v>#VALUE!</v>
      </c>
      <c r="K210" s="50" t="e">
        <f t="shared" si="52"/>
        <v>#VALUE!</v>
      </c>
      <c r="L210" s="50" t="e">
        <f t="shared" si="53"/>
        <v>#VALUE!</v>
      </c>
      <c r="M210" s="50" t="e">
        <f t="shared" si="53"/>
        <v>#VALUE!</v>
      </c>
      <c r="N210" s="50" t="e">
        <f t="shared" si="54"/>
        <v>#VALUE!</v>
      </c>
      <c r="O210" s="50" t="e">
        <f t="shared" si="55"/>
        <v>#VALUE!</v>
      </c>
      <c r="P210" s="50">
        <f t="shared" si="56"/>
        <v>0</v>
      </c>
      <c r="R210" s="55" t="e">
        <f t="shared" si="57"/>
        <v>#VALUE!</v>
      </c>
      <c r="S210" s="55" t="e">
        <f t="shared" si="58"/>
        <v>#VALUE!</v>
      </c>
      <c r="T210" s="55" t="e">
        <f t="shared" si="63"/>
        <v>#VALUE!</v>
      </c>
      <c r="U210" s="50" t="e">
        <f t="shared" si="59"/>
        <v>#VALUE!</v>
      </c>
      <c r="V210" s="50" t="e">
        <f t="shared" si="60"/>
        <v>#VALUE!</v>
      </c>
      <c r="W210" s="50" t="e">
        <f t="shared" si="61"/>
        <v>#VALUE!</v>
      </c>
    </row>
    <row r="211" spans="2:23" x14ac:dyDescent="0.25">
      <c r="B211" s="50" t="b">
        <f t="shared" si="64"/>
        <v>0</v>
      </c>
      <c r="C211" s="50" t="e">
        <f t="shared" si="50"/>
        <v>#VALUE!</v>
      </c>
      <c r="E211" s="56">
        <v>208</v>
      </c>
      <c r="G211" s="138"/>
      <c r="H211" s="135">
        <v>1</v>
      </c>
      <c r="I211" s="57" t="str">
        <f t="shared" si="62"/>
        <v/>
      </c>
      <c r="J211" s="58" t="e">
        <f t="shared" si="51"/>
        <v>#VALUE!</v>
      </c>
      <c r="K211" s="50" t="e">
        <f t="shared" si="52"/>
        <v>#VALUE!</v>
      </c>
      <c r="L211" s="50" t="e">
        <f t="shared" si="53"/>
        <v>#VALUE!</v>
      </c>
      <c r="M211" s="50" t="e">
        <f t="shared" si="53"/>
        <v>#VALUE!</v>
      </c>
      <c r="N211" s="50" t="e">
        <f t="shared" si="54"/>
        <v>#VALUE!</v>
      </c>
      <c r="O211" s="50" t="e">
        <f t="shared" si="55"/>
        <v>#VALUE!</v>
      </c>
      <c r="P211" s="50">
        <f t="shared" si="56"/>
        <v>0</v>
      </c>
      <c r="R211" s="55" t="e">
        <f t="shared" si="57"/>
        <v>#VALUE!</v>
      </c>
      <c r="S211" s="55" t="e">
        <f t="shared" si="58"/>
        <v>#VALUE!</v>
      </c>
      <c r="T211" s="55" t="e">
        <f t="shared" si="63"/>
        <v>#VALUE!</v>
      </c>
      <c r="U211" s="50" t="e">
        <f t="shared" si="59"/>
        <v>#VALUE!</v>
      </c>
      <c r="V211" s="50" t="e">
        <f t="shared" si="60"/>
        <v>#VALUE!</v>
      </c>
      <c r="W211" s="50" t="e">
        <f t="shared" si="61"/>
        <v>#VALUE!</v>
      </c>
    </row>
    <row r="212" spans="2:23" x14ac:dyDescent="0.25">
      <c r="B212" s="50" t="b">
        <f t="shared" si="64"/>
        <v>0</v>
      </c>
      <c r="C212" s="50" t="e">
        <f t="shared" si="50"/>
        <v>#VALUE!</v>
      </c>
      <c r="E212" s="56">
        <v>209</v>
      </c>
      <c r="G212" s="138"/>
      <c r="H212" s="135">
        <v>1</v>
      </c>
      <c r="I212" s="57" t="str">
        <f t="shared" si="62"/>
        <v/>
      </c>
      <c r="J212" s="58" t="e">
        <f t="shared" si="51"/>
        <v>#VALUE!</v>
      </c>
      <c r="K212" s="50" t="e">
        <f t="shared" si="52"/>
        <v>#VALUE!</v>
      </c>
      <c r="L212" s="50" t="e">
        <f t="shared" si="53"/>
        <v>#VALUE!</v>
      </c>
      <c r="M212" s="50" t="e">
        <f t="shared" si="53"/>
        <v>#VALUE!</v>
      </c>
      <c r="N212" s="50" t="e">
        <f t="shared" si="54"/>
        <v>#VALUE!</v>
      </c>
      <c r="O212" s="50" t="e">
        <f t="shared" si="55"/>
        <v>#VALUE!</v>
      </c>
      <c r="P212" s="50">
        <f t="shared" si="56"/>
        <v>0</v>
      </c>
      <c r="R212" s="55" t="e">
        <f t="shared" si="57"/>
        <v>#VALUE!</v>
      </c>
      <c r="S212" s="55" t="e">
        <f t="shared" si="58"/>
        <v>#VALUE!</v>
      </c>
      <c r="T212" s="55" t="e">
        <f t="shared" si="63"/>
        <v>#VALUE!</v>
      </c>
      <c r="U212" s="50" t="e">
        <f t="shared" si="59"/>
        <v>#VALUE!</v>
      </c>
      <c r="V212" s="50" t="e">
        <f t="shared" si="60"/>
        <v>#VALUE!</v>
      </c>
      <c r="W212" s="50" t="e">
        <f t="shared" si="61"/>
        <v>#VALUE!</v>
      </c>
    </row>
    <row r="213" spans="2:23" x14ac:dyDescent="0.25">
      <c r="B213" s="50" t="b">
        <f t="shared" si="64"/>
        <v>0</v>
      </c>
      <c r="C213" s="50" t="e">
        <f t="shared" si="50"/>
        <v>#VALUE!</v>
      </c>
      <c r="E213" s="56">
        <v>210</v>
      </c>
      <c r="G213" s="138"/>
      <c r="H213" s="135">
        <v>1</v>
      </c>
      <c r="I213" s="57" t="str">
        <f t="shared" si="62"/>
        <v/>
      </c>
      <c r="J213" s="58" t="e">
        <f t="shared" si="51"/>
        <v>#VALUE!</v>
      </c>
      <c r="K213" s="50" t="e">
        <f t="shared" si="52"/>
        <v>#VALUE!</v>
      </c>
      <c r="L213" s="50" t="e">
        <f t="shared" si="53"/>
        <v>#VALUE!</v>
      </c>
      <c r="M213" s="50" t="e">
        <f t="shared" si="53"/>
        <v>#VALUE!</v>
      </c>
      <c r="N213" s="50" t="e">
        <f t="shared" si="54"/>
        <v>#VALUE!</v>
      </c>
      <c r="O213" s="50" t="e">
        <f t="shared" si="55"/>
        <v>#VALUE!</v>
      </c>
      <c r="P213" s="50">
        <f t="shared" si="56"/>
        <v>0</v>
      </c>
      <c r="R213" s="55" t="e">
        <f t="shared" si="57"/>
        <v>#VALUE!</v>
      </c>
      <c r="S213" s="55" t="e">
        <f t="shared" si="58"/>
        <v>#VALUE!</v>
      </c>
      <c r="T213" s="55" t="e">
        <f t="shared" si="63"/>
        <v>#VALUE!</v>
      </c>
      <c r="U213" s="50" t="e">
        <f t="shared" si="59"/>
        <v>#VALUE!</v>
      </c>
      <c r="V213" s="50" t="e">
        <f t="shared" si="60"/>
        <v>#VALUE!</v>
      </c>
      <c r="W213" s="50" t="e">
        <f t="shared" si="61"/>
        <v>#VALUE!</v>
      </c>
    </row>
    <row r="214" spans="2:23" x14ac:dyDescent="0.25">
      <c r="B214" s="50" t="b">
        <f t="shared" si="64"/>
        <v>0</v>
      </c>
      <c r="C214" s="50" t="e">
        <f t="shared" si="50"/>
        <v>#VALUE!</v>
      </c>
      <c r="E214" s="56">
        <v>211</v>
      </c>
      <c r="G214" s="138"/>
      <c r="H214" s="135">
        <v>1</v>
      </c>
      <c r="I214" s="57" t="str">
        <f t="shared" si="62"/>
        <v/>
      </c>
      <c r="J214" s="58" t="e">
        <f t="shared" si="51"/>
        <v>#VALUE!</v>
      </c>
      <c r="K214" s="50" t="e">
        <f t="shared" si="52"/>
        <v>#VALUE!</v>
      </c>
      <c r="L214" s="50" t="e">
        <f t="shared" si="53"/>
        <v>#VALUE!</v>
      </c>
      <c r="M214" s="50" t="e">
        <f t="shared" si="53"/>
        <v>#VALUE!</v>
      </c>
      <c r="N214" s="50" t="e">
        <f t="shared" si="54"/>
        <v>#VALUE!</v>
      </c>
      <c r="O214" s="50" t="e">
        <f t="shared" si="55"/>
        <v>#VALUE!</v>
      </c>
      <c r="P214" s="50">
        <f t="shared" si="56"/>
        <v>0</v>
      </c>
      <c r="R214" s="55" t="e">
        <f t="shared" si="57"/>
        <v>#VALUE!</v>
      </c>
      <c r="S214" s="55" t="e">
        <f t="shared" si="58"/>
        <v>#VALUE!</v>
      </c>
      <c r="T214" s="55" t="e">
        <f t="shared" si="63"/>
        <v>#VALUE!</v>
      </c>
      <c r="U214" s="50" t="e">
        <f t="shared" si="59"/>
        <v>#VALUE!</v>
      </c>
      <c r="V214" s="50" t="e">
        <f t="shared" si="60"/>
        <v>#VALUE!</v>
      </c>
      <c r="W214" s="50" t="e">
        <f t="shared" si="61"/>
        <v>#VALUE!</v>
      </c>
    </row>
    <row r="215" spans="2:23" x14ac:dyDescent="0.25">
      <c r="B215" s="50" t="b">
        <f t="shared" si="64"/>
        <v>0</v>
      </c>
      <c r="C215" s="50" t="e">
        <f t="shared" si="50"/>
        <v>#VALUE!</v>
      </c>
      <c r="E215" s="56">
        <v>212</v>
      </c>
      <c r="G215" s="138"/>
      <c r="H215" s="135">
        <v>1</v>
      </c>
      <c r="I215" s="57" t="str">
        <f t="shared" si="62"/>
        <v/>
      </c>
      <c r="J215" s="58" t="e">
        <f t="shared" si="51"/>
        <v>#VALUE!</v>
      </c>
      <c r="K215" s="50" t="e">
        <f t="shared" si="52"/>
        <v>#VALUE!</v>
      </c>
      <c r="L215" s="50" t="e">
        <f t="shared" si="53"/>
        <v>#VALUE!</v>
      </c>
      <c r="M215" s="50" t="e">
        <f t="shared" si="53"/>
        <v>#VALUE!</v>
      </c>
      <c r="N215" s="50" t="e">
        <f t="shared" si="54"/>
        <v>#VALUE!</v>
      </c>
      <c r="O215" s="50" t="e">
        <f t="shared" si="55"/>
        <v>#VALUE!</v>
      </c>
      <c r="P215" s="50">
        <f t="shared" si="56"/>
        <v>0</v>
      </c>
      <c r="R215" s="55" t="e">
        <f t="shared" si="57"/>
        <v>#VALUE!</v>
      </c>
      <c r="S215" s="55" t="e">
        <f t="shared" si="58"/>
        <v>#VALUE!</v>
      </c>
      <c r="T215" s="55" t="e">
        <f t="shared" si="63"/>
        <v>#VALUE!</v>
      </c>
      <c r="U215" s="50" t="e">
        <f t="shared" si="59"/>
        <v>#VALUE!</v>
      </c>
      <c r="V215" s="50" t="e">
        <f t="shared" si="60"/>
        <v>#VALUE!</v>
      </c>
      <c r="W215" s="50" t="e">
        <f t="shared" si="61"/>
        <v>#VALUE!</v>
      </c>
    </row>
    <row r="216" spans="2:23" x14ac:dyDescent="0.25">
      <c r="B216" s="50" t="b">
        <f t="shared" si="64"/>
        <v>0</v>
      </c>
      <c r="C216" s="50" t="e">
        <f t="shared" si="50"/>
        <v>#VALUE!</v>
      </c>
      <c r="E216" s="56">
        <v>213</v>
      </c>
      <c r="G216" s="138"/>
      <c r="H216" s="135">
        <v>1</v>
      </c>
      <c r="I216" s="57" t="str">
        <f t="shared" si="62"/>
        <v/>
      </c>
      <c r="J216" s="58" t="e">
        <f t="shared" si="51"/>
        <v>#VALUE!</v>
      </c>
      <c r="K216" s="50" t="e">
        <f t="shared" si="52"/>
        <v>#VALUE!</v>
      </c>
      <c r="L216" s="50" t="e">
        <f t="shared" si="53"/>
        <v>#VALUE!</v>
      </c>
      <c r="M216" s="50" t="e">
        <f t="shared" si="53"/>
        <v>#VALUE!</v>
      </c>
      <c r="N216" s="50" t="e">
        <f t="shared" si="54"/>
        <v>#VALUE!</v>
      </c>
      <c r="O216" s="50" t="e">
        <f t="shared" si="55"/>
        <v>#VALUE!</v>
      </c>
      <c r="P216" s="50">
        <f t="shared" si="56"/>
        <v>0</v>
      </c>
      <c r="R216" s="55" t="e">
        <f t="shared" si="57"/>
        <v>#VALUE!</v>
      </c>
      <c r="S216" s="55" t="e">
        <f t="shared" si="58"/>
        <v>#VALUE!</v>
      </c>
      <c r="T216" s="55" t="e">
        <f t="shared" si="63"/>
        <v>#VALUE!</v>
      </c>
      <c r="U216" s="50" t="e">
        <f t="shared" si="59"/>
        <v>#VALUE!</v>
      </c>
      <c r="V216" s="50" t="e">
        <f t="shared" si="60"/>
        <v>#VALUE!</v>
      </c>
      <c r="W216" s="50" t="e">
        <f t="shared" si="61"/>
        <v>#VALUE!</v>
      </c>
    </row>
    <row r="217" spans="2:23" x14ac:dyDescent="0.25">
      <c r="B217" s="50" t="b">
        <f t="shared" si="64"/>
        <v>0</v>
      </c>
      <c r="C217" s="50" t="e">
        <f t="shared" si="50"/>
        <v>#VALUE!</v>
      </c>
      <c r="E217" s="56">
        <v>214</v>
      </c>
      <c r="G217" s="138"/>
      <c r="H217" s="135">
        <v>1</v>
      </c>
      <c r="I217" s="57" t="str">
        <f t="shared" si="62"/>
        <v/>
      </c>
      <c r="J217" s="58" t="e">
        <f t="shared" si="51"/>
        <v>#VALUE!</v>
      </c>
      <c r="K217" s="50" t="e">
        <f t="shared" si="52"/>
        <v>#VALUE!</v>
      </c>
      <c r="L217" s="50" t="e">
        <f t="shared" si="53"/>
        <v>#VALUE!</v>
      </c>
      <c r="M217" s="50" t="e">
        <f t="shared" si="53"/>
        <v>#VALUE!</v>
      </c>
      <c r="N217" s="50" t="e">
        <f t="shared" si="54"/>
        <v>#VALUE!</v>
      </c>
      <c r="O217" s="50" t="e">
        <f t="shared" si="55"/>
        <v>#VALUE!</v>
      </c>
      <c r="P217" s="50">
        <f t="shared" si="56"/>
        <v>0</v>
      </c>
      <c r="R217" s="55" t="e">
        <f t="shared" si="57"/>
        <v>#VALUE!</v>
      </c>
      <c r="S217" s="55" t="e">
        <f t="shared" si="58"/>
        <v>#VALUE!</v>
      </c>
      <c r="T217" s="55" t="e">
        <f t="shared" si="63"/>
        <v>#VALUE!</v>
      </c>
      <c r="U217" s="50" t="e">
        <f t="shared" si="59"/>
        <v>#VALUE!</v>
      </c>
      <c r="V217" s="50" t="e">
        <f t="shared" si="60"/>
        <v>#VALUE!</v>
      </c>
      <c r="W217" s="50" t="e">
        <f t="shared" si="61"/>
        <v>#VALUE!</v>
      </c>
    </row>
    <row r="218" spans="2:23" x14ac:dyDescent="0.25">
      <c r="B218" s="50" t="b">
        <f t="shared" si="64"/>
        <v>0</v>
      </c>
      <c r="C218" s="50" t="e">
        <f t="shared" si="50"/>
        <v>#VALUE!</v>
      </c>
      <c r="E218" s="56">
        <v>215</v>
      </c>
      <c r="G218" s="138"/>
      <c r="H218" s="135">
        <v>1</v>
      </c>
      <c r="I218" s="57" t="str">
        <f t="shared" si="62"/>
        <v/>
      </c>
      <c r="J218" s="58" t="e">
        <f t="shared" si="51"/>
        <v>#VALUE!</v>
      </c>
      <c r="K218" s="50" t="e">
        <f t="shared" si="52"/>
        <v>#VALUE!</v>
      </c>
      <c r="L218" s="50" t="e">
        <f t="shared" si="53"/>
        <v>#VALUE!</v>
      </c>
      <c r="M218" s="50" t="e">
        <f t="shared" si="53"/>
        <v>#VALUE!</v>
      </c>
      <c r="N218" s="50" t="e">
        <f t="shared" si="54"/>
        <v>#VALUE!</v>
      </c>
      <c r="O218" s="50" t="e">
        <f t="shared" si="55"/>
        <v>#VALUE!</v>
      </c>
      <c r="P218" s="50">
        <f t="shared" si="56"/>
        <v>0</v>
      </c>
      <c r="R218" s="55" t="e">
        <f t="shared" si="57"/>
        <v>#VALUE!</v>
      </c>
      <c r="S218" s="55" t="e">
        <f t="shared" si="58"/>
        <v>#VALUE!</v>
      </c>
      <c r="T218" s="55" t="e">
        <f t="shared" si="63"/>
        <v>#VALUE!</v>
      </c>
      <c r="U218" s="50" t="e">
        <f t="shared" si="59"/>
        <v>#VALUE!</v>
      </c>
      <c r="V218" s="50" t="e">
        <f t="shared" si="60"/>
        <v>#VALUE!</v>
      </c>
      <c r="W218" s="50" t="e">
        <f t="shared" si="61"/>
        <v>#VALUE!</v>
      </c>
    </row>
    <row r="219" spans="2:23" x14ac:dyDescent="0.25">
      <c r="B219" s="50" t="b">
        <f t="shared" si="64"/>
        <v>0</v>
      </c>
      <c r="C219" s="50" t="e">
        <f t="shared" si="50"/>
        <v>#VALUE!</v>
      </c>
      <c r="E219" s="56">
        <v>216</v>
      </c>
      <c r="G219" s="138"/>
      <c r="H219" s="135">
        <v>1</v>
      </c>
      <c r="I219" s="57" t="str">
        <f t="shared" si="62"/>
        <v/>
      </c>
      <c r="J219" s="58" t="e">
        <f t="shared" si="51"/>
        <v>#VALUE!</v>
      </c>
      <c r="K219" s="50" t="e">
        <f t="shared" si="52"/>
        <v>#VALUE!</v>
      </c>
      <c r="L219" s="50" t="e">
        <f t="shared" si="53"/>
        <v>#VALUE!</v>
      </c>
      <c r="M219" s="50" t="e">
        <f t="shared" si="53"/>
        <v>#VALUE!</v>
      </c>
      <c r="N219" s="50" t="e">
        <f t="shared" si="54"/>
        <v>#VALUE!</v>
      </c>
      <c r="O219" s="50" t="e">
        <f t="shared" si="55"/>
        <v>#VALUE!</v>
      </c>
      <c r="P219" s="50">
        <f t="shared" si="56"/>
        <v>0</v>
      </c>
      <c r="R219" s="55" t="e">
        <f t="shared" si="57"/>
        <v>#VALUE!</v>
      </c>
      <c r="S219" s="55" t="e">
        <f t="shared" si="58"/>
        <v>#VALUE!</v>
      </c>
      <c r="T219" s="55" t="e">
        <f t="shared" si="63"/>
        <v>#VALUE!</v>
      </c>
      <c r="U219" s="50" t="e">
        <f t="shared" si="59"/>
        <v>#VALUE!</v>
      </c>
      <c r="V219" s="50" t="e">
        <f t="shared" si="60"/>
        <v>#VALUE!</v>
      </c>
      <c r="W219" s="50" t="e">
        <f t="shared" si="61"/>
        <v>#VALUE!</v>
      </c>
    </row>
    <row r="220" spans="2:23" x14ac:dyDescent="0.25">
      <c r="B220" s="50" t="b">
        <f t="shared" si="64"/>
        <v>0</v>
      </c>
      <c r="C220" s="50" t="e">
        <f t="shared" si="50"/>
        <v>#VALUE!</v>
      </c>
      <c r="E220" s="56">
        <v>217</v>
      </c>
      <c r="G220" s="138"/>
      <c r="H220" s="135">
        <v>1</v>
      </c>
      <c r="I220" s="57" t="str">
        <f t="shared" si="62"/>
        <v/>
      </c>
      <c r="J220" s="58" t="e">
        <f t="shared" si="51"/>
        <v>#VALUE!</v>
      </c>
      <c r="K220" s="50" t="e">
        <f t="shared" si="52"/>
        <v>#VALUE!</v>
      </c>
      <c r="L220" s="50" t="e">
        <f t="shared" si="53"/>
        <v>#VALUE!</v>
      </c>
      <c r="M220" s="50" t="e">
        <f t="shared" si="53"/>
        <v>#VALUE!</v>
      </c>
      <c r="N220" s="50" t="e">
        <f t="shared" si="54"/>
        <v>#VALUE!</v>
      </c>
      <c r="O220" s="50" t="e">
        <f t="shared" si="55"/>
        <v>#VALUE!</v>
      </c>
      <c r="P220" s="50">
        <f t="shared" si="56"/>
        <v>0</v>
      </c>
      <c r="R220" s="55" t="e">
        <f t="shared" si="57"/>
        <v>#VALUE!</v>
      </c>
      <c r="S220" s="55" t="e">
        <f t="shared" si="58"/>
        <v>#VALUE!</v>
      </c>
      <c r="T220" s="55" t="e">
        <f t="shared" si="63"/>
        <v>#VALUE!</v>
      </c>
      <c r="U220" s="50" t="e">
        <f t="shared" si="59"/>
        <v>#VALUE!</v>
      </c>
      <c r="V220" s="50" t="e">
        <f t="shared" si="60"/>
        <v>#VALUE!</v>
      </c>
      <c r="W220" s="50" t="e">
        <f t="shared" si="61"/>
        <v>#VALUE!</v>
      </c>
    </row>
    <row r="221" spans="2:23" x14ac:dyDescent="0.25">
      <c r="B221" s="50" t="b">
        <f t="shared" si="64"/>
        <v>0</v>
      </c>
      <c r="C221" s="50" t="e">
        <f t="shared" si="50"/>
        <v>#VALUE!</v>
      </c>
      <c r="E221" s="56">
        <v>218</v>
      </c>
      <c r="G221" s="138"/>
      <c r="H221" s="135">
        <v>1</v>
      </c>
      <c r="I221" s="57" t="str">
        <f t="shared" si="62"/>
        <v/>
      </c>
      <c r="J221" s="58" t="e">
        <f t="shared" si="51"/>
        <v>#VALUE!</v>
      </c>
      <c r="K221" s="50" t="e">
        <f t="shared" si="52"/>
        <v>#VALUE!</v>
      </c>
      <c r="L221" s="50" t="e">
        <f t="shared" si="53"/>
        <v>#VALUE!</v>
      </c>
      <c r="M221" s="50" t="e">
        <f t="shared" si="53"/>
        <v>#VALUE!</v>
      </c>
      <c r="N221" s="50" t="e">
        <f t="shared" si="54"/>
        <v>#VALUE!</v>
      </c>
      <c r="O221" s="50" t="e">
        <f t="shared" si="55"/>
        <v>#VALUE!</v>
      </c>
      <c r="P221" s="50">
        <f t="shared" si="56"/>
        <v>0</v>
      </c>
      <c r="R221" s="55" t="e">
        <f t="shared" si="57"/>
        <v>#VALUE!</v>
      </c>
      <c r="S221" s="55" t="e">
        <f t="shared" si="58"/>
        <v>#VALUE!</v>
      </c>
      <c r="T221" s="55" t="e">
        <f t="shared" si="63"/>
        <v>#VALUE!</v>
      </c>
      <c r="U221" s="50" t="e">
        <f t="shared" si="59"/>
        <v>#VALUE!</v>
      </c>
      <c r="V221" s="50" t="e">
        <f t="shared" si="60"/>
        <v>#VALUE!</v>
      </c>
      <c r="W221" s="50" t="e">
        <f t="shared" si="61"/>
        <v>#VALUE!</v>
      </c>
    </row>
    <row r="222" spans="2:23" x14ac:dyDescent="0.25">
      <c r="B222" s="50" t="b">
        <f t="shared" si="64"/>
        <v>0</v>
      </c>
      <c r="C222" s="50" t="e">
        <f t="shared" si="50"/>
        <v>#VALUE!</v>
      </c>
      <c r="E222" s="56">
        <v>219</v>
      </c>
      <c r="G222" s="138"/>
      <c r="H222" s="135">
        <v>1</v>
      </c>
      <c r="I222" s="57" t="str">
        <f t="shared" si="62"/>
        <v/>
      </c>
      <c r="J222" s="58" t="e">
        <f t="shared" si="51"/>
        <v>#VALUE!</v>
      </c>
      <c r="K222" s="50" t="e">
        <f t="shared" si="52"/>
        <v>#VALUE!</v>
      </c>
      <c r="L222" s="50" t="e">
        <f t="shared" si="53"/>
        <v>#VALUE!</v>
      </c>
      <c r="M222" s="50" t="e">
        <f t="shared" si="53"/>
        <v>#VALUE!</v>
      </c>
      <c r="N222" s="50" t="e">
        <f t="shared" si="54"/>
        <v>#VALUE!</v>
      </c>
      <c r="O222" s="50" t="e">
        <f t="shared" si="55"/>
        <v>#VALUE!</v>
      </c>
      <c r="P222" s="50">
        <f t="shared" si="56"/>
        <v>0</v>
      </c>
      <c r="R222" s="55" t="e">
        <f t="shared" si="57"/>
        <v>#VALUE!</v>
      </c>
      <c r="S222" s="55" t="e">
        <f t="shared" si="58"/>
        <v>#VALUE!</v>
      </c>
      <c r="T222" s="55" t="e">
        <f t="shared" si="63"/>
        <v>#VALUE!</v>
      </c>
      <c r="U222" s="50" t="e">
        <f t="shared" si="59"/>
        <v>#VALUE!</v>
      </c>
      <c r="V222" s="50" t="e">
        <f t="shared" si="60"/>
        <v>#VALUE!</v>
      </c>
      <c r="W222" s="50" t="e">
        <f t="shared" si="61"/>
        <v>#VALUE!</v>
      </c>
    </row>
    <row r="223" spans="2:23" x14ac:dyDescent="0.25">
      <c r="B223" s="50" t="b">
        <f t="shared" si="64"/>
        <v>0</v>
      </c>
      <c r="C223" s="50" t="e">
        <f t="shared" si="50"/>
        <v>#VALUE!</v>
      </c>
      <c r="E223" s="56">
        <v>220</v>
      </c>
      <c r="G223" s="138"/>
      <c r="H223" s="135">
        <v>1</v>
      </c>
      <c r="I223" s="57" t="str">
        <f t="shared" si="62"/>
        <v/>
      </c>
      <c r="J223" s="58" t="e">
        <f t="shared" si="51"/>
        <v>#VALUE!</v>
      </c>
      <c r="K223" s="50" t="e">
        <f t="shared" si="52"/>
        <v>#VALUE!</v>
      </c>
      <c r="L223" s="50" t="e">
        <f t="shared" si="53"/>
        <v>#VALUE!</v>
      </c>
      <c r="M223" s="50" t="e">
        <f t="shared" si="53"/>
        <v>#VALUE!</v>
      </c>
      <c r="N223" s="50" t="e">
        <f t="shared" si="54"/>
        <v>#VALUE!</v>
      </c>
      <c r="O223" s="50" t="e">
        <f t="shared" si="55"/>
        <v>#VALUE!</v>
      </c>
      <c r="P223" s="50">
        <f t="shared" si="56"/>
        <v>0</v>
      </c>
      <c r="R223" s="55" t="e">
        <f t="shared" si="57"/>
        <v>#VALUE!</v>
      </c>
      <c r="S223" s="55" t="e">
        <f t="shared" si="58"/>
        <v>#VALUE!</v>
      </c>
      <c r="T223" s="55" t="e">
        <f t="shared" si="63"/>
        <v>#VALUE!</v>
      </c>
      <c r="U223" s="50" t="e">
        <f t="shared" si="59"/>
        <v>#VALUE!</v>
      </c>
      <c r="V223" s="50" t="e">
        <f t="shared" si="60"/>
        <v>#VALUE!</v>
      </c>
      <c r="W223" s="50" t="e">
        <f t="shared" si="61"/>
        <v>#VALUE!</v>
      </c>
    </row>
    <row r="224" spans="2:23" x14ac:dyDescent="0.25">
      <c r="B224" s="50" t="b">
        <f t="shared" si="64"/>
        <v>0</v>
      </c>
      <c r="C224" s="50" t="e">
        <f t="shared" si="50"/>
        <v>#VALUE!</v>
      </c>
      <c r="E224" s="56">
        <v>221</v>
      </c>
      <c r="G224" s="138"/>
      <c r="H224" s="135">
        <v>1</v>
      </c>
      <c r="I224" s="57" t="str">
        <f t="shared" si="62"/>
        <v/>
      </c>
      <c r="J224" s="58" t="e">
        <f t="shared" si="51"/>
        <v>#VALUE!</v>
      </c>
      <c r="K224" s="50" t="e">
        <f t="shared" si="52"/>
        <v>#VALUE!</v>
      </c>
      <c r="L224" s="50" t="e">
        <f t="shared" si="53"/>
        <v>#VALUE!</v>
      </c>
      <c r="M224" s="50" t="e">
        <f t="shared" si="53"/>
        <v>#VALUE!</v>
      </c>
      <c r="N224" s="50" t="e">
        <f t="shared" si="54"/>
        <v>#VALUE!</v>
      </c>
      <c r="O224" s="50" t="e">
        <f t="shared" si="55"/>
        <v>#VALUE!</v>
      </c>
      <c r="P224" s="50">
        <f t="shared" si="56"/>
        <v>0</v>
      </c>
      <c r="R224" s="55" t="e">
        <f t="shared" si="57"/>
        <v>#VALUE!</v>
      </c>
      <c r="S224" s="55" t="e">
        <f t="shared" si="58"/>
        <v>#VALUE!</v>
      </c>
      <c r="T224" s="55" t="e">
        <f t="shared" si="63"/>
        <v>#VALUE!</v>
      </c>
      <c r="U224" s="50" t="e">
        <f t="shared" si="59"/>
        <v>#VALUE!</v>
      </c>
      <c r="V224" s="50" t="e">
        <f t="shared" si="60"/>
        <v>#VALUE!</v>
      </c>
      <c r="W224" s="50" t="e">
        <f t="shared" si="61"/>
        <v>#VALUE!</v>
      </c>
    </row>
    <row r="225" spans="2:23" x14ac:dyDescent="0.25">
      <c r="B225" s="50" t="b">
        <f t="shared" si="64"/>
        <v>0</v>
      </c>
      <c r="C225" s="50" t="e">
        <f t="shared" si="50"/>
        <v>#VALUE!</v>
      </c>
      <c r="E225" s="56">
        <v>222</v>
      </c>
      <c r="G225" s="138"/>
      <c r="H225" s="135">
        <v>1</v>
      </c>
      <c r="I225" s="57" t="str">
        <f t="shared" si="62"/>
        <v/>
      </c>
      <c r="J225" s="58" t="e">
        <f t="shared" si="51"/>
        <v>#VALUE!</v>
      </c>
      <c r="K225" s="50" t="e">
        <f t="shared" si="52"/>
        <v>#VALUE!</v>
      </c>
      <c r="L225" s="50" t="e">
        <f t="shared" si="53"/>
        <v>#VALUE!</v>
      </c>
      <c r="M225" s="50" t="e">
        <f t="shared" si="53"/>
        <v>#VALUE!</v>
      </c>
      <c r="N225" s="50" t="e">
        <f t="shared" si="54"/>
        <v>#VALUE!</v>
      </c>
      <c r="O225" s="50" t="e">
        <f t="shared" si="55"/>
        <v>#VALUE!</v>
      </c>
      <c r="P225" s="50">
        <f t="shared" si="56"/>
        <v>0</v>
      </c>
      <c r="R225" s="55" t="e">
        <f t="shared" si="57"/>
        <v>#VALUE!</v>
      </c>
      <c r="S225" s="55" t="e">
        <f t="shared" si="58"/>
        <v>#VALUE!</v>
      </c>
      <c r="T225" s="55" t="e">
        <f t="shared" si="63"/>
        <v>#VALUE!</v>
      </c>
      <c r="U225" s="50" t="e">
        <f t="shared" si="59"/>
        <v>#VALUE!</v>
      </c>
      <c r="V225" s="50" t="e">
        <f t="shared" si="60"/>
        <v>#VALUE!</v>
      </c>
      <c r="W225" s="50" t="e">
        <f t="shared" si="61"/>
        <v>#VALUE!</v>
      </c>
    </row>
    <row r="226" spans="2:23" x14ac:dyDescent="0.25">
      <c r="B226" s="50" t="b">
        <f t="shared" si="64"/>
        <v>0</v>
      </c>
      <c r="C226" s="50" t="e">
        <f t="shared" si="50"/>
        <v>#VALUE!</v>
      </c>
      <c r="E226" s="56">
        <v>223</v>
      </c>
      <c r="G226" s="138"/>
      <c r="H226" s="135">
        <v>1</v>
      </c>
      <c r="I226" s="57" t="str">
        <f t="shared" si="62"/>
        <v/>
      </c>
      <c r="J226" s="58" t="e">
        <f t="shared" si="51"/>
        <v>#VALUE!</v>
      </c>
      <c r="K226" s="50" t="e">
        <f t="shared" si="52"/>
        <v>#VALUE!</v>
      </c>
      <c r="L226" s="50" t="e">
        <f t="shared" si="53"/>
        <v>#VALUE!</v>
      </c>
      <c r="M226" s="50" t="e">
        <f t="shared" si="53"/>
        <v>#VALUE!</v>
      </c>
      <c r="N226" s="50" t="e">
        <f t="shared" si="54"/>
        <v>#VALUE!</v>
      </c>
      <c r="O226" s="50" t="e">
        <f t="shared" si="55"/>
        <v>#VALUE!</v>
      </c>
      <c r="P226" s="50">
        <f t="shared" si="56"/>
        <v>0</v>
      </c>
      <c r="R226" s="55" t="e">
        <f t="shared" si="57"/>
        <v>#VALUE!</v>
      </c>
      <c r="S226" s="55" t="e">
        <f t="shared" si="58"/>
        <v>#VALUE!</v>
      </c>
      <c r="T226" s="55" t="e">
        <f t="shared" si="63"/>
        <v>#VALUE!</v>
      </c>
      <c r="U226" s="50" t="e">
        <f t="shared" si="59"/>
        <v>#VALUE!</v>
      </c>
      <c r="V226" s="50" t="e">
        <f t="shared" si="60"/>
        <v>#VALUE!</v>
      </c>
      <c r="W226" s="50" t="e">
        <f t="shared" si="61"/>
        <v>#VALUE!</v>
      </c>
    </row>
    <row r="227" spans="2:23" x14ac:dyDescent="0.25">
      <c r="B227" s="50" t="b">
        <f t="shared" si="64"/>
        <v>0</v>
      </c>
      <c r="C227" s="50" t="e">
        <f t="shared" si="50"/>
        <v>#VALUE!</v>
      </c>
      <c r="E227" s="56">
        <v>224</v>
      </c>
      <c r="G227" s="138"/>
      <c r="H227" s="135">
        <v>1</v>
      </c>
      <c r="I227" s="57" t="str">
        <f t="shared" si="62"/>
        <v/>
      </c>
      <c r="J227" s="58" t="e">
        <f t="shared" si="51"/>
        <v>#VALUE!</v>
      </c>
      <c r="K227" s="50" t="e">
        <f t="shared" si="52"/>
        <v>#VALUE!</v>
      </c>
      <c r="L227" s="50" t="e">
        <f t="shared" si="53"/>
        <v>#VALUE!</v>
      </c>
      <c r="M227" s="50" t="e">
        <f t="shared" si="53"/>
        <v>#VALUE!</v>
      </c>
      <c r="N227" s="50" t="e">
        <f t="shared" si="54"/>
        <v>#VALUE!</v>
      </c>
      <c r="O227" s="50" t="e">
        <f t="shared" si="55"/>
        <v>#VALUE!</v>
      </c>
      <c r="P227" s="50">
        <f t="shared" si="56"/>
        <v>0</v>
      </c>
      <c r="R227" s="55" t="e">
        <f t="shared" si="57"/>
        <v>#VALUE!</v>
      </c>
      <c r="S227" s="55" t="e">
        <f t="shared" si="58"/>
        <v>#VALUE!</v>
      </c>
      <c r="T227" s="55" t="e">
        <f t="shared" si="63"/>
        <v>#VALUE!</v>
      </c>
      <c r="U227" s="50" t="e">
        <f t="shared" si="59"/>
        <v>#VALUE!</v>
      </c>
      <c r="V227" s="50" t="e">
        <f t="shared" si="60"/>
        <v>#VALUE!</v>
      </c>
      <c r="W227" s="50" t="e">
        <f t="shared" si="61"/>
        <v>#VALUE!</v>
      </c>
    </row>
    <row r="228" spans="2:23" x14ac:dyDescent="0.25">
      <c r="B228" s="50" t="b">
        <f t="shared" si="64"/>
        <v>0</v>
      </c>
      <c r="C228" s="50" t="e">
        <f t="shared" si="50"/>
        <v>#VALUE!</v>
      </c>
      <c r="E228" s="56">
        <v>225</v>
      </c>
      <c r="G228" s="138"/>
      <c r="H228" s="135">
        <v>1</v>
      </c>
      <c r="I228" s="57" t="str">
        <f t="shared" si="62"/>
        <v/>
      </c>
      <c r="J228" s="58" t="e">
        <f t="shared" si="51"/>
        <v>#VALUE!</v>
      </c>
      <c r="K228" s="50" t="e">
        <f t="shared" si="52"/>
        <v>#VALUE!</v>
      </c>
      <c r="L228" s="50" t="e">
        <f t="shared" si="53"/>
        <v>#VALUE!</v>
      </c>
      <c r="M228" s="50" t="e">
        <f t="shared" si="53"/>
        <v>#VALUE!</v>
      </c>
      <c r="N228" s="50" t="e">
        <f t="shared" si="54"/>
        <v>#VALUE!</v>
      </c>
      <c r="O228" s="50" t="e">
        <f t="shared" si="55"/>
        <v>#VALUE!</v>
      </c>
      <c r="P228" s="50">
        <f t="shared" si="56"/>
        <v>0</v>
      </c>
      <c r="R228" s="55" t="e">
        <f t="shared" si="57"/>
        <v>#VALUE!</v>
      </c>
      <c r="S228" s="55" t="e">
        <f t="shared" si="58"/>
        <v>#VALUE!</v>
      </c>
      <c r="T228" s="55" t="e">
        <f t="shared" si="63"/>
        <v>#VALUE!</v>
      </c>
      <c r="U228" s="50" t="e">
        <f t="shared" si="59"/>
        <v>#VALUE!</v>
      </c>
      <c r="V228" s="50" t="e">
        <f t="shared" si="60"/>
        <v>#VALUE!</v>
      </c>
      <c r="W228" s="50" t="e">
        <f t="shared" si="61"/>
        <v>#VALUE!</v>
      </c>
    </row>
    <row r="229" spans="2:23" x14ac:dyDescent="0.25">
      <c r="B229" s="50" t="b">
        <f t="shared" si="64"/>
        <v>0</v>
      </c>
      <c r="C229" s="50" t="e">
        <f t="shared" si="50"/>
        <v>#VALUE!</v>
      </c>
      <c r="E229" s="56">
        <v>226</v>
      </c>
      <c r="G229" s="138"/>
      <c r="H229" s="135">
        <v>1</v>
      </c>
      <c r="I229" s="57" t="str">
        <f t="shared" si="62"/>
        <v/>
      </c>
      <c r="J229" s="58" t="e">
        <f t="shared" si="51"/>
        <v>#VALUE!</v>
      </c>
      <c r="K229" s="50" t="e">
        <f t="shared" si="52"/>
        <v>#VALUE!</v>
      </c>
      <c r="L229" s="50" t="e">
        <f t="shared" si="53"/>
        <v>#VALUE!</v>
      </c>
      <c r="M229" s="50" t="e">
        <f t="shared" si="53"/>
        <v>#VALUE!</v>
      </c>
      <c r="N229" s="50" t="e">
        <f t="shared" si="54"/>
        <v>#VALUE!</v>
      </c>
      <c r="O229" s="50" t="e">
        <f t="shared" si="55"/>
        <v>#VALUE!</v>
      </c>
      <c r="P229" s="50">
        <f t="shared" si="56"/>
        <v>0</v>
      </c>
      <c r="R229" s="55" t="e">
        <f t="shared" si="57"/>
        <v>#VALUE!</v>
      </c>
      <c r="S229" s="55" t="e">
        <f t="shared" si="58"/>
        <v>#VALUE!</v>
      </c>
      <c r="T229" s="55" t="e">
        <f t="shared" si="63"/>
        <v>#VALUE!</v>
      </c>
      <c r="U229" s="50" t="e">
        <f t="shared" si="59"/>
        <v>#VALUE!</v>
      </c>
      <c r="V229" s="50" t="e">
        <f t="shared" si="60"/>
        <v>#VALUE!</v>
      </c>
      <c r="W229" s="50" t="e">
        <f t="shared" si="61"/>
        <v>#VALUE!</v>
      </c>
    </row>
    <row r="230" spans="2:23" x14ac:dyDescent="0.25">
      <c r="B230" s="50" t="b">
        <f t="shared" si="64"/>
        <v>0</v>
      </c>
      <c r="C230" s="50" t="e">
        <f t="shared" si="50"/>
        <v>#VALUE!</v>
      </c>
      <c r="E230" s="56">
        <v>227</v>
      </c>
      <c r="G230" s="138"/>
      <c r="H230" s="135">
        <v>1</v>
      </c>
      <c r="I230" s="57" t="str">
        <f t="shared" si="62"/>
        <v/>
      </c>
      <c r="J230" s="58" t="e">
        <f t="shared" si="51"/>
        <v>#VALUE!</v>
      </c>
      <c r="K230" s="50" t="e">
        <f t="shared" si="52"/>
        <v>#VALUE!</v>
      </c>
      <c r="L230" s="50" t="e">
        <f t="shared" si="53"/>
        <v>#VALUE!</v>
      </c>
      <c r="M230" s="50" t="e">
        <f t="shared" si="53"/>
        <v>#VALUE!</v>
      </c>
      <c r="N230" s="50" t="e">
        <f t="shared" si="54"/>
        <v>#VALUE!</v>
      </c>
      <c r="O230" s="50" t="e">
        <f t="shared" si="55"/>
        <v>#VALUE!</v>
      </c>
      <c r="P230" s="50">
        <f t="shared" si="56"/>
        <v>0</v>
      </c>
      <c r="R230" s="55" t="e">
        <f t="shared" si="57"/>
        <v>#VALUE!</v>
      </c>
      <c r="S230" s="55" t="e">
        <f t="shared" si="58"/>
        <v>#VALUE!</v>
      </c>
      <c r="T230" s="55" t="e">
        <f t="shared" si="63"/>
        <v>#VALUE!</v>
      </c>
      <c r="U230" s="50" t="e">
        <f t="shared" si="59"/>
        <v>#VALUE!</v>
      </c>
      <c r="V230" s="50" t="e">
        <f t="shared" si="60"/>
        <v>#VALUE!</v>
      </c>
      <c r="W230" s="50" t="e">
        <f t="shared" si="61"/>
        <v>#VALUE!</v>
      </c>
    </row>
    <row r="231" spans="2:23" x14ac:dyDescent="0.25">
      <c r="B231" s="50" t="b">
        <f t="shared" si="64"/>
        <v>0</v>
      </c>
      <c r="C231" s="50" t="e">
        <f t="shared" si="50"/>
        <v>#VALUE!</v>
      </c>
      <c r="E231" s="56">
        <v>228</v>
      </c>
      <c r="G231" s="138"/>
      <c r="H231" s="135">
        <v>1</v>
      </c>
      <c r="I231" s="57" t="str">
        <f t="shared" si="62"/>
        <v/>
      </c>
      <c r="J231" s="58" t="e">
        <f t="shared" si="51"/>
        <v>#VALUE!</v>
      </c>
      <c r="K231" s="50" t="e">
        <f t="shared" si="52"/>
        <v>#VALUE!</v>
      </c>
      <c r="L231" s="50" t="e">
        <f t="shared" si="53"/>
        <v>#VALUE!</v>
      </c>
      <c r="M231" s="50" t="e">
        <f t="shared" si="53"/>
        <v>#VALUE!</v>
      </c>
      <c r="N231" s="50" t="e">
        <f t="shared" si="54"/>
        <v>#VALUE!</v>
      </c>
      <c r="O231" s="50" t="e">
        <f t="shared" si="55"/>
        <v>#VALUE!</v>
      </c>
      <c r="P231" s="50">
        <f t="shared" si="56"/>
        <v>0</v>
      </c>
      <c r="R231" s="55" t="e">
        <f t="shared" si="57"/>
        <v>#VALUE!</v>
      </c>
      <c r="S231" s="55" t="e">
        <f t="shared" si="58"/>
        <v>#VALUE!</v>
      </c>
      <c r="T231" s="55" t="e">
        <f t="shared" si="63"/>
        <v>#VALUE!</v>
      </c>
      <c r="U231" s="50" t="e">
        <f t="shared" si="59"/>
        <v>#VALUE!</v>
      </c>
      <c r="V231" s="50" t="e">
        <f t="shared" si="60"/>
        <v>#VALUE!</v>
      </c>
      <c r="W231" s="50" t="e">
        <f t="shared" si="61"/>
        <v>#VALUE!</v>
      </c>
    </row>
    <row r="232" spans="2:23" x14ac:dyDescent="0.25">
      <c r="B232" s="50" t="b">
        <f t="shared" si="64"/>
        <v>0</v>
      </c>
      <c r="C232" s="50" t="e">
        <f t="shared" si="50"/>
        <v>#VALUE!</v>
      </c>
      <c r="E232" s="56">
        <v>229</v>
      </c>
      <c r="G232" s="138"/>
      <c r="H232" s="135">
        <v>1</v>
      </c>
      <c r="I232" s="57" t="str">
        <f t="shared" si="62"/>
        <v/>
      </c>
      <c r="J232" s="58" t="e">
        <f t="shared" si="51"/>
        <v>#VALUE!</v>
      </c>
      <c r="K232" s="50" t="e">
        <f t="shared" si="52"/>
        <v>#VALUE!</v>
      </c>
      <c r="L232" s="50" t="e">
        <f t="shared" si="53"/>
        <v>#VALUE!</v>
      </c>
      <c r="M232" s="50" t="e">
        <f t="shared" si="53"/>
        <v>#VALUE!</v>
      </c>
      <c r="N232" s="50" t="e">
        <f t="shared" si="54"/>
        <v>#VALUE!</v>
      </c>
      <c r="O232" s="50" t="e">
        <f t="shared" si="55"/>
        <v>#VALUE!</v>
      </c>
      <c r="P232" s="50">
        <f t="shared" si="56"/>
        <v>0</v>
      </c>
      <c r="R232" s="55" t="e">
        <f t="shared" si="57"/>
        <v>#VALUE!</v>
      </c>
      <c r="S232" s="55" t="e">
        <f t="shared" si="58"/>
        <v>#VALUE!</v>
      </c>
      <c r="T232" s="55" t="e">
        <f t="shared" si="63"/>
        <v>#VALUE!</v>
      </c>
      <c r="U232" s="50" t="e">
        <f t="shared" si="59"/>
        <v>#VALUE!</v>
      </c>
      <c r="V232" s="50" t="e">
        <f t="shared" si="60"/>
        <v>#VALUE!</v>
      </c>
      <c r="W232" s="50" t="e">
        <f t="shared" si="61"/>
        <v>#VALUE!</v>
      </c>
    </row>
    <row r="233" spans="2:23" x14ac:dyDescent="0.25">
      <c r="B233" s="50" t="b">
        <f t="shared" si="64"/>
        <v>0</v>
      </c>
      <c r="C233" s="50" t="e">
        <f t="shared" si="50"/>
        <v>#VALUE!</v>
      </c>
      <c r="E233" s="56">
        <v>230</v>
      </c>
      <c r="G233" s="138"/>
      <c r="H233" s="135">
        <v>1</v>
      </c>
      <c r="I233" s="57" t="str">
        <f t="shared" si="62"/>
        <v/>
      </c>
      <c r="J233" s="58" t="e">
        <f t="shared" si="51"/>
        <v>#VALUE!</v>
      </c>
      <c r="K233" s="50" t="e">
        <f t="shared" si="52"/>
        <v>#VALUE!</v>
      </c>
      <c r="L233" s="50" t="e">
        <f t="shared" si="53"/>
        <v>#VALUE!</v>
      </c>
      <c r="M233" s="50" t="e">
        <f t="shared" si="53"/>
        <v>#VALUE!</v>
      </c>
      <c r="N233" s="50" t="e">
        <f t="shared" si="54"/>
        <v>#VALUE!</v>
      </c>
      <c r="O233" s="50" t="e">
        <f t="shared" si="55"/>
        <v>#VALUE!</v>
      </c>
      <c r="P233" s="50">
        <f t="shared" si="56"/>
        <v>0</v>
      </c>
      <c r="R233" s="55" t="e">
        <f t="shared" si="57"/>
        <v>#VALUE!</v>
      </c>
      <c r="S233" s="55" t="e">
        <f t="shared" si="58"/>
        <v>#VALUE!</v>
      </c>
      <c r="T233" s="55" t="e">
        <f t="shared" si="63"/>
        <v>#VALUE!</v>
      </c>
      <c r="U233" s="50" t="e">
        <f t="shared" si="59"/>
        <v>#VALUE!</v>
      </c>
      <c r="V233" s="50" t="e">
        <f t="shared" si="60"/>
        <v>#VALUE!</v>
      </c>
      <c r="W233" s="50" t="e">
        <f t="shared" si="61"/>
        <v>#VALUE!</v>
      </c>
    </row>
    <row r="234" spans="2:23" x14ac:dyDescent="0.25">
      <c r="B234" s="50" t="b">
        <f t="shared" si="64"/>
        <v>0</v>
      </c>
      <c r="C234" s="50" t="e">
        <f t="shared" si="50"/>
        <v>#VALUE!</v>
      </c>
      <c r="E234" s="56">
        <v>231</v>
      </c>
      <c r="G234" s="138"/>
      <c r="H234" s="135">
        <v>1</v>
      </c>
      <c r="I234" s="57" t="str">
        <f t="shared" si="62"/>
        <v/>
      </c>
      <c r="J234" s="58" t="e">
        <f t="shared" si="51"/>
        <v>#VALUE!</v>
      </c>
      <c r="K234" s="50" t="e">
        <f t="shared" si="52"/>
        <v>#VALUE!</v>
      </c>
      <c r="L234" s="50" t="e">
        <f t="shared" si="53"/>
        <v>#VALUE!</v>
      </c>
      <c r="M234" s="50" t="e">
        <f t="shared" si="53"/>
        <v>#VALUE!</v>
      </c>
      <c r="N234" s="50" t="e">
        <f t="shared" si="54"/>
        <v>#VALUE!</v>
      </c>
      <c r="O234" s="50" t="e">
        <f t="shared" si="55"/>
        <v>#VALUE!</v>
      </c>
      <c r="P234" s="50">
        <f t="shared" si="56"/>
        <v>0</v>
      </c>
      <c r="R234" s="55" t="e">
        <f t="shared" si="57"/>
        <v>#VALUE!</v>
      </c>
      <c r="S234" s="55" t="e">
        <f t="shared" si="58"/>
        <v>#VALUE!</v>
      </c>
      <c r="T234" s="55" t="e">
        <f t="shared" si="63"/>
        <v>#VALUE!</v>
      </c>
      <c r="U234" s="50" t="e">
        <f t="shared" si="59"/>
        <v>#VALUE!</v>
      </c>
      <c r="V234" s="50" t="e">
        <f t="shared" si="60"/>
        <v>#VALUE!</v>
      </c>
      <c r="W234" s="50" t="e">
        <f t="shared" si="61"/>
        <v>#VALUE!</v>
      </c>
    </row>
    <row r="235" spans="2:23" x14ac:dyDescent="0.25">
      <c r="B235" s="50" t="b">
        <f t="shared" si="64"/>
        <v>0</v>
      </c>
      <c r="C235" s="50" t="e">
        <f t="shared" si="50"/>
        <v>#VALUE!</v>
      </c>
      <c r="E235" s="56">
        <v>232</v>
      </c>
      <c r="G235" s="138"/>
      <c r="H235" s="135">
        <v>1</v>
      </c>
      <c r="I235" s="57" t="str">
        <f t="shared" si="62"/>
        <v/>
      </c>
      <c r="J235" s="58" t="e">
        <f t="shared" si="51"/>
        <v>#VALUE!</v>
      </c>
      <c r="K235" s="50" t="e">
        <f t="shared" si="52"/>
        <v>#VALUE!</v>
      </c>
      <c r="L235" s="50" t="e">
        <f t="shared" si="53"/>
        <v>#VALUE!</v>
      </c>
      <c r="M235" s="50" t="e">
        <f t="shared" si="53"/>
        <v>#VALUE!</v>
      </c>
      <c r="N235" s="50" t="e">
        <f t="shared" si="54"/>
        <v>#VALUE!</v>
      </c>
      <c r="O235" s="50" t="e">
        <f t="shared" si="55"/>
        <v>#VALUE!</v>
      </c>
      <c r="P235" s="50">
        <f t="shared" si="56"/>
        <v>0</v>
      </c>
      <c r="R235" s="55" t="e">
        <f t="shared" si="57"/>
        <v>#VALUE!</v>
      </c>
      <c r="S235" s="55" t="e">
        <f t="shared" si="58"/>
        <v>#VALUE!</v>
      </c>
      <c r="T235" s="55" t="e">
        <f t="shared" si="63"/>
        <v>#VALUE!</v>
      </c>
      <c r="U235" s="50" t="e">
        <f t="shared" si="59"/>
        <v>#VALUE!</v>
      </c>
      <c r="V235" s="50" t="e">
        <f t="shared" si="60"/>
        <v>#VALUE!</v>
      </c>
      <c r="W235" s="50" t="e">
        <f t="shared" si="61"/>
        <v>#VALUE!</v>
      </c>
    </row>
    <row r="236" spans="2:23" x14ac:dyDescent="0.25">
      <c r="B236" s="50" t="b">
        <f t="shared" si="64"/>
        <v>0</v>
      </c>
      <c r="C236" s="50" t="e">
        <f t="shared" si="50"/>
        <v>#VALUE!</v>
      </c>
      <c r="E236" s="56">
        <v>233</v>
      </c>
      <c r="G236" s="138"/>
      <c r="H236" s="135">
        <v>1</v>
      </c>
      <c r="I236" s="57" t="str">
        <f t="shared" si="62"/>
        <v/>
      </c>
      <c r="J236" s="58" t="e">
        <f t="shared" si="51"/>
        <v>#VALUE!</v>
      </c>
      <c r="K236" s="50" t="e">
        <f t="shared" si="52"/>
        <v>#VALUE!</v>
      </c>
      <c r="L236" s="50" t="e">
        <f t="shared" si="53"/>
        <v>#VALUE!</v>
      </c>
      <c r="M236" s="50" t="e">
        <f t="shared" si="53"/>
        <v>#VALUE!</v>
      </c>
      <c r="N236" s="50" t="e">
        <f t="shared" si="54"/>
        <v>#VALUE!</v>
      </c>
      <c r="O236" s="50" t="e">
        <f t="shared" si="55"/>
        <v>#VALUE!</v>
      </c>
      <c r="P236" s="50">
        <f t="shared" si="56"/>
        <v>0</v>
      </c>
      <c r="R236" s="55" t="e">
        <f t="shared" si="57"/>
        <v>#VALUE!</v>
      </c>
      <c r="S236" s="55" t="e">
        <f t="shared" si="58"/>
        <v>#VALUE!</v>
      </c>
      <c r="T236" s="55" t="e">
        <f t="shared" si="63"/>
        <v>#VALUE!</v>
      </c>
      <c r="U236" s="50" t="e">
        <f t="shared" si="59"/>
        <v>#VALUE!</v>
      </c>
      <c r="V236" s="50" t="e">
        <f t="shared" si="60"/>
        <v>#VALUE!</v>
      </c>
      <c r="W236" s="50" t="e">
        <f t="shared" si="61"/>
        <v>#VALUE!</v>
      </c>
    </row>
    <row r="237" spans="2:23" x14ac:dyDescent="0.25">
      <c r="B237" s="50" t="b">
        <f t="shared" si="64"/>
        <v>0</v>
      </c>
      <c r="C237" s="50" t="e">
        <f t="shared" si="50"/>
        <v>#VALUE!</v>
      </c>
      <c r="E237" s="56">
        <v>234</v>
      </c>
      <c r="G237" s="138"/>
      <c r="H237" s="135">
        <v>1</v>
      </c>
      <c r="I237" s="57" t="str">
        <f t="shared" si="62"/>
        <v/>
      </c>
      <c r="J237" s="58" t="e">
        <f t="shared" si="51"/>
        <v>#VALUE!</v>
      </c>
      <c r="K237" s="50" t="e">
        <f t="shared" si="52"/>
        <v>#VALUE!</v>
      </c>
      <c r="L237" s="50" t="e">
        <f t="shared" si="53"/>
        <v>#VALUE!</v>
      </c>
      <c r="M237" s="50" t="e">
        <f t="shared" si="53"/>
        <v>#VALUE!</v>
      </c>
      <c r="N237" s="50" t="e">
        <f t="shared" si="54"/>
        <v>#VALUE!</v>
      </c>
      <c r="O237" s="50" t="e">
        <f t="shared" si="55"/>
        <v>#VALUE!</v>
      </c>
      <c r="P237" s="50">
        <f t="shared" si="56"/>
        <v>0</v>
      </c>
      <c r="R237" s="55" t="e">
        <f t="shared" si="57"/>
        <v>#VALUE!</v>
      </c>
      <c r="S237" s="55" t="e">
        <f t="shared" si="58"/>
        <v>#VALUE!</v>
      </c>
      <c r="T237" s="55" t="e">
        <f t="shared" si="63"/>
        <v>#VALUE!</v>
      </c>
      <c r="U237" s="50" t="e">
        <f t="shared" si="59"/>
        <v>#VALUE!</v>
      </c>
      <c r="V237" s="50" t="e">
        <f t="shared" si="60"/>
        <v>#VALUE!</v>
      </c>
      <c r="W237" s="50" t="e">
        <f t="shared" si="61"/>
        <v>#VALUE!</v>
      </c>
    </row>
    <row r="238" spans="2:23" x14ac:dyDescent="0.25">
      <c r="B238" s="50" t="b">
        <f t="shared" si="64"/>
        <v>0</v>
      </c>
      <c r="C238" s="50" t="e">
        <f t="shared" si="50"/>
        <v>#VALUE!</v>
      </c>
      <c r="E238" s="56">
        <v>235</v>
      </c>
      <c r="G238" s="138"/>
      <c r="H238" s="135">
        <v>1</v>
      </c>
      <c r="I238" s="57" t="str">
        <f t="shared" si="62"/>
        <v/>
      </c>
      <c r="J238" s="58" t="e">
        <f t="shared" si="51"/>
        <v>#VALUE!</v>
      </c>
      <c r="K238" s="50" t="e">
        <f t="shared" si="52"/>
        <v>#VALUE!</v>
      </c>
      <c r="L238" s="50" t="e">
        <f t="shared" si="53"/>
        <v>#VALUE!</v>
      </c>
      <c r="M238" s="50" t="e">
        <f t="shared" si="53"/>
        <v>#VALUE!</v>
      </c>
      <c r="N238" s="50" t="e">
        <f t="shared" si="54"/>
        <v>#VALUE!</v>
      </c>
      <c r="O238" s="50" t="e">
        <f t="shared" si="55"/>
        <v>#VALUE!</v>
      </c>
      <c r="P238" s="50">
        <f t="shared" si="56"/>
        <v>0</v>
      </c>
      <c r="R238" s="55" t="e">
        <f t="shared" si="57"/>
        <v>#VALUE!</v>
      </c>
      <c r="S238" s="55" t="e">
        <f t="shared" si="58"/>
        <v>#VALUE!</v>
      </c>
      <c r="T238" s="55" t="e">
        <f t="shared" si="63"/>
        <v>#VALUE!</v>
      </c>
      <c r="U238" s="50" t="e">
        <f t="shared" si="59"/>
        <v>#VALUE!</v>
      </c>
      <c r="V238" s="50" t="e">
        <f t="shared" si="60"/>
        <v>#VALUE!</v>
      </c>
      <c r="W238" s="50" t="e">
        <f t="shared" si="61"/>
        <v>#VALUE!</v>
      </c>
    </row>
    <row r="239" spans="2:23" x14ac:dyDescent="0.25">
      <c r="B239" s="50" t="b">
        <f t="shared" si="64"/>
        <v>0</v>
      </c>
      <c r="C239" s="50" t="e">
        <f t="shared" si="50"/>
        <v>#VALUE!</v>
      </c>
      <c r="E239" s="56">
        <v>236</v>
      </c>
      <c r="G239" s="138"/>
      <c r="H239" s="135">
        <v>1</v>
      </c>
      <c r="I239" s="57" t="str">
        <f t="shared" si="62"/>
        <v/>
      </c>
      <c r="J239" s="58" t="e">
        <f t="shared" si="51"/>
        <v>#VALUE!</v>
      </c>
      <c r="K239" s="50" t="e">
        <f t="shared" si="52"/>
        <v>#VALUE!</v>
      </c>
      <c r="L239" s="50" t="e">
        <f t="shared" si="53"/>
        <v>#VALUE!</v>
      </c>
      <c r="M239" s="50" t="e">
        <f t="shared" si="53"/>
        <v>#VALUE!</v>
      </c>
      <c r="N239" s="50" t="e">
        <f t="shared" si="54"/>
        <v>#VALUE!</v>
      </c>
      <c r="O239" s="50" t="e">
        <f t="shared" si="55"/>
        <v>#VALUE!</v>
      </c>
      <c r="P239" s="50">
        <f t="shared" si="56"/>
        <v>0</v>
      </c>
      <c r="R239" s="55" t="e">
        <f t="shared" si="57"/>
        <v>#VALUE!</v>
      </c>
      <c r="S239" s="55" t="e">
        <f t="shared" si="58"/>
        <v>#VALUE!</v>
      </c>
      <c r="T239" s="55" t="e">
        <f t="shared" si="63"/>
        <v>#VALUE!</v>
      </c>
      <c r="U239" s="50" t="e">
        <f t="shared" si="59"/>
        <v>#VALUE!</v>
      </c>
      <c r="V239" s="50" t="e">
        <f t="shared" si="60"/>
        <v>#VALUE!</v>
      </c>
      <c r="W239" s="50" t="e">
        <f t="shared" si="61"/>
        <v>#VALUE!</v>
      </c>
    </row>
    <row r="240" spans="2:23" x14ac:dyDescent="0.25">
      <c r="B240" s="50" t="b">
        <f t="shared" si="64"/>
        <v>0</v>
      </c>
      <c r="C240" s="50" t="e">
        <f t="shared" si="50"/>
        <v>#VALUE!</v>
      </c>
      <c r="E240" s="56">
        <v>237</v>
      </c>
      <c r="G240" s="138"/>
      <c r="H240" s="135">
        <v>1</v>
      </c>
      <c r="I240" s="57" t="str">
        <f t="shared" si="62"/>
        <v/>
      </c>
      <c r="J240" s="58" t="e">
        <f t="shared" si="51"/>
        <v>#VALUE!</v>
      </c>
      <c r="K240" s="50" t="e">
        <f t="shared" si="52"/>
        <v>#VALUE!</v>
      </c>
      <c r="L240" s="50" t="e">
        <f t="shared" si="53"/>
        <v>#VALUE!</v>
      </c>
      <c r="M240" s="50" t="e">
        <f t="shared" si="53"/>
        <v>#VALUE!</v>
      </c>
      <c r="N240" s="50" t="e">
        <f t="shared" si="54"/>
        <v>#VALUE!</v>
      </c>
      <c r="O240" s="50" t="e">
        <f t="shared" si="55"/>
        <v>#VALUE!</v>
      </c>
      <c r="P240" s="50">
        <f t="shared" si="56"/>
        <v>0</v>
      </c>
      <c r="R240" s="55" t="e">
        <f t="shared" si="57"/>
        <v>#VALUE!</v>
      </c>
      <c r="S240" s="55" t="e">
        <f t="shared" si="58"/>
        <v>#VALUE!</v>
      </c>
      <c r="T240" s="55" t="e">
        <f t="shared" si="63"/>
        <v>#VALUE!</v>
      </c>
      <c r="U240" s="50" t="e">
        <f t="shared" si="59"/>
        <v>#VALUE!</v>
      </c>
      <c r="V240" s="50" t="e">
        <f t="shared" si="60"/>
        <v>#VALUE!</v>
      </c>
      <c r="W240" s="50" t="e">
        <f t="shared" si="61"/>
        <v>#VALUE!</v>
      </c>
    </row>
    <row r="241" spans="2:23" x14ac:dyDescent="0.25">
      <c r="B241" s="50" t="b">
        <f t="shared" si="64"/>
        <v>0</v>
      </c>
      <c r="C241" s="50" t="e">
        <f t="shared" si="50"/>
        <v>#VALUE!</v>
      </c>
      <c r="E241" s="56">
        <v>238</v>
      </c>
      <c r="G241" s="138"/>
      <c r="H241" s="135">
        <v>1</v>
      </c>
      <c r="I241" s="57" t="str">
        <f t="shared" si="62"/>
        <v/>
      </c>
      <c r="J241" s="58" t="e">
        <f t="shared" si="51"/>
        <v>#VALUE!</v>
      </c>
      <c r="K241" s="50" t="e">
        <f t="shared" si="52"/>
        <v>#VALUE!</v>
      </c>
      <c r="L241" s="50" t="e">
        <f t="shared" si="53"/>
        <v>#VALUE!</v>
      </c>
      <c r="M241" s="50" t="e">
        <f t="shared" si="53"/>
        <v>#VALUE!</v>
      </c>
      <c r="N241" s="50" t="e">
        <f t="shared" si="54"/>
        <v>#VALUE!</v>
      </c>
      <c r="O241" s="50" t="e">
        <f t="shared" si="55"/>
        <v>#VALUE!</v>
      </c>
      <c r="P241" s="50">
        <f t="shared" si="56"/>
        <v>0</v>
      </c>
      <c r="R241" s="55" t="e">
        <f t="shared" si="57"/>
        <v>#VALUE!</v>
      </c>
      <c r="S241" s="55" t="e">
        <f t="shared" si="58"/>
        <v>#VALUE!</v>
      </c>
      <c r="T241" s="55" t="e">
        <f t="shared" si="63"/>
        <v>#VALUE!</v>
      </c>
      <c r="U241" s="50" t="e">
        <f t="shared" si="59"/>
        <v>#VALUE!</v>
      </c>
      <c r="V241" s="50" t="e">
        <f t="shared" si="60"/>
        <v>#VALUE!</v>
      </c>
      <c r="W241" s="50" t="e">
        <f t="shared" si="61"/>
        <v>#VALUE!</v>
      </c>
    </row>
    <row r="242" spans="2:23" x14ac:dyDescent="0.25">
      <c r="B242" s="50" t="b">
        <f t="shared" si="64"/>
        <v>0</v>
      </c>
      <c r="C242" s="50" t="e">
        <f t="shared" si="50"/>
        <v>#VALUE!</v>
      </c>
      <c r="E242" s="56">
        <v>239</v>
      </c>
      <c r="G242" s="138"/>
      <c r="H242" s="135">
        <v>1</v>
      </c>
      <c r="I242" s="57" t="str">
        <f t="shared" si="62"/>
        <v/>
      </c>
      <c r="J242" s="58" t="e">
        <f t="shared" si="51"/>
        <v>#VALUE!</v>
      </c>
      <c r="K242" s="50" t="e">
        <f t="shared" si="52"/>
        <v>#VALUE!</v>
      </c>
      <c r="L242" s="50" t="e">
        <f t="shared" si="53"/>
        <v>#VALUE!</v>
      </c>
      <c r="M242" s="50" t="e">
        <f t="shared" si="53"/>
        <v>#VALUE!</v>
      </c>
      <c r="N242" s="50" t="e">
        <f t="shared" si="54"/>
        <v>#VALUE!</v>
      </c>
      <c r="O242" s="50" t="e">
        <f t="shared" si="55"/>
        <v>#VALUE!</v>
      </c>
      <c r="P242" s="50">
        <f t="shared" si="56"/>
        <v>0</v>
      </c>
      <c r="R242" s="55" t="e">
        <f t="shared" si="57"/>
        <v>#VALUE!</v>
      </c>
      <c r="S242" s="55" t="e">
        <f t="shared" si="58"/>
        <v>#VALUE!</v>
      </c>
      <c r="T242" s="55" t="e">
        <f t="shared" si="63"/>
        <v>#VALUE!</v>
      </c>
      <c r="U242" s="50" t="e">
        <f t="shared" si="59"/>
        <v>#VALUE!</v>
      </c>
      <c r="V242" s="50" t="e">
        <f t="shared" si="60"/>
        <v>#VALUE!</v>
      </c>
      <c r="W242" s="50" t="e">
        <f t="shared" si="61"/>
        <v>#VALUE!</v>
      </c>
    </row>
    <row r="243" spans="2:23" x14ac:dyDescent="0.25">
      <c r="B243" s="50" t="b">
        <f t="shared" si="64"/>
        <v>0</v>
      </c>
      <c r="C243" s="50" t="e">
        <f t="shared" si="50"/>
        <v>#VALUE!</v>
      </c>
      <c r="E243" s="56">
        <v>240</v>
      </c>
      <c r="G243" s="138"/>
      <c r="H243" s="135">
        <v>1</v>
      </c>
      <c r="I243" s="57" t="str">
        <f t="shared" si="62"/>
        <v/>
      </c>
      <c r="J243" s="58" t="e">
        <f t="shared" si="51"/>
        <v>#VALUE!</v>
      </c>
      <c r="K243" s="50" t="e">
        <f t="shared" si="52"/>
        <v>#VALUE!</v>
      </c>
      <c r="L243" s="50" t="e">
        <f t="shared" si="53"/>
        <v>#VALUE!</v>
      </c>
      <c r="M243" s="50" t="e">
        <f t="shared" si="53"/>
        <v>#VALUE!</v>
      </c>
      <c r="N243" s="50" t="e">
        <f t="shared" si="54"/>
        <v>#VALUE!</v>
      </c>
      <c r="O243" s="50" t="e">
        <f t="shared" si="55"/>
        <v>#VALUE!</v>
      </c>
      <c r="P243" s="50">
        <f t="shared" si="56"/>
        <v>0</v>
      </c>
      <c r="R243" s="55" t="e">
        <f t="shared" si="57"/>
        <v>#VALUE!</v>
      </c>
      <c r="S243" s="55" t="e">
        <f t="shared" si="58"/>
        <v>#VALUE!</v>
      </c>
      <c r="T243" s="55" t="e">
        <f t="shared" si="63"/>
        <v>#VALUE!</v>
      </c>
      <c r="U243" s="50" t="e">
        <f t="shared" si="59"/>
        <v>#VALUE!</v>
      </c>
      <c r="V243" s="50" t="e">
        <f t="shared" si="60"/>
        <v>#VALUE!</v>
      </c>
      <c r="W243" s="50" t="e">
        <f t="shared" si="61"/>
        <v>#VALUE!</v>
      </c>
    </row>
    <row r="244" spans="2:23" x14ac:dyDescent="0.25">
      <c r="B244" s="50" t="b">
        <f t="shared" si="64"/>
        <v>0</v>
      </c>
      <c r="C244" s="50" t="e">
        <f t="shared" si="50"/>
        <v>#VALUE!</v>
      </c>
      <c r="E244" s="56">
        <v>241</v>
      </c>
      <c r="G244" s="138"/>
      <c r="H244" s="135">
        <v>1</v>
      </c>
      <c r="I244" s="57" t="str">
        <f t="shared" si="62"/>
        <v/>
      </c>
      <c r="J244" s="58" t="e">
        <f t="shared" si="51"/>
        <v>#VALUE!</v>
      </c>
      <c r="K244" s="50" t="e">
        <f t="shared" si="52"/>
        <v>#VALUE!</v>
      </c>
      <c r="L244" s="50" t="e">
        <f t="shared" si="53"/>
        <v>#VALUE!</v>
      </c>
      <c r="M244" s="50" t="e">
        <f t="shared" si="53"/>
        <v>#VALUE!</v>
      </c>
      <c r="N244" s="50" t="e">
        <f t="shared" si="54"/>
        <v>#VALUE!</v>
      </c>
      <c r="O244" s="50" t="e">
        <f t="shared" si="55"/>
        <v>#VALUE!</v>
      </c>
      <c r="P244" s="50">
        <f t="shared" si="56"/>
        <v>0</v>
      </c>
      <c r="R244" s="55" t="e">
        <f t="shared" si="57"/>
        <v>#VALUE!</v>
      </c>
      <c r="S244" s="55" t="e">
        <f t="shared" si="58"/>
        <v>#VALUE!</v>
      </c>
      <c r="T244" s="55" t="e">
        <f t="shared" si="63"/>
        <v>#VALUE!</v>
      </c>
      <c r="U244" s="50" t="e">
        <f t="shared" si="59"/>
        <v>#VALUE!</v>
      </c>
      <c r="V244" s="50" t="e">
        <f t="shared" si="60"/>
        <v>#VALUE!</v>
      </c>
      <c r="W244" s="50" t="e">
        <f t="shared" si="61"/>
        <v>#VALUE!</v>
      </c>
    </row>
    <row r="245" spans="2:23" x14ac:dyDescent="0.25">
      <c r="B245" s="50" t="b">
        <f t="shared" si="64"/>
        <v>0</v>
      </c>
      <c r="C245" s="50" t="e">
        <f t="shared" si="50"/>
        <v>#VALUE!</v>
      </c>
      <c r="E245" s="56">
        <v>242</v>
      </c>
      <c r="G245" s="138"/>
      <c r="H245" s="135">
        <v>1</v>
      </c>
      <c r="I245" s="57" t="str">
        <f t="shared" si="62"/>
        <v/>
      </c>
      <c r="J245" s="58" t="e">
        <f t="shared" si="51"/>
        <v>#VALUE!</v>
      </c>
      <c r="K245" s="50" t="e">
        <f t="shared" si="52"/>
        <v>#VALUE!</v>
      </c>
      <c r="L245" s="50" t="e">
        <f t="shared" si="53"/>
        <v>#VALUE!</v>
      </c>
      <c r="M245" s="50" t="e">
        <f t="shared" si="53"/>
        <v>#VALUE!</v>
      </c>
      <c r="N245" s="50" t="e">
        <f t="shared" si="54"/>
        <v>#VALUE!</v>
      </c>
      <c r="O245" s="50" t="e">
        <f t="shared" si="55"/>
        <v>#VALUE!</v>
      </c>
      <c r="P245" s="50">
        <f t="shared" si="56"/>
        <v>0</v>
      </c>
      <c r="R245" s="55" t="e">
        <f t="shared" si="57"/>
        <v>#VALUE!</v>
      </c>
      <c r="S245" s="55" t="e">
        <f t="shared" si="58"/>
        <v>#VALUE!</v>
      </c>
      <c r="T245" s="55" t="e">
        <f t="shared" si="63"/>
        <v>#VALUE!</v>
      </c>
      <c r="U245" s="50" t="e">
        <f t="shared" si="59"/>
        <v>#VALUE!</v>
      </c>
      <c r="V245" s="50" t="e">
        <f t="shared" si="60"/>
        <v>#VALUE!</v>
      </c>
      <c r="W245" s="50" t="e">
        <f t="shared" si="61"/>
        <v>#VALUE!</v>
      </c>
    </row>
    <row r="246" spans="2:23" x14ac:dyDescent="0.25">
      <c r="B246" s="50" t="b">
        <f t="shared" si="64"/>
        <v>0</v>
      </c>
      <c r="C246" s="50" t="e">
        <f t="shared" ref="C246:C309" si="65">SUM(U246:W246)</f>
        <v>#VALUE!</v>
      </c>
      <c r="E246" s="56">
        <v>243</v>
      </c>
      <c r="G246" s="138"/>
      <c r="H246" s="135">
        <v>1</v>
      </c>
      <c r="I246" s="57" t="str">
        <f t="shared" si="62"/>
        <v/>
      </c>
      <c r="J246" s="58" t="e">
        <f t="shared" si="51"/>
        <v>#VALUE!</v>
      </c>
      <c r="K246" s="50" t="e">
        <f t="shared" si="52"/>
        <v>#VALUE!</v>
      </c>
      <c r="L246" s="50" t="e">
        <f t="shared" si="53"/>
        <v>#VALUE!</v>
      </c>
      <c r="M246" s="50" t="e">
        <f t="shared" si="53"/>
        <v>#VALUE!</v>
      </c>
      <c r="N246" s="50" t="e">
        <f t="shared" si="54"/>
        <v>#VALUE!</v>
      </c>
      <c r="O246" s="50" t="e">
        <f t="shared" si="55"/>
        <v>#VALUE!</v>
      </c>
      <c r="P246" s="50">
        <f t="shared" si="56"/>
        <v>0</v>
      </c>
      <c r="R246" s="55" t="e">
        <f t="shared" si="57"/>
        <v>#VALUE!</v>
      </c>
      <c r="S246" s="55" t="e">
        <f t="shared" si="58"/>
        <v>#VALUE!</v>
      </c>
      <c r="T246" s="55" t="e">
        <f t="shared" si="63"/>
        <v>#VALUE!</v>
      </c>
      <c r="U246" s="50" t="e">
        <f t="shared" si="59"/>
        <v>#VALUE!</v>
      </c>
      <c r="V246" s="50" t="e">
        <f t="shared" si="60"/>
        <v>#VALUE!</v>
      </c>
      <c r="W246" s="50" t="e">
        <f t="shared" si="61"/>
        <v>#VALUE!</v>
      </c>
    </row>
    <row r="247" spans="2:23" x14ac:dyDescent="0.25">
      <c r="B247" s="50" t="b">
        <f t="shared" si="64"/>
        <v>0</v>
      </c>
      <c r="C247" s="50" t="e">
        <f t="shared" si="65"/>
        <v>#VALUE!</v>
      </c>
      <c r="E247" s="56">
        <v>244</v>
      </c>
      <c r="G247" s="138"/>
      <c r="H247" s="135">
        <v>1</v>
      </c>
      <c r="I247" s="57" t="str">
        <f t="shared" si="62"/>
        <v/>
      </c>
      <c r="J247" s="58" t="e">
        <f t="shared" si="51"/>
        <v>#VALUE!</v>
      </c>
      <c r="K247" s="50" t="e">
        <f t="shared" si="52"/>
        <v>#VALUE!</v>
      </c>
      <c r="L247" s="50" t="e">
        <f t="shared" si="53"/>
        <v>#VALUE!</v>
      </c>
      <c r="M247" s="50" t="e">
        <f t="shared" si="53"/>
        <v>#VALUE!</v>
      </c>
      <c r="N247" s="50" t="e">
        <f t="shared" si="54"/>
        <v>#VALUE!</v>
      </c>
      <c r="O247" s="50" t="e">
        <f t="shared" si="55"/>
        <v>#VALUE!</v>
      </c>
      <c r="P247" s="50">
        <f t="shared" si="56"/>
        <v>0</v>
      </c>
      <c r="R247" s="55" t="e">
        <f t="shared" si="57"/>
        <v>#VALUE!</v>
      </c>
      <c r="S247" s="55" t="e">
        <f t="shared" si="58"/>
        <v>#VALUE!</v>
      </c>
      <c r="T247" s="55" t="e">
        <f t="shared" si="63"/>
        <v>#VALUE!</v>
      </c>
      <c r="U247" s="50" t="e">
        <f t="shared" si="59"/>
        <v>#VALUE!</v>
      </c>
      <c r="V247" s="50" t="e">
        <f t="shared" si="60"/>
        <v>#VALUE!</v>
      </c>
      <c r="W247" s="50" t="e">
        <f t="shared" si="61"/>
        <v>#VALUE!</v>
      </c>
    </row>
    <row r="248" spans="2:23" x14ac:dyDescent="0.25">
      <c r="B248" s="50" t="b">
        <f t="shared" si="64"/>
        <v>0</v>
      </c>
      <c r="C248" s="50" t="e">
        <f t="shared" si="65"/>
        <v>#VALUE!</v>
      </c>
      <c r="E248" s="56">
        <v>245</v>
      </c>
      <c r="G248" s="138"/>
      <c r="H248" s="135">
        <v>1</v>
      </c>
      <c r="I248" s="57" t="str">
        <f t="shared" si="62"/>
        <v/>
      </c>
      <c r="J248" s="58" t="e">
        <f t="shared" si="51"/>
        <v>#VALUE!</v>
      </c>
      <c r="K248" s="50" t="e">
        <f t="shared" si="52"/>
        <v>#VALUE!</v>
      </c>
      <c r="L248" s="50" t="e">
        <f t="shared" si="53"/>
        <v>#VALUE!</v>
      </c>
      <c r="M248" s="50" t="e">
        <f t="shared" si="53"/>
        <v>#VALUE!</v>
      </c>
      <c r="N248" s="50" t="e">
        <f t="shared" si="54"/>
        <v>#VALUE!</v>
      </c>
      <c r="O248" s="50" t="e">
        <f t="shared" si="55"/>
        <v>#VALUE!</v>
      </c>
      <c r="P248" s="50">
        <f t="shared" si="56"/>
        <v>0</v>
      </c>
      <c r="R248" s="55" t="e">
        <f t="shared" si="57"/>
        <v>#VALUE!</v>
      </c>
      <c r="S248" s="55" t="e">
        <f t="shared" si="58"/>
        <v>#VALUE!</v>
      </c>
      <c r="T248" s="55" t="e">
        <f t="shared" si="63"/>
        <v>#VALUE!</v>
      </c>
      <c r="U248" s="50" t="e">
        <f t="shared" si="59"/>
        <v>#VALUE!</v>
      </c>
      <c r="V248" s="50" t="e">
        <f t="shared" si="60"/>
        <v>#VALUE!</v>
      </c>
      <c r="W248" s="50" t="e">
        <f t="shared" si="61"/>
        <v>#VALUE!</v>
      </c>
    </row>
    <row r="249" spans="2:23" x14ac:dyDescent="0.25">
      <c r="B249" s="50" t="b">
        <f t="shared" si="64"/>
        <v>0</v>
      </c>
      <c r="C249" s="50" t="e">
        <f t="shared" si="65"/>
        <v>#VALUE!</v>
      </c>
      <c r="E249" s="56">
        <v>246</v>
      </c>
      <c r="G249" s="138"/>
      <c r="H249" s="135">
        <v>1</v>
      </c>
      <c r="I249" s="57" t="str">
        <f t="shared" si="62"/>
        <v/>
      </c>
      <c r="J249" s="58" t="e">
        <f t="shared" si="51"/>
        <v>#VALUE!</v>
      </c>
      <c r="K249" s="50" t="e">
        <f t="shared" si="52"/>
        <v>#VALUE!</v>
      </c>
      <c r="L249" s="50" t="e">
        <f t="shared" si="53"/>
        <v>#VALUE!</v>
      </c>
      <c r="M249" s="50" t="e">
        <f t="shared" si="53"/>
        <v>#VALUE!</v>
      </c>
      <c r="N249" s="50" t="e">
        <f t="shared" si="54"/>
        <v>#VALUE!</v>
      </c>
      <c r="O249" s="50" t="e">
        <f t="shared" si="55"/>
        <v>#VALUE!</v>
      </c>
      <c r="P249" s="50">
        <f t="shared" si="56"/>
        <v>0</v>
      </c>
      <c r="R249" s="55" t="e">
        <f t="shared" si="57"/>
        <v>#VALUE!</v>
      </c>
      <c r="S249" s="55" t="e">
        <f t="shared" si="58"/>
        <v>#VALUE!</v>
      </c>
      <c r="T249" s="55" t="e">
        <f t="shared" si="63"/>
        <v>#VALUE!</v>
      </c>
      <c r="U249" s="50" t="e">
        <f t="shared" si="59"/>
        <v>#VALUE!</v>
      </c>
      <c r="V249" s="50" t="e">
        <f t="shared" si="60"/>
        <v>#VALUE!</v>
      </c>
      <c r="W249" s="50" t="e">
        <f t="shared" si="61"/>
        <v>#VALUE!</v>
      </c>
    </row>
    <row r="250" spans="2:23" x14ac:dyDescent="0.25">
      <c r="B250" s="50" t="b">
        <f t="shared" si="64"/>
        <v>0</v>
      </c>
      <c r="C250" s="50" t="e">
        <f t="shared" si="65"/>
        <v>#VALUE!</v>
      </c>
      <c r="E250" s="56">
        <v>247</v>
      </c>
      <c r="G250" s="138"/>
      <c r="H250" s="135">
        <v>1</v>
      </c>
      <c r="I250" s="57" t="str">
        <f t="shared" si="62"/>
        <v/>
      </c>
      <c r="J250" s="58" t="e">
        <f t="shared" si="51"/>
        <v>#VALUE!</v>
      </c>
      <c r="K250" s="50" t="e">
        <f t="shared" si="52"/>
        <v>#VALUE!</v>
      </c>
      <c r="L250" s="50" t="e">
        <f t="shared" si="53"/>
        <v>#VALUE!</v>
      </c>
      <c r="M250" s="50" t="e">
        <f t="shared" si="53"/>
        <v>#VALUE!</v>
      </c>
      <c r="N250" s="50" t="e">
        <f t="shared" si="54"/>
        <v>#VALUE!</v>
      </c>
      <c r="O250" s="50" t="e">
        <f t="shared" si="55"/>
        <v>#VALUE!</v>
      </c>
      <c r="P250" s="50">
        <f t="shared" si="56"/>
        <v>0</v>
      </c>
      <c r="R250" s="55" t="e">
        <f t="shared" si="57"/>
        <v>#VALUE!</v>
      </c>
      <c r="S250" s="55" t="e">
        <f t="shared" si="58"/>
        <v>#VALUE!</v>
      </c>
      <c r="T250" s="55" t="e">
        <f t="shared" si="63"/>
        <v>#VALUE!</v>
      </c>
      <c r="U250" s="50" t="e">
        <f t="shared" si="59"/>
        <v>#VALUE!</v>
      </c>
      <c r="V250" s="50" t="e">
        <f t="shared" si="60"/>
        <v>#VALUE!</v>
      </c>
      <c r="W250" s="50" t="e">
        <f t="shared" si="61"/>
        <v>#VALUE!</v>
      </c>
    </row>
    <row r="251" spans="2:23" x14ac:dyDescent="0.25">
      <c r="B251" s="50" t="b">
        <f t="shared" si="64"/>
        <v>0</v>
      </c>
      <c r="C251" s="50" t="e">
        <f t="shared" si="65"/>
        <v>#VALUE!</v>
      </c>
      <c r="E251" s="56">
        <v>248</v>
      </c>
      <c r="G251" s="138"/>
      <c r="H251" s="135">
        <v>1</v>
      </c>
      <c r="I251" s="57" t="str">
        <f t="shared" si="62"/>
        <v/>
      </c>
      <c r="J251" s="58" t="e">
        <f t="shared" si="51"/>
        <v>#VALUE!</v>
      </c>
      <c r="K251" s="50" t="e">
        <f t="shared" si="52"/>
        <v>#VALUE!</v>
      </c>
      <c r="L251" s="50" t="e">
        <f t="shared" si="53"/>
        <v>#VALUE!</v>
      </c>
      <c r="M251" s="50" t="e">
        <f t="shared" si="53"/>
        <v>#VALUE!</v>
      </c>
      <c r="N251" s="50" t="e">
        <f t="shared" si="54"/>
        <v>#VALUE!</v>
      </c>
      <c r="O251" s="50" t="e">
        <f t="shared" si="55"/>
        <v>#VALUE!</v>
      </c>
      <c r="P251" s="50">
        <f t="shared" si="56"/>
        <v>0</v>
      </c>
      <c r="R251" s="55" t="e">
        <f t="shared" si="57"/>
        <v>#VALUE!</v>
      </c>
      <c r="S251" s="55" t="e">
        <f t="shared" si="58"/>
        <v>#VALUE!</v>
      </c>
      <c r="T251" s="55" t="e">
        <f t="shared" si="63"/>
        <v>#VALUE!</v>
      </c>
      <c r="U251" s="50" t="e">
        <f t="shared" si="59"/>
        <v>#VALUE!</v>
      </c>
      <c r="V251" s="50" t="e">
        <f t="shared" si="60"/>
        <v>#VALUE!</v>
      </c>
      <c r="W251" s="50" t="e">
        <f t="shared" si="61"/>
        <v>#VALUE!</v>
      </c>
    </row>
    <row r="252" spans="2:23" x14ac:dyDescent="0.25">
      <c r="B252" s="50" t="b">
        <f t="shared" si="64"/>
        <v>0</v>
      </c>
      <c r="C252" s="50" t="e">
        <f t="shared" si="65"/>
        <v>#VALUE!</v>
      </c>
      <c r="E252" s="56">
        <v>249</v>
      </c>
      <c r="G252" s="138"/>
      <c r="H252" s="135">
        <v>1</v>
      </c>
      <c r="I252" s="57" t="str">
        <f t="shared" si="62"/>
        <v/>
      </c>
      <c r="J252" s="58" t="e">
        <f t="shared" si="51"/>
        <v>#VALUE!</v>
      </c>
      <c r="K252" s="50" t="e">
        <f t="shared" si="52"/>
        <v>#VALUE!</v>
      </c>
      <c r="L252" s="50" t="e">
        <f t="shared" si="53"/>
        <v>#VALUE!</v>
      </c>
      <c r="M252" s="50" t="e">
        <f t="shared" si="53"/>
        <v>#VALUE!</v>
      </c>
      <c r="N252" s="50" t="e">
        <f t="shared" si="54"/>
        <v>#VALUE!</v>
      </c>
      <c r="O252" s="50" t="e">
        <f t="shared" si="55"/>
        <v>#VALUE!</v>
      </c>
      <c r="P252" s="50">
        <f t="shared" si="56"/>
        <v>0</v>
      </c>
      <c r="R252" s="55" t="e">
        <f t="shared" si="57"/>
        <v>#VALUE!</v>
      </c>
      <c r="S252" s="55" t="e">
        <f t="shared" si="58"/>
        <v>#VALUE!</v>
      </c>
      <c r="T252" s="55" t="e">
        <f t="shared" si="63"/>
        <v>#VALUE!</v>
      </c>
      <c r="U252" s="50" t="e">
        <f t="shared" si="59"/>
        <v>#VALUE!</v>
      </c>
      <c r="V252" s="50" t="e">
        <f t="shared" si="60"/>
        <v>#VALUE!</v>
      </c>
      <c r="W252" s="50" t="e">
        <f t="shared" si="61"/>
        <v>#VALUE!</v>
      </c>
    </row>
    <row r="253" spans="2:23" x14ac:dyDescent="0.25">
      <c r="B253" s="50" t="b">
        <f t="shared" si="64"/>
        <v>0</v>
      </c>
      <c r="C253" s="50" t="e">
        <f t="shared" si="65"/>
        <v>#VALUE!</v>
      </c>
      <c r="E253" s="56">
        <v>250</v>
      </c>
      <c r="G253" s="138"/>
      <c r="H253" s="135">
        <v>1</v>
      </c>
      <c r="I253" s="57" t="str">
        <f t="shared" si="62"/>
        <v/>
      </c>
      <c r="J253" s="58" t="e">
        <f t="shared" si="51"/>
        <v>#VALUE!</v>
      </c>
      <c r="K253" s="50" t="e">
        <f t="shared" si="52"/>
        <v>#VALUE!</v>
      </c>
      <c r="L253" s="50" t="e">
        <f t="shared" si="53"/>
        <v>#VALUE!</v>
      </c>
      <c r="M253" s="50" t="e">
        <f t="shared" si="53"/>
        <v>#VALUE!</v>
      </c>
      <c r="N253" s="50" t="e">
        <f t="shared" si="54"/>
        <v>#VALUE!</v>
      </c>
      <c r="O253" s="50" t="e">
        <f t="shared" si="55"/>
        <v>#VALUE!</v>
      </c>
      <c r="P253" s="50">
        <f t="shared" si="56"/>
        <v>0</v>
      </c>
      <c r="R253" s="55" t="e">
        <f t="shared" si="57"/>
        <v>#VALUE!</v>
      </c>
      <c r="S253" s="55" t="e">
        <f t="shared" si="58"/>
        <v>#VALUE!</v>
      </c>
      <c r="T253" s="55" t="e">
        <f t="shared" si="63"/>
        <v>#VALUE!</v>
      </c>
      <c r="U253" s="50" t="e">
        <f t="shared" si="59"/>
        <v>#VALUE!</v>
      </c>
      <c r="V253" s="50" t="e">
        <f t="shared" si="60"/>
        <v>#VALUE!</v>
      </c>
      <c r="W253" s="50" t="e">
        <f t="shared" si="61"/>
        <v>#VALUE!</v>
      </c>
    </row>
    <row r="254" spans="2:23" x14ac:dyDescent="0.25">
      <c r="B254" s="50" t="b">
        <f t="shared" si="64"/>
        <v>0</v>
      </c>
      <c r="C254" s="50" t="e">
        <f t="shared" si="65"/>
        <v>#VALUE!</v>
      </c>
      <c r="E254" s="56">
        <v>251</v>
      </c>
      <c r="G254" s="138"/>
      <c r="H254" s="135">
        <v>1</v>
      </c>
      <c r="I254" s="57" t="str">
        <f t="shared" si="62"/>
        <v/>
      </c>
      <c r="J254" s="58" t="e">
        <f t="shared" si="51"/>
        <v>#VALUE!</v>
      </c>
      <c r="K254" s="50" t="e">
        <f t="shared" si="52"/>
        <v>#VALUE!</v>
      </c>
      <c r="L254" s="50" t="e">
        <f t="shared" si="53"/>
        <v>#VALUE!</v>
      </c>
      <c r="M254" s="50" t="e">
        <f t="shared" si="53"/>
        <v>#VALUE!</v>
      </c>
      <c r="N254" s="50" t="e">
        <f t="shared" si="54"/>
        <v>#VALUE!</v>
      </c>
      <c r="O254" s="50" t="e">
        <f t="shared" si="55"/>
        <v>#VALUE!</v>
      </c>
      <c r="P254" s="50">
        <f t="shared" si="56"/>
        <v>0</v>
      </c>
      <c r="R254" s="55" t="e">
        <f t="shared" si="57"/>
        <v>#VALUE!</v>
      </c>
      <c r="S254" s="55" t="e">
        <f t="shared" si="58"/>
        <v>#VALUE!</v>
      </c>
      <c r="T254" s="55" t="e">
        <f t="shared" si="63"/>
        <v>#VALUE!</v>
      </c>
      <c r="U254" s="50" t="e">
        <f t="shared" si="59"/>
        <v>#VALUE!</v>
      </c>
      <c r="V254" s="50" t="e">
        <f t="shared" si="60"/>
        <v>#VALUE!</v>
      </c>
      <c r="W254" s="50" t="e">
        <f t="shared" si="61"/>
        <v>#VALUE!</v>
      </c>
    </row>
    <row r="255" spans="2:23" x14ac:dyDescent="0.25">
      <c r="B255" s="50" t="b">
        <f t="shared" si="64"/>
        <v>0</v>
      </c>
      <c r="C255" s="50" t="e">
        <f t="shared" si="65"/>
        <v>#VALUE!</v>
      </c>
      <c r="E255" s="56">
        <v>252</v>
      </c>
      <c r="G255" s="138"/>
      <c r="H255" s="135">
        <v>1</v>
      </c>
      <c r="I255" s="57" t="str">
        <f t="shared" si="62"/>
        <v/>
      </c>
      <c r="J255" s="58" t="e">
        <f t="shared" si="51"/>
        <v>#VALUE!</v>
      </c>
      <c r="K255" s="50" t="e">
        <f t="shared" si="52"/>
        <v>#VALUE!</v>
      </c>
      <c r="L255" s="50" t="e">
        <f t="shared" si="53"/>
        <v>#VALUE!</v>
      </c>
      <c r="M255" s="50" t="e">
        <f t="shared" si="53"/>
        <v>#VALUE!</v>
      </c>
      <c r="N255" s="50" t="e">
        <f t="shared" si="54"/>
        <v>#VALUE!</v>
      </c>
      <c r="O255" s="50" t="e">
        <f t="shared" si="55"/>
        <v>#VALUE!</v>
      </c>
      <c r="P255" s="50">
        <f t="shared" si="56"/>
        <v>0</v>
      </c>
      <c r="R255" s="55" t="e">
        <f t="shared" si="57"/>
        <v>#VALUE!</v>
      </c>
      <c r="S255" s="55" t="e">
        <f t="shared" si="58"/>
        <v>#VALUE!</v>
      </c>
      <c r="T255" s="55" t="e">
        <f t="shared" si="63"/>
        <v>#VALUE!</v>
      </c>
      <c r="U255" s="50" t="e">
        <f t="shared" si="59"/>
        <v>#VALUE!</v>
      </c>
      <c r="V255" s="50" t="e">
        <f t="shared" si="60"/>
        <v>#VALUE!</v>
      </c>
      <c r="W255" s="50" t="e">
        <f t="shared" si="61"/>
        <v>#VALUE!</v>
      </c>
    </row>
    <row r="256" spans="2:23" x14ac:dyDescent="0.25">
      <c r="B256" s="50" t="b">
        <f t="shared" si="64"/>
        <v>0</v>
      </c>
      <c r="C256" s="50" t="e">
        <f t="shared" si="65"/>
        <v>#VALUE!</v>
      </c>
      <c r="E256" s="56">
        <v>253</v>
      </c>
      <c r="G256" s="138"/>
      <c r="H256" s="135">
        <v>1</v>
      </c>
      <c r="I256" s="57" t="str">
        <f t="shared" si="62"/>
        <v/>
      </c>
      <c r="J256" s="58" t="e">
        <f t="shared" si="51"/>
        <v>#VALUE!</v>
      </c>
      <c r="K256" s="50" t="e">
        <f t="shared" si="52"/>
        <v>#VALUE!</v>
      </c>
      <c r="L256" s="50" t="e">
        <f t="shared" si="53"/>
        <v>#VALUE!</v>
      </c>
      <c r="M256" s="50" t="e">
        <f t="shared" si="53"/>
        <v>#VALUE!</v>
      </c>
      <c r="N256" s="50" t="e">
        <f t="shared" si="54"/>
        <v>#VALUE!</v>
      </c>
      <c r="O256" s="50" t="e">
        <f t="shared" si="55"/>
        <v>#VALUE!</v>
      </c>
      <c r="P256" s="50">
        <f t="shared" si="56"/>
        <v>0</v>
      </c>
      <c r="R256" s="55" t="e">
        <f t="shared" si="57"/>
        <v>#VALUE!</v>
      </c>
      <c r="S256" s="55" t="e">
        <f t="shared" si="58"/>
        <v>#VALUE!</v>
      </c>
      <c r="T256" s="55" t="e">
        <f t="shared" si="63"/>
        <v>#VALUE!</v>
      </c>
      <c r="U256" s="50" t="e">
        <f t="shared" si="59"/>
        <v>#VALUE!</v>
      </c>
      <c r="V256" s="50" t="e">
        <f t="shared" si="60"/>
        <v>#VALUE!</v>
      </c>
      <c r="W256" s="50" t="e">
        <f t="shared" si="61"/>
        <v>#VALUE!</v>
      </c>
    </row>
    <row r="257" spans="2:23" x14ac:dyDescent="0.25">
      <c r="B257" s="50" t="b">
        <f t="shared" si="64"/>
        <v>0</v>
      </c>
      <c r="C257" s="50" t="e">
        <f t="shared" si="65"/>
        <v>#VALUE!</v>
      </c>
      <c r="E257" s="56">
        <v>254</v>
      </c>
      <c r="G257" s="138"/>
      <c r="H257" s="135">
        <v>1</v>
      </c>
      <c r="I257" s="57" t="str">
        <f t="shared" si="62"/>
        <v/>
      </c>
      <c r="J257" s="58" t="e">
        <f t="shared" si="51"/>
        <v>#VALUE!</v>
      </c>
      <c r="K257" s="50" t="e">
        <f t="shared" si="52"/>
        <v>#VALUE!</v>
      </c>
      <c r="L257" s="50" t="e">
        <f t="shared" si="53"/>
        <v>#VALUE!</v>
      </c>
      <c r="M257" s="50" t="e">
        <f t="shared" si="53"/>
        <v>#VALUE!</v>
      </c>
      <c r="N257" s="50" t="e">
        <f t="shared" si="54"/>
        <v>#VALUE!</v>
      </c>
      <c r="O257" s="50" t="e">
        <f t="shared" si="55"/>
        <v>#VALUE!</v>
      </c>
      <c r="P257" s="50">
        <f t="shared" si="56"/>
        <v>0</v>
      </c>
      <c r="R257" s="55" t="e">
        <f t="shared" si="57"/>
        <v>#VALUE!</v>
      </c>
      <c r="S257" s="55" t="e">
        <f t="shared" si="58"/>
        <v>#VALUE!</v>
      </c>
      <c r="T257" s="55" t="e">
        <f t="shared" si="63"/>
        <v>#VALUE!</v>
      </c>
      <c r="U257" s="50" t="e">
        <f t="shared" si="59"/>
        <v>#VALUE!</v>
      </c>
      <c r="V257" s="50" t="e">
        <f t="shared" si="60"/>
        <v>#VALUE!</v>
      </c>
      <c r="W257" s="50" t="e">
        <f t="shared" si="61"/>
        <v>#VALUE!</v>
      </c>
    </row>
    <row r="258" spans="2:23" x14ac:dyDescent="0.25">
      <c r="B258" s="50" t="b">
        <f t="shared" si="64"/>
        <v>0</v>
      </c>
      <c r="C258" s="50" t="e">
        <f t="shared" si="65"/>
        <v>#VALUE!</v>
      </c>
      <c r="E258" s="56">
        <v>255</v>
      </c>
      <c r="G258" s="138"/>
      <c r="H258" s="135">
        <v>1</v>
      </c>
      <c r="I258" s="57" t="str">
        <f t="shared" si="62"/>
        <v/>
      </c>
      <c r="J258" s="58" t="e">
        <f t="shared" si="51"/>
        <v>#VALUE!</v>
      </c>
      <c r="K258" s="50" t="e">
        <f t="shared" si="52"/>
        <v>#VALUE!</v>
      </c>
      <c r="L258" s="50" t="e">
        <f t="shared" si="53"/>
        <v>#VALUE!</v>
      </c>
      <c r="M258" s="50" t="e">
        <f t="shared" si="53"/>
        <v>#VALUE!</v>
      </c>
      <c r="N258" s="50" t="e">
        <f t="shared" si="54"/>
        <v>#VALUE!</v>
      </c>
      <c r="O258" s="50" t="e">
        <f t="shared" si="55"/>
        <v>#VALUE!</v>
      </c>
      <c r="P258" s="50">
        <f t="shared" si="56"/>
        <v>0</v>
      </c>
      <c r="R258" s="55" t="e">
        <f t="shared" si="57"/>
        <v>#VALUE!</v>
      </c>
      <c r="S258" s="55" t="e">
        <f t="shared" si="58"/>
        <v>#VALUE!</v>
      </c>
      <c r="T258" s="55" t="e">
        <f t="shared" si="63"/>
        <v>#VALUE!</v>
      </c>
      <c r="U258" s="50" t="e">
        <f t="shared" si="59"/>
        <v>#VALUE!</v>
      </c>
      <c r="V258" s="50" t="e">
        <f t="shared" si="60"/>
        <v>#VALUE!</v>
      </c>
      <c r="W258" s="50" t="e">
        <f t="shared" si="61"/>
        <v>#VALUE!</v>
      </c>
    </row>
    <row r="259" spans="2:23" x14ac:dyDescent="0.25">
      <c r="B259" s="50" t="b">
        <f t="shared" si="64"/>
        <v>0</v>
      </c>
      <c r="C259" s="50" t="e">
        <f t="shared" si="65"/>
        <v>#VALUE!</v>
      </c>
      <c r="E259" s="56">
        <v>256</v>
      </c>
      <c r="G259" s="138"/>
      <c r="H259" s="135">
        <v>1</v>
      </c>
      <c r="I259" s="57" t="str">
        <f t="shared" si="62"/>
        <v/>
      </c>
      <c r="J259" s="58" t="e">
        <f t="shared" si="51"/>
        <v>#VALUE!</v>
      </c>
      <c r="K259" s="50" t="e">
        <f t="shared" si="52"/>
        <v>#VALUE!</v>
      </c>
      <c r="L259" s="50" t="e">
        <f t="shared" si="53"/>
        <v>#VALUE!</v>
      </c>
      <c r="M259" s="50" t="e">
        <f t="shared" si="53"/>
        <v>#VALUE!</v>
      </c>
      <c r="N259" s="50" t="e">
        <f t="shared" si="54"/>
        <v>#VALUE!</v>
      </c>
      <c r="O259" s="50" t="e">
        <f t="shared" si="55"/>
        <v>#VALUE!</v>
      </c>
      <c r="P259" s="50">
        <f t="shared" si="56"/>
        <v>0</v>
      </c>
      <c r="R259" s="55" t="e">
        <f t="shared" si="57"/>
        <v>#VALUE!</v>
      </c>
      <c r="S259" s="55" t="e">
        <f t="shared" si="58"/>
        <v>#VALUE!</v>
      </c>
      <c r="T259" s="55" t="e">
        <f t="shared" si="63"/>
        <v>#VALUE!</v>
      </c>
      <c r="U259" s="50" t="e">
        <f t="shared" si="59"/>
        <v>#VALUE!</v>
      </c>
      <c r="V259" s="50" t="e">
        <f t="shared" si="60"/>
        <v>#VALUE!</v>
      </c>
      <c r="W259" s="50" t="e">
        <f t="shared" si="61"/>
        <v>#VALUE!</v>
      </c>
    </row>
    <row r="260" spans="2:23" x14ac:dyDescent="0.25">
      <c r="B260" s="50" t="b">
        <f t="shared" si="64"/>
        <v>0</v>
      </c>
      <c r="C260" s="50" t="e">
        <f t="shared" si="65"/>
        <v>#VALUE!</v>
      </c>
      <c r="E260" s="56">
        <v>257</v>
      </c>
      <c r="G260" s="138"/>
      <c r="H260" s="135">
        <v>1</v>
      </c>
      <c r="I260" s="57" t="str">
        <f t="shared" si="62"/>
        <v/>
      </c>
      <c r="J260" s="58" t="e">
        <f t="shared" si="51"/>
        <v>#VALUE!</v>
      </c>
      <c r="K260" s="50" t="e">
        <f t="shared" si="52"/>
        <v>#VALUE!</v>
      </c>
      <c r="L260" s="50" t="e">
        <f t="shared" si="53"/>
        <v>#VALUE!</v>
      </c>
      <c r="M260" s="50" t="e">
        <f t="shared" si="53"/>
        <v>#VALUE!</v>
      </c>
      <c r="N260" s="50" t="e">
        <f t="shared" si="54"/>
        <v>#VALUE!</v>
      </c>
      <c r="O260" s="50" t="e">
        <f t="shared" si="55"/>
        <v>#VALUE!</v>
      </c>
      <c r="P260" s="50">
        <f t="shared" si="56"/>
        <v>0</v>
      </c>
      <c r="R260" s="55" t="e">
        <f t="shared" si="57"/>
        <v>#VALUE!</v>
      </c>
      <c r="S260" s="55" t="e">
        <f t="shared" si="58"/>
        <v>#VALUE!</v>
      </c>
      <c r="T260" s="55" t="e">
        <f t="shared" si="63"/>
        <v>#VALUE!</v>
      </c>
      <c r="U260" s="50" t="e">
        <f t="shared" si="59"/>
        <v>#VALUE!</v>
      </c>
      <c r="V260" s="50" t="e">
        <f t="shared" si="60"/>
        <v>#VALUE!</v>
      </c>
      <c r="W260" s="50" t="e">
        <f t="shared" si="61"/>
        <v>#VALUE!</v>
      </c>
    </row>
    <row r="261" spans="2:23" x14ac:dyDescent="0.25">
      <c r="B261" s="50" t="b">
        <f t="shared" si="64"/>
        <v>0</v>
      </c>
      <c r="C261" s="50" t="e">
        <f t="shared" si="65"/>
        <v>#VALUE!</v>
      </c>
      <c r="E261" s="56">
        <v>258</v>
      </c>
      <c r="G261" s="138"/>
      <c r="H261" s="135">
        <v>1</v>
      </c>
      <c r="I261" s="57" t="str">
        <f t="shared" si="62"/>
        <v/>
      </c>
      <c r="J261" s="58" t="e">
        <f t="shared" ref="J261:J324" si="66">RIGHT(I261,K261)</f>
        <v>#VALUE!</v>
      </c>
      <c r="K261" s="50" t="e">
        <f t="shared" ref="K261:K324" si="67">P261-N261</f>
        <v>#VALUE!</v>
      </c>
      <c r="L261" s="50" t="e">
        <f t="shared" ref="L261:M324" si="68">O261-N261</f>
        <v>#VALUE!</v>
      </c>
      <c r="M261" s="50" t="e">
        <f t="shared" si="68"/>
        <v>#VALUE!</v>
      </c>
      <c r="N261" s="50" t="e">
        <f t="shared" ref="N261:N324" si="69">SEARCH("-",I261,2)</f>
        <v>#VALUE!</v>
      </c>
      <c r="O261" s="50" t="e">
        <f t="shared" ref="O261:O324" si="70">SEARCH("-",I261,N261+1)</f>
        <v>#VALUE!</v>
      </c>
      <c r="P261" s="50">
        <f t="shared" ref="P261:P324" si="71">LEN(I261)</f>
        <v>0</v>
      </c>
      <c r="R261" s="55" t="e">
        <f t="shared" ref="R261:R324" si="72">LEFT(I261,N261-1)</f>
        <v>#VALUE!</v>
      </c>
      <c r="S261" s="55" t="e">
        <f t="shared" ref="S261:S324" si="73">LEFT(J261,L261-1)</f>
        <v>#VALUE!</v>
      </c>
      <c r="T261" s="55" t="e">
        <f t="shared" si="63"/>
        <v>#VALUE!</v>
      </c>
      <c r="U261" s="50" t="e">
        <f t="shared" ref="U261:U324" si="74">R261*1*$H261</f>
        <v>#VALUE!</v>
      </c>
      <c r="V261" s="50" t="e">
        <f t="shared" ref="V261:V324" si="75">S261*1*$H261</f>
        <v>#VALUE!</v>
      </c>
      <c r="W261" s="50" t="e">
        <f t="shared" ref="W261:W324" si="76">T261*1*$H261</f>
        <v>#VALUE!</v>
      </c>
    </row>
    <row r="262" spans="2:23" x14ac:dyDescent="0.25">
      <c r="B262" s="50" t="b">
        <f t="shared" si="64"/>
        <v>0</v>
      </c>
      <c r="C262" s="50" t="e">
        <f t="shared" si="65"/>
        <v>#VALUE!</v>
      </c>
      <c r="E262" s="56">
        <v>259</v>
      </c>
      <c r="G262" s="138"/>
      <c r="H262" s="135">
        <v>1</v>
      </c>
      <c r="I262" s="57" t="str">
        <f t="shared" ref="I262:I325" si="77">IF(G262="","",G262&amp;""&amp;"-0")</f>
        <v/>
      </c>
      <c r="J262" s="58" t="e">
        <f t="shared" si="66"/>
        <v>#VALUE!</v>
      </c>
      <c r="K262" s="50" t="e">
        <f t="shared" si="67"/>
        <v>#VALUE!</v>
      </c>
      <c r="L262" s="50" t="e">
        <f t="shared" si="68"/>
        <v>#VALUE!</v>
      </c>
      <c r="M262" s="50" t="e">
        <f t="shared" si="68"/>
        <v>#VALUE!</v>
      </c>
      <c r="N262" s="50" t="e">
        <f t="shared" si="69"/>
        <v>#VALUE!</v>
      </c>
      <c r="O262" s="50" t="e">
        <f t="shared" si="70"/>
        <v>#VALUE!</v>
      </c>
      <c r="P262" s="50">
        <f t="shared" si="71"/>
        <v>0</v>
      </c>
      <c r="R262" s="55" t="e">
        <f t="shared" si="72"/>
        <v>#VALUE!</v>
      </c>
      <c r="S262" s="55" t="e">
        <f t="shared" si="73"/>
        <v>#VALUE!</v>
      </c>
      <c r="T262" s="55" t="e">
        <f t="shared" ref="T262:T325" si="78">RIGHT(I262,M262)</f>
        <v>#VALUE!</v>
      </c>
      <c r="U262" s="50" t="e">
        <f t="shared" si="74"/>
        <v>#VALUE!</v>
      </c>
      <c r="V262" s="50" t="e">
        <f t="shared" si="75"/>
        <v>#VALUE!</v>
      </c>
      <c r="W262" s="50" t="e">
        <f t="shared" si="76"/>
        <v>#VALUE!</v>
      </c>
    </row>
    <row r="263" spans="2:23" x14ac:dyDescent="0.25">
      <c r="B263" s="50" t="b">
        <f t="shared" si="64"/>
        <v>0</v>
      </c>
      <c r="C263" s="50" t="e">
        <f t="shared" si="65"/>
        <v>#VALUE!</v>
      </c>
      <c r="E263" s="56">
        <v>260</v>
      </c>
      <c r="G263" s="138"/>
      <c r="H263" s="135">
        <v>1</v>
      </c>
      <c r="I263" s="57" t="str">
        <f t="shared" si="77"/>
        <v/>
      </c>
      <c r="J263" s="58" t="e">
        <f t="shared" si="66"/>
        <v>#VALUE!</v>
      </c>
      <c r="K263" s="50" t="e">
        <f t="shared" si="67"/>
        <v>#VALUE!</v>
      </c>
      <c r="L263" s="50" t="e">
        <f t="shared" si="68"/>
        <v>#VALUE!</v>
      </c>
      <c r="M263" s="50" t="e">
        <f t="shared" si="68"/>
        <v>#VALUE!</v>
      </c>
      <c r="N263" s="50" t="e">
        <f t="shared" si="69"/>
        <v>#VALUE!</v>
      </c>
      <c r="O263" s="50" t="e">
        <f t="shared" si="70"/>
        <v>#VALUE!</v>
      </c>
      <c r="P263" s="50">
        <f t="shared" si="71"/>
        <v>0</v>
      </c>
      <c r="R263" s="55" t="e">
        <f t="shared" si="72"/>
        <v>#VALUE!</v>
      </c>
      <c r="S263" s="55" t="e">
        <f t="shared" si="73"/>
        <v>#VALUE!</v>
      </c>
      <c r="T263" s="55" t="e">
        <f t="shared" si="78"/>
        <v>#VALUE!</v>
      </c>
      <c r="U263" s="50" t="e">
        <f t="shared" si="74"/>
        <v>#VALUE!</v>
      </c>
      <c r="V263" s="50" t="e">
        <f t="shared" si="75"/>
        <v>#VALUE!</v>
      </c>
      <c r="W263" s="50" t="e">
        <f t="shared" si="76"/>
        <v>#VALUE!</v>
      </c>
    </row>
    <row r="264" spans="2:23" x14ac:dyDescent="0.25">
      <c r="B264" s="50" t="b">
        <f t="shared" si="64"/>
        <v>0</v>
      </c>
      <c r="C264" s="50" t="e">
        <f t="shared" si="65"/>
        <v>#VALUE!</v>
      </c>
      <c r="E264" s="56">
        <v>261</v>
      </c>
      <c r="G264" s="138"/>
      <c r="H264" s="135">
        <v>1</v>
      </c>
      <c r="I264" s="57" t="str">
        <f t="shared" si="77"/>
        <v/>
      </c>
      <c r="J264" s="58" t="e">
        <f t="shared" si="66"/>
        <v>#VALUE!</v>
      </c>
      <c r="K264" s="50" t="e">
        <f t="shared" si="67"/>
        <v>#VALUE!</v>
      </c>
      <c r="L264" s="50" t="e">
        <f t="shared" si="68"/>
        <v>#VALUE!</v>
      </c>
      <c r="M264" s="50" t="e">
        <f t="shared" si="68"/>
        <v>#VALUE!</v>
      </c>
      <c r="N264" s="50" t="e">
        <f t="shared" si="69"/>
        <v>#VALUE!</v>
      </c>
      <c r="O264" s="50" t="e">
        <f t="shared" si="70"/>
        <v>#VALUE!</v>
      </c>
      <c r="P264" s="50">
        <f t="shared" si="71"/>
        <v>0</v>
      </c>
      <c r="R264" s="55" t="e">
        <f t="shared" si="72"/>
        <v>#VALUE!</v>
      </c>
      <c r="S264" s="55" t="e">
        <f t="shared" si="73"/>
        <v>#VALUE!</v>
      </c>
      <c r="T264" s="55" t="e">
        <f t="shared" si="78"/>
        <v>#VALUE!</v>
      </c>
      <c r="U264" s="50" t="e">
        <f t="shared" si="74"/>
        <v>#VALUE!</v>
      </c>
      <c r="V264" s="50" t="e">
        <f t="shared" si="75"/>
        <v>#VALUE!</v>
      </c>
      <c r="W264" s="50" t="e">
        <f t="shared" si="76"/>
        <v>#VALUE!</v>
      </c>
    </row>
    <row r="265" spans="2:23" x14ac:dyDescent="0.25">
      <c r="B265" s="50" t="b">
        <f t="shared" si="64"/>
        <v>0</v>
      </c>
      <c r="C265" s="50" t="e">
        <f t="shared" si="65"/>
        <v>#VALUE!</v>
      </c>
      <c r="E265" s="56">
        <v>262</v>
      </c>
      <c r="G265" s="138"/>
      <c r="H265" s="135">
        <v>1</v>
      </c>
      <c r="I265" s="57" t="str">
        <f t="shared" si="77"/>
        <v/>
      </c>
      <c r="J265" s="58" t="e">
        <f t="shared" si="66"/>
        <v>#VALUE!</v>
      </c>
      <c r="K265" s="50" t="e">
        <f t="shared" si="67"/>
        <v>#VALUE!</v>
      </c>
      <c r="L265" s="50" t="e">
        <f t="shared" si="68"/>
        <v>#VALUE!</v>
      </c>
      <c r="M265" s="50" t="e">
        <f t="shared" si="68"/>
        <v>#VALUE!</v>
      </c>
      <c r="N265" s="50" t="e">
        <f t="shared" si="69"/>
        <v>#VALUE!</v>
      </c>
      <c r="O265" s="50" t="e">
        <f t="shared" si="70"/>
        <v>#VALUE!</v>
      </c>
      <c r="P265" s="50">
        <f t="shared" si="71"/>
        <v>0</v>
      </c>
      <c r="R265" s="55" t="e">
        <f t="shared" si="72"/>
        <v>#VALUE!</v>
      </c>
      <c r="S265" s="55" t="e">
        <f t="shared" si="73"/>
        <v>#VALUE!</v>
      </c>
      <c r="T265" s="55" t="e">
        <f t="shared" si="78"/>
        <v>#VALUE!</v>
      </c>
      <c r="U265" s="50" t="e">
        <f t="shared" si="74"/>
        <v>#VALUE!</v>
      </c>
      <c r="V265" s="50" t="e">
        <f t="shared" si="75"/>
        <v>#VALUE!</v>
      </c>
      <c r="W265" s="50" t="e">
        <f t="shared" si="76"/>
        <v>#VALUE!</v>
      </c>
    </row>
    <row r="266" spans="2:23" x14ac:dyDescent="0.25">
      <c r="B266" s="50" t="b">
        <f t="shared" si="64"/>
        <v>0</v>
      </c>
      <c r="C266" s="50" t="e">
        <f t="shared" si="65"/>
        <v>#VALUE!</v>
      </c>
      <c r="E266" s="56">
        <v>263</v>
      </c>
      <c r="G266" s="138"/>
      <c r="H266" s="135">
        <v>1</v>
      </c>
      <c r="I266" s="57" t="str">
        <f t="shared" si="77"/>
        <v/>
      </c>
      <c r="J266" s="58" t="e">
        <f t="shared" si="66"/>
        <v>#VALUE!</v>
      </c>
      <c r="K266" s="50" t="e">
        <f t="shared" si="67"/>
        <v>#VALUE!</v>
      </c>
      <c r="L266" s="50" t="e">
        <f t="shared" si="68"/>
        <v>#VALUE!</v>
      </c>
      <c r="M266" s="50" t="e">
        <f t="shared" si="68"/>
        <v>#VALUE!</v>
      </c>
      <c r="N266" s="50" t="e">
        <f t="shared" si="69"/>
        <v>#VALUE!</v>
      </c>
      <c r="O266" s="50" t="e">
        <f t="shared" si="70"/>
        <v>#VALUE!</v>
      </c>
      <c r="P266" s="50">
        <f t="shared" si="71"/>
        <v>0</v>
      </c>
      <c r="R266" s="55" t="e">
        <f t="shared" si="72"/>
        <v>#VALUE!</v>
      </c>
      <c r="S266" s="55" t="e">
        <f t="shared" si="73"/>
        <v>#VALUE!</v>
      </c>
      <c r="T266" s="55" t="e">
        <f t="shared" si="78"/>
        <v>#VALUE!</v>
      </c>
      <c r="U266" s="50" t="e">
        <f t="shared" si="74"/>
        <v>#VALUE!</v>
      </c>
      <c r="V266" s="50" t="e">
        <f t="shared" si="75"/>
        <v>#VALUE!</v>
      </c>
      <c r="W266" s="50" t="e">
        <f t="shared" si="76"/>
        <v>#VALUE!</v>
      </c>
    </row>
    <row r="267" spans="2:23" x14ac:dyDescent="0.25">
      <c r="B267" s="50" t="b">
        <f t="shared" si="64"/>
        <v>0</v>
      </c>
      <c r="C267" s="50" t="e">
        <f t="shared" si="65"/>
        <v>#VALUE!</v>
      </c>
      <c r="E267" s="56">
        <v>264</v>
      </c>
      <c r="G267" s="138"/>
      <c r="H267" s="135">
        <v>1</v>
      </c>
      <c r="I267" s="57" t="str">
        <f t="shared" si="77"/>
        <v/>
      </c>
      <c r="J267" s="58" t="e">
        <f t="shared" si="66"/>
        <v>#VALUE!</v>
      </c>
      <c r="K267" s="50" t="e">
        <f t="shared" si="67"/>
        <v>#VALUE!</v>
      </c>
      <c r="L267" s="50" t="e">
        <f t="shared" si="68"/>
        <v>#VALUE!</v>
      </c>
      <c r="M267" s="50" t="e">
        <f t="shared" si="68"/>
        <v>#VALUE!</v>
      </c>
      <c r="N267" s="50" t="e">
        <f t="shared" si="69"/>
        <v>#VALUE!</v>
      </c>
      <c r="O267" s="50" t="e">
        <f t="shared" si="70"/>
        <v>#VALUE!</v>
      </c>
      <c r="P267" s="50">
        <f t="shared" si="71"/>
        <v>0</v>
      </c>
      <c r="R267" s="55" t="e">
        <f t="shared" si="72"/>
        <v>#VALUE!</v>
      </c>
      <c r="S267" s="55" t="e">
        <f t="shared" si="73"/>
        <v>#VALUE!</v>
      </c>
      <c r="T267" s="55" t="e">
        <f t="shared" si="78"/>
        <v>#VALUE!</v>
      </c>
      <c r="U267" s="50" t="e">
        <f t="shared" si="74"/>
        <v>#VALUE!</v>
      </c>
      <c r="V267" s="50" t="e">
        <f t="shared" si="75"/>
        <v>#VALUE!</v>
      </c>
      <c r="W267" s="50" t="e">
        <f t="shared" si="76"/>
        <v>#VALUE!</v>
      </c>
    </row>
    <row r="268" spans="2:23" x14ac:dyDescent="0.25">
      <c r="B268" s="50" t="b">
        <f t="shared" si="64"/>
        <v>0</v>
      </c>
      <c r="C268" s="50" t="e">
        <f t="shared" si="65"/>
        <v>#VALUE!</v>
      </c>
      <c r="E268" s="56">
        <v>265</v>
      </c>
      <c r="G268" s="138"/>
      <c r="H268" s="135">
        <v>1</v>
      </c>
      <c r="I268" s="57" t="str">
        <f t="shared" si="77"/>
        <v/>
      </c>
      <c r="J268" s="58" t="e">
        <f t="shared" si="66"/>
        <v>#VALUE!</v>
      </c>
      <c r="K268" s="50" t="e">
        <f t="shared" si="67"/>
        <v>#VALUE!</v>
      </c>
      <c r="L268" s="50" t="e">
        <f t="shared" si="68"/>
        <v>#VALUE!</v>
      </c>
      <c r="M268" s="50" t="e">
        <f t="shared" si="68"/>
        <v>#VALUE!</v>
      </c>
      <c r="N268" s="50" t="e">
        <f t="shared" si="69"/>
        <v>#VALUE!</v>
      </c>
      <c r="O268" s="50" t="e">
        <f t="shared" si="70"/>
        <v>#VALUE!</v>
      </c>
      <c r="P268" s="50">
        <f t="shared" si="71"/>
        <v>0</v>
      </c>
      <c r="R268" s="55" t="e">
        <f t="shared" si="72"/>
        <v>#VALUE!</v>
      </c>
      <c r="S268" s="55" t="e">
        <f t="shared" si="73"/>
        <v>#VALUE!</v>
      </c>
      <c r="T268" s="55" t="e">
        <f t="shared" si="78"/>
        <v>#VALUE!</v>
      </c>
      <c r="U268" s="50" t="e">
        <f t="shared" si="74"/>
        <v>#VALUE!</v>
      </c>
      <c r="V268" s="50" t="e">
        <f t="shared" si="75"/>
        <v>#VALUE!</v>
      </c>
      <c r="W268" s="50" t="e">
        <f t="shared" si="76"/>
        <v>#VALUE!</v>
      </c>
    </row>
    <row r="269" spans="2:23" x14ac:dyDescent="0.25">
      <c r="B269" s="50" t="b">
        <f t="shared" si="64"/>
        <v>0</v>
      </c>
      <c r="C269" s="50" t="e">
        <f t="shared" si="65"/>
        <v>#VALUE!</v>
      </c>
      <c r="E269" s="56">
        <v>266</v>
      </c>
      <c r="G269" s="138"/>
      <c r="H269" s="135">
        <v>1</v>
      </c>
      <c r="I269" s="57" t="str">
        <f t="shared" si="77"/>
        <v/>
      </c>
      <c r="J269" s="58" t="e">
        <f t="shared" si="66"/>
        <v>#VALUE!</v>
      </c>
      <c r="K269" s="50" t="e">
        <f t="shared" si="67"/>
        <v>#VALUE!</v>
      </c>
      <c r="L269" s="50" t="e">
        <f t="shared" si="68"/>
        <v>#VALUE!</v>
      </c>
      <c r="M269" s="50" t="e">
        <f t="shared" si="68"/>
        <v>#VALUE!</v>
      </c>
      <c r="N269" s="50" t="e">
        <f t="shared" si="69"/>
        <v>#VALUE!</v>
      </c>
      <c r="O269" s="50" t="e">
        <f t="shared" si="70"/>
        <v>#VALUE!</v>
      </c>
      <c r="P269" s="50">
        <f t="shared" si="71"/>
        <v>0</v>
      </c>
      <c r="R269" s="55" t="e">
        <f t="shared" si="72"/>
        <v>#VALUE!</v>
      </c>
      <c r="S269" s="55" t="e">
        <f t="shared" si="73"/>
        <v>#VALUE!</v>
      </c>
      <c r="T269" s="55" t="e">
        <f t="shared" si="78"/>
        <v>#VALUE!</v>
      </c>
      <c r="U269" s="50" t="e">
        <f t="shared" si="74"/>
        <v>#VALUE!</v>
      </c>
      <c r="V269" s="50" t="e">
        <f t="shared" si="75"/>
        <v>#VALUE!</v>
      </c>
      <c r="W269" s="50" t="e">
        <f t="shared" si="76"/>
        <v>#VALUE!</v>
      </c>
    </row>
    <row r="270" spans="2:23" x14ac:dyDescent="0.25">
      <c r="B270" s="50" t="b">
        <f t="shared" ref="B270:B333" si="79">ISNUMBER(C270)</f>
        <v>0</v>
      </c>
      <c r="C270" s="50" t="e">
        <f t="shared" si="65"/>
        <v>#VALUE!</v>
      </c>
      <c r="E270" s="56">
        <v>267</v>
      </c>
      <c r="G270" s="138"/>
      <c r="H270" s="135">
        <v>1</v>
      </c>
      <c r="I270" s="57" t="str">
        <f t="shared" si="77"/>
        <v/>
      </c>
      <c r="J270" s="58" t="e">
        <f t="shared" si="66"/>
        <v>#VALUE!</v>
      </c>
      <c r="K270" s="50" t="e">
        <f t="shared" si="67"/>
        <v>#VALUE!</v>
      </c>
      <c r="L270" s="50" t="e">
        <f t="shared" si="68"/>
        <v>#VALUE!</v>
      </c>
      <c r="M270" s="50" t="e">
        <f t="shared" si="68"/>
        <v>#VALUE!</v>
      </c>
      <c r="N270" s="50" t="e">
        <f t="shared" si="69"/>
        <v>#VALUE!</v>
      </c>
      <c r="O270" s="50" t="e">
        <f t="shared" si="70"/>
        <v>#VALUE!</v>
      </c>
      <c r="P270" s="50">
        <f t="shared" si="71"/>
        <v>0</v>
      </c>
      <c r="R270" s="55" t="e">
        <f t="shared" si="72"/>
        <v>#VALUE!</v>
      </c>
      <c r="S270" s="55" t="e">
        <f t="shared" si="73"/>
        <v>#VALUE!</v>
      </c>
      <c r="T270" s="55" t="e">
        <f t="shared" si="78"/>
        <v>#VALUE!</v>
      </c>
      <c r="U270" s="50" t="e">
        <f t="shared" si="74"/>
        <v>#VALUE!</v>
      </c>
      <c r="V270" s="50" t="e">
        <f t="shared" si="75"/>
        <v>#VALUE!</v>
      </c>
      <c r="W270" s="50" t="e">
        <f t="shared" si="76"/>
        <v>#VALUE!</v>
      </c>
    </row>
    <row r="271" spans="2:23" x14ac:dyDescent="0.25">
      <c r="B271" s="50" t="b">
        <f t="shared" si="79"/>
        <v>0</v>
      </c>
      <c r="C271" s="50" t="e">
        <f t="shared" si="65"/>
        <v>#VALUE!</v>
      </c>
      <c r="E271" s="56">
        <v>268</v>
      </c>
      <c r="G271" s="138"/>
      <c r="H271" s="135">
        <v>1</v>
      </c>
      <c r="I271" s="57" t="str">
        <f t="shared" si="77"/>
        <v/>
      </c>
      <c r="J271" s="58" t="e">
        <f t="shared" si="66"/>
        <v>#VALUE!</v>
      </c>
      <c r="K271" s="50" t="e">
        <f t="shared" si="67"/>
        <v>#VALUE!</v>
      </c>
      <c r="L271" s="50" t="e">
        <f t="shared" si="68"/>
        <v>#VALUE!</v>
      </c>
      <c r="M271" s="50" t="e">
        <f t="shared" si="68"/>
        <v>#VALUE!</v>
      </c>
      <c r="N271" s="50" t="e">
        <f t="shared" si="69"/>
        <v>#VALUE!</v>
      </c>
      <c r="O271" s="50" t="e">
        <f t="shared" si="70"/>
        <v>#VALUE!</v>
      </c>
      <c r="P271" s="50">
        <f t="shared" si="71"/>
        <v>0</v>
      </c>
      <c r="R271" s="55" t="e">
        <f t="shared" si="72"/>
        <v>#VALUE!</v>
      </c>
      <c r="S271" s="55" t="e">
        <f t="shared" si="73"/>
        <v>#VALUE!</v>
      </c>
      <c r="T271" s="55" t="e">
        <f t="shared" si="78"/>
        <v>#VALUE!</v>
      </c>
      <c r="U271" s="50" t="e">
        <f t="shared" si="74"/>
        <v>#VALUE!</v>
      </c>
      <c r="V271" s="50" t="e">
        <f t="shared" si="75"/>
        <v>#VALUE!</v>
      </c>
      <c r="W271" s="50" t="e">
        <f t="shared" si="76"/>
        <v>#VALUE!</v>
      </c>
    </row>
    <row r="272" spans="2:23" x14ac:dyDescent="0.25">
      <c r="B272" s="50" t="b">
        <f t="shared" si="79"/>
        <v>0</v>
      </c>
      <c r="C272" s="50" t="e">
        <f t="shared" si="65"/>
        <v>#VALUE!</v>
      </c>
      <c r="E272" s="56">
        <v>269</v>
      </c>
      <c r="G272" s="138"/>
      <c r="H272" s="135">
        <v>1</v>
      </c>
      <c r="I272" s="57" t="str">
        <f t="shared" si="77"/>
        <v/>
      </c>
      <c r="J272" s="58" t="e">
        <f t="shared" si="66"/>
        <v>#VALUE!</v>
      </c>
      <c r="K272" s="50" t="e">
        <f t="shared" si="67"/>
        <v>#VALUE!</v>
      </c>
      <c r="L272" s="50" t="e">
        <f t="shared" si="68"/>
        <v>#VALUE!</v>
      </c>
      <c r="M272" s="50" t="e">
        <f t="shared" si="68"/>
        <v>#VALUE!</v>
      </c>
      <c r="N272" s="50" t="e">
        <f t="shared" si="69"/>
        <v>#VALUE!</v>
      </c>
      <c r="O272" s="50" t="e">
        <f t="shared" si="70"/>
        <v>#VALUE!</v>
      </c>
      <c r="P272" s="50">
        <f t="shared" si="71"/>
        <v>0</v>
      </c>
      <c r="R272" s="55" t="e">
        <f t="shared" si="72"/>
        <v>#VALUE!</v>
      </c>
      <c r="S272" s="55" t="e">
        <f t="shared" si="73"/>
        <v>#VALUE!</v>
      </c>
      <c r="T272" s="55" t="e">
        <f t="shared" si="78"/>
        <v>#VALUE!</v>
      </c>
      <c r="U272" s="50" t="e">
        <f t="shared" si="74"/>
        <v>#VALUE!</v>
      </c>
      <c r="V272" s="50" t="e">
        <f t="shared" si="75"/>
        <v>#VALUE!</v>
      </c>
      <c r="W272" s="50" t="e">
        <f t="shared" si="76"/>
        <v>#VALUE!</v>
      </c>
    </row>
    <row r="273" spans="2:23" x14ac:dyDescent="0.25">
      <c r="B273" s="50" t="b">
        <f t="shared" si="79"/>
        <v>0</v>
      </c>
      <c r="C273" s="50" t="e">
        <f t="shared" si="65"/>
        <v>#VALUE!</v>
      </c>
      <c r="E273" s="56">
        <v>270</v>
      </c>
      <c r="G273" s="138"/>
      <c r="H273" s="135">
        <v>1</v>
      </c>
      <c r="I273" s="57" t="str">
        <f t="shared" si="77"/>
        <v/>
      </c>
      <c r="J273" s="58" t="e">
        <f t="shared" si="66"/>
        <v>#VALUE!</v>
      </c>
      <c r="K273" s="50" t="e">
        <f t="shared" si="67"/>
        <v>#VALUE!</v>
      </c>
      <c r="L273" s="50" t="e">
        <f t="shared" si="68"/>
        <v>#VALUE!</v>
      </c>
      <c r="M273" s="50" t="e">
        <f t="shared" si="68"/>
        <v>#VALUE!</v>
      </c>
      <c r="N273" s="50" t="e">
        <f t="shared" si="69"/>
        <v>#VALUE!</v>
      </c>
      <c r="O273" s="50" t="e">
        <f t="shared" si="70"/>
        <v>#VALUE!</v>
      </c>
      <c r="P273" s="50">
        <f t="shared" si="71"/>
        <v>0</v>
      </c>
      <c r="R273" s="55" t="e">
        <f t="shared" si="72"/>
        <v>#VALUE!</v>
      </c>
      <c r="S273" s="55" t="e">
        <f t="shared" si="73"/>
        <v>#VALUE!</v>
      </c>
      <c r="T273" s="55" t="e">
        <f t="shared" si="78"/>
        <v>#VALUE!</v>
      </c>
      <c r="U273" s="50" t="e">
        <f t="shared" si="74"/>
        <v>#VALUE!</v>
      </c>
      <c r="V273" s="50" t="e">
        <f t="shared" si="75"/>
        <v>#VALUE!</v>
      </c>
      <c r="W273" s="50" t="e">
        <f t="shared" si="76"/>
        <v>#VALUE!</v>
      </c>
    </row>
    <row r="274" spans="2:23" x14ac:dyDescent="0.25">
      <c r="B274" s="50" t="b">
        <f t="shared" si="79"/>
        <v>0</v>
      </c>
      <c r="C274" s="50" t="e">
        <f t="shared" si="65"/>
        <v>#VALUE!</v>
      </c>
      <c r="E274" s="56">
        <v>271</v>
      </c>
      <c r="G274" s="138"/>
      <c r="H274" s="135">
        <v>1</v>
      </c>
      <c r="I274" s="57" t="str">
        <f t="shared" si="77"/>
        <v/>
      </c>
      <c r="J274" s="58" t="e">
        <f t="shared" si="66"/>
        <v>#VALUE!</v>
      </c>
      <c r="K274" s="50" t="e">
        <f t="shared" si="67"/>
        <v>#VALUE!</v>
      </c>
      <c r="L274" s="50" t="e">
        <f t="shared" si="68"/>
        <v>#VALUE!</v>
      </c>
      <c r="M274" s="50" t="e">
        <f t="shared" si="68"/>
        <v>#VALUE!</v>
      </c>
      <c r="N274" s="50" t="e">
        <f t="shared" si="69"/>
        <v>#VALUE!</v>
      </c>
      <c r="O274" s="50" t="e">
        <f t="shared" si="70"/>
        <v>#VALUE!</v>
      </c>
      <c r="P274" s="50">
        <f t="shared" si="71"/>
        <v>0</v>
      </c>
      <c r="R274" s="55" t="e">
        <f t="shared" si="72"/>
        <v>#VALUE!</v>
      </c>
      <c r="S274" s="55" t="e">
        <f t="shared" si="73"/>
        <v>#VALUE!</v>
      </c>
      <c r="T274" s="55" t="e">
        <f t="shared" si="78"/>
        <v>#VALUE!</v>
      </c>
      <c r="U274" s="50" t="e">
        <f t="shared" si="74"/>
        <v>#VALUE!</v>
      </c>
      <c r="V274" s="50" t="e">
        <f t="shared" si="75"/>
        <v>#VALUE!</v>
      </c>
      <c r="W274" s="50" t="e">
        <f t="shared" si="76"/>
        <v>#VALUE!</v>
      </c>
    </row>
    <row r="275" spans="2:23" x14ac:dyDescent="0.25">
      <c r="B275" s="50" t="b">
        <f t="shared" si="79"/>
        <v>0</v>
      </c>
      <c r="C275" s="50" t="e">
        <f t="shared" si="65"/>
        <v>#VALUE!</v>
      </c>
      <c r="E275" s="56">
        <v>272</v>
      </c>
      <c r="G275" s="138"/>
      <c r="H275" s="135">
        <v>1</v>
      </c>
      <c r="I275" s="57" t="str">
        <f t="shared" si="77"/>
        <v/>
      </c>
      <c r="J275" s="58" t="e">
        <f t="shared" si="66"/>
        <v>#VALUE!</v>
      </c>
      <c r="K275" s="50" t="e">
        <f t="shared" si="67"/>
        <v>#VALUE!</v>
      </c>
      <c r="L275" s="50" t="e">
        <f t="shared" si="68"/>
        <v>#VALUE!</v>
      </c>
      <c r="M275" s="50" t="e">
        <f t="shared" si="68"/>
        <v>#VALUE!</v>
      </c>
      <c r="N275" s="50" t="e">
        <f t="shared" si="69"/>
        <v>#VALUE!</v>
      </c>
      <c r="O275" s="50" t="e">
        <f t="shared" si="70"/>
        <v>#VALUE!</v>
      </c>
      <c r="P275" s="50">
        <f t="shared" si="71"/>
        <v>0</v>
      </c>
      <c r="R275" s="55" t="e">
        <f t="shared" si="72"/>
        <v>#VALUE!</v>
      </c>
      <c r="S275" s="55" t="e">
        <f t="shared" si="73"/>
        <v>#VALUE!</v>
      </c>
      <c r="T275" s="55" t="e">
        <f t="shared" si="78"/>
        <v>#VALUE!</v>
      </c>
      <c r="U275" s="50" t="e">
        <f t="shared" si="74"/>
        <v>#VALUE!</v>
      </c>
      <c r="V275" s="50" t="e">
        <f t="shared" si="75"/>
        <v>#VALUE!</v>
      </c>
      <c r="W275" s="50" t="e">
        <f t="shared" si="76"/>
        <v>#VALUE!</v>
      </c>
    </row>
    <row r="276" spans="2:23" x14ac:dyDescent="0.25">
      <c r="B276" s="50" t="b">
        <f t="shared" si="79"/>
        <v>0</v>
      </c>
      <c r="C276" s="50" t="e">
        <f t="shared" si="65"/>
        <v>#VALUE!</v>
      </c>
      <c r="E276" s="56">
        <v>273</v>
      </c>
      <c r="G276" s="138"/>
      <c r="H276" s="135">
        <v>1</v>
      </c>
      <c r="I276" s="57" t="str">
        <f t="shared" si="77"/>
        <v/>
      </c>
      <c r="J276" s="58" t="e">
        <f t="shared" si="66"/>
        <v>#VALUE!</v>
      </c>
      <c r="K276" s="50" t="e">
        <f t="shared" si="67"/>
        <v>#VALUE!</v>
      </c>
      <c r="L276" s="50" t="e">
        <f t="shared" si="68"/>
        <v>#VALUE!</v>
      </c>
      <c r="M276" s="50" t="e">
        <f t="shared" si="68"/>
        <v>#VALUE!</v>
      </c>
      <c r="N276" s="50" t="e">
        <f t="shared" si="69"/>
        <v>#VALUE!</v>
      </c>
      <c r="O276" s="50" t="e">
        <f t="shared" si="70"/>
        <v>#VALUE!</v>
      </c>
      <c r="P276" s="50">
        <f t="shared" si="71"/>
        <v>0</v>
      </c>
      <c r="R276" s="55" t="e">
        <f t="shared" si="72"/>
        <v>#VALUE!</v>
      </c>
      <c r="S276" s="55" t="e">
        <f t="shared" si="73"/>
        <v>#VALUE!</v>
      </c>
      <c r="T276" s="55" t="e">
        <f t="shared" si="78"/>
        <v>#VALUE!</v>
      </c>
      <c r="U276" s="50" t="e">
        <f t="shared" si="74"/>
        <v>#VALUE!</v>
      </c>
      <c r="V276" s="50" t="e">
        <f t="shared" si="75"/>
        <v>#VALUE!</v>
      </c>
      <c r="W276" s="50" t="e">
        <f t="shared" si="76"/>
        <v>#VALUE!</v>
      </c>
    </row>
    <row r="277" spans="2:23" x14ac:dyDescent="0.25">
      <c r="B277" s="50" t="b">
        <f t="shared" si="79"/>
        <v>0</v>
      </c>
      <c r="C277" s="50" t="e">
        <f t="shared" si="65"/>
        <v>#VALUE!</v>
      </c>
      <c r="E277" s="56">
        <v>274</v>
      </c>
      <c r="G277" s="138"/>
      <c r="H277" s="135">
        <v>1</v>
      </c>
      <c r="I277" s="57" t="str">
        <f t="shared" si="77"/>
        <v/>
      </c>
      <c r="J277" s="58" t="e">
        <f t="shared" si="66"/>
        <v>#VALUE!</v>
      </c>
      <c r="K277" s="50" t="e">
        <f t="shared" si="67"/>
        <v>#VALUE!</v>
      </c>
      <c r="L277" s="50" t="e">
        <f t="shared" si="68"/>
        <v>#VALUE!</v>
      </c>
      <c r="M277" s="50" t="e">
        <f t="shared" si="68"/>
        <v>#VALUE!</v>
      </c>
      <c r="N277" s="50" t="e">
        <f t="shared" si="69"/>
        <v>#VALUE!</v>
      </c>
      <c r="O277" s="50" t="e">
        <f t="shared" si="70"/>
        <v>#VALUE!</v>
      </c>
      <c r="P277" s="50">
        <f t="shared" si="71"/>
        <v>0</v>
      </c>
      <c r="R277" s="55" t="e">
        <f t="shared" si="72"/>
        <v>#VALUE!</v>
      </c>
      <c r="S277" s="55" t="e">
        <f t="shared" si="73"/>
        <v>#VALUE!</v>
      </c>
      <c r="T277" s="55" t="e">
        <f t="shared" si="78"/>
        <v>#VALUE!</v>
      </c>
      <c r="U277" s="50" t="e">
        <f t="shared" si="74"/>
        <v>#VALUE!</v>
      </c>
      <c r="V277" s="50" t="e">
        <f t="shared" si="75"/>
        <v>#VALUE!</v>
      </c>
      <c r="W277" s="50" t="e">
        <f t="shared" si="76"/>
        <v>#VALUE!</v>
      </c>
    </row>
    <row r="278" spans="2:23" x14ac:dyDescent="0.25">
      <c r="B278" s="50" t="b">
        <f t="shared" si="79"/>
        <v>0</v>
      </c>
      <c r="C278" s="50" t="e">
        <f t="shared" si="65"/>
        <v>#VALUE!</v>
      </c>
      <c r="E278" s="56">
        <v>275</v>
      </c>
      <c r="G278" s="138"/>
      <c r="H278" s="135">
        <v>1</v>
      </c>
      <c r="I278" s="57" t="str">
        <f t="shared" si="77"/>
        <v/>
      </c>
      <c r="J278" s="58" t="e">
        <f t="shared" si="66"/>
        <v>#VALUE!</v>
      </c>
      <c r="K278" s="50" t="e">
        <f t="shared" si="67"/>
        <v>#VALUE!</v>
      </c>
      <c r="L278" s="50" t="e">
        <f t="shared" si="68"/>
        <v>#VALUE!</v>
      </c>
      <c r="M278" s="50" t="e">
        <f t="shared" si="68"/>
        <v>#VALUE!</v>
      </c>
      <c r="N278" s="50" t="e">
        <f t="shared" si="69"/>
        <v>#VALUE!</v>
      </c>
      <c r="O278" s="50" t="e">
        <f t="shared" si="70"/>
        <v>#VALUE!</v>
      </c>
      <c r="P278" s="50">
        <f t="shared" si="71"/>
        <v>0</v>
      </c>
      <c r="R278" s="55" t="e">
        <f t="shared" si="72"/>
        <v>#VALUE!</v>
      </c>
      <c r="S278" s="55" t="e">
        <f t="shared" si="73"/>
        <v>#VALUE!</v>
      </c>
      <c r="T278" s="55" t="e">
        <f t="shared" si="78"/>
        <v>#VALUE!</v>
      </c>
      <c r="U278" s="50" t="e">
        <f t="shared" si="74"/>
        <v>#VALUE!</v>
      </c>
      <c r="V278" s="50" t="e">
        <f t="shared" si="75"/>
        <v>#VALUE!</v>
      </c>
      <c r="W278" s="50" t="e">
        <f t="shared" si="76"/>
        <v>#VALUE!</v>
      </c>
    </row>
    <row r="279" spans="2:23" x14ac:dyDescent="0.25">
      <c r="B279" s="50" t="b">
        <f t="shared" si="79"/>
        <v>0</v>
      </c>
      <c r="C279" s="50" t="e">
        <f t="shared" si="65"/>
        <v>#VALUE!</v>
      </c>
      <c r="E279" s="56">
        <v>276</v>
      </c>
      <c r="G279" s="138"/>
      <c r="H279" s="135">
        <v>1</v>
      </c>
      <c r="I279" s="57" t="str">
        <f t="shared" si="77"/>
        <v/>
      </c>
      <c r="J279" s="58" t="e">
        <f t="shared" si="66"/>
        <v>#VALUE!</v>
      </c>
      <c r="K279" s="50" t="e">
        <f t="shared" si="67"/>
        <v>#VALUE!</v>
      </c>
      <c r="L279" s="50" t="e">
        <f t="shared" si="68"/>
        <v>#VALUE!</v>
      </c>
      <c r="M279" s="50" t="e">
        <f t="shared" si="68"/>
        <v>#VALUE!</v>
      </c>
      <c r="N279" s="50" t="e">
        <f t="shared" si="69"/>
        <v>#VALUE!</v>
      </c>
      <c r="O279" s="50" t="e">
        <f t="shared" si="70"/>
        <v>#VALUE!</v>
      </c>
      <c r="P279" s="50">
        <f t="shared" si="71"/>
        <v>0</v>
      </c>
      <c r="R279" s="55" t="e">
        <f t="shared" si="72"/>
        <v>#VALUE!</v>
      </c>
      <c r="S279" s="55" t="e">
        <f t="shared" si="73"/>
        <v>#VALUE!</v>
      </c>
      <c r="T279" s="55" t="e">
        <f t="shared" si="78"/>
        <v>#VALUE!</v>
      </c>
      <c r="U279" s="50" t="e">
        <f t="shared" si="74"/>
        <v>#VALUE!</v>
      </c>
      <c r="V279" s="50" t="e">
        <f t="shared" si="75"/>
        <v>#VALUE!</v>
      </c>
      <c r="W279" s="50" t="e">
        <f t="shared" si="76"/>
        <v>#VALUE!</v>
      </c>
    </row>
    <row r="280" spans="2:23" x14ac:dyDescent="0.25">
      <c r="B280" s="50" t="b">
        <f t="shared" si="79"/>
        <v>0</v>
      </c>
      <c r="C280" s="50" t="e">
        <f t="shared" si="65"/>
        <v>#VALUE!</v>
      </c>
      <c r="E280" s="56">
        <v>277</v>
      </c>
      <c r="G280" s="138"/>
      <c r="H280" s="135">
        <v>1</v>
      </c>
      <c r="I280" s="57" t="str">
        <f t="shared" si="77"/>
        <v/>
      </c>
      <c r="J280" s="58" t="e">
        <f t="shared" si="66"/>
        <v>#VALUE!</v>
      </c>
      <c r="K280" s="50" t="e">
        <f t="shared" si="67"/>
        <v>#VALUE!</v>
      </c>
      <c r="L280" s="50" t="e">
        <f t="shared" si="68"/>
        <v>#VALUE!</v>
      </c>
      <c r="M280" s="50" t="e">
        <f t="shared" si="68"/>
        <v>#VALUE!</v>
      </c>
      <c r="N280" s="50" t="e">
        <f t="shared" si="69"/>
        <v>#VALUE!</v>
      </c>
      <c r="O280" s="50" t="e">
        <f t="shared" si="70"/>
        <v>#VALUE!</v>
      </c>
      <c r="P280" s="50">
        <f t="shared" si="71"/>
        <v>0</v>
      </c>
      <c r="R280" s="55" t="e">
        <f t="shared" si="72"/>
        <v>#VALUE!</v>
      </c>
      <c r="S280" s="55" t="e">
        <f t="shared" si="73"/>
        <v>#VALUE!</v>
      </c>
      <c r="T280" s="55" t="e">
        <f t="shared" si="78"/>
        <v>#VALUE!</v>
      </c>
      <c r="U280" s="50" t="e">
        <f t="shared" si="74"/>
        <v>#VALUE!</v>
      </c>
      <c r="V280" s="50" t="e">
        <f t="shared" si="75"/>
        <v>#VALUE!</v>
      </c>
      <c r="W280" s="50" t="e">
        <f t="shared" si="76"/>
        <v>#VALUE!</v>
      </c>
    </row>
    <row r="281" spans="2:23" x14ac:dyDescent="0.25">
      <c r="B281" s="50" t="b">
        <f t="shared" si="79"/>
        <v>0</v>
      </c>
      <c r="C281" s="50" t="e">
        <f t="shared" si="65"/>
        <v>#VALUE!</v>
      </c>
      <c r="E281" s="56">
        <v>278</v>
      </c>
      <c r="G281" s="138"/>
      <c r="H281" s="135">
        <v>1</v>
      </c>
      <c r="I281" s="57" t="str">
        <f t="shared" si="77"/>
        <v/>
      </c>
      <c r="J281" s="58" t="e">
        <f t="shared" si="66"/>
        <v>#VALUE!</v>
      </c>
      <c r="K281" s="50" t="e">
        <f t="shared" si="67"/>
        <v>#VALUE!</v>
      </c>
      <c r="L281" s="50" t="e">
        <f t="shared" si="68"/>
        <v>#VALUE!</v>
      </c>
      <c r="M281" s="50" t="e">
        <f t="shared" si="68"/>
        <v>#VALUE!</v>
      </c>
      <c r="N281" s="50" t="e">
        <f t="shared" si="69"/>
        <v>#VALUE!</v>
      </c>
      <c r="O281" s="50" t="e">
        <f t="shared" si="70"/>
        <v>#VALUE!</v>
      </c>
      <c r="P281" s="50">
        <f t="shared" si="71"/>
        <v>0</v>
      </c>
      <c r="R281" s="55" t="e">
        <f t="shared" si="72"/>
        <v>#VALUE!</v>
      </c>
      <c r="S281" s="55" t="e">
        <f t="shared" si="73"/>
        <v>#VALUE!</v>
      </c>
      <c r="T281" s="55" t="e">
        <f t="shared" si="78"/>
        <v>#VALUE!</v>
      </c>
      <c r="U281" s="50" t="e">
        <f t="shared" si="74"/>
        <v>#VALUE!</v>
      </c>
      <c r="V281" s="50" t="e">
        <f t="shared" si="75"/>
        <v>#VALUE!</v>
      </c>
      <c r="W281" s="50" t="e">
        <f t="shared" si="76"/>
        <v>#VALUE!</v>
      </c>
    </row>
    <row r="282" spans="2:23" x14ac:dyDescent="0.25">
      <c r="B282" s="50" t="b">
        <f t="shared" si="79"/>
        <v>0</v>
      </c>
      <c r="C282" s="50" t="e">
        <f t="shared" si="65"/>
        <v>#VALUE!</v>
      </c>
      <c r="E282" s="56">
        <v>279</v>
      </c>
      <c r="G282" s="138"/>
      <c r="H282" s="135">
        <v>1</v>
      </c>
      <c r="I282" s="57" t="str">
        <f t="shared" si="77"/>
        <v/>
      </c>
      <c r="J282" s="58" t="e">
        <f t="shared" si="66"/>
        <v>#VALUE!</v>
      </c>
      <c r="K282" s="50" t="e">
        <f t="shared" si="67"/>
        <v>#VALUE!</v>
      </c>
      <c r="L282" s="50" t="e">
        <f t="shared" si="68"/>
        <v>#VALUE!</v>
      </c>
      <c r="M282" s="50" t="e">
        <f t="shared" si="68"/>
        <v>#VALUE!</v>
      </c>
      <c r="N282" s="50" t="e">
        <f t="shared" si="69"/>
        <v>#VALUE!</v>
      </c>
      <c r="O282" s="50" t="e">
        <f t="shared" si="70"/>
        <v>#VALUE!</v>
      </c>
      <c r="P282" s="50">
        <f t="shared" si="71"/>
        <v>0</v>
      </c>
      <c r="R282" s="55" t="e">
        <f t="shared" si="72"/>
        <v>#VALUE!</v>
      </c>
      <c r="S282" s="55" t="e">
        <f t="shared" si="73"/>
        <v>#VALUE!</v>
      </c>
      <c r="T282" s="55" t="e">
        <f t="shared" si="78"/>
        <v>#VALUE!</v>
      </c>
      <c r="U282" s="50" t="e">
        <f t="shared" si="74"/>
        <v>#VALUE!</v>
      </c>
      <c r="V282" s="50" t="e">
        <f t="shared" si="75"/>
        <v>#VALUE!</v>
      </c>
      <c r="W282" s="50" t="e">
        <f t="shared" si="76"/>
        <v>#VALUE!</v>
      </c>
    </row>
    <row r="283" spans="2:23" x14ac:dyDescent="0.25">
      <c r="B283" s="50" t="b">
        <f t="shared" si="79"/>
        <v>0</v>
      </c>
      <c r="C283" s="50" t="e">
        <f t="shared" si="65"/>
        <v>#VALUE!</v>
      </c>
      <c r="E283" s="56">
        <v>280</v>
      </c>
      <c r="G283" s="138"/>
      <c r="H283" s="135">
        <v>1</v>
      </c>
      <c r="I283" s="57" t="str">
        <f t="shared" si="77"/>
        <v/>
      </c>
      <c r="J283" s="58" t="e">
        <f t="shared" si="66"/>
        <v>#VALUE!</v>
      </c>
      <c r="K283" s="50" t="e">
        <f t="shared" si="67"/>
        <v>#VALUE!</v>
      </c>
      <c r="L283" s="50" t="e">
        <f t="shared" si="68"/>
        <v>#VALUE!</v>
      </c>
      <c r="M283" s="50" t="e">
        <f t="shared" si="68"/>
        <v>#VALUE!</v>
      </c>
      <c r="N283" s="50" t="e">
        <f t="shared" si="69"/>
        <v>#VALUE!</v>
      </c>
      <c r="O283" s="50" t="e">
        <f t="shared" si="70"/>
        <v>#VALUE!</v>
      </c>
      <c r="P283" s="50">
        <f t="shared" si="71"/>
        <v>0</v>
      </c>
      <c r="R283" s="55" t="e">
        <f t="shared" si="72"/>
        <v>#VALUE!</v>
      </c>
      <c r="S283" s="55" t="e">
        <f t="shared" si="73"/>
        <v>#VALUE!</v>
      </c>
      <c r="T283" s="55" t="e">
        <f t="shared" si="78"/>
        <v>#VALUE!</v>
      </c>
      <c r="U283" s="50" t="e">
        <f t="shared" si="74"/>
        <v>#VALUE!</v>
      </c>
      <c r="V283" s="50" t="e">
        <f t="shared" si="75"/>
        <v>#VALUE!</v>
      </c>
      <c r="W283" s="50" t="e">
        <f t="shared" si="76"/>
        <v>#VALUE!</v>
      </c>
    </row>
    <row r="284" spans="2:23" x14ac:dyDescent="0.25">
      <c r="B284" s="50" t="b">
        <f t="shared" si="79"/>
        <v>0</v>
      </c>
      <c r="C284" s="50" t="e">
        <f t="shared" si="65"/>
        <v>#VALUE!</v>
      </c>
      <c r="E284" s="56">
        <v>281</v>
      </c>
      <c r="G284" s="138"/>
      <c r="H284" s="135">
        <v>1</v>
      </c>
      <c r="I284" s="57" t="str">
        <f t="shared" si="77"/>
        <v/>
      </c>
      <c r="J284" s="58" t="e">
        <f t="shared" si="66"/>
        <v>#VALUE!</v>
      </c>
      <c r="K284" s="50" t="e">
        <f t="shared" si="67"/>
        <v>#VALUE!</v>
      </c>
      <c r="L284" s="50" t="e">
        <f t="shared" si="68"/>
        <v>#VALUE!</v>
      </c>
      <c r="M284" s="50" t="e">
        <f t="shared" si="68"/>
        <v>#VALUE!</v>
      </c>
      <c r="N284" s="50" t="e">
        <f t="shared" si="69"/>
        <v>#VALUE!</v>
      </c>
      <c r="O284" s="50" t="e">
        <f t="shared" si="70"/>
        <v>#VALUE!</v>
      </c>
      <c r="P284" s="50">
        <f t="shared" si="71"/>
        <v>0</v>
      </c>
      <c r="R284" s="55" t="e">
        <f t="shared" si="72"/>
        <v>#VALUE!</v>
      </c>
      <c r="S284" s="55" t="e">
        <f t="shared" si="73"/>
        <v>#VALUE!</v>
      </c>
      <c r="T284" s="55" t="e">
        <f t="shared" si="78"/>
        <v>#VALUE!</v>
      </c>
      <c r="U284" s="50" t="e">
        <f t="shared" si="74"/>
        <v>#VALUE!</v>
      </c>
      <c r="V284" s="50" t="e">
        <f t="shared" si="75"/>
        <v>#VALUE!</v>
      </c>
      <c r="W284" s="50" t="e">
        <f t="shared" si="76"/>
        <v>#VALUE!</v>
      </c>
    </row>
    <row r="285" spans="2:23" x14ac:dyDescent="0.25">
      <c r="B285" s="50" t="b">
        <f t="shared" si="79"/>
        <v>0</v>
      </c>
      <c r="C285" s="50" t="e">
        <f t="shared" si="65"/>
        <v>#VALUE!</v>
      </c>
      <c r="E285" s="56">
        <v>282</v>
      </c>
      <c r="G285" s="138"/>
      <c r="H285" s="135">
        <v>1</v>
      </c>
      <c r="I285" s="57" t="str">
        <f t="shared" si="77"/>
        <v/>
      </c>
      <c r="J285" s="58" t="e">
        <f t="shared" si="66"/>
        <v>#VALUE!</v>
      </c>
      <c r="K285" s="50" t="e">
        <f t="shared" si="67"/>
        <v>#VALUE!</v>
      </c>
      <c r="L285" s="50" t="e">
        <f t="shared" si="68"/>
        <v>#VALUE!</v>
      </c>
      <c r="M285" s="50" t="e">
        <f t="shared" si="68"/>
        <v>#VALUE!</v>
      </c>
      <c r="N285" s="50" t="e">
        <f t="shared" si="69"/>
        <v>#VALUE!</v>
      </c>
      <c r="O285" s="50" t="e">
        <f t="shared" si="70"/>
        <v>#VALUE!</v>
      </c>
      <c r="P285" s="50">
        <f t="shared" si="71"/>
        <v>0</v>
      </c>
      <c r="R285" s="55" t="e">
        <f t="shared" si="72"/>
        <v>#VALUE!</v>
      </c>
      <c r="S285" s="55" t="e">
        <f t="shared" si="73"/>
        <v>#VALUE!</v>
      </c>
      <c r="T285" s="55" t="e">
        <f t="shared" si="78"/>
        <v>#VALUE!</v>
      </c>
      <c r="U285" s="50" t="e">
        <f t="shared" si="74"/>
        <v>#VALUE!</v>
      </c>
      <c r="V285" s="50" t="e">
        <f t="shared" si="75"/>
        <v>#VALUE!</v>
      </c>
      <c r="W285" s="50" t="e">
        <f t="shared" si="76"/>
        <v>#VALUE!</v>
      </c>
    </row>
    <row r="286" spans="2:23" x14ac:dyDescent="0.25">
      <c r="B286" s="50" t="b">
        <f t="shared" si="79"/>
        <v>0</v>
      </c>
      <c r="C286" s="50" t="e">
        <f t="shared" si="65"/>
        <v>#VALUE!</v>
      </c>
      <c r="E286" s="56">
        <v>283</v>
      </c>
      <c r="G286" s="138"/>
      <c r="H286" s="135">
        <v>1</v>
      </c>
      <c r="I286" s="57" t="str">
        <f t="shared" si="77"/>
        <v/>
      </c>
      <c r="J286" s="58" t="e">
        <f t="shared" si="66"/>
        <v>#VALUE!</v>
      </c>
      <c r="K286" s="50" t="e">
        <f t="shared" si="67"/>
        <v>#VALUE!</v>
      </c>
      <c r="L286" s="50" t="e">
        <f t="shared" si="68"/>
        <v>#VALUE!</v>
      </c>
      <c r="M286" s="50" t="e">
        <f t="shared" si="68"/>
        <v>#VALUE!</v>
      </c>
      <c r="N286" s="50" t="e">
        <f t="shared" si="69"/>
        <v>#VALUE!</v>
      </c>
      <c r="O286" s="50" t="e">
        <f t="shared" si="70"/>
        <v>#VALUE!</v>
      </c>
      <c r="P286" s="50">
        <f t="shared" si="71"/>
        <v>0</v>
      </c>
      <c r="R286" s="55" t="e">
        <f t="shared" si="72"/>
        <v>#VALUE!</v>
      </c>
      <c r="S286" s="55" t="e">
        <f t="shared" si="73"/>
        <v>#VALUE!</v>
      </c>
      <c r="T286" s="55" t="e">
        <f t="shared" si="78"/>
        <v>#VALUE!</v>
      </c>
      <c r="U286" s="50" t="e">
        <f t="shared" si="74"/>
        <v>#VALUE!</v>
      </c>
      <c r="V286" s="50" t="e">
        <f t="shared" si="75"/>
        <v>#VALUE!</v>
      </c>
      <c r="W286" s="50" t="e">
        <f t="shared" si="76"/>
        <v>#VALUE!</v>
      </c>
    </row>
    <row r="287" spans="2:23" x14ac:dyDescent="0.25">
      <c r="B287" s="50" t="b">
        <f t="shared" si="79"/>
        <v>0</v>
      </c>
      <c r="C287" s="50" t="e">
        <f t="shared" si="65"/>
        <v>#VALUE!</v>
      </c>
      <c r="E287" s="56">
        <v>284</v>
      </c>
      <c r="G287" s="138"/>
      <c r="H287" s="135">
        <v>1</v>
      </c>
      <c r="I287" s="57" t="str">
        <f t="shared" si="77"/>
        <v/>
      </c>
      <c r="J287" s="58" t="e">
        <f t="shared" si="66"/>
        <v>#VALUE!</v>
      </c>
      <c r="K287" s="50" t="e">
        <f t="shared" si="67"/>
        <v>#VALUE!</v>
      </c>
      <c r="L287" s="50" t="e">
        <f t="shared" si="68"/>
        <v>#VALUE!</v>
      </c>
      <c r="M287" s="50" t="e">
        <f t="shared" si="68"/>
        <v>#VALUE!</v>
      </c>
      <c r="N287" s="50" t="e">
        <f t="shared" si="69"/>
        <v>#VALUE!</v>
      </c>
      <c r="O287" s="50" t="e">
        <f t="shared" si="70"/>
        <v>#VALUE!</v>
      </c>
      <c r="P287" s="50">
        <f t="shared" si="71"/>
        <v>0</v>
      </c>
      <c r="R287" s="55" t="e">
        <f t="shared" si="72"/>
        <v>#VALUE!</v>
      </c>
      <c r="S287" s="55" t="e">
        <f t="shared" si="73"/>
        <v>#VALUE!</v>
      </c>
      <c r="T287" s="55" t="e">
        <f t="shared" si="78"/>
        <v>#VALUE!</v>
      </c>
      <c r="U287" s="50" t="e">
        <f t="shared" si="74"/>
        <v>#VALUE!</v>
      </c>
      <c r="V287" s="50" t="e">
        <f t="shared" si="75"/>
        <v>#VALUE!</v>
      </c>
      <c r="W287" s="50" t="e">
        <f t="shared" si="76"/>
        <v>#VALUE!</v>
      </c>
    </row>
    <row r="288" spans="2:23" x14ac:dyDescent="0.25">
      <c r="B288" s="50" t="b">
        <f t="shared" si="79"/>
        <v>0</v>
      </c>
      <c r="C288" s="50" t="e">
        <f t="shared" si="65"/>
        <v>#VALUE!</v>
      </c>
      <c r="E288" s="56">
        <v>285</v>
      </c>
      <c r="G288" s="138"/>
      <c r="H288" s="135">
        <v>1</v>
      </c>
      <c r="I288" s="57" t="str">
        <f t="shared" si="77"/>
        <v/>
      </c>
      <c r="J288" s="58" t="e">
        <f t="shared" si="66"/>
        <v>#VALUE!</v>
      </c>
      <c r="K288" s="50" t="e">
        <f t="shared" si="67"/>
        <v>#VALUE!</v>
      </c>
      <c r="L288" s="50" t="e">
        <f t="shared" si="68"/>
        <v>#VALUE!</v>
      </c>
      <c r="M288" s="50" t="e">
        <f t="shared" si="68"/>
        <v>#VALUE!</v>
      </c>
      <c r="N288" s="50" t="e">
        <f t="shared" si="69"/>
        <v>#VALUE!</v>
      </c>
      <c r="O288" s="50" t="e">
        <f t="shared" si="70"/>
        <v>#VALUE!</v>
      </c>
      <c r="P288" s="50">
        <f t="shared" si="71"/>
        <v>0</v>
      </c>
      <c r="R288" s="55" t="e">
        <f t="shared" si="72"/>
        <v>#VALUE!</v>
      </c>
      <c r="S288" s="55" t="e">
        <f t="shared" si="73"/>
        <v>#VALUE!</v>
      </c>
      <c r="T288" s="55" t="e">
        <f t="shared" si="78"/>
        <v>#VALUE!</v>
      </c>
      <c r="U288" s="50" t="e">
        <f t="shared" si="74"/>
        <v>#VALUE!</v>
      </c>
      <c r="V288" s="50" t="e">
        <f t="shared" si="75"/>
        <v>#VALUE!</v>
      </c>
      <c r="W288" s="50" t="e">
        <f t="shared" si="76"/>
        <v>#VALUE!</v>
      </c>
    </row>
    <row r="289" spans="2:23" x14ac:dyDescent="0.25">
      <c r="B289" s="50" t="b">
        <f t="shared" si="79"/>
        <v>0</v>
      </c>
      <c r="C289" s="50" t="e">
        <f t="shared" si="65"/>
        <v>#VALUE!</v>
      </c>
      <c r="E289" s="56">
        <v>286</v>
      </c>
      <c r="G289" s="138"/>
      <c r="H289" s="135">
        <v>1</v>
      </c>
      <c r="I289" s="57" t="str">
        <f t="shared" si="77"/>
        <v/>
      </c>
      <c r="J289" s="58" t="e">
        <f t="shared" si="66"/>
        <v>#VALUE!</v>
      </c>
      <c r="K289" s="50" t="e">
        <f t="shared" si="67"/>
        <v>#VALUE!</v>
      </c>
      <c r="L289" s="50" t="e">
        <f t="shared" si="68"/>
        <v>#VALUE!</v>
      </c>
      <c r="M289" s="50" t="e">
        <f t="shared" si="68"/>
        <v>#VALUE!</v>
      </c>
      <c r="N289" s="50" t="e">
        <f t="shared" si="69"/>
        <v>#VALUE!</v>
      </c>
      <c r="O289" s="50" t="e">
        <f t="shared" si="70"/>
        <v>#VALUE!</v>
      </c>
      <c r="P289" s="50">
        <f t="shared" si="71"/>
        <v>0</v>
      </c>
      <c r="R289" s="55" t="e">
        <f t="shared" si="72"/>
        <v>#VALUE!</v>
      </c>
      <c r="S289" s="55" t="e">
        <f t="shared" si="73"/>
        <v>#VALUE!</v>
      </c>
      <c r="T289" s="55" t="e">
        <f t="shared" si="78"/>
        <v>#VALUE!</v>
      </c>
      <c r="U289" s="50" t="e">
        <f t="shared" si="74"/>
        <v>#VALUE!</v>
      </c>
      <c r="V289" s="50" t="e">
        <f t="shared" si="75"/>
        <v>#VALUE!</v>
      </c>
      <c r="W289" s="50" t="e">
        <f t="shared" si="76"/>
        <v>#VALUE!</v>
      </c>
    </row>
    <row r="290" spans="2:23" x14ac:dyDescent="0.25">
      <c r="B290" s="50" t="b">
        <f t="shared" si="79"/>
        <v>0</v>
      </c>
      <c r="C290" s="50" t="e">
        <f t="shared" si="65"/>
        <v>#VALUE!</v>
      </c>
      <c r="E290" s="56">
        <v>287</v>
      </c>
      <c r="G290" s="138"/>
      <c r="H290" s="135">
        <v>1</v>
      </c>
      <c r="I290" s="57" t="str">
        <f t="shared" si="77"/>
        <v/>
      </c>
      <c r="J290" s="58" t="e">
        <f t="shared" si="66"/>
        <v>#VALUE!</v>
      </c>
      <c r="K290" s="50" t="e">
        <f t="shared" si="67"/>
        <v>#VALUE!</v>
      </c>
      <c r="L290" s="50" t="e">
        <f t="shared" si="68"/>
        <v>#VALUE!</v>
      </c>
      <c r="M290" s="50" t="e">
        <f t="shared" si="68"/>
        <v>#VALUE!</v>
      </c>
      <c r="N290" s="50" t="e">
        <f t="shared" si="69"/>
        <v>#VALUE!</v>
      </c>
      <c r="O290" s="50" t="e">
        <f t="shared" si="70"/>
        <v>#VALUE!</v>
      </c>
      <c r="P290" s="50">
        <f t="shared" si="71"/>
        <v>0</v>
      </c>
      <c r="R290" s="55" t="e">
        <f t="shared" si="72"/>
        <v>#VALUE!</v>
      </c>
      <c r="S290" s="55" t="e">
        <f t="shared" si="73"/>
        <v>#VALUE!</v>
      </c>
      <c r="T290" s="55" t="e">
        <f t="shared" si="78"/>
        <v>#VALUE!</v>
      </c>
      <c r="U290" s="50" t="e">
        <f t="shared" si="74"/>
        <v>#VALUE!</v>
      </c>
      <c r="V290" s="50" t="e">
        <f t="shared" si="75"/>
        <v>#VALUE!</v>
      </c>
      <c r="W290" s="50" t="e">
        <f t="shared" si="76"/>
        <v>#VALUE!</v>
      </c>
    </row>
    <row r="291" spans="2:23" x14ac:dyDescent="0.25">
      <c r="B291" s="50" t="b">
        <f t="shared" si="79"/>
        <v>0</v>
      </c>
      <c r="C291" s="50" t="e">
        <f t="shared" si="65"/>
        <v>#VALUE!</v>
      </c>
      <c r="E291" s="56">
        <v>288</v>
      </c>
      <c r="G291" s="138"/>
      <c r="H291" s="135">
        <v>1</v>
      </c>
      <c r="I291" s="57" t="str">
        <f t="shared" si="77"/>
        <v/>
      </c>
      <c r="J291" s="58" t="e">
        <f t="shared" si="66"/>
        <v>#VALUE!</v>
      </c>
      <c r="K291" s="50" t="e">
        <f t="shared" si="67"/>
        <v>#VALUE!</v>
      </c>
      <c r="L291" s="50" t="e">
        <f t="shared" si="68"/>
        <v>#VALUE!</v>
      </c>
      <c r="M291" s="50" t="e">
        <f t="shared" si="68"/>
        <v>#VALUE!</v>
      </c>
      <c r="N291" s="50" t="e">
        <f t="shared" si="69"/>
        <v>#VALUE!</v>
      </c>
      <c r="O291" s="50" t="e">
        <f t="shared" si="70"/>
        <v>#VALUE!</v>
      </c>
      <c r="P291" s="50">
        <f t="shared" si="71"/>
        <v>0</v>
      </c>
      <c r="R291" s="55" t="e">
        <f t="shared" si="72"/>
        <v>#VALUE!</v>
      </c>
      <c r="S291" s="55" t="e">
        <f t="shared" si="73"/>
        <v>#VALUE!</v>
      </c>
      <c r="T291" s="55" t="e">
        <f t="shared" si="78"/>
        <v>#VALUE!</v>
      </c>
      <c r="U291" s="50" t="e">
        <f t="shared" si="74"/>
        <v>#VALUE!</v>
      </c>
      <c r="V291" s="50" t="e">
        <f t="shared" si="75"/>
        <v>#VALUE!</v>
      </c>
      <c r="W291" s="50" t="e">
        <f t="shared" si="76"/>
        <v>#VALUE!</v>
      </c>
    </row>
    <row r="292" spans="2:23" x14ac:dyDescent="0.25">
      <c r="B292" s="50" t="b">
        <f t="shared" si="79"/>
        <v>0</v>
      </c>
      <c r="C292" s="50" t="e">
        <f t="shared" si="65"/>
        <v>#VALUE!</v>
      </c>
      <c r="E292" s="56">
        <v>289</v>
      </c>
      <c r="G292" s="138"/>
      <c r="H292" s="135">
        <v>1</v>
      </c>
      <c r="I292" s="57" t="str">
        <f t="shared" si="77"/>
        <v/>
      </c>
      <c r="J292" s="58" t="e">
        <f t="shared" si="66"/>
        <v>#VALUE!</v>
      </c>
      <c r="K292" s="50" t="e">
        <f t="shared" si="67"/>
        <v>#VALUE!</v>
      </c>
      <c r="L292" s="50" t="e">
        <f t="shared" si="68"/>
        <v>#VALUE!</v>
      </c>
      <c r="M292" s="50" t="e">
        <f t="shared" si="68"/>
        <v>#VALUE!</v>
      </c>
      <c r="N292" s="50" t="e">
        <f t="shared" si="69"/>
        <v>#VALUE!</v>
      </c>
      <c r="O292" s="50" t="e">
        <f t="shared" si="70"/>
        <v>#VALUE!</v>
      </c>
      <c r="P292" s="50">
        <f t="shared" si="71"/>
        <v>0</v>
      </c>
      <c r="R292" s="55" t="e">
        <f t="shared" si="72"/>
        <v>#VALUE!</v>
      </c>
      <c r="S292" s="55" t="e">
        <f t="shared" si="73"/>
        <v>#VALUE!</v>
      </c>
      <c r="T292" s="55" t="e">
        <f t="shared" si="78"/>
        <v>#VALUE!</v>
      </c>
      <c r="U292" s="50" t="e">
        <f t="shared" si="74"/>
        <v>#VALUE!</v>
      </c>
      <c r="V292" s="50" t="e">
        <f t="shared" si="75"/>
        <v>#VALUE!</v>
      </c>
      <c r="W292" s="50" t="e">
        <f t="shared" si="76"/>
        <v>#VALUE!</v>
      </c>
    </row>
    <row r="293" spans="2:23" x14ac:dyDescent="0.25">
      <c r="B293" s="50" t="b">
        <f t="shared" si="79"/>
        <v>0</v>
      </c>
      <c r="C293" s="50" t="e">
        <f t="shared" si="65"/>
        <v>#VALUE!</v>
      </c>
      <c r="E293" s="56">
        <v>290</v>
      </c>
      <c r="G293" s="138"/>
      <c r="H293" s="135">
        <v>1</v>
      </c>
      <c r="I293" s="57" t="str">
        <f t="shared" si="77"/>
        <v/>
      </c>
      <c r="J293" s="58" t="e">
        <f t="shared" si="66"/>
        <v>#VALUE!</v>
      </c>
      <c r="K293" s="50" t="e">
        <f t="shared" si="67"/>
        <v>#VALUE!</v>
      </c>
      <c r="L293" s="50" t="e">
        <f t="shared" si="68"/>
        <v>#VALUE!</v>
      </c>
      <c r="M293" s="50" t="e">
        <f t="shared" si="68"/>
        <v>#VALUE!</v>
      </c>
      <c r="N293" s="50" t="e">
        <f t="shared" si="69"/>
        <v>#VALUE!</v>
      </c>
      <c r="O293" s="50" t="e">
        <f t="shared" si="70"/>
        <v>#VALUE!</v>
      </c>
      <c r="P293" s="50">
        <f t="shared" si="71"/>
        <v>0</v>
      </c>
      <c r="R293" s="55" t="e">
        <f t="shared" si="72"/>
        <v>#VALUE!</v>
      </c>
      <c r="S293" s="55" t="e">
        <f t="shared" si="73"/>
        <v>#VALUE!</v>
      </c>
      <c r="T293" s="55" t="e">
        <f t="shared" si="78"/>
        <v>#VALUE!</v>
      </c>
      <c r="U293" s="50" t="e">
        <f t="shared" si="74"/>
        <v>#VALUE!</v>
      </c>
      <c r="V293" s="50" t="e">
        <f t="shared" si="75"/>
        <v>#VALUE!</v>
      </c>
      <c r="W293" s="50" t="e">
        <f t="shared" si="76"/>
        <v>#VALUE!</v>
      </c>
    </row>
    <row r="294" spans="2:23" x14ac:dyDescent="0.25">
      <c r="B294" s="50" t="b">
        <f t="shared" si="79"/>
        <v>0</v>
      </c>
      <c r="C294" s="50" t="e">
        <f t="shared" si="65"/>
        <v>#VALUE!</v>
      </c>
      <c r="E294" s="56">
        <v>291</v>
      </c>
      <c r="G294" s="138"/>
      <c r="H294" s="135">
        <v>1</v>
      </c>
      <c r="I294" s="57" t="str">
        <f t="shared" si="77"/>
        <v/>
      </c>
      <c r="J294" s="58" t="e">
        <f t="shared" si="66"/>
        <v>#VALUE!</v>
      </c>
      <c r="K294" s="50" t="e">
        <f t="shared" si="67"/>
        <v>#VALUE!</v>
      </c>
      <c r="L294" s="50" t="e">
        <f t="shared" si="68"/>
        <v>#VALUE!</v>
      </c>
      <c r="M294" s="50" t="e">
        <f t="shared" si="68"/>
        <v>#VALUE!</v>
      </c>
      <c r="N294" s="50" t="e">
        <f t="shared" si="69"/>
        <v>#VALUE!</v>
      </c>
      <c r="O294" s="50" t="e">
        <f t="shared" si="70"/>
        <v>#VALUE!</v>
      </c>
      <c r="P294" s="50">
        <f t="shared" si="71"/>
        <v>0</v>
      </c>
      <c r="R294" s="55" t="e">
        <f t="shared" si="72"/>
        <v>#VALUE!</v>
      </c>
      <c r="S294" s="55" t="e">
        <f t="shared" si="73"/>
        <v>#VALUE!</v>
      </c>
      <c r="T294" s="55" t="e">
        <f t="shared" si="78"/>
        <v>#VALUE!</v>
      </c>
      <c r="U294" s="50" t="e">
        <f t="shared" si="74"/>
        <v>#VALUE!</v>
      </c>
      <c r="V294" s="50" t="e">
        <f t="shared" si="75"/>
        <v>#VALUE!</v>
      </c>
      <c r="W294" s="50" t="e">
        <f t="shared" si="76"/>
        <v>#VALUE!</v>
      </c>
    </row>
    <row r="295" spans="2:23" x14ac:dyDescent="0.25">
      <c r="B295" s="50" t="b">
        <f t="shared" si="79"/>
        <v>0</v>
      </c>
      <c r="C295" s="50" t="e">
        <f t="shared" si="65"/>
        <v>#VALUE!</v>
      </c>
      <c r="E295" s="56">
        <v>292</v>
      </c>
      <c r="G295" s="138"/>
      <c r="H295" s="135">
        <v>1</v>
      </c>
      <c r="I295" s="57" t="str">
        <f t="shared" si="77"/>
        <v/>
      </c>
      <c r="J295" s="58" t="e">
        <f t="shared" si="66"/>
        <v>#VALUE!</v>
      </c>
      <c r="K295" s="50" t="e">
        <f t="shared" si="67"/>
        <v>#VALUE!</v>
      </c>
      <c r="L295" s="50" t="e">
        <f t="shared" si="68"/>
        <v>#VALUE!</v>
      </c>
      <c r="M295" s="50" t="e">
        <f t="shared" si="68"/>
        <v>#VALUE!</v>
      </c>
      <c r="N295" s="50" t="e">
        <f t="shared" si="69"/>
        <v>#VALUE!</v>
      </c>
      <c r="O295" s="50" t="e">
        <f t="shared" si="70"/>
        <v>#VALUE!</v>
      </c>
      <c r="P295" s="50">
        <f t="shared" si="71"/>
        <v>0</v>
      </c>
      <c r="R295" s="55" t="e">
        <f t="shared" si="72"/>
        <v>#VALUE!</v>
      </c>
      <c r="S295" s="55" t="e">
        <f t="shared" si="73"/>
        <v>#VALUE!</v>
      </c>
      <c r="T295" s="55" t="e">
        <f t="shared" si="78"/>
        <v>#VALUE!</v>
      </c>
      <c r="U295" s="50" t="e">
        <f t="shared" si="74"/>
        <v>#VALUE!</v>
      </c>
      <c r="V295" s="50" t="e">
        <f t="shared" si="75"/>
        <v>#VALUE!</v>
      </c>
      <c r="W295" s="50" t="e">
        <f t="shared" si="76"/>
        <v>#VALUE!</v>
      </c>
    </row>
    <row r="296" spans="2:23" x14ac:dyDescent="0.25">
      <c r="B296" s="50" t="b">
        <f t="shared" si="79"/>
        <v>0</v>
      </c>
      <c r="C296" s="50" t="e">
        <f t="shared" si="65"/>
        <v>#VALUE!</v>
      </c>
      <c r="E296" s="56">
        <v>293</v>
      </c>
      <c r="G296" s="138"/>
      <c r="H296" s="135">
        <v>1</v>
      </c>
      <c r="I296" s="57" t="str">
        <f t="shared" si="77"/>
        <v/>
      </c>
      <c r="J296" s="58" t="e">
        <f t="shared" si="66"/>
        <v>#VALUE!</v>
      </c>
      <c r="K296" s="50" t="e">
        <f t="shared" si="67"/>
        <v>#VALUE!</v>
      </c>
      <c r="L296" s="50" t="e">
        <f t="shared" si="68"/>
        <v>#VALUE!</v>
      </c>
      <c r="M296" s="50" t="e">
        <f t="shared" si="68"/>
        <v>#VALUE!</v>
      </c>
      <c r="N296" s="50" t="e">
        <f t="shared" si="69"/>
        <v>#VALUE!</v>
      </c>
      <c r="O296" s="50" t="e">
        <f t="shared" si="70"/>
        <v>#VALUE!</v>
      </c>
      <c r="P296" s="50">
        <f t="shared" si="71"/>
        <v>0</v>
      </c>
      <c r="R296" s="55" t="e">
        <f t="shared" si="72"/>
        <v>#VALUE!</v>
      </c>
      <c r="S296" s="55" t="e">
        <f t="shared" si="73"/>
        <v>#VALUE!</v>
      </c>
      <c r="T296" s="55" t="e">
        <f t="shared" si="78"/>
        <v>#VALUE!</v>
      </c>
      <c r="U296" s="50" t="e">
        <f t="shared" si="74"/>
        <v>#VALUE!</v>
      </c>
      <c r="V296" s="50" t="e">
        <f t="shared" si="75"/>
        <v>#VALUE!</v>
      </c>
      <c r="W296" s="50" t="e">
        <f t="shared" si="76"/>
        <v>#VALUE!</v>
      </c>
    </row>
    <row r="297" spans="2:23" x14ac:dyDescent="0.25">
      <c r="B297" s="50" t="b">
        <f t="shared" si="79"/>
        <v>0</v>
      </c>
      <c r="C297" s="50" t="e">
        <f t="shared" si="65"/>
        <v>#VALUE!</v>
      </c>
      <c r="E297" s="56">
        <v>294</v>
      </c>
      <c r="G297" s="138"/>
      <c r="H297" s="135">
        <v>1</v>
      </c>
      <c r="I297" s="57" t="str">
        <f t="shared" si="77"/>
        <v/>
      </c>
      <c r="J297" s="58" t="e">
        <f t="shared" si="66"/>
        <v>#VALUE!</v>
      </c>
      <c r="K297" s="50" t="e">
        <f t="shared" si="67"/>
        <v>#VALUE!</v>
      </c>
      <c r="L297" s="50" t="e">
        <f t="shared" si="68"/>
        <v>#VALUE!</v>
      </c>
      <c r="M297" s="50" t="e">
        <f t="shared" si="68"/>
        <v>#VALUE!</v>
      </c>
      <c r="N297" s="50" t="e">
        <f t="shared" si="69"/>
        <v>#VALUE!</v>
      </c>
      <c r="O297" s="50" t="e">
        <f t="shared" si="70"/>
        <v>#VALUE!</v>
      </c>
      <c r="P297" s="50">
        <f t="shared" si="71"/>
        <v>0</v>
      </c>
      <c r="R297" s="55" t="e">
        <f t="shared" si="72"/>
        <v>#VALUE!</v>
      </c>
      <c r="S297" s="55" t="e">
        <f t="shared" si="73"/>
        <v>#VALUE!</v>
      </c>
      <c r="T297" s="55" t="e">
        <f t="shared" si="78"/>
        <v>#VALUE!</v>
      </c>
      <c r="U297" s="50" t="e">
        <f t="shared" si="74"/>
        <v>#VALUE!</v>
      </c>
      <c r="V297" s="50" t="e">
        <f t="shared" si="75"/>
        <v>#VALUE!</v>
      </c>
      <c r="W297" s="50" t="e">
        <f t="shared" si="76"/>
        <v>#VALUE!</v>
      </c>
    </row>
    <row r="298" spans="2:23" x14ac:dyDescent="0.25">
      <c r="B298" s="50" t="b">
        <f t="shared" si="79"/>
        <v>0</v>
      </c>
      <c r="C298" s="50" t="e">
        <f t="shared" si="65"/>
        <v>#VALUE!</v>
      </c>
      <c r="E298" s="56">
        <v>295</v>
      </c>
      <c r="G298" s="138"/>
      <c r="H298" s="135">
        <v>1</v>
      </c>
      <c r="I298" s="57" t="str">
        <f t="shared" si="77"/>
        <v/>
      </c>
      <c r="J298" s="58" t="e">
        <f t="shared" si="66"/>
        <v>#VALUE!</v>
      </c>
      <c r="K298" s="50" t="e">
        <f t="shared" si="67"/>
        <v>#VALUE!</v>
      </c>
      <c r="L298" s="50" t="e">
        <f t="shared" si="68"/>
        <v>#VALUE!</v>
      </c>
      <c r="M298" s="50" t="e">
        <f t="shared" si="68"/>
        <v>#VALUE!</v>
      </c>
      <c r="N298" s="50" t="e">
        <f t="shared" si="69"/>
        <v>#VALUE!</v>
      </c>
      <c r="O298" s="50" t="e">
        <f t="shared" si="70"/>
        <v>#VALUE!</v>
      </c>
      <c r="P298" s="50">
        <f t="shared" si="71"/>
        <v>0</v>
      </c>
      <c r="R298" s="55" t="e">
        <f t="shared" si="72"/>
        <v>#VALUE!</v>
      </c>
      <c r="S298" s="55" t="e">
        <f t="shared" si="73"/>
        <v>#VALUE!</v>
      </c>
      <c r="T298" s="55" t="e">
        <f t="shared" si="78"/>
        <v>#VALUE!</v>
      </c>
      <c r="U298" s="50" t="e">
        <f t="shared" si="74"/>
        <v>#VALUE!</v>
      </c>
      <c r="V298" s="50" t="e">
        <f t="shared" si="75"/>
        <v>#VALUE!</v>
      </c>
      <c r="W298" s="50" t="e">
        <f t="shared" si="76"/>
        <v>#VALUE!</v>
      </c>
    </row>
    <row r="299" spans="2:23" x14ac:dyDescent="0.25">
      <c r="B299" s="50" t="b">
        <f t="shared" si="79"/>
        <v>0</v>
      </c>
      <c r="C299" s="50" t="e">
        <f t="shared" si="65"/>
        <v>#VALUE!</v>
      </c>
      <c r="E299" s="56">
        <v>296</v>
      </c>
      <c r="G299" s="138"/>
      <c r="H299" s="135">
        <v>1</v>
      </c>
      <c r="I299" s="57" t="str">
        <f t="shared" si="77"/>
        <v/>
      </c>
      <c r="J299" s="58" t="e">
        <f t="shared" si="66"/>
        <v>#VALUE!</v>
      </c>
      <c r="K299" s="50" t="e">
        <f t="shared" si="67"/>
        <v>#VALUE!</v>
      </c>
      <c r="L299" s="50" t="e">
        <f t="shared" si="68"/>
        <v>#VALUE!</v>
      </c>
      <c r="M299" s="50" t="e">
        <f t="shared" si="68"/>
        <v>#VALUE!</v>
      </c>
      <c r="N299" s="50" t="e">
        <f t="shared" si="69"/>
        <v>#VALUE!</v>
      </c>
      <c r="O299" s="50" t="e">
        <f t="shared" si="70"/>
        <v>#VALUE!</v>
      </c>
      <c r="P299" s="50">
        <f t="shared" si="71"/>
        <v>0</v>
      </c>
      <c r="R299" s="55" t="e">
        <f t="shared" si="72"/>
        <v>#VALUE!</v>
      </c>
      <c r="S299" s="55" t="e">
        <f t="shared" si="73"/>
        <v>#VALUE!</v>
      </c>
      <c r="T299" s="55" t="e">
        <f t="shared" si="78"/>
        <v>#VALUE!</v>
      </c>
      <c r="U299" s="50" t="e">
        <f t="shared" si="74"/>
        <v>#VALUE!</v>
      </c>
      <c r="V299" s="50" t="e">
        <f t="shared" si="75"/>
        <v>#VALUE!</v>
      </c>
      <c r="W299" s="50" t="e">
        <f t="shared" si="76"/>
        <v>#VALUE!</v>
      </c>
    </row>
    <row r="300" spans="2:23" x14ac:dyDescent="0.25">
      <c r="B300" s="50" t="b">
        <f t="shared" si="79"/>
        <v>0</v>
      </c>
      <c r="C300" s="50" t="e">
        <f t="shared" si="65"/>
        <v>#VALUE!</v>
      </c>
      <c r="E300" s="56">
        <v>297</v>
      </c>
      <c r="G300" s="138"/>
      <c r="H300" s="135">
        <v>1</v>
      </c>
      <c r="I300" s="57" t="str">
        <f t="shared" si="77"/>
        <v/>
      </c>
      <c r="J300" s="58" t="e">
        <f t="shared" si="66"/>
        <v>#VALUE!</v>
      </c>
      <c r="K300" s="50" t="e">
        <f t="shared" si="67"/>
        <v>#VALUE!</v>
      </c>
      <c r="L300" s="50" t="e">
        <f t="shared" si="68"/>
        <v>#VALUE!</v>
      </c>
      <c r="M300" s="50" t="e">
        <f t="shared" si="68"/>
        <v>#VALUE!</v>
      </c>
      <c r="N300" s="50" t="e">
        <f t="shared" si="69"/>
        <v>#VALUE!</v>
      </c>
      <c r="O300" s="50" t="e">
        <f t="shared" si="70"/>
        <v>#VALUE!</v>
      </c>
      <c r="P300" s="50">
        <f t="shared" si="71"/>
        <v>0</v>
      </c>
      <c r="R300" s="55" t="e">
        <f t="shared" si="72"/>
        <v>#VALUE!</v>
      </c>
      <c r="S300" s="55" t="e">
        <f t="shared" si="73"/>
        <v>#VALUE!</v>
      </c>
      <c r="T300" s="55" t="e">
        <f t="shared" si="78"/>
        <v>#VALUE!</v>
      </c>
      <c r="U300" s="50" t="e">
        <f t="shared" si="74"/>
        <v>#VALUE!</v>
      </c>
      <c r="V300" s="50" t="e">
        <f t="shared" si="75"/>
        <v>#VALUE!</v>
      </c>
      <c r="W300" s="50" t="e">
        <f t="shared" si="76"/>
        <v>#VALUE!</v>
      </c>
    </row>
    <row r="301" spans="2:23" x14ac:dyDescent="0.25">
      <c r="B301" s="50" t="b">
        <f t="shared" si="79"/>
        <v>0</v>
      </c>
      <c r="C301" s="50" t="e">
        <f t="shared" si="65"/>
        <v>#VALUE!</v>
      </c>
      <c r="E301" s="56">
        <v>298</v>
      </c>
      <c r="G301" s="138"/>
      <c r="H301" s="135">
        <v>1</v>
      </c>
      <c r="I301" s="57" t="str">
        <f t="shared" si="77"/>
        <v/>
      </c>
      <c r="J301" s="58" t="e">
        <f t="shared" si="66"/>
        <v>#VALUE!</v>
      </c>
      <c r="K301" s="50" t="e">
        <f t="shared" si="67"/>
        <v>#VALUE!</v>
      </c>
      <c r="L301" s="50" t="e">
        <f t="shared" si="68"/>
        <v>#VALUE!</v>
      </c>
      <c r="M301" s="50" t="e">
        <f t="shared" si="68"/>
        <v>#VALUE!</v>
      </c>
      <c r="N301" s="50" t="e">
        <f t="shared" si="69"/>
        <v>#VALUE!</v>
      </c>
      <c r="O301" s="50" t="e">
        <f t="shared" si="70"/>
        <v>#VALUE!</v>
      </c>
      <c r="P301" s="50">
        <f t="shared" si="71"/>
        <v>0</v>
      </c>
      <c r="R301" s="55" t="e">
        <f t="shared" si="72"/>
        <v>#VALUE!</v>
      </c>
      <c r="S301" s="55" t="e">
        <f t="shared" si="73"/>
        <v>#VALUE!</v>
      </c>
      <c r="T301" s="55" t="e">
        <f t="shared" si="78"/>
        <v>#VALUE!</v>
      </c>
      <c r="U301" s="50" t="e">
        <f t="shared" si="74"/>
        <v>#VALUE!</v>
      </c>
      <c r="V301" s="50" t="e">
        <f t="shared" si="75"/>
        <v>#VALUE!</v>
      </c>
      <c r="W301" s="50" t="e">
        <f t="shared" si="76"/>
        <v>#VALUE!</v>
      </c>
    </row>
    <row r="302" spans="2:23" x14ac:dyDescent="0.25">
      <c r="B302" s="50" t="b">
        <f t="shared" si="79"/>
        <v>0</v>
      </c>
      <c r="C302" s="50" t="e">
        <f t="shared" si="65"/>
        <v>#VALUE!</v>
      </c>
      <c r="E302" s="56">
        <v>299</v>
      </c>
      <c r="G302" s="138"/>
      <c r="H302" s="135">
        <v>1</v>
      </c>
      <c r="I302" s="57" t="str">
        <f t="shared" si="77"/>
        <v/>
      </c>
      <c r="J302" s="58" t="e">
        <f t="shared" si="66"/>
        <v>#VALUE!</v>
      </c>
      <c r="K302" s="50" t="e">
        <f t="shared" si="67"/>
        <v>#VALUE!</v>
      </c>
      <c r="L302" s="50" t="e">
        <f t="shared" si="68"/>
        <v>#VALUE!</v>
      </c>
      <c r="M302" s="50" t="e">
        <f t="shared" si="68"/>
        <v>#VALUE!</v>
      </c>
      <c r="N302" s="50" t="e">
        <f t="shared" si="69"/>
        <v>#VALUE!</v>
      </c>
      <c r="O302" s="50" t="e">
        <f t="shared" si="70"/>
        <v>#VALUE!</v>
      </c>
      <c r="P302" s="50">
        <f t="shared" si="71"/>
        <v>0</v>
      </c>
      <c r="R302" s="55" t="e">
        <f t="shared" si="72"/>
        <v>#VALUE!</v>
      </c>
      <c r="S302" s="55" t="e">
        <f t="shared" si="73"/>
        <v>#VALUE!</v>
      </c>
      <c r="T302" s="55" t="e">
        <f t="shared" si="78"/>
        <v>#VALUE!</v>
      </c>
      <c r="U302" s="50" t="e">
        <f t="shared" si="74"/>
        <v>#VALUE!</v>
      </c>
      <c r="V302" s="50" t="e">
        <f t="shared" si="75"/>
        <v>#VALUE!</v>
      </c>
      <c r="W302" s="50" t="e">
        <f t="shared" si="76"/>
        <v>#VALUE!</v>
      </c>
    </row>
    <row r="303" spans="2:23" x14ac:dyDescent="0.25">
      <c r="B303" s="50" t="b">
        <f t="shared" si="79"/>
        <v>0</v>
      </c>
      <c r="C303" s="50" t="e">
        <f t="shared" si="65"/>
        <v>#VALUE!</v>
      </c>
      <c r="E303" s="56">
        <v>300</v>
      </c>
      <c r="G303" s="138"/>
      <c r="H303" s="135">
        <v>1</v>
      </c>
      <c r="I303" s="57" t="str">
        <f t="shared" si="77"/>
        <v/>
      </c>
      <c r="J303" s="58" t="e">
        <f t="shared" si="66"/>
        <v>#VALUE!</v>
      </c>
      <c r="K303" s="50" t="e">
        <f t="shared" si="67"/>
        <v>#VALUE!</v>
      </c>
      <c r="L303" s="50" t="e">
        <f t="shared" si="68"/>
        <v>#VALUE!</v>
      </c>
      <c r="M303" s="50" t="e">
        <f t="shared" si="68"/>
        <v>#VALUE!</v>
      </c>
      <c r="N303" s="50" t="e">
        <f t="shared" si="69"/>
        <v>#VALUE!</v>
      </c>
      <c r="O303" s="50" t="e">
        <f t="shared" si="70"/>
        <v>#VALUE!</v>
      </c>
      <c r="P303" s="50">
        <f t="shared" si="71"/>
        <v>0</v>
      </c>
      <c r="R303" s="55" t="e">
        <f t="shared" si="72"/>
        <v>#VALUE!</v>
      </c>
      <c r="S303" s="55" t="e">
        <f t="shared" si="73"/>
        <v>#VALUE!</v>
      </c>
      <c r="T303" s="55" t="e">
        <f t="shared" si="78"/>
        <v>#VALUE!</v>
      </c>
      <c r="U303" s="50" t="e">
        <f t="shared" si="74"/>
        <v>#VALUE!</v>
      </c>
      <c r="V303" s="50" t="e">
        <f t="shared" si="75"/>
        <v>#VALUE!</v>
      </c>
      <c r="W303" s="50" t="e">
        <f t="shared" si="76"/>
        <v>#VALUE!</v>
      </c>
    </row>
    <row r="304" spans="2:23" x14ac:dyDescent="0.25">
      <c r="B304" s="50" t="b">
        <f t="shared" si="79"/>
        <v>0</v>
      </c>
      <c r="C304" s="50" t="e">
        <f t="shared" si="65"/>
        <v>#VALUE!</v>
      </c>
      <c r="E304" s="56">
        <v>301</v>
      </c>
      <c r="G304" s="138"/>
      <c r="H304" s="135">
        <v>1</v>
      </c>
      <c r="I304" s="57" t="str">
        <f t="shared" si="77"/>
        <v/>
      </c>
      <c r="J304" s="58" t="e">
        <f t="shared" si="66"/>
        <v>#VALUE!</v>
      </c>
      <c r="K304" s="50" t="e">
        <f t="shared" si="67"/>
        <v>#VALUE!</v>
      </c>
      <c r="L304" s="50" t="e">
        <f t="shared" si="68"/>
        <v>#VALUE!</v>
      </c>
      <c r="M304" s="50" t="e">
        <f t="shared" si="68"/>
        <v>#VALUE!</v>
      </c>
      <c r="N304" s="50" t="e">
        <f t="shared" si="69"/>
        <v>#VALUE!</v>
      </c>
      <c r="O304" s="50" t="e">
        <f t="shared" si="70"/>
        <v>#VALUE!</v>
      </c>
      <c r="P304" s="50">
        <f t="shared" si="71"/>
        <v>0</v>
      </c>
      <c r="R304" s="55" t="e">
        <f t="shared" si="72"/>
        <v>#VALUE!</v>
      </c>
      <c r="S304" s="55" t="e">
        <f t="shared" si="73"/>
        <v>#VALUE!</v>
      </c>
      <c r="T304" s="55" t="e">
        <f t="shared" si="78"/>
        <v>#VALUE!</v>
      </c>
      <c r="U304" s="50" t="e">
        <f t="shared" si="74"/>
        <v>#VALUE!</v>
      </c>
      <c r="V304" s="50" t="e">
        <f t="shared" si="75"/>
        <v>#VALUE!</v>
      </c>
      <c r="W304" s="50" t="e">
        <f t="shared" si="76"/>
        <v>#VALUE!</v>
      </c>
    </row>
    <row r="305" spans="2:23" x14ac:dyDescent="0.25">
      <c r="B305" s="50" t="b">
        <f t="shared" si="79"/>
        <v>0</v>
      </c>
      <c r="C305" s="50" t="e">
        <f t="shared" si="65"/>
        <v>#VALUE!</v>
      </c>
      <c r="E305" s="56">
        <v>302</v>
      </c>
      <c r="G305" s="138"/>
      <c r="H305" s="135">
        <v>1</v>
      </c>
      <c r="I305" s="57" t="str">
        <f t="shared" si="77"/>
        <v/>
      </c>
      <c r="J305" s="58" t="e">
        <f t="shared" si="66"/>
        <v>#VALUE!</v>
      </c>
      <c r="K305" s="50" t="e">
        <f t="shared" si="67"/>
        <v>#VALUE!</v>
      </c>
      <c r="L305" s="50" t="e">
        <f t="shared" si="68"/>
        <v>#VALUE!</v>
      </c>
      <c r="M305" s="50" t="e">
        <f t="shared" si="68"/>
        <v>#VALUE!</v>
      </c>
      <c r="N305" s="50" t="e">
        <f t="shared" si="69"/>
        <v>#VALUE!</v>
      </c>
      <c r="O305" s="50" t="e">
        <f t="shared" si="70"/>
        <v>#VALUE!</v>
      </c>
      <c r="P305" s="50">
        <f t="shared" si="71"/>
        <v>0</v>
      </c>
      <c r="R305" s="55" t="e">
        <f t="shared" si="72"/>
        <v>#VALUE!</v>
      </c>
      <c r="S305" s="55" t="e">
        <f t="shared" si="73"/>
        <v>#VALUE!</v>
      </c>
      <c r="T305" s="55" t="e">
        <f t="shared" si="78"/>
        <v>#VALUE!</v>
      </c>
      <c r="U305" s="50" t="e">
        <f t="shared" si="74"/>
        <v>#VALUE!</v>
      </c>
      <c r="V305" s="50" t="e">
        <f t="shared" si="75"/>
        <v>#VALUE!</v>
      </c>
      <c r="W305" s="50" t="e">
        <f t="shared" si="76"/>
        <v>#VALUE!</v>
      </c>
    </row>
    <row r="306" spans="2:23" x14ac:dyDescent="0.25">
      <c r="B306" s="50" t="b">
        <f t="shared" si="79"/>
        <v>0</v>
      </c>
      <c r="C306" s="50" t="e">
        <f t="shared" si="65"/>
        <v>#VALUE!</v>
      </c>
      <c r="E306" s="56">
        <v>303</v>
      </c>
      <c r="G306" s="138"/>
      <c r="H306" s="135">
        <v>1</v>
      </c>
      <c r="I306" s="57" t="str">
        <f t="shared" si="77"/>
        <v/>
      </c>
      <c r="J306" s="58" t="e">
        <f t="shared" si="66"/>
        <v>#VALUE!</v>
      </c>
      <c r="K306" s="50" t="e">
        <f t="shared" si="67"/>
        <v>#VALUE!</v>
      </c>
      <c r="L306" s="50" t="e">
        <f t="shared" si="68"/>
        <v>#VALUE!</v>
      </c>
      <c r="M306" s="50" t="e">
        <f t="shared" si="68"/>
        <v>#VALUE!</v>
      </c>
      <c r="N306" s="50" t="e">
        <f t="shared" si="69"/>
        <v>#VALUE!</v>
      </c>
      <c r="O306" s="50" t="e">
        <f t="shared" si="70"/>
        <v>#VALUE!</v>
      </c>
      <c r="P306" s="50">
        <f t="shared" si="71"/>
        <v>0</v>
      </c>
      <c r="R306" s="55" t="e">
        <f t="shared" si="72"/>
        <v>#VALUE!</v>
      </c>
      <c r="S306" s="55" t="e">
        <f t="shared" si="73"/>
        <v>#VALUE!</v>
      </c>
      <c r="T306" s="55" t="e">
        <f t="shared" si="78"/>
        <v>#VALUE!</v>
      </c>
      <c r="U306" s="50" t="e">
        <f t="shared" si="74"/>
        <v>#VALUE!</v>
      </c>
      <c r="V306" s="50" t="e">
        <f t="shared" si="75"/>
        <v>#VALUE!</v>
      </c>
      <c r="W306" s="50" t="e">
        <f t="shared" si="76"/>
        <v>#VALUE!</v>
      </c>
    </row>
    <row r="307" spans="2:23" x14ac:dyDescent="0.25">
      <c r="B307" s="50" t="b">
        <f t="shared" si="79"/>
        <v>0</v>
      </c>
      <c r="C307" s="50" t="e">
        <f t="shared" si="65"/>
        <v>#VALUE!</v>
      </c>
      <c r="E307" s="56">
        <v>304</v>
      </c>
      <c r="G307" s="138"/>
      <c r="H307" s="135">
        <v>1</v>
      </c>
      <c r="I307" s="57" t="str">
        <f t="shared" si="77"/>
        <v/>
      </c>
      <c r="J307" s="58" t="e">
        <f t="shared" si="66"/>
        <v>#VALUE!</v>
      </c>
      <c r="K307" s="50" t="e">
        <f t="shared" si="67"/>
        <v>#VALUE!</v>
      </c>
      <c r="L307" s="50" t="e">
        <f t="shared" si="68"/>
        <v>#VALUE!</v>
      </c>
      <c r="M307" s="50" t="e">
        <f t="shared" si="68"/>
        <v>#VALUE!</v>
      </c>
      <c r="N307" s="50" t="e">
        <f t="shared" si="69"/>
        <v>#VALUE!</v>
      </c>
      <c r="O307" s="50" t="e">
        <f t="shared" si="70"/>
        <v>#VALUE!</v>
      </c>
      <c r="P307" s="50">
        <f t="shared" si="71"/>
        <v>0</v>
      </c>
      <c r="R307" s="55" t="e">
        <f t="shared" si="72"/>
        <v>#VALUE!</v>
      </c>
      <c r="S307" s="55" t="e">
        <f t="shared" si="73"/>
        <v>#VALUE!</v>
      </c>
      <c r="T307" s="55" t="e">
        <f t="shared" si="78"/>
        <v>#VALUE!</v>
      </c>
      <c r="U307" s="50" t="e">
        <f t="shared" si="74"/>
        <v>#VALUE!</v>
      </c>
      <c r="V307" s="50" t="e">
        <f t="shared" si="75"/>
        <v>#VALUE!</v>
      </c>
      <c r="W307" s="50" t="e">
        <f t="shared" si="76"/>
        <v>#VALUE!</v>
      </c>
    </row>
    <row r="308" spans="2:23" x14ac:dyDescent="0.25">
      <c r="B308" s="50" t="b">
        <f t="shared" si="79"/>
        <v>0</v>
      </c>
      <c r="C308" s="50" t="e">
        <f t="shared" si="65"/>
        <v>#VALUE!</v>
      </c>
      <c r="E308" s="56">
        <v>305</v>
      </c>
      <c r="G308" s="138"/>
      <c r="H308" s="135">
        <v>1</v>
      </c>
      <c r="I308" s="57" t="str">
        <f t="shared" si="77"/>
        <v/>
      </c>
      <c r="J308" s="58" t="e">
        <f t="shared" si="66"/>
        <v>#VALUE!</v>
      </c>
      <c r="K308" s="50" t="e">
        <f t="shared" si="67"/>
        <v>#VALUE!</v>
      </c>
      <c r="L308" s="50" t="e">
        <f t="shared" si="68"/>
        <v>#VALUE!</v>
      </c>
      <c r="M308" s="50" t="e">
        <f t="shared" si="68"/>
        <v>#VALUE!</v>
      </c>
      <c r="N308" s="50" t="e">
        <f t="shared" si="69"/>
        <v>#VALUE!</v>
      </c>
      <c r="O308" s="50" t="e">
        <f t="shared" si="70"/>
        <v>#VALUE!</v>
      </c>
      <c r="P308" s="50">
        <f t="shared" si="71"/>
        <v>0</v>
      </c>
      <c r="R308" s="55" t="e">
        <f t="shared" si="72"/>
        <v>#VALUE!</v>
      </c>
      <c r="S308" s="55" t="e">
        <f t="shared" si="73"/>
        <v>#VALUE!</v>
      </c>
      <c r="T308" s="55" t="e">
        <f t="shared" si="78"/>
        <v>#VALUE!</v>
      </c>
      <c r="U308" s="50" t="e">
        <f t="shared" si="74"/>
        <v>#VALUE!</v>
      </c>
      <c r="V308" s="50" t="e">
        <f t="shared" si="75"/>
        <v>#VALUE!</v>
      </c>
      <c r="W308" s="50" t="e">
        <f t="shared" si="76"/>
        <v>#VALUE!</v>
      </c>
    </row>
    <row r="309" spans="2:23" x14ac:dyDescent="0.25">
      <c r="B309" s="50" t="b">
        <f t="shared" si="79"/>
        <v>0</v>
      </c>
      <c r="C309" s="50" t="e">
        <f t="shared" si="65"/>
        <v>#VALUE!</v>
      </c>
      <c r="E309" s="56">
        <v>306</v>
      </c>
      <c r="G309" s="138"/>
      <c r="H309" s="135">
        <v>1</v>
      </c>
      <c r="I309" s="57" t="str">
        <f t="shared" si="77"/>
        <v/>
      </c>
      <c r="J309" s="58" t="e">
        <f t="shared" si="66"/>
        <v>#VALUE!</v>
      </c>
      <c r="K309" s="50" t="e">
        <f t="shared" si="67"/>
        <v>#VALUE!</v>
      </c>
      <c r="L309" s="50" t="e">
        <f t="shared" si="68"/>
        <v>#VALUE!</v>
      </c>
      <c r="M309" s="50" t="e">
        <f t="shared" si="68"/>
        <v>#VALUE!</v>
      </c>
      <c r="N309" s="50" t="e">
        <f t="shared" si="69"/>
        <v>#VALUE!</v>
      </c>
      <c r="O309" s="50" t="e">
        <f t="shared" si="70"/>
        <v>#VALUE!</v>
      </c>
      <c r="P309" s="50">
        <f t="shared" si="71"/>
        <v>0</v>
      </c>
      <c r="R309" s="55" t="e">
        <f t="shared" si="72"/>
        <v>#VALUE!</v>
      </c>
      <c r="S309" s="55" t="e">
        <f t="shared" si="73"/>
        <v>#VALUE!</v>
      </c>
      <c r="T309" s="55" t="e">
        <f t="shared" si="78"/>
        <v>#VALUE!</v>
      </c>
      <c r="U309" s="50" t="e">
        <f t="shared" si="74"/>
        <v>#VALUE!</v>
      </c>
      <c r="V309" s="50" t="e">
        <f t="shared" si="75"/>
        <v>#VALUE!</v>
      </c>
      <c r="W309" s="50" t="e">
        <f t="shared" si="76"/>
        <v>#VALUE!</v>
      </c>
    </row>
    <row r="310" spans="2:23" x14ac:dyDescent="0.25">
      <c r="B310" s="50" t="b">
        <f t="shared" si="79"/>
        <v>0</v>
      </c>
      <c r="C310" s="50" t="e">
        <f t="shared" ref="C310:C373" si="80">SUM(U310:W310)</f>
        <v>#VALUE!</v>
      </c>
      <c r="E310" s="56">
        <v>307</v>
      </c>
      <c r="G310" s="138"/>
      <c r="H310" s="135">
        <v>1</v>
      </c>
      <c r="I310" s="57" t="str">
        <f t="shared" si="77"/>
        <v/>
      </c>
      <c r="J310" s="58" t="e">
        <f t="shared" si="66"/>
        <v>#VALUE!</v>
      </c>
      <c r="K310" s="50" t="e">
        <f t="shared" si="67"/>
        <v>#VALUE!</v>
      </c>
      <c r="L310" s="50" t="e">
        <f t="shared" si="68"/>
        <v>#VALUE!</v>
      </c>
      <c r="M310" s="50" t="e">
        <f t="shared" si="68"/>
        <v>#VALUE!</v>
      </c>
      <c r="N310" s="50" t="e">
        <f t="shared" si="69"/>
        <v>#VALUE!</v>
      </c>
      <c r="O310" s="50" t="e">
        <f t="shared" si="70"/>
        <v>#VALUE!</v>
      </c>
      <c r="P310" s="50">
        <f t="shared" si="71"/>
        <v>0</v>
      </c>
      <c r="R310" s="55" t="e">
        <f t="shared" si="72"/>
        <v>#VALUE!</v>
      </c>
      <c r="S310" s="55" t="e">
        <f t="shared" si="73"/>
        <v>#VALUE!</v>
      </c>
      <c r="T310" s="55" t="e">
        <f t="shared" si="78"/>
        <v>#VALUE!</v>
      </c>
      <c r="U310" s="50" t="e">
        <f t="shared" si="74"/>
        <v>#VALUE!</v>
      </c>
      <c r="V310" s="50" t="e">
        <f t="shared" si="75"/>
        <v>#VALUE!</v>
      </c>
      <c r="W310" s="50" t="e">
        <f t="shared" si="76"/>
        <v>#VALUE!</v>
      </c>
    </row>
    <row r="311" spans="2:23" x14ac:dyDescent="0.25">
      <c r="B311" s="50" t="b">
        <f t="shared" si="79"/>
        <v>0</v>
      </c>
      <c r="C311" s="50" t="e">
        <f t="shared" si="80"/>
        <v>#VALUE!</v>
      </c>
      <c r="E311" s="56">
        <v>308</v>
      </c>
      <c r="G311" s="138"/>
      <c r="H311" s="135">
        <v>1</v>
      </c>
      <c r="I311" s="57" t="str">
        <f t="shared" si="77"/>
        <v/>
      </c>
      <c r="J311" s="58" t="e">
        <f t="shared" si="66"/>
        <v>#VALUE!</v>
      </c>
      <c r="K311" s="50" t="e">
        <f t="shared" si="67"/>
        <v>#VALUE!</v>
      </c>
      <c r="L311" s="50" t="e">
        <f t="shared" si="68"/>
        <v>#VALUE!</v>
      </c>
      <c r="M311" s="50" t="e">
        <f t="shared" si="68"/>
        <v>#VALUE!</v>
      </c>
      <c r="N311" s="50" t="e">
        <f t="shared" si="69"/>
        <v>#VALUE!</v>
      </c>
      <c r="O311" s="50" t="e">
        <f t="shared" si="70"/>
        <v>#VALUE!</v>
      </c>
      <c r="P311" s="50">
        <f t="shared" si="71"/>
        <v>0</v>
      </c>
      <c r="R311" s="55" t="e">
        <f t="shared" si="72"/>
        <v>#VALUE!</v>
      </c>
      <c r="S311" s="55" t="e">
        <f t="shared" si="73"/>
        <v>#VALUE!</v>
      </c>
      <c r="T311" s="55" t="e">
        <f t="shared" si="78"/>
        <v>#VALUE!</v>
      </c>
      <c r="U311" s="50" t="e">
        <f t="shared" si="74"/>
        <v>#VALUE!</v>
      </c>
      <c r="V311" s="50" t="e">
        <f t="shared" si="75"/>
        <v>#VALUE!</v>
      </c>
      <c r="W311" s="50" t="e">
        <f t="shared" si="76"/>
        <v>#VALUE!</v>
      </c>
    </row>
    <row r="312" spans="2:23" x14ac:dyDescent="0.25">
      <c r="B312" s="50" t="b">
        <f t="shared" si="79"/>
        <v>0</v>
      </c>
      <c r="C312" s="50" t="e">
        <f t="shared" si="80"/>
        <v>#VALUE!</v>
      </c>
      <c r="E312" s="56">
        <v>309</v>
      </c>
      <c r="G312" s="138"/>
      <c r="H312" s="135">
        <v>1</v>
      </c>
      <c r="I312" s="57" t="str">
        <f t="shared" si="77"/>
        <v/>
      </c>
      <c r="J312" s="58" t="e">
        <f t="shared" si="66"/>
        <v>#VALUE!</v>
      </c>
      <c r="K312" s="50" t="e">
        <f t="shared" si="67"/>
        <v>#VALUE!</v>
      </c>
      <c r="L312" s="50" t="e">
        <f t="shared" si="68"/>
        <v>#VALUE!</v>
      </c>
      <c r="M312" s="50" t="e">
        <f t="shared" si="68"/>
        <v>#VALUE!</v>
      </c>
      <c r="N312" s="50" t="e">
        <f t="shared" si="69"/>
        <v>#VALUE!</v>
      </c>
      <c r="O312" s="50" t="e">
        <f t="shared" si="70"/>
        <v>#VALUE!</v>
      </c>
      <c r="P312" s="50">
        <f t="shared" si="71"/>
        <v>0</v>
      </c>
      <c r="R312" s="55" t="e">
        <f t="shared" si="72"/>
        <v>#VALUE!</v>
      </c>
      <c r="S312" s="55" t="e">
        <f t="shared" si="73"/>
        <v>#VALUE!</v>
      </c>
      <c r="T312" s="55" t="e">
        <f t="shared" si="78"/>
        <v>#VALUE!</v>
      </c>
      <c r="U312" s="50" t="e">
        <f t="shared" si="74"/>
        <v>#VALUE!</v>
      </c>
      <c r="V312" s="50" t="e">
        <f t="shared" si="75"/>
        <v>#VALUE!</v>
      </c>
      <c r="W312" s="50" t="e">
        <f t="shared" si="76"/>
        <v>#VALUE!</v>
      </c>
    </row>
    <row r="313" spans="2:23" x14ac:dyDescent="0.25">
      <c r="B313" s="50" t="b">
        <f t="shared" si="79"/>
        <v>0</v>
      </c>
      <c r="C313" s="50" t="e">
        <f t="shared" si="80"/>
        <v>#VALUE!</v>
      </c>
      <c r="E313" s="56">
        <v>310</v>
      </c>
      <c r="G313" s="138"/>
      <c r="H313" s="135">
        <v>1</v>
      </c>
      <c r="I313" s="57" t="str">
        <f t="shared" si="77"/>
        <v/>
      </c>
      <c r="J313" s="58" t="e">
        <f t="shared" si="66"/>
        <v>#VALUE!</v>
      </c>
      <c r="K313" s="50" t="e">
        <f t="shared" si="67"/>
        <v>#VALUE!</v>
      </c>
      <c r="L313" s="50" t="e">
        <f t="shared" si="68"/>
        <v>#VALUE!</v>
      </c>
      <c r="M313" s="50" t="e">
        <f t="shared" si="68"/>
        <v>#VALUE!</v>
      </c>
      <c r="N313" s="50" t="e">
        <f t="shared" si="69"/>
        <v>#VALUE!</v>
      </c>
      <c r="O313" s="50" t="e">
        <f t="shared" si="70"/>
        <v>#VALUE!</v>
      </c>
      <c r="P313" s="50">
        <f t="shared" si="71"/>
        <v>0</v>
      </c>
      <c r="R313" s="55" t="e">
        <f t="shared" si="72"/>
        <v>#VALUE!</v>
      </c>
      <c r="S313" s="55" t="e">
        <f t="shared" si="73"/>
        <v>#VALUE!</v>
      </c>
      <c r="T313" s="55" t="e">
        <f t="shared" si="78"/>
        <v>#VALUE!</v>
      </c>
      <c r="U313" s="50" t="e">
        <f t="shared" si="74"/>
        <v>#VALUE!</v>
      </c>
      <c r="V313" s="50" t="e">
        <f t="shared" si="75"/>
        <v>#VALUE!</v>
      </c>
      <c r="W313" s="50" t="e">
        <f t="shared" si="76"/>
        <v>#VALUE!</v>
      </c>
    </row>
    <row r="314" spans="2:23" x14ac:dyDescent="0.25">
      <c r="B314" s="50" t="b">
        <f t="shared" si="79"/>
        <v>0</v>
      </c>
      <c r="C314" s="50" t="e">
        <f t="shared" si="80"/>
        <v>#VALUE!</v>
      </c>
      <c r="E314" s="56">
        <v>311</v>
      </c>
      <c r="G314" s="138"/>
      <c r="H314" s="135">
        <v>1</v>
      </c>
      <c r="I314" s="57" t="str">
        <f t="shared" si="77"/>
        <v/>
      </c>
      <c r="J314" s="58" t="e">
        <f t="shared" si="66"/>
        <v>#VALUE!</v>
      </c>
      <c r="K314" s="50" t="e">
        <f t="shared" si="67"/>
        <v>#VALUE!</v>
      </c>
      <c r="L314" s="50" t="e">
        <f t="shared" si="68"/>
        <v>#VALUE!</v>
      </c>
      <c r="M314" s="50" t="e">
        <f t="shared" si="68"/>
        <v>#VALUE!</v>
      </c>
      <c r="N314" s="50" t="e">
        <f t="shared" si="69"/>
        <v>#VALUE!</v>
      </c>
      <c r="O314" s="50" t="e">
        <f t="shared" si="70"/>
        <v>#VALUE!</v>
      </c>
      <c r="P314" s="50">
        <f t="shared" si="71"/>
        <v>0</v>
      </c>
      <c r="R314" s="55" t="e">
        <f t="shared" si="72"/>
        <v>#VALUE!</v>
      </c>
      <c r="S314" s="55" t="e">
        <f t="shared" si="73"/>
        <v>#VALUE!</v>
      </c>
      <c r="T314" s="55" t="e">
        <f t="shared" si="78"/>
        <v>#VALUE!</v>
      </c>
      <c r="U314" s="50" t="e">
        <f t="shared" si="74"/>
        <v>#VALUE!</v>
      </c>
      <c r="V314" s="50" t="e">
        <f t="shared" si="75"/>
        <v>#VALUE!</v>
      </c>
      <c r="W314" s="50" t="e">
        <f t="shared" si="76"/>
        <v>#VALUE!</v>
      </c>
    </row>
    <row r="315" spans="2:23" x14ac:dyDescent="0.25">
      <c r="B315" s="50" t="b">
        <f t="shared" si="79"/>
        <v>0</v>
      </c>
      <c r="C315" s="50" t="e">
        <f t="shared" si="80"/>
        <v>#VALUE!</v>
      </c>
      <c r="E315" s="56">
        <v>312</v>
      </c>
      <c r="G315" s="138"/>
      <c r="H315" s="135">
        <v>1</v>
      </c>
      <c r="I315" s="57" t="str">
        <f t="shared" si="77"/>
        <v/>
      </c>
      <c r="J315" s="58" t="e">
        <f t="shared" si="66"/>
        <v>#VALUE!</v>
      </c>
      <c r="K315" s="50" t="e">
        <f t="shared" si="67"/>
        <v>#VALUE!</v>
      </c>
      <c r="L315" s="50" t="e">
        <f t="shared" si="68"/>
        <v>#VALUE!</v>
      </c>
      <c r="M315" s="50" t="e">
        <f t="shared" si="68"/>
        <v>#VALUE!</v>
      </c>
      <c r="N315" s="50" t="e">
        <f t="shared" si="69"/>
        <v>#VALUE!</v>
      </c>
      <c r="O315" s="50" t="e">
        <f t="shared" si="70"/>
        <v>#VALUE!</v>
      </c>
      <c r="P315" s="50">
        <f t="shared" si="71"/>
        <v>0</v>
      </c>
      <c r="R315" s="55" t="e">
        <f t="shared" si="72"/>
        <v>#VALUE!</v>
      </c>
      <c r="S315" s="55" t="e">
        <f t="shared" si="73"/>
        <v>#VALUE!</v>
      </c>
      <c r="T315" s="55" t="e">
        <f t="shared" si="78"/>
        <v>#VALUE!</v>
      </c>
      <c r="U315" s="50" t="e">
        <f t="shared" si="74"/>
        <v>#VALUE!</v>
      </c>
      <c r="V315" s="50" t="e">
        <f t="shared" si="75"/>
        <v>#VALUE!</v>
      </c>
      <c r="W315" s="50" t="e">
        <f t="shared" si="76"/>
        <v>#VALUE!</v>
      </c>
    </row>
    <row r="316" spans="2:23" x14ac:dyDescent="0.25">
      <c r="B316" s="50" t="b">
        <f t="shared" si="79"/>
        <v>0</v>
      </c>
      <c r="C316" s="50" t="e">
        <f t="shared" si="80"/>
        <v>#VALUE!</v>
      </c>
      <c r="E316" s="56">
        <v>313</v>
      </c>
      <c r="G316" s="138"/>
      <c r="H316" s="135">
        <v>1</v>
      </c>
      <c r="I316" s="57" t="str">
        <f t="shared" si="77"/>
        <v/>
      </c>
      <c r="J316" s="58" t="e">
        <f t="shared" si="66"/>
        <v>#VALUE!</v>
      </c>
      <c r="K316" s="50" t="e">
        <f t="shared" si="67"/>
        <v>#VALUE!</v>
      </c>
      <c r="L316" s="50" t="e">
        <f t="shared" si="68"/>
        <v>#VALUE!</v>
      </c>
      <c r="M316" s="50" t="e">
        <f t="shared" si="68"/>
        <v>#VALUE!</v>
      </c>
      <c r="N316" s="50" t="e">
        <f t="shared" si="69"/>
        <v>#VALUE!</v>
      </c>
      <c r="O316" s="50" t="e">
        <f t="shared" si="70"/>
        <v>#VALUE!</v>
      </c>
      <c r="P316" s="50">
        <f t="shared" si="71"/>
        <v>0</v>
      </c>
      <c r="R316" s="55" t="e">
        <f t="shared" si="72"/>
        <v>#VALUE!</v>
      </c>
      <c r="S316" s="55" t="e">
        <f t="shared" si="73"/>
        <v>#VALUE!</v>
      </c>
      <c r="T316" s="55" t="e">
        <f t="shared" si="78"/>
        <v>#VALUE!</v>
      </c>
      <c r="U316" s="50" t="e">
        <f t="shared" si="74"/>
        <v>#VALUE!</v>
      </c>
      <c r="V316" s="50" t="e">
        <f t="shared" si="75"/>
        <v>#VALUE!</v>
      </c>
      <c r="W316" s="50" t="e">
        <f t="shared" si="76"/>
        <v>#VALUE!</v>
      </c>
    </row>
    <row r="317" spans="2:23" x14ac:dyDescent="0.25">
      <c r="B317" s="50" t="b">
        <f t="shared" si="79"/>
        <v>0</v>
      </c>
      <c r="C317" s="50" t="e">
        <f t="shared" si="80"/>
        <v>#VALUE!</v>
      </c>
      <c r="E317" s="56">
        <v>314</v>
      </c>
      <c r="G317" s="138"/>
      <c r="H317" s="135">
        <v>1</v>
      </c>
      <c r="I317" s="57" t="str">
        <f t="shared" si="77"/>
        <v/>
      </c>
      <c r="J317" s="58" t="e">
        <f t="shared" si="66"/>
        <v>#VALUE!</v>
      </c>
      <c r="K317" s="50" t="e">
        <f t="shared" si="67"/>
        <v>#VALUE!</v>
      </c>
      <c r="L317" s="50" t="e">
        <f t="shared" si="68"/>
        <v>#VALUE!</v>
      </c>
      <c r="M317" s="50" t="e">
        <f t="shared" si="68"/>
        <v>#VALUE!</v>
      </c>
      <c r="N317" s="50" t="e">
        <f t="shared" si="69"/>
        <v>#VALUE!</v>
      </c>
      <c r="O317" s="50" t="e">
        <f t="shared" si="70"/>
        <v>#VALUE!</v>
      </c>
      <c r="P317" s="50">
        <f t="shared" si="71"/>
        <v>0</v>
      </c>
      <c r="R317" s="55" t="e">
        <f t="shared" si="72"/>
        <v>#VALUE!</v>
      </c>
      <c r="S317" s="55" t="e">
        <f t="shared" si="73"/>
        <v>#VALUE!</v>
      </c>
      <c r="T317" s="55" t="e">
        <f t="shared" si="78"/>
        <v>#VALUE!</v>
      </c>
      <c r="U317" s="50" t="e">
        <f t="shared" si="74"/>
        <v>#VALUE!</v>
      </c>
      <c r="V317" s="50" t="e">
        <f t="shared" si="75"/>
        <v>#VALUE!</v>
      </c>
      <c r="W317" s="50" t="e">
        <f t="shared" si="76"/>
        <v>#VALUE!</v>
      </c>
    </row>
    <row r="318" spans="2:23" x14ac:dyDescent="0.25">
      <c r="B318" s="50" t="b">
        <f t="shared" si="79"/>
        <v>0</v>
      </c>
      <c r="C318" s="50" t="e">
        <f t="shared" si="80"/>
        <v>#VALUE!</v>
      </c>
      <c r="E318" s="56">
        <v>315</v>
      </c>
      <c r="G318" s="138"/>
      <c r="H318" s="135">
        <v>1</v>
      </c>
      <c r="I318" s="57" t="str">
        <f t="shared" si="77"/>
        <v/>
      </c>
      <c r="J318" s="58" t="e">
        <f t="shared" si="66"/>
        <v>#VALUE!</v>
      </c>
      <c r="K318" s="50" t="e">
        <f t="shared" si="67"/>
        <v>#VALUE!</v>
      </c>
      <c r="L318" s="50" t="e">
        <f t="shared" si="68"/>
        <v>#VALUE!</v>
      </c>
      <c r="M318" s="50" t="e">
        <f t="shared" si="68"/>
        <v>#VALUE!</v>
      </c>
      <c r="N318" s="50" t="e">
        <f t="shared" si="69"/>
        <v>#VALUE!</v>
      </c>
      <c r="O318" s="50" t="e">
        <f t="shared" si="70"/>
        <v>#VALUE!</v>
      </c>
      <c r="P318" s="50">
        <f t="shared" si="71"/>
        <v>0</v>
      </c>
      <c r="R318" s="55" t="e">
        <f t="shared" si="72"/>
        <v>#VALUE!</v>
      </c>
      <c r="S318" s="55" t="e">
        <f t="shared" si="73"/>
        <v>#VALUE!</v>
      </c>
      <c r="T318" s="55" t="e">
        <f t="shared" si="78"/>
        <v>#VALUE!</v>
      </c>
      <c r="U318" s="50" t="e">
        <f t="shared" si="74"/>
        <v>#VALUE!</v>
      </c>
      <c r="V318" s="50" t="e">
        <f t="shared" si="75"/>
        <v>#VALUE!</v>
      </c>
      <c r="W318" s="50" t="e">
        <f t="shared" si="76"/>
        <v>#VALUE!</v>
      </c>
    </row>
    <row r="319" spans="2:23" x14ac:dyDescent="0.25">
      <c r="B319" s="50" t="b">
        <f t="shared" si="79"/>
        <v>0</v>
      </c>
      <c r="C319" s="50" t="e">
        <f t="shared" si="80"/>
        <v>#VALUE!</v>
      </c>
      <c r="E319" s="56">
        <v>316</v>
      </c>
      <c r="G319" s="138"/>
      <c r="H319" s="135">
        <v>1</v>
      </c>
      <c r="I319" s="57" t="str">
        <f t="shared" si="77"/>
        <v/>
      </c>
      <c r="J319" s="58" t="e">
        <f t="shared" si="66"/>
        <v>#VALUE!</v>
      </c>
      <c r="K319" s="50" t="e">
        <f t="shared" si="67"/>
        <v>#VALUE!</v>
      </c>
      <c r="L319" s="50" t="e">
        <f t="shared" si="68"/>
        <v>#VALUE!</v>
      </c>
      <c r="M319" s="50" t="e">
        <f t="shared" si="68"/>
        <v>#VALUE!</v>
      </c>
      <c r="N319" s="50" t="e">
        <f t="shared" si="69"/>
        <v>#VALUE!</v>
      </c>
      <c r="O319" s="50" t="e">
        <f t="shared" si="70"/>
        <v>#VALUE!</v>
      </c>
      <c r="P319" s="50">
        <f t="shared" si="71"/>
        <v>0</v>
      </c>
      <c r="R319" s="55" t="e">
        <f t="shared" si="72"/>
        <v>#VALUE!</v>
      </c>
      <c r="S319" s="55" t="e">
        <f t="shared" si="73"/>
        <v>#VALUE!</v>
      </c>
      <c r="T319" s="55" t="e">
        <f t="shared" si="78"/>
        <v>#VALUE!</v>
      </c>
      <c r="U319" s="50" t="e">
        <f t="shared" si="74"/>
        <v>#VALUE!</v>
      </c>
      <c r="V319" s="50" t="e">
        <f t="shared" si="75"/>
        <v>#VALUE!</v>
      </c>
      <c r="W319" s="50" t="e">
        <f t="shared" si="76"/>
        <v>#VALUE!</v>
      </c>
    </row>
    <row r="320" spans="2:23" x14ac:dyDescent="0.25">
      <c r="B320" s="50" t="b">
        <f t="shared" si="79"/>
        <v>0</v>
      </c>
      <c r="C320" s="50" t="e">
        <f t="shared" si="80"/>
        <v>#VALUE!</v>
      </c>
      <c r="E320" s="56">
        <v>317</v>
      </c>
      <c r="G320" s="138"/>
      <c r="H320" s="135">
        <v>1</v>
      </c>
      <c r="I320" s="57" t="str">
        <f t="shared" si="77"/>
        <v/>
      </c>
      <c r="J320" s="58" t="e">
        <f t="shared" si="66"/>
        <v>#VALUE!</v>
      </c>
      <c r="K320" s="50" t="e">
        <f t="shared" si="67"/>
        <v>#VALUE!</v>
      </c>
      <c r="L320" s="50" t="e">
        <f t="shared" si="68"/>
        <v>#VALUE!</v>
      </c>
      <c r="M320" s="50" t="e">
        <f t="shared" si="68"/>
        <v>#VALUE!</v>
      </c>
      <c r="N320" s="50" t="e">
        <f t="shared" si="69"/>
        <v>#VALUE!</v>
      </c>
      <c r="O320" s="50" t="e">
        <f t="shared" si="70"/>
        <v>#VALUE!</v>
      </c>
      <c r="P320" s="50">
        <f t="shared" si="71"/>
        <v>0</v>
      </c>
      <c r="R320" s="55" t="e">
        <f t="shared" si="72"/>
        <v>#VALUE!</v>
      </c>
      <c r="S320" s="55" t="e">
        <f t="shared" si="73"/>
        <v>#VALUE!</v>
      </c>
      <c r="T320" s="55" t="e">
        <f t="shared" si="78"/>
        <v>#VALUE!</v>
      </c>
      <c r="U320" s="50" t="e">
        <f t="shared" si="74"/>
        <v>#VALUE!</v>
      </c>
      <c r="V320" s="50" t="e">
        <f t="shared" si="75"/>
        <v>#VALUE!</v>
      </c>
      <c r="W320" s="50" t="e">
        <f t="shared" si="76"/>
        <v>#VALUE!</v>
      </c>
    </row>
    <row r="321" spans="2:23" x14ac:dyDescent="0.25">
      <c r="B321" s="50" t="b">
        <f t="shared" si="79"/>
        <v>0</v>
      </c>
      <c r="C321" s="50" t="e">
        <f t="shared" si="80"/>
        <v>#VALUE!</v>
      </c>
      <c r="E321" s="56">
        <v>318</v>
      </c>
      <c r="G321" s="138"/>
      <c r="H321" s="135">
        <v>1</v>
      </c>
      <c r="I321" s="57" t="str">
        <f t="shared" si="77"/>
        <v/>
      </c>
      <c r="J321" s="58" t="e">
        <f t="shared" si="66"/>
        <v>#VALUE!</v>
      </c>
      <c r="K321" s="50" t="e">
        <f t="shared" si="67"/>
        <v>#VALUE!</v>
      </c>
      <c r="L321" s="50" t="e">
        <f t="shared" si="68"/>
        <v>#VALUE!</v>
      </c>
      <c r="M321" s="50" t="e">
        <f t="shared" si="68"/>
        <v>#VALUE!</v>
      </c>
      <c r="N321" s="50" t="e">
        <f t="shared" si="69"/>
        <v>#VALUE!</v>
      </c>
      <c r="O321" s="50" t="e">
        <f t="shared" si="70"/>
        <v>#VALUE!</v>
      </c>
      <c r="P321" s="50">
        <f t="shared" si="71"/>
        <v>0</v>
      </c>
      <c r="R321" s="55" t="e">
        <f t="shared" si="72"/>
        <v>#VALUE!</v>
      </c>
      <c r="S321" s="55" t="e">
        <f t="shared" si="73"/>
        <v>#VALUE!</v>
      </c>
      <c r="T321" s="55" t="e">
        <f t="shared" si="78"/>
        <v>#VALUE!</v>
      </c>
      <c r="U321" s="50" t="e">
        <f t="shared" si="74"/>
        <v>#VALUE!</v>
      </c>
      <c r="V321" s="50" t="e">
        <f t="shared" si="75"/>
        <v>#VALUE!</v>
      </c>
      <c r="W321" s="50" t="e">
        <f t="shared" si="76"/>
        <v>#VALUE!</v>
      </c>
    </row>
    <row r="322" spans="2:23" x14ac:dyDescent="0.25">
      <c r="B322" s="50" t="b">
        <f t="shared" si="79"/>
        <v>0</v>
      </c>
      <c r="C322" s="50" t="e">
        <f t="shared" si="80"/>
        <v>#VALUE!</v>
      </c>
      <c r="E322" s="56">
        <v>319</v>
      </c>
      <c r="G322" s="138"/>
      <c r="H322" s="135">
        <v>1</v>
      </c>
      <c r="I322" s="57" t="str">
        <f t="shared" si="77"/>
        <v/>
      </c>
      <c r="J322" s="58" t="e">
        <f t="shared" si="66"/>
        <v>#VALUE!</v>
      </c>
      <c r="K322" s="50" t="e">
        <f t="shared" si="67"/>
        <v>#VALUE!</v>
      </c>
      <c r="L322" s="50" t="e">
        <f t="shared" si="68"/>
        <v>#VALUE!</v>
      </c>
      <c r="M322" s="50" t="e">
        <f t="shared" si="68"/>
        <v>#VALUE!</v>
      </c>
      <c r="N322" s="50" t="e">
        <f t="shared" si="69"/>
        <v>#VALUE!</v>
      </c>
      <c r="O322" s="50" t="e">
        <f t="shared" si="70"/>
        <v>#VALUE!</v>
      </c>
      <c r="P322" s="50">
        <f t="shared" si="71"/>
        <v>0</v>
      </c>
      <c r="R322" s="55" t="e">
        <f t="shared" si="72"/>
        <v>#VALUE!</v>
      </c>
      <c r="S322" s="55" t="e">
        <f t="shared" si="73"/>
        <v>#VALUE!</v>
      </c>
      <c r="T322" s="55" t="e">
        <f t="shared" si="78"/>
        <v>#VALUE!</v>
      </c>
      <c r="U322" s="50" t="e">
        <f t="shared" si="74"/>
        <v>#VALUE!</v>
      </c>
      <c r="V322" s="50" t="e">
        <f t="shared" si="75"/>
        <v>#VALUE!</v>
      </c>
      <c r="W322" s="50" t="e">
        <f t="shared" si="76"/>
        <v>#VALUE!</v>
      </c>
    </row>
    <row r="323" spans="2:23" x14ac:dyDescent="0.25">
      <c r="B323" s="50" t="b">
        <f t="shared" si="79"/>
        <v>0</v>
      </c>
      <c r="C323" s="50" t="e">
        <f t="shared" si="80"/>
        <v>#VALUE!</v>
      </c>
      <c r="E323" s="56">
        <v>320</v>
      </c>
      <c r="G323" s="138"/>
      <c r="H323" s="135">
        <v>1</v>
      </c>
      <c r="I323" s="57" t="str">
        <f t="shared" si="77"/>
        <v/>
      </c>
      <c r="J323" s="58" t="e">
        <f t="shared" si="66"/>
        <v>#VALUE!</v>
      </c>
      <c r="K323" s="50" t="e">
        <f t="shared" si="67"/>
        <v>#VALUE!</v>
      </c>
      <c r="L323" s="50" t="e">
        <f t="shared" si="68"/>
        <v>#VALUE!</v>
      </c>
      <c r="M323" s="50" t="e">
        <f t="shared" si="68"/>
        <v>#VALUE!</v>
      </c>
      <c r="N323" s="50" t="e">
        <f t="shared" si="69"/>
        <v>#VALUE!</v>
      </c>
      <c r="O323" s="50" t="e">
        <f t="shared" si="70"/>
        <v>#VALUE!</v>
      </c>
      <c r="P323" s="50">
        <f t="shared" si="71"/>
        <v>0</v>
      </c>
      <c r="R323" s="55" t="e">
        <f t="shared" si="72"/>
        <v>#VALUE!</v>
      </c>
      <c r="S323" s="55" t="e">
        <f t="shared" si="73"/>
        <v>#VALUE!</v>
      </c>
      <c r="T323" s="55" t="e">
        <f t="shared" si="78"/>
        <v>#VALUE!</v>
      </c>
      <c r="U323" s="50" t="e">
        <f t="shared" si="74"/>
        <v>#VALUE!</v>
      </c>
      <c r="V323" s="50" t="e">
        <f t="shared" si="75"/>
        <v>#VALUE!</v>
      </c>
      <c r="W323" s="50" t="e">
        <f t="shared" si="76"/>
        <v>#VALUE!</v>
      </c>
    </row>
    <row r="324" spans="2:23" x14ac:dyDescent="0.25">
      <c r="B324" s="50" t="b">
        <f t="shared" si="79"/>
        <v>0</v>
      </c>
      <c r="C324" s="50" t="e">
        <f t="shared" si="80"/>
        <v>#VALUE!</v>
      </c>
      <c r="E324" s="56">
        <v>321</v>
      </c>
      <c r="G324" s="138"/>
      <c r="H324" s="135">
        <v>1</v>
      </c>
      <c r="I324" s="57" t="str">
        <f t="shared" si="77"/>
        <v/>
      </c>
      <c r="J324" s="58" t="e">
        <f t="shared" si="66"/>
        <v>#VALUE!</v>
      </c>
      <c r="K324" s="50" t="e">
        <f t="shared" si="67"/>
        <v>#VALUE!</v>
      </c>
      <c r="L324" s="50" t="e">
        <f t="shared" si="68"/>
        <v>#VALUE!</v>
      </c>
      <c r="M324" s="50" t="e">
        <f t="shared" si="68"/>
        <v>#VALUE!</v>
      </c>
      <c r="N324" s="50" t="e">
        <f t="shared" si="69"/>
        <v>#VALUE!</v>
      </c>
      <c r="O324" s="50" t="e">
        <f t="shared" si="70"/>
        <v>#VALUE!</v>
      </c>
      <c r="P324" s="50">
        <f t="shared" si="71"/>
        <v>0</v>
      </c>
      <c r="R324" s="55" t="e">
        <f t="shared" si="72"/>
        <v>#VALUE!</v>
      </c>
      <c r="S324" s="55" t="e">
        <f t="shared" si="73"/>
        <v>#VALUE!</v>
      </c>
      <c r="T324" s="55" t="e">
        <f t="shared" si="78"/>
        <v>#VALUE!</v>
      </c>
      <c r="U324" s="50" t="e">
        <f t="shared" si="74"/>
        <v>#VALUE!</v>
      </c>
      <c r="V324" s="50" t="e">
        <f t="shared" si="75"/>
        <v>#VALUE!</v>
      </c>
      <c r="W324" s="50" t="e">
        <f t="shared" si="76"/>
        <v>#VALUE!</v>
      </c>
    </row>
    <row r="325" spans="2:23" x14ac:dyDescent="0.25">
      <c r="B325" s="50" t="b">
        <f t="shared" si="79"/>
        <v>0</v>
      </c>
      <c r="C325" s="50" t="e">
        <f t="shared" si="80"/>
        <v>#VALUE!</v>
      </c>
      <c r="E325" s="56">
        <v>322</v>
      </c>
      <c r="G325" s="138"/>
      <c r="H325" s="135">
        <v>1</v>
      </c>
      <c r="I325" s="57" t="str">
        <f t="shared" si="77"/>
        <v/>
      </c>
      <c r="J325" s="58" t="e">
        <f t="shared" ref="J325:J388" si="81">RIGHT(I325,K325)</f>
        <v>#VALUE!</v>
      </c>
      <c r="K325" s="50" t="e">
        <f t="shared" ref="K325:K388" si="82">P325-N325</f>
        <v>#VALUE!</v>
      </c>
      <c r="L325" s="50" t="e">
        <f t="shared" ref="L325:M388" si="83">O325-N325</f>
        <v>#VALUE!</v>
      </c>
      <c r="M325" s="50" t="e">
        <f t="shared" si="83"/>
        <v>#VALUE!</v>
      </c>
      <c r="N325" s="50" t="e">
        <f t="shared" ref="N325:N388" si="84">SEARCH("-",I325,2)</f>
        <v>#VALUE!</v>
      </c>
      <c r="O325" s="50" t="e">
        <f t="shared" ref="O325:O388" si="85">SEARCH("-",I325,N325+1)</f>
        <v>#VALUE!</v>
      </c>
      <c r="P325" s="50">
        <f t="shared" ref="P325:P388" si="86">LEN(I325)</f>
        <v>0</v>
      </c>
      <c r="R325" s="55" t="e">
        <f t="shared" ref="R325:R388" si="87">LEFT(I325,N325-1)</f>
        <v>#VALUE!</v>
      </c>
      <c r="S325" s="55" t="e">
        <f t="shared" ref="S325:S388" si="88">LEFT(J325,L325-1)</f>
        <v>#VALUE!</v>
      </c>
      <c r="T325" s="55" t="e">
        <f t="shared" si="78"/>
        <v>#VALUE!</v>
      </c>
      <c r="U325" s="50" t="e">
        <f t="shared" ref="U325:U388" si="89">R325*1*$H325</f>
        <v>#VALUE!</v>
      </c>
      <c r="V325" s="50" t="e">
        <f t="shared" ref="V325:V388" si="90">S325*1*$H325</f>
        <v>#VALUE!</v>
      </c>
      <c r="W325" s="50" t="e">
        <f t="shared" ref="W325:W388" si="91">T325*1*$H325</f>
        <v>#VALUE!</v>
      </c>
    </row>
    <row r="326" spans="2:23" x14ac:dyDescent="0.25">
      <c r="B326" s="50" t="b">
        <f t="shared" si="79"/>
        <v>0</v>
      </c>
      <c r="C326" s="50" t="e">
        <f t="shared" si="80"/>
        <v>#VALUE!</v>
      </c>
      <c r="E326" s="56">
        <v>323</v>
      </c>
      <c r="G326" s="138"/>
      <c r="H326" s="135">
        <v>1</v>
      </c>
      <c r="I326" s="57" t="str">
        <f t="shared" ref="I326:I389" si="92">IF(G326="","",G326&amp;""&amp;"-0")</f>
        <v/>
      </c>
      <c r="J326" s="58" t="e">
        <f t="shared" si="81"/>
        <v>#VALUE!</v>
      </c>
      <c r="K326" s="50" t="e">
        <f t="shared" si="82"/>
        <v>#VALUE!</v>
      </c>
      <c r="L326" s="50" t="e">
        <f t="shared" si="83"/>
        <v>#VALUE!</v>
      </c>
      <c r="M326" s="50" t="e">
        <f t="shared" si="83"/>
        <v>#VALUE!</v>
      </c>
      <c r="N326" s="50" t="e">
        <f t="shared" si="84"/>
        <v>#VALUE!</v>
      </c>
      <c r="O326" s="50" t="e">
        <f t="shared" si="85"/>
        <v>#VALUE!</v>
      </c>
      <c r="P326" s="50">
        <f t="shared" si="86"/>
        <v>0</v>
      </c>
      <c r="R326" s="55" t="e">
        <f t="shared" si="87"/>
        <v>#VALUE!</v>
      </c>
      <c r="S326" s="55" t="e">
        <f t="shared" si="88"/>
        <v>#VALUE!</v>
      </c>
      <c r="T326" s="55" t="e">
        <f t="shared" ref="T326:T389" si="93">RIGHT(I326,M326)</f>
        <v>#VALUE!</v>
      </c>
      <c r="U326" s="50" t="e">
        <f t="shared" si="89"/>
        <v>#VALUE!</v>
      </c>
      <c r="V326" s="50" t="e">
        <f t="shared" si="90"/>
        <v>#VALUE!</v>
      </c>
      <c r="W326" s="50" t="e">
        <f t="shared" si="91"/>
        <v>#VALUE!</v>
      </c>
    </row>
    <row r="327" spans="2:23" x14ac:dyDescent="0.25">
      <c r="B327" s="50" t="b">
        <f t="shared" si="79"/>
        <v>0</v>
      </c>
      <c r="C327" s="50" t="e">
        <f t="shared" si="80"/>
        <v>#VALUE!</v>
      </c>
      <c r="E327" s="56">
        <v>324</v>
      </c>
      <c r="G327" s="138"/>
      <c r="H327" s="135">
        <v>1</v>
      </c>
      <c r="I327" s="57" t="str">
        <f t="shared" si="92"/>
        <v/>
      </c>
      <c r="J327" s="58" t="e">
        <f t="shared" si="81"/>
        <v>#VALUE!</v>
      </c>
      <c r="K327" s="50" t="e">
        <f t="shared" si="82"/>
        <v>#VALUE!</v>
      </c>
      <c r="L327" s="50" t="e">
        <f t="shared" si="83"/>
        <v>#VALUE!</v>
      </c>
      <c r="M327" s="50" t="e">
        <f t="shared" si="83"/>
        <v>#VALUE!</v>
      </c>
      <c r="N327" s="50" t="e">
        <f t="shared" si="84"/>
        <v>#VALUE!</v>
      </c>
      <c r="O327" s="50" t="e">
        <f t="shared" si="85"/>
        <v>#VALUE!</v>
      </c>
      <c r="P327" s="50">
        <f t="shared" si="86"/>
        <v>0</v>
      </c>
      <c r="R327" s="55" t="e">
        <f t="shared" si="87"/>
        <v>#VALUE!</v>
      </c>
      <c r="S327" s="55" t="e">
        <f t="shared" si="88"/>
        <v>#VALUE!</v>
      </c>
      <c r="T327" s="55" t="e">
        <f t="shared" si="93"/>
        <v>#VALUE!</v>
      </c>
      <c r="U327" s="50" t="e">
        <f t="shared" si="89"/>
        <v>#VALUE!</v>
      </c>
      <c r="V327" s="50" t="e">
        <f t="shared" si="90"/>
        <v>#VALUE!</v>
      </c>
      <c r="W327" s="50" t="e">
        <f t="shared" si="91"/>
        <v>#VALUE!</v>
      </c>
    </row>
    <row r="328" spans="2:23" x14ac:dyDescent="0.25">
      <c r="B328" s="50" t="b">
        <f t="shared" si="79"/>
        <v>0</v>
      </c>
      <c r="C328" s="50" t="e">
        <f t="shared" si="80"/>
        <v>#VALUE!</v>
      </c>
      <c r="E328" s="56">
        <v>325</v>
      </c>
      <c r="G328" s="138"/>
      <c r="H328" s="135">
        <v>1</v>
      </c>
      <c r="I328" s="57" t="str">
        <f t="shared" si="92"/>
        <v/>
      </c>
      <c r="J328" s="58" t="e">
        <f t="shared" si="81"/>
        <v>#VALUE!</v>
      </c>
      <c r="K328" s="50" t="e">
        <f t="shared" si="82"/>
        <v>#VALUE!</v>
      </c>
      <c r="L328" s="50" t="e">
        <f t="shared" si="83"/>
        <v>#VALUE!</v>
      </c>
      <c r="M328" s="50" t="e">
        <f t="shared" si="83"/>
        <v>#VALUE!</v>
      </c>
      <c r="N328" s="50" t="e">
        <f t="shared" si="84"/>
        <v>#VALUE!</v>
      </c>
      <c r="O328" s="50" t="e">
        <f t="shared" si="85"/>
        <v>#VALUE!</v>
      </c>
      <c r="P328" s="50">
        <f t="shared" si="86"/>
        <v>0</v>
      </c>
      <c r="R328" s="55" t="e">
        <f t="shared" si="87"/>
        <v>#VALUE!</v>
      </c>
      <c r="S328" s="55" t="e">
        <f t="shared" si="88"/>
        <v>#VALUE!</v>
      </c>
      <c r="T328" s="55" t="e">
        <f t="shared" si="93"/>
        <v>#VALUE!</v>
      </c>
      <c r="U328" s="50" t="e">
        <f t="shared" si="89"/>
        <v>#VALUE!</v>
      </c>
      <c r="V328" s="50" t="e">
        <f t="shared" si="90"/>
        <v>#VALUE!</v>
      </c>
      <c r="W328" s="50" t="e">
        <f t="shared" si="91"/>
        <v>#VALUE!</v>
      </c>
    </row>
    <row r="329" spans="2:23" x14ac:dyDescent="0.25">
      <c r="B329" s="50" t="b">
        <f t="shared" si="79"/>
        <v>0</v>
      </c>
      <c r="C329" s="50" t="e">
        <f t="shared" si="80"/>
        <v>#VALUE!</v>
      </c>
      <c r="E329" s="56">
        <v>326</v>
      </c>
      <c r="G329" s="138"/>
      <c r="H329" s="135">
        <v>1</v>
      </c>
      <c r="I329" s="57" t="str">
        <f t="shared" si="92"/>
        <v/>
      </c>
      <c r="J329" s="58" t="e">
        <f t="shared" si="81"/>
        <v>#VALUE!</v>
      </c>
      <c r="K329" s="50" t="e">
        <f t="shared" si="82"/>
        <v>#VALUE!</v>
      </c>
      <c r="L329" s="50" t="e">
        <f t="shared" si="83"/>
        <v>#VALUE!</v>
      </c>
      <c r="M329" s="50" t="e">
        <f t="shared" si="83"/>
        <v>#VALUE!</v>
      </c>
      <c r="N329" s="50" t="e">
        <f t="shared" si="84"/>
        <v>#VALUE!</v>
      </c>
      <c r="O329" s="50" t="e">
        <f t="shared" si="85"/>
        <v>#VALUE!</v>
      </c>
      <c r="P329" s="50">
        <f t="shared" si="86"/>
        <v>0</v>
      </c>
      <c r="R329" s="55" t="e">
        <f t="shared" si="87"/>
        <v>#VALUE!</v>
      </c>
      <c r="S329" s="55" t="e">
        <f t="shared" si="88"/>
        <v>#VALUE!</v>
      </c>
      <c r="T329" s="55" t="e">
        <f t="shared" si="93"/>
        <v>#VALUE!</v>
      </c>
      <c r="U329" s="50" t="e">
        <f t="shared" si="89"/>
        <v>#VALUE!</v>
      </c>
      <c r="V329" s="50" t="e">
        <f t="shared" si="90"/>
        <v>#VALUE!</v>
      </c>
      <c r="W329" s="50" t="e">
        <f t="shared" si="91"/>
        <v>#VALUE!</v>
      </c>
    </row>
    <row r="330" spans="2:23" x14ac:dyDescent="0.25">
      <c r="B330" s="50" t="b">
        <f t="shared" si="79"/>
        <v>0</v>
      </c>
      <c r="C330" s="50" t="e">
        <f t="shared" si="80"/>
        <v>#VALUE!</v>
      </c>
      <c r="E330" s="56">
        <v>327</v>
      </c>
      <c r="G330" s="138"/>
      <c r="H330" s="135">
        <v>1</v>
      </c>
      <c r="I330" s="57" t="str">
        <f t="shared" si="92"/>
        <v/>
      </c>
      <c r="J330" s="58" t="e">
        <f t="shared" si="81"/>
        <v>#VALUE!</v>
      </c>
      <c r="K330" s="50" t="e">
        <f t="shared" si="82"/>
        <v>#VALUE!</v>
      </c>
      <c r="L330" s="50" t="e">
        <f t="shared" si="83"/>
        <v>#VALUE!</v>
      </c>
      <c r="M330" s="50" t="e">
        <f t="shared" si="83"/>
        <v>#VALUE!</v>
      </c>
      <c r="N330" s="50" t="e">
        <f t="shared" si="84"/>
        <v>#VALUE!</v>
      </c>
      <c r="O330" s="50" t="e">
        <f t="shared" si="85"/>
        <v>#VALUE!</v>
      </c>
      <c r="P330" s="50">
        <f t="shared" si="86"/>
        <v>0</v>
      </c>
      <c r="R330" s="55" t="e">
        <f t="shared" si="87"/>
        <v>#VALUE!</v>
      </c>
      <c r="S330" s="55" t="e">
        <f t="shared" si="88"/>
        <v>#VALUE!</v>
      </c>
      <c r="T330" s="55" t="e">
        <f t="shared" si="93"/>
        <v>#VALUE!</v>
      </c>
      <c r="U330" s="50" t="e">
        <f t="shared" si="89"/>
        <v>#VALUE!</v>
      </c>
      <c r="V330" s="50" t="e">
        <f t="shared" si="90"/>
        <v>#VALUE!</v>
      </c>
      <c r="W330" s="50" t="e">
        <f t="shared" si="91"/>
        <v>#VALUE!</v>
      </c>
    </row>
    <row r="331" spans="2:23" x14ac:dyDescent="0.25">
      <c r="B331" s="50" t="b">
        <f t="shared" si="79"/>
        <v>0</v>
      </c>
      <c r="C331" s="50" t="e">
        <f t="shared" si="80"/>
        <v>#VALUE!</v>
      </c>
      <c r="E331" s="56">
        <v>328</v>
      </c>
      <c r="G331" s="138"/>
      <c r="H331" s="135">
        <v>1</v>
      </c>
      <c r="I331" s="57" t="str">
        <f t="shared" si="92"/>
        <v/>
      </c>
      <c r="J331" s="58" t="e">
        <f t="shared" si="81"/>
        <v>#VALUE!</v>
      </c>
      <c r="K331" s="50" t="e">
        <f t="shared" si="82"/>
        <v>#VALUE!</v>
      </c>
      <c r="L331" s="50" t="e">
        <f t="shared" si="83"/>
        <v>#VALUE!</v>
      </c>
      <c r="M331" s="50" t="e">
        <f t="shared" si="83"/>
        <v>#VALUE!</v>
      </c>
      <c r="N331" s="50" t="e">
        <f t="shared" si="84"/>
        <v>#VALUE!</v>
      </c>
      <c r="O331" s="50" t="e">
        <f t="shared" si="85"/>
        <v>#VALUE!</v>
      </c>
      <c r="P331" s="50">
        <f t="shared" si="86"/>
        <v>0</v>
      </c>
      <c r="R331" s="55" t="e">
        <f t="shared" si="87"/>
        <v>#VALUE!</v>
      </c>
      <c r="S331" s="55" t="e">
        <f t="shared" si="88"/>
        <v>#VALUE!</v>
      </c>
      <c r="T331" s="55" t="e">
        <f t="shared" si="93"/>
        <v>#VALUE!</v>
      </c>
      <c r="U331" s="50" t="e">
        <f t="shared" si="89"/>
        <v>#VALUE!</v>
      </c>
      <c r="V331" s="50" t="e">
        <f t="shared" si="90"/>
        <v>#VALUE!</v>
      </c>
      <c r="W331" s="50" t="e">
        <f t="shared" si="91"/>
        <v>#VALUE!</v>
      </c>
    </row>
    <row r="332" spans="2:23" x14ac:dyDescent="0.25">
      <c r="B332" s="50" t="b">
        <f t="shared" si="79"/>
        <v>0</v>
      </c>
      <c r="C332" s="50" t="e">
        <f t="shared" si="80"/>
        <v>#VALUE!</v>
      </c>
      <c r="E332" s="56">
        <v>328</v>
      </c>
      <c r="G332" s="138"/>
      <c r="H332" s="135">
        <v>1</v>
      </c>
      <c r="I332" s="57" t="str">
        <f t="shared" si="92"/>
        <v/>
      </c>
      <c r="J332" s="58" t="e">
        <f t="shared" si="81"/>
        <v>#VALUE!</v>
      </c>
      <c r="K332" s="50" t="e">
        <f t="shared" si="82"/>
        <v>#VALUE!</v>
      </c>
      <c r="L332" s="50" t="e">
        <f t="shared" si="83"/>
        <v>#VALUE!</v>
      </c>
      <c r="M332" s="50" t="e">
        <f t="shared" si="83"/>
        <v>#VALUE!</v>
      </c>
      <c r="N332" s="50" t="e">
        <f t="shared" si="84"/>
        <v>#VALUE!</v>
      </c>
      <c r="O332" s="50" t="e">
        <f t="shared" si="85"/>
        <v>#VALUE!</v>
      </c>
      <c r="P332" s="50">
        <f t="shared" si="86"/>
        <v>0</v>
      </c>
      <c r="R332" s="55" t="e">
        <f t="shared" si="87"/>
        <v>#VALUE!</v>
      </c>
      <c r="S332" s="55" t="e">
        <f t="shared" si="88"/>
        <v>#VALUE!</v>
      </c>
      <c r="T332" s="55" t="e">
        <f t="shared" si="93"/>
        <v>#VALUE!</v>
      </c>
      <c r="U332" s="50" t="e">
        <f t="shared" si="89"/>
        <v>#VALUE!</v>
      </c>
      <c r="V332" s="50" t="e">
        <f t="shared" si="90"/>
        <v>#VALUE!</v>
      </c>
      <c r="W332" s="50" t="e">
        <f t="shared" si="91"/>
        <v>#VALUE!</v>
      </c>
    </row>
    <row r="333" spans="2:23" x14ac:dyDescent="0.25">
      <c r="B333" s="50" t="b">
        <f t="shared" si="79"/>
        <v>0</v>
      </c>
      <c r="C333" s="50" t="e">
        <f t="shared" si="80"/>
        <v>#VALUE!</v>
      </c>
      <c r="E333" s="56">
        <v>329</v>
      </c>
      <c r="G333" s="138"/>
      <c r="H333" s="135">
        <v>1</v>
      </c>
      <c r="I333" s="57" t="str">
        <f t="shared" si="92"/>
        <v/>
      </c>
      <c r="J333" s="58" t="e">
        <f t="shared" si="81"/>
        <v>#VALUE!</v>
      </c>
      <c r="K333" s="50" t="e">
        <f t="shared" si="82"/>
        <v>#VALUE!</v>
      </c>
      <c r="L333" s="50" t="e">
        <f t="shared" si="83"/>
        <v>#VALUE!</v>
      </c>
      <c r="M333" s="50" t="e">
        <f t="shared" si="83"/>
        <v>#VALUE!</v>
      </c>
      <c r="N333" s="50" t="e">
        <f t="shared" si="84"/>
        <v>#VALUE!</v>
      </c>
      <c r="O333" s="50" t="e">
        <f t="shared" si="85"/>
        <v>#VALUE!</v>
      </c>
      <c r="P333" s="50">
        <f t="shared" si="86"/>
        <v>0</v>
      </c>
      <c r="R333" s="55" t="e">
        <f t="shared" si="87"/>
        <v>#VALUE!</v>
      </c>
      <c r="S333" s="55" t="e">
        <f t="shared" si="88"/>
        <v>#VALUE!</v>
      </c>
      <c r="T333" s="55" t="e">
        <f t="shared" si="93"/>
        <v>#VALUE!</v>
      </c>
      <c r="U333" s="50" t="e">
        <f t="shared" si="89"/>
        <v>#VALUE!</v>
      </c>
      <c r="V333" s="50" t="e">
        <f t="shared" si="90"/>
        <v>#VALUE!</v>
      </c>
      <c r="W333" s="50" t="e">
        <f t="shared" si="91"/>
        <v>#VALUE!</v>
      </c>
    </row>
    <row r="334" spans="2:23" x14ac:dyDescent="0.25">
      <c r="B334" s="50" t="b">
        <f t="shared" ref="B334:B397" si="94">ISNUMBER(C334)</f>
        <v>0</v>
      </c>
      <c r="C334" s="50" t="e">
        <f t="shared" si="80"/>
        <v>#VALUE!</v>
      </c>
      <c r="E334" s="56">
        <v>330</v>
      </c>
      <c r="G334" s="138"/>
      <c r="H334" s="135">
        <v>1</v>
      </c>
      <c r="I334" s="57" t="str">
        <f t="shared" si="92"/>
        <v/>
      </c>
      <c r="J334" s="58" t="e">
        <f t="shared" si="81"/>
        <v>#VALUE!</v>
      </c>
      <c r="K334" s="50" t="e">
        <f t="shared" si="82"/>
        <v>#VALUE!</v>
      </c>
      <c r="L334" s="50" t="e">
        <f t="shared" si="83"/>
        <v>#VALUE!</v>
      </c>
      <c r="M334" s="50" t="e">
        <f t="shared" si="83"/>
        <v>#VALUE!</v>
      </c>
      <c r="N334" s="50" t="e">
        <f t="shared" si="84"/>
        <v>#VALUE!</v>
      </c>
      <c r="O334" s="50" t="e">
        <f t="shared" si="85"/>
        <v>#VALUE!</v>
      </c>
      <c r="P334" s="50">
        <f t="shared" si="86"/>
        <v>0</v>
      </c>
      <c r="R334" s="55" t="e">
        <f t="shared" si="87"/>
        <v>#VALUE!</v>
      </c>
      <c r="S334" s="55" t="e">
        <f t="shared" si="88"/>
        <v>#VALUE!</v>
      </c>
      <c r="T334" s="55" t="e">
        <f t="shared" si="93"/>
        <v>#VALUE!</v>
      </c>
      <c r="U334" s="50" t="e">
        <f t="shared" si="89"/>
        <v>#VALUE!</v>
      </c>
      <c r="V334" s="50" t="e">
        <f t="shared" si="90"/>
        <v>#VALUE!</v>
      </c>
      <c r="W334" s="50" t="e">
        <f t="shared" si="91"/>
        <v>#VALUE!</v>
      </c>
    </row>
    <row r="335" spans="2:23" x14ac:dyDescent="0.25">
      <c r="B335" s="50" t="b">
        <f t="shared" si="94"/>
        <v>0</v>
      </c>
      <c r="C335" s="50" t="e">
        <f t="shared" si="80"/>
        <v>#VALUE!</v>
      </c>
      <c r="E335" s="56">
        <v>331</v>
      </c>
      <c r="G335" s="138"/>
      <c r="H335" s="135">
        <v>1</v>
      </c>
      <c r="I335" s="57" t="str">
        <f t="shared" si="92"/>
        <v/>
      </c>
      <c r="J335" s="58" t="e">
        <f t="shared" si="81"/>
        <v>#VALUE!</v>
      </c>
      <c r="K335" s="50" t="e">
        <f t="shared" si="82"/>
        <v>#VALUE!</v>
      </c>
      <c r="L335" s="50" t="e">
        <f t="shared" si="83"/>
        <v>#VALUE!</v>
      </c>
      <c r="M335" s="50" t="e">
        <f t="shared" si="83"/>
        <v>#VALUE!</v>
      </c>
      <c r="N335" s="50" t="e">
        <f t="shared" si="84"/>
        <v>#VALUE!</v>
      </c>
      <c r="O335" s="50" t="e">
        <f t="shared" si="85"/>
        <v>#VALUE!</v>
      </c>
      <c r="P335" s="50">
        <f t="shared" si="86"/>
        <v>0</v>
      </c>
      <c r="R335" s="55" t="e">
        <f t="shared" si="87"/>
        <v>#VALUE!</v>
      </c>
      <c r="S335" s="55" t="e">
        <f t="shared" si="88"/>
        <v>#VALUE!</v>
      </c>
      <c r="T335" s="55" t="e">
        <f t="shared" si="93"/>
        <v>#VALUE!</v>
      </c>
      <c r="U335" s="50" t="e">
        <f t="shared" si="89"/>
        <v>#VALUE!</v>
      </c>
      <c r="V335" s="50" t="e">
        <f t="shared" si="90"/>
        <v>#VALUE!</v>
      </c>
      <c r="W335" s="50" t="e">
        <f t="shared" si="91"/>
        <v>#VALUE!</v>
      </c>
    </row>
    <row r="336" spans="2:23" x14ac:dyDescent="0.25">
      <c r="B336" s="50" t="b">
        <f t="shared" si="94"/>
        <v>0</v>
      </c>
      <c r="C336" s="50" t="e">
        <f t="shared" si="80"/>
        <v>#VALUE!</v>
      </c>
      <c r="E336" s="56">
        <v>332</v>
      </c>
      <c r="G336" s="138"/>
      <c r="H336" s="135">
        <v>1</v>
      </c>
      <c r="I336" s="57" t="str">
        <f t="shared" si="92"/>
        <v/>
      </c>
      <c r="J336" s="58" t="e">
        <f t="shared" si="81"/>
        <v>#VALUE!</v>
      </c>
      <c r="K336" s="50" t="e">
        <f t="shared" si="82"/>
        <v>#VALUE!</v>
      </c>
      <c r="L336" s="50" t="e">
        <f t="shared" si="83"/>
        <v>#VALUE!</v>
      </c>
      <c r="M336" s="50" t="e">
        <f t="shared" si="83"/>
        <v>#VALUE!</v>
      </c>
      <c r="N336" s="50" t="e">
        <f t="shared" si="84"/>
        <v>#VALUE!</v>
      </c>
      <c r="O336" s="50" t="e">
        <f t="shared" si="85"/>
        <v>#VALUE!</v>
      </c>
      <c r="P336" s="50">
        <f t="shared" si="86"/>
        <v>0</v>
      </c>
      <c r="R336" s="55" t="e">
        <f t="shared" si="87"/>
        <v>#VALUE!</v>
      </c>
      <c r="S336" s="55" t="e">
        <f t="shared" si="88"/>
        <v>#VALUE!</v>
      </c>
      <c r="T336" s="55" t="e">
        <f t="shared" si="93"/>
        <v>#VALUE!</v>
      </c>
      <c r="U336" s="50" t="e">
        <f t="shared" si="89"/>
        <v>#VALUE!</v>
      </c>
      <c r="V336" s="50" t="e">
        <f t="shared" si="90"/>
        <v>#VALUE!</v>
      </c>
      <c r="W336" s="50" t="e">
        <f t="shared" si="91"/>
        <v>#VALUE!</v>
      </c>
    </row>
    <row r="337" spans="2:23" x14ac:dyDescent="0.25">
      <c r="B337" s="50" t="b">
        <f t="shared" si="94"/>
        <v>0</v>
      </c>
      <c r="C337" s="50" t="e">
        <f t="shared" si="80"/>
        <v>#VALUE!</v>
      </c>
      <c r="E337" s="56">
        <v>333</v>
      </c>
      <c r="G337" s="138"/>
      <c r="H337" s="135">
        <v>1</v>
      </c>
      <c r="I337" s="57" t="str">
        <f t="shared" si="92"/>
        <v/>
      </c>
      <c r="J337" s="58" t="e">
        <f t="shared" si="81"/>
        <v>#VALUE!</v>
      </c>
      <c r="K337" s="50" t="e">
        <f t="shared" si="82"/>
        <v>#VALUE!</v>
      </c>
      <c r="L337" s="50" t="e">
        <f t="shared" si="83"/>
        <v>#VALUE!</v>
      </c>
      <c r="M337" s="50" t="e">
        <f t="shared" si="83"/>
        <v>#VALUE!</v>
      </c>
      <c r="N337" s="50" t="e">
        <f t="shared" si="84"/>
        <v>#VALUE!</v>
      </c>
      <c r="O337" s="50" t="e">
        <f t="shared" si="85"/>
        <v>#VALUE!</v>
      </c>
      <c r="P337" s="50">
        <f t="shared" si="86"/>
        <v>0</v>
      </c>
      <c r="R337" s="55" t="e">
        <f t="shared" si="87"/>
        <v>#VALUE!</v>
      </c>
      <c r="S337" s="55" t="e">
        <f t="shared" si="88"/>
        <v>#VALUE!</v>
      </c>
      <c r="T337" s="55" t="e">
        <f t="shared" si="93"/>
        <v>#VALUE!</v>
      </c>
      <c r="U337" s="50" t="e">
        <f t="shared" si="89"/>
        <v>#VALUE!</v>
      </c>
      <c r="V337" s="50" t="e">
        <f t="shared" si="90"/>
        <v>#VALUE!</v>
      </c>
      <c r="W337" s="50" t="e">
        <f t="shared" si="91"/>
        <v>#VALUE!</v>
      </c>
    </row>
    <row r="338" spans="2:23" x14ac:dyDescent="0.25">
      <c r="B338" s="50" t="b">
        <f t="shared" si="94"/>
        <v>0</v>
      </c>
      <c r="C338" s="50" t="e">
        <f t="shared" si="80"/>
        <v>#VALUE!</v>
      </c>
      <c r="E338" s="56">
        <v>334</v>
      </c>
      <c r="G338" s="138"/>
      <c r="H338" s="135">
        <v>1</v>
      </c>
      <c r="I338" s="57" t="str">
        <f t="shared" si="92"/>
        <v/>
      </c>
      <c r="J338" s="58" t="e">
        <f t="shared" si="81"/>
        <v>#VALUE!</v>
      </c>
      <c r="K338" s="50" t="e">
        <f t="shared" si="82"/>
        <v>#VALUE!</v>
      </c>
      <c r="L338" s="50" t="e">
        <f t="shared" si="83"/>
        <v>#VALUE!</v>
      </c>
      <c r="M338" s="50" t="e">
        <f t="shared" si="83"/>
        <v>#VALUE!</v>
      </c>
      <c r="N338" s="50" t="e">
        <f t="shared" si="84"/>
        <v>#VALUE!</v>
      </c>
      <c r="O338" s="50" t="e">
        <f t="shared" si="85"/>
        <v>#VALUE!</v>
      </c>
      <c r="P338" s="50">
        <f t="shared" si="86"/>
        <v>0</v>
      </c>
      <c r="R338" s="55" t="e">
        <f t="shared" si="87"/>
        <v>#VALUE!</v>
      </c>
      <c r="S338" s="55" t="e">
        <f t="shared" si="88"/>
        <v>#VALUE!</v>
      </c>
      <c r="T338" s="55" t="e">
        <f t="shared" si="93"/>
        <v>#VALUE!</v>
      </c>
      <c r="U338" s="50" t="e">
        <f t="shared" si="89"/>
        <v>#VALUE!</v>
      </c>
      <c r="V338" s="50" t="e">
        <f t="shared" si="90"/>
        <v>#VALUE!</v>
      </c>
      <c r="W338" s="50" t="e">
        <f t="shared" si="91"/>
        <v>#VALUE!</v>
      </c>
    </row>
    <row r="339" spans="2:23" x14ac:dyDescent="0.25">
      <c r="B339" s="50" t="b">
        <f t="shared" si="94"/>
        <v>0</v>
      </c>
      <c r="C339" s="50" t="e">
        <f t="shared" si="80"/>
        <v>#VALUE!</v>
      </c>
      <c r="E339" s="56">
        <v>335</v>
      </c>
      <c r="G339" s="138"/>
      <c r="H339" s="135">
        <v>1</v>
      </c>
      <c r="I339" s="57" t="str">
        <f t="shared" si="92"/>
        <v/>
      </c>
      <c r="J339" s="58" t="e">
        <f t="shared" si="81"/>
        <v>#VALUE!</v>
      </c>
      <c r="K339" s="50" t="e">
        <f t="shared" si="82"/>
        <v>#VALUE!</v>
      </c>
      <c r="L339" s="50" t="e">
        <f t="shared" si="83"/>
        <v>#VALUE!</v>
      </c>
      <c r="M339" s="50" t="e">
        <f t="shared" si="83"/>
        <v>#VALUE!</v>
      </c>
      <c r="N339" s="50" t="e">
        <f t="shared" si="84"/>
        <v>#VALUE!</v>
      </c>
      <c r="O339" s="50" t="e">
        <f t="shared" si="85"/>
        <v>#VALUE!</v>
      </c>
      <c r="P339" s="50">
        <f t="shared" si="86"/>
        <v>0</v>
      </c>
      <c r="R339" s="55" t="e">
        <f t="shared" si="87"/>
        <v>#VALUE!</v>
      </c>
      <c r="S339" s="55" t="e">
        <f t="shared" si="88"/>
        <v>#VALUE!</v>
      </c>
      <c r="T339" s="55" t="e">
        <f t="shared" si="93"/>
        <v>#VALUE!</v>
      </c>
      <c r="U339" s="50" t="e">
        <f t="shared" si="89"/>
        <v>#VALUE!</v>
      </c>
      <c r="V339" s="50" t="e">
        <f t="shared" si="90"/>
        <v>#VALUE!</v>
      </c>
      <c r="W339" s="50" t="e">
        <f t="shared" si="91"/>
        <v>#VALUE!</v>
      </c>
    </row>
    <row r="340" spans="2:23" x14ac:dyDescent="0.25">
      <c r="B340" s="50" t="b">
        <f t="shared" si="94"/>
        <v>0</v>
      </c>
      <c r="C340" s="50" t="e">
        <f t="shared" si="80"/>
        <v>#VALUE!</v>
      </c>
      <c r="E340" s="56">
        <v>336</v>
      </c>
      <c r="G340" s="138"/>
      <c r="H340" s="135">
        <v>1</v>
      </c>
      <c r="I340" s="57" t="str">
        <f t="shared" si="92"/>
        <v/>
      </c>
      <c r="J340" s="58" t="e">
        <f t="shared" si="81"/>
        <v>#VALUE!</v>
      </c>
      <c r="K340" s="50" t="e">
        <f t="shared" si="82"/>
        <v>#VALUE!</v>
      </c>
      <c r="L340" s="50" t="e">
        <f t="shared" si="83"/>
        <v>#VALUE!</v>
      </c>
      <c r="M340" s="50" t="e">
        <f t="shared" si="83"/>
        <v>#VALUE!</v>
      </c>
      <c r="N340" s="50" t="e">
        <f t="shared" si="84"/>
        <v>#VALUE!</v>
      </c>
      <c r="O340" s="50" t="e">
        <f t="shared" si="85"/>
        <v>#VALUE!</v>
      </c>
      <c r="P340" s="50">
        <f t="shared" si="86"/>
        <v>0</v>
      </c>
      <c r="R340" s="55" t="e">
        <f t="shared" si="87"/>
        <v>#VALUE!</v>
      </c>
      <c r="S340" s="55" t="e">
        <f t="shared" si="88"/>
        <v>#VALUE!</v>
      </c>
      <c r="T340" s="55" t="e">
        <f t="shared" si="93"/>
        <v>#VALUE!</v>
      </c>
      <c r="U340" s="50" t="e">
        <f t="shared" si="89"/>
        <v>#VALUE!</v>
      </c>
      <c r="V340" s="50" t="e">
        <f t="shared" si="90"/>
        <v>#VALUE!</v>
      </c>
      <c r="W340" s="50" t="e">
        <f t="shared" si="91"/>
        <v>#VALUE!</v>
      </c>
    </row>
    <row r="341" spans="2:23" x14ac:dyDescent="0.25">
      <c r="B341" s="50" t="b">
        <f t="shared" si="94"/>
        <v>0</v>
      </c>
      <c r="C341" s="50" t="e">
        <f t="shared" si="80"/>
        <v>#VALUE!</v>
      </c>
      <c r="E341" s="56">
        <v>337</v>
      </c>
      <c r="G341" s="138"/>
      <c r="H341" s="135">
        <v>1</v>
      </c>
      <c r="I341" s="57" t="str">
        <f t="shared" si="92"/>
        <v/>
      </c>
      <c r="J341" s="58" t="e">
        <f t="shared" si="81"/>
        <v>#VALUE!</v>
      </c>
      <c r="K341" s="50" t="e">
        <f t="shared" si="82"/>
        <v>#VALUE!</v>
      </c>
      <c r="L341" s="50" t="e">
        <f t="shared" si="83"/>
        <v>#VALUE!</v>
      </c>
      <c r="M341" s="50" t="e">
        <f t="shared" si="83"/>
        <v>#VALUE!</v>
      </c>
      <c r="N341" s="50" t="e">
        <f t="shared" si="84"/>
        <v>#VALUE!</v>
      </c>
      <c r="O341" s="50" t="e">
        <f t="shared" si="85"/>
        <v>#VALUE!</v>
      </c>
      <c r="P341" s="50">
        <f t="shared" si="86"/>
        <v>0</v>
      </c>
      <c r="R341" s="55" t="e">
        <f t="shared" si="87"/>
        <v>#VALUE!</v>
      </c>
      <c r="S341" s="55" t="e">
        <f t="shared" si="88"/>
        <v>#VALUE!</v>
      </c>
      <c r="T341" s="55" t="e">
        <f t="shared" si="93"/>
        <v>#VALUE!</v>
      </c>
      <c r="U341" s="50" t="e">
        <f t="shared" si="89"/>
        <v>#VALUE!</v>
      </c>
      <c r="V341" s="50" t="e">
        <f t="shared" si="90"/>
        <v>#VALUE!</v>
      </c>
      <c r="W341" s="50" t="e">
        <f t="shared" si="91"/>
        <v>#VALUE!</v>
      </c>
    </row>
    <row r="342" spans="2:23" x14ac:dyDescent="0.25">
      <c r="B342" s="50" t="b">
        <f t="shared" si="94"/>
        <v>0</v>
      </c>
      <c r="C342" s="50" t="e">
        <f t="shared" si="80"/>
        <v>#VALUE!</v>
      </c>
      <c r="E342" s="56">
        <v>338</v>
      </c>
      <c r="G342" s="138"/>
      <c r="H342" s="135">
        <v>1</v>
      </c>
      <c r="I342" s="57" t="str">
        <f t="shared" si="92"/>
        <v/>
      </c>
      <c r="J342" s="58" t="e">
        <f t="shared" si="81"/>
        <v>#VALUE!</v>
      </c>
      <c r="K342" s="50" t="e">
        <f t="shared" si="82"/>
        <v>#VALUE!</v>
      </c>
      <c r="L342" s="50" t="e">
        <f t="shared" si="83"/>
        <v>#VALUE!</v>
      </c>
      <c r="M342" s="50" t="e">
        <f t="shared" si="83"/>
        <v>#VALUE!</v>
      </c>
      <c r="N342" s="50" t="e">
        <f t="shared" si="84"/>
        <v>#VALUE!</v>
      </c>
      <c r="O342" s="50" t="e">
        <f t="shared" si="85"/>
        <v>#VALUE!</v>
      </c>
      <c r="P342" s="50">
        <f t="shared" si="86"/>
        <v>0</v>
      </c>
      <c r="R342" s="55" t="e">
        <f t="shared" si="87"/>
        <v>#VALUE!</v>
      </c>
      <c r="S342" s="55" t="e">
        <f t="shared" si="88"/>
        <v>#VALUE!</v>
      </c>
      <c r="T342" s="55" t="e">
        <f t="shared" si="93"/>
        <v>#VALUE!</v>
      </c>
      <c r="U342" s="50" t="e">
        <f t="shared" si="89"/>
        <v>#VALUE!</v>
      </c>
      <c r="V342" s="50" t="e">
        <f t="shared" si="90"/>
        <v>#VALUE!</v>
      </c>
      <c r="W342" s="50" t="e">
        <f t="shared" si="91"/>
        <v>#VALUE!</v>
      </c>
    </row>
    <row r="343" spans="2:23" x14ac:dyDescent="0.25">
      <c r="B343" s="50" t="b">
        <f t="shared" si="94"/>
        <v>0</v>
      </c>
      <c r="C343" s="50" t="e">
        <f t="shared" si="80"/>
        <v>#VALUE!</v>
      </c>
      <c r="E343" s="56">
        <v>339</v>
      </c>
      <c r="G343" s="138"/>
      <c r="H343" s="135">
        <v>1</v>
      </c>
      <c r="I343" s="57" t="str">
        <f t="shared" si="92"/>
        <v/>
      </c>
      <c r="J343" s="58" t="e">
        <f t="shared" si="81"/>
        <v>#VALUE!</v>
      </c>
      <c r="K343" s="50" t="e">
        <f t="shared" si="82"/>
        <v>#VALUE!</v>
      </c>
      <c r="L343" s="50" t="e">
        <f t="shared" si="83"/>
        <v>#VALUE!</v>
      </c>
      <c r="M343" s="50" t="e">
        <f t="shared" si="83"/>
        <v>#VALUE!</v>
      </c>
      <c r="N343" s="50" t="e">
        <f t="shared" si="84"/>
        <v>#VALUE!</v>
      </c>
      <c r="O343" s="50" t="e">
        <f t="shared" si="85"/>
        <v>#VALUE!</v>
      </c>
      <c r="P343" s="50">
        <f t="shared" si="86"/>
        <v>0</v>
      </c>
      <c r="R343" s="55" t="e">
        <f t="shared" si="87"/>
        <v>#VALUE!</v>
      </c>
      <c r="S343" s="55" t="e">
        <f t="shared" si="88"/>
        <v>#VALUE!</v>
      </c>
      <c r="T343" s="55" t="e">
        <f t="shared" si="93"/>
        <v>#VALUE!</v>
      </c>
      <c r="U343" s="50" t="e">
        <f t="shared" si="89"/>
        <v>#VALUE!</v>
      </c>
      <c r="V343" s="50" t="e">
        <f t="shared" si="90"/>
        <v>#VALUE!</v>
      </c>
      <c r="W343" s="50" t="e">
        <f t="shared" si="91"/>
        <v>#VALUE!</v>
      </c>
    </row>
    <row r="344" spans="2:23" x14ac:dyDescent="0.25">
      <c r="B344" s="50" t="b">
        <f t="shared" si="94"/>
        <v>0</v>
      </c>
      <c r="C344" s="50" t="e">
        <f t="shared" si="80"/>
        <v>#VALUE!</v>
      </c>
      <c r="E344" s="56">
        <v>340</v>
      </c>
      <c r="G344" s="138"/>
      <c r="H344" s="135">
        <v>1</v>
      </c>
      <c r="I344" s="57" t="str">
        <f t="shared" si="92"/>
        <v/>
      </c>
      <c r="J344" s="58" t="e">
        <f t="shared" si="81"/>
        <v>#VALUE!</v>
      </c>
      <c r="K344" s="50" t="e">
        <f t="shared" si="82"/>
        <v>#VALUE!</v>
      </c>
      <c r="L344" s="50" t="e">
        <f t="shared" si="83"/>
        <v>#VALUE!</v>
      </c>
      <c r="M344" s="50" t="e">
        <f t="shared" si="83"/>
        <v>#VALUE!</v>
      </c>
      <c r="N344" s="50" t="e">
        <f t="shared" si="84"/>
        <v>#VALUE!</v>
      </c>
      <c r="O344" s="50" t="e">
        <f t="shared" si="85"/>
        <v>#VALUE!</v>
      </c>
      <c r="P344" s="50">
        <f t="shared" si="86"/>
        <v>0</v>
      </c>
      <c r="R344" s="55" t="e">
        <f t="shared" si="87"/>
        <v>#VALUE!</v>
      </c>
      <c r="S344" s="55" t="e">
        <f t="shared" si="88"/>
        <v>#VALUE!</v>
      </c>
      <c r="T344" s="55" t="e">
        <f t="shared" si="93"/>
        <v>#VALUE!</v>
      </c>
      <c r="U344" s="50" t="e">
        <f t="shared" si="89"/>
        <v>#VALUE!</v>
      </c>
      <c r="V344" s="50" t="e">
        <f t="shared" si="90"/>
        <v>#VALUE!</v>
      </c>
      <c r="W344" s="50" t="e">
        <f t="shared" si="91"/>
        <v>#VALUE!</v>
      </c>
    </row>
    <row r="345" spans="2:23" x14ac:dyDescent="0.25">
      <c r="B345" s="50" t="b">
        <f t="shared" si="94"/>
        <v>0</v>
      </c>
      <c r="C345" s="50" t="e">
        <f t="shared" si="80"/>
        <v>#VALUE!</v>
      </c>
      <c r="E345" s="56">
        <v>341</v>
      </c>
      <c r="G345" s="138"/>
      <c r="H345" s="135">
        <v>1</v>
      </c>
      <c r="I345" s="57" t="str">
        <f t="shared" si="92"/>
        <v/>
      </c>
      <c r="J345" s="58" t="e">
        <f t="shared" si="81"/>
        <v>#VALUE!</v>
      </c>
      <c r="K345" s="50" t="e">
        <f t="shared" si="82"/>
        <v>#VALUE!</v>
      </c>
      <c r="L345" s="50" t="e">
        <f t="shared" si="83"/>
        <v>#VALUE!</v>
      </c>
      <c r="M345" s="50" t="e">
        <f t="shared" si="83"/>
        <v>#VALUE!</v>
      </c>
      <c r="N345" s="50" t="e">
        <f t="shared" si="84"/>
        <v>#VALUE!</v>
      </c>
      <c r="O345" s="50" t="e">
        <f t="shared" si="85"/>
        <v>#VALUE!</v>
      </c>
      <c r="P345" s="50">
        <f t="shared" si="86"/>
        <v>0</v>
      </c>
      <c r="R345" s="55" t="e">
        <f t="shared" si="87"/>
        <v>#VALUE!</v>
      </c>
      <c r="S345" s="55" t="e">
        <f t="shared" si="88"/>
        <v>#VALUE!</v>
      </c>
      <c r="T345" s="55" t="e">
        <f t="shared" si="93"/>
        <v>#VALUE!</v>
      </c>
      <c r="U345" s="50" t="e">
        <f t="shared" si="89"/>
        <v>#VALUE!</v>
      </c>
      <c r="V345" s="50" t="e">
        <f t="shared" si="90"/>
        <v>#VALUE!</v>
      </c>
      <c r="W345" s="50" t="e">
        <f t="shared" si="91"/>
        <v>#VALUE!</v>
      </c>
    </row>
    <row r="346" spans="2:23" x14ac:dyDescent="0.25">
      <c r="B346" s="50" t="b">
        <f t="shared" si="94"/>
        <v>0</v>
      </c>
      <c r="C346" s="50" t="e">
        <f t="shared" si="80"/>
        <v>#VALUE!</v>
      </c>
      <c r="E346" s="56">
        <v>342</v>
      </c>
      <c r="G346" s="138"/>
      <c r="H346" s="135">
        <v>1</v>
      </c>
      <c r="I346" s="57" t="str">
        <f t="shared" si="92"/>
        <v/>
      </c>
      <c r="J346" s="58" t="e">
        <f t="shared" si="81"/>
        <v>#VALUE!</v>
      </c>
      <c r="K346" s="50" t="e">
        <f t="shared" si="82"/>
        <v>#VALUE!</v>
      </c>
      <c r="L346" s="50" t="e">
        <f t="shared" si="83"/>
        <v>#VALUE!</v>
      </c>
      <c r="M346" s="50" t="e">
        <f t="shared" si="83"/>
        <v>#VALUE!</v>
      </c>
      <c r="N346" s="50" t="e">
        <f t="shared" si="84"/>
        <v>#VALUE!</v>
      </c>
      <c r="O346" s="50" t="e">
        <f t="shared" si="85"/>
        <v>#VALUE!</v>
      </c>
      <c r="P346" s="50">
        <f t="shared" si="86"/>
        <v>0</v>
      </c>
      <c r="R346" s="55" t="e">
        <f t="shared" si="87"/>
        <v>#VALUE!</v>
      </c>
      <c r="S346" s="55" t="e">
        <f t="shared" si="88"/>
        <v>#VALUE!</v>
      </c>
      <c r="T346" s="55" t="e">
        <f t="shared" si="93"/>
        <v>#VALUE!</v>
      </c>
      <c r="U346" s="50" t="e">
        <f t="shared" si="89"/>
        <v>#VALUE!</v>
      </c>
      <c r="V346" s="50" t="e">
        <f t="shared" si="90"/>
        <v>#VALUE!</v>
      </c>
      <c r="W346" s="50" t="e">
        <f t="shared" si="91"/>
        <v>#VALUE!</v>
      </c>
    </row>
    <row r="347" spans="2:23" x14ac:dyDescent="0.25">
      <c r="B347" s="50" t="b">
        <f t="shared" si="94"/>
        <v>0</v>
      </c>
      <c r="C347" s="50" t="e">
        <f t="shared" si="80"/>
        <v>#VALUE!</v>
      </c>
      <c r="E347" s="56">
        <v>343</v>
      </c>
      <c r="G347" s="138"/>
      <c r="H347" s="135">
        <v>1</v>
      </c>
      <c r="I347" s="57" t="str">
        <f t="shared" si="92"/>
        <v/>
      </c>
      <c r="J347" s="58" t="e">
        <f t="shared" si="81"/>
        <v>#VALUE!</v>
      </c>
      <c r="K347" s="50" t="e">
        <f t="shared" si="82"/>
        <v>#VALUE!</v>
      </c>
      <c r="L347" s="50" t="e">
        <f t="shared" si="83"/>
        <v>#VALUE!</v>
      </c>
      <c r="M347" s="50" t="e">
        <f t="shared" si="83"/>
        <v>#VALUE!</v>
      </c>
      <c r="N347" s="50" t="e">
        <f t="shared" si="84"/>
        <v>#VALUE!</v>
      </c>
      <c r="O347" s="50" t="e">
        <f t="shared" si="85"/>
        <v>#VALUE!</v>
      </c>
      <c r="P347" s="50">
        <f t="shared" si="86"/>
        <v>0</v>
      </c>
      <c r="R347" s="55" t="e">
        <f t="shared" si="87"/>
        <v>#VALUE!</v>
      </c>
      <c r="S347" s="55" t="e">
        <f t="shared" si="88"/>
        <v>#VALUE!</v>
      </c>
      <c r="T347" s="55" t="e">
        <f t="shared" si="93"/>
        <v>#VALUE!</v>
      </c>
      <c r="U347" s="50" t="e">
        <f t="shared" si="89"/>
        <v>#VALUE!</v>
      </c>
      <c r="V347" s="50" t="e">
        <f t="shared" si="90"/>
        <v>#VALUE!</v>
      </c>
      <c r="W347" s="50" t="e">
        <f t="shared" si="91"/>
        <v>#VALUE!</v>
      </c>
    </row>
    <row r="348" spans="2:23" x14ac:dyDescent="0.25">
      <c r="B348" s="50" t="b">
        <f t="shared" si="94"/>
        <v>0</v>
      </c>
      <c r="C348" s="50" t="e">
        <f t="shared" si="80"/>
        <v>#VALUE!</v>
      </c>
      <c r="E348" s="56">
        <v>344</v>
      </c>
      <c r="G348" s="138"/>
      <c r="H348" s="135">
        <v>1</v>
      </c>
      <c r="I348" s="57" t="str">
        <f t="shared" si="92"/>
        <v/>
      </c>
      <c r="J348" s="58" t="e">
        <f t="shared" si="81"/>
        <v>#VALUE!</v>
      </c>
      <c r="K348" s="50" t="e">
        <f t="shared" si="82"/>
        <v>#VALUE!</v>
      </c>
      <c r="L348" s="50" t="e">
        <f t="shared" si="83"/>
        <v>#VALUE!</v>
      </c>
      <c r="M348" s="50" t="e">
        <f t="shared" si="83"/>
        <v>#VALUE!</v>
      </c>
      <c r="N348" s="50" t="e">
        <f t="shared" si="84"/>
        <v>#VALUE!</v>
      </c>
      <c r="O348" s="50" t="e">
        <f t="shared" si="85"/>
        <v>#VALUE!</v>
      </c>
      <c r="P348" s="50">
        <f t="shared" si="86"/>
        <v>0</v>
      </c>
      <c r="R348" s="55" t="e">
        <f t="shared" si="87"/>
        <v>#VALUE!</v>
      </c>
      <c r="S348" s="55" t="e">
        <f t="shared" si="88"/>
        <v>#VALUE!</v>
      </c>
      <c r="T348" s="55" t="e">
        <f t="shared" si="93"/>
        <v>#VALUE!</v>
      </c>
      <c r="U348" s="50" t="e">
        <f t="shared" si="89"/>
        <v>#VALUE!</v>
      </c>
      <c r="V348" s="50" t="e">
        <f t="shared" si="90"/>
        <v>#VALUE!</v>
      </c>
      <c r="W348" s="50" t="e">
        <f t="shared" si="91"/>
        <v>#VALUE!</v>
      </c>
    </row>
    <row r="349" spans="2:23" x14ac:dyDescent="0.25">
      <c r="B349" s="50" t="b">
        <f t="shared" si="94"/>
        <v>0</v>
      </c>
      <c r="C349" s="50" t="e">
        <f t="shared" si="80"/>
        <v>#VALUE!</v>
      </c>
      <c r="E349" s="56">
        <v>345</v>
      </c>
      <c r="G349" s="138"/>
      <c r="H349" s="135">
        <v>1</v>
      </c>
      <c r="I349" s="57" t="str">
        <f t="shared" si="92"/>
        <v/>
      </c>
      <c r="J349" s="58" t="e">
        <f t="shared" si="81"/>
        <v>#VALUE!</v>
      </c>
      <c r="K349" s="50" t="e">
        <f t="shared" si="82"/>
        <v>#VALUE!</v>
      </c>
      <c r="L349" s="50" t="e">
        <f t="shared" si="83"/>
        <v>#VALUE!</v>
      </c>
      <c r="M349" s="50" t="e">
        <f t="shared" si="83"/>
        <v>#VALUE!</v>
      </c>
      <c r="N349" s="50" t="e">
        <f t="shared" si="84"/>
        <v>#VALUE!</v>
      </c>
      <c r="O349" s="50" t="e">
        <f t="shared" si="85"/>
        <v>#VALUE!</v>
      </c>
      <c r="P349" s="50">
        <f t="shared" si="86"/>
        <v>0</v>
      </c>
      <c r="R349" s="55" t="e">
        <f t="shared" si="87"/>
        <v>#VALUE!</v>
      </c>
      <c r="S349" s="55" t="e">
        <f t="shared" si="88"/>
        <v>#VALUE!</v>
      </c>
      <c r="T349" s="55" t="e">
        <f t="shared" si="93"/>
        <v>#VALUE!</v>
      </c>
      <c r="U349" s="50" t="e">
        <f t="shared" si="89"/>
        <v>#VALUE!</v>
      </c>
      <c r="V349" s="50" t="e">
        <f t="shared" si="90"/>
        <v>#VALUE!</v>
      </c>
      <c r="W349" s="50" t="e">
        <f t="shared" si="91"/>
        <v>#VALUE!</v>
      </c>
    </row>
    <row r="350" spans="2:23" x14ac:dyDescent="0.25">
      <c r="B350" s="50" t="b">
        <f t="shared" si="94"/>
        <v>0</v>
      </c>
      <c r="C350" s="50" t="e">
        <f t="shared" si="80"/>
        <v>#VALUE!</v>
      </c>
      <c r="E350" s="56">
        <v>346</v>
      </c>
      <c r="G350" s="138"/>
      <c r="H350" s="135">
        <v>1</v>
      </c>
      <c r="I350" s="57" t="str">
        <f t="shared" si="92"/>
        <v/>
      </c>
      <c r="J350" s="58" t="e">
        <f t="shared" si="81"/>
        <v>#VALUE!</v>
      </c>
      <c r="K350" s="50" t="e">
        <f t="shared" si="82"/>
        <v>#VALUE!</v>
      </c>
      <c r="L350" s="50" t="e">
        <f t="shared" si="83"/>
        <v>#VALUE!</v>
      </c>
      <c r="M350" s="50" t="e">
        <f t="shared" si="83"/>
        <v>#VALUE!</v>
      </c>
      <c r="N350" s="50" t="e">
        <f t="shared" si="84"/>
        <v>#VALUE!</v>
      </c>
      <c r="O350" s="50" t="e">
        <f t="shared" si="85"/>
        <v>#VALUE!</v>
      </c>
      <c r="P350" s="50">
        <f t="shared" si="86"/>
        <v>0</v>
      </c>
      <c r="R350" s="55" t="e">
        <f t="shared" si="87"/>
        <v>#VALUE!</v>
      </c>
      <c r="S350" s="55" t="e">
        <f t="shared" si="88"/>
        <v>#VALUE!</v>
      </c>
      <c r="T350" s="55" t="e">
        <f t="shared" si="93"/>
        <v>#VALUE!</v>
      </c>
      <c r="U350" s="50" t="e">
        <f t="shared" si="89"/>
        <v>#VALUE!</v>
      </c>
      <c r="V350" s="50" t="e">
        <f t="shared" si="90"/>
        <v>#VALUE!</v>
      </c>
      <c r="W350" s="50" t="e">
        <f t="shared" si="91"/>
        <v>#VALUE!</v>
      </c>
    </row>
    <row r="351" spans="2:23" x14ac:dyDescent="0.25">
      <c r="B351" s="50" t="b">
        <f t="shared" si="94"/>
        <v>0</v>
      </c>
      <c r="C351" s="50" t="e">
        <f t="shared" si="80"/>
        <v>#VALUE!</v>
      </c>
      <c r="E351" s="56">
        <v>347</v>
      </c>
      <c r="G351" s="138"/>
      <c r="H351" s="135">
        <v>1</v>
      </c>
      <c r="I351" s="57" t="str">
        <f t="shared" si="92"/>
        <v/>
      </c>
      <c r="J351" s="58" t="e">
        <f t="shared" si="81"/>
        <v>#VALUE!</v>
      </c>
      <c r="K351" s="50" t="e">
        <f t="shared" si="82"/>
        <v>#VALUE!</v>
      </c>
      <c r="L351" s="50" t="e">
        <f t="shared" si="83"/>
        <v>#VALUE!</v>
      </c>
      <c r="M351" s="50" t="e">
        <f t="shared" si="83"/>
        <v>#VALUE!</v>
      </c>
      <c r="N351" s="50" t="e">
        <f t="shared" si="84"/>
        <v>#VALUE!</v>
      </c>
      <c r="O351" s="50" t="e">
        <f t="shared" si="85"/>
        <v>#VALUE!</v>
      </c>
      <c r="P351" s="50">
        <f t="shared" si="86"/>
        <v>0</v>
      </c>
      <c r="R351" s="55" t="e">
        <f t="shared" si="87"/>
        <v>#VALUE!</v>
      </c>
      <c r="S351" s="55" t="e">
        <f t="shared" si="88"/>
        <v>#VALUE!</v>
      </c>
      <c r="T351" s="55" t="e">
        <f t="shared" si="93"/>
        <v>#VALUE!</v>
      </c>
      <c r="U351" s="50" t="e">
        <f t="shared" si="89"/>
        <v>#VALUE!</v>
      </c>
      <c r="V351" s="50" t="e">
        <f t="shared" si="90"/>
        <v>#VALUE!</v>
      </c>
      <c r="W351" s="50" t="e">
        <f t="shared" si="91"/>
        <v>#VALUE!</v>
      </c>
    </row>
    <row r="352" spans="2:23" x14ac:dyDescent="0.25">
      <c r="B352" s="50" t="b">
        <f t="shared" si="94"/>
        <v>0</v>
      </c>
      <c r="C352" s="50" t="e">
        <f t="shared" si="80"/>
        <v>#VALUE!</v>
      </c>
      <c r="E352" s="56">
        <v>348</v>
      </c>
      <c r="G352" s="138"/>
      <c r="H352" s="135">
        <v>1</v>
      </c>
      <c r="I352" s="57" t="str">
        <f t="shared" si="92"/>
        <v/>
      </c>
      <c r="J352" s="58" t="e">
        <f t="shared" si="81"/>
        <v>#VALUE!</v>
      </c>
      <c r="K352" s="50" t="e">
        <f t="shared" si="82"/>
        <v>#VALUE!</v>
      </c>
      <c r="L352" s="50" t="e">
        <f t="shared" si="83"/>
        <v>#VALUE!</v>
      </c>
      <c r="M352" s="50" t="e">
        <f t="shared" si="83"/>
        <v>#VALUE!</v>
      </c>
      <c r="N352" s="50" t="e">
        <f t="shared" si="84"/>
        <v>#VALUE!</v>
      </c>
      <c r="O352" s="50" t="e">
        <f t="shared" si="85"/>
        <v>#VALUE!</v>
      </c>
      <c r="P352" s="50">
        <f t="shared" si="86"/>
        <v>0</v>
      </c>
      <c r="R352" s="55" t="e">
        <f t="shared" si="87"/>
        <v>#VALUE!</v>
      </c>
      <c r="S352" s="55" t="e">
        <f t="shared" si="88"/>
        <v>#VALUE!</v>
      </c>
      <c r="T352" s="55" t="e">
        <f t="shared" si="93"/>
        <v>#VALUE!</v>
      </c>
      <c r="U352" s="50" t="e">
        <f t="shared" si="89"/>
        <v>#VALUE!</v>
      </c>
      <c r="V352" s="50" t="e">
        <f t="shared" si="90"/>
        <v>#VALUE!</v>
      </c>
      <c r="W352" s="50" t="e">
        <f t="shared" si="91"/>
        <v>#VALUE!</v>
      </c>
    </row>
    <row r="353" spans="2:23" x14ac:dyDescent="0.25">
      <c r="B353" s="50" t="b">
        <f t="shared" si="94"/>
        <v>0</v>
      </c>
      <c r="C353" s="50" t="e">
        <f t="shared" si="80"/>
        <v>#VALUE!</v>
      </c>
      <c r="E353" s="56">
        <v>349</v>
      </c>
      <c r="G353" s="138"/>
      <c r="H353" s="135">
        <v>1</v>
      </c>
      <c r="I353" s="57" t="str">
        <f t="shared" si="92"/>
        <v/>
      </c>
      <c r="J353" s="58" t="e">
        <f t="shared" si="81"/>
        <v>#VALUE!</v>
      </c>
      <c r="K353" s="50" t="e">
        <f t="shared" si="82"/>
        <v>#VALUE!</v>
      </c>
      <c r="L353" s="50" t="e">
        <f t="shared" si="83"/>
        <v>#VALUE!</v>
      </c>
      <c r="M353" s="50" t="e">
        <f t="shared" si="83"/>
        <v>#VALUE!</v>
      </c>
      <c r="N353" s="50" t="e">
        <f t="shared" si="84"/>
        <v>#VALUE!</v>
      </c>
      <c r="O353" s="50" t="e">
        <f t="shared" si="85"/>
        <v>#VALUE!</v>
      </c>
      <c r="P353" s="50">
        <f t="shared" si="86"/>
        <v>0</v>
      </c>
      <c r="R353" s="55" t="e">
        <f t="shared" si="87"/>
        <v>#VALUE!</v>
      </c>
      <c r="S353" s="55" t="e">
        <f t="shared" si="88"/>
        <v>#VALUE!</v>
      </c>
      <c r="T353" s="55" t="e">
        <f t="shared" si="93"/>
        <v>#VALUE!</v>
      </c>
      <c r="U353" s="50" t="e">
        <f t="shared" si="89"/>
        <v>#VALUE!</v>
      </c>
      <c r="V353" s="50" t="e">
        <f t="shared" si="90"/>
        <v>#VALUE!</v>
      </c>
      <c r="W353" s="50" t="e">
        <f t="shared" si="91"/>
        <v>#VALUE!</v>
      </c>
    </row>
    <row r="354" spans="2:23" x14ac:dyDescent="0.25">
      <c r="B354" s="50" t="b">
        <f t="shared" si="94"/>
        <v>0</v>
      </c>
      <c r="C354" s="50" t="e">
        <f t="shared" si="80"/>
        <v>#VALUE!</v>
      </c>
      <c r="E354" s="56">
        <v>350</v>
      </c>
      <c r="G354" s="138"/>
      <c r="H354" s="135">
        <v>1</v>
      </c>
      <c r="I354" s="57" t="str">
        <f t="shared" si="92"/>
        <v/>
      </c>
      <c r="J354" s="58" t="e">
        <f t="shared" si="81"/>
        <v>#VALUE!</v>
      </c>
      <c r="K354" s="50" t="e">
        <f t="shared" si="82"/>
        <v>#VALUE!</v>
      </c>
      <c r="L354" s="50" t="e">
        <f t="shared" si="83"/>
        <v>#VALUE!</v>
      </c>
      <c r="M354" s="50" t="e">
        <f t="shared" si="83"/>
        <v>#VALUE!</v>
      </c>
      <c r="N354" s="50" t="e">
        <f t="shared" si="84"/>
        <v>#VALUE!</v>
      </c>
      <c r="O354" s="50" t="e">
        <f t="shared" si="85"/>
        <v>#VALUE!</v>
      </c>
      <c r="P354" s="50">
        <f t="shared" si="86"/>
        <v>0</v>
      </c>
      <c r="R354" s="55" t="e">
        <f t="shared" si="87"/>
        <v>#VALUE!</v>
      </c>
      <c r="S354" s="55" t="e">
        <f t="shared" si="88"/>
        <v>#VALUE!</v>
      </c>
      <c r="T354" s="55" t="e">
        <f t="shared" si="93"/>
        <v>#VALUE!</v>
      </c>
      <c r="U354" s="50" t="e">
        <f t="shared" si="89"/>
        <v>#VALUE!</v>
      </c>
      <c r="V354" s="50" t="e">
        <f t="shared" si="90"/>
        <v>#VALUE!</v>
      </c>
      <c r="W354" s="50" t="e">
        <f t="shared" si="91"/>
        <v>#VALUE!</v>
      </c>
    </row>
    <row r="355" spans="2:23" x14ac:dyDescent="0.25">
      <c r="B355" s="50" t="b">
        <f t="shared" si="94"/>
        <v>0</v>
      </c>
      <c r="C355" s="50" t="e">
        <f t="shared" si="80"/>
        <v>#VALUE!</v>
      </c>
      <c r="E355" s="56">
        <v>351</v>
      </c>
      <c r="G355" s="138"/>
      <c r="H355" s="135">
        <v>1</v>
      </c>
      <c r="I355" s="57" t="str">
        <f t="shared" si="92"/>
        <v/>
      </c>
      <c r="J355" s="58" t="e">
        <f t="shared" si="81"/>
        <v>#VALUE!</v>
      </c>
      <c r="K355" s="50" t="e">
        <f t="shared" si="82"/>
        <v>#VALUE!</v>
      </c>
      <c r="L355" s="50" t="e">
        <f t="shared" si="83"/>
        <v>#VALUE!</v>
      </c>
      <c r="M355" s="50" t="e">
        <f t="shared" si="83"/>
        <v>#VALUE!</v>
      </c>
      <c r="N355" s="50" t="e">
        <f t="shared" si="84"/>
        <v>#VALUE!</v>
      </c>
      <c r="O355" s="50" t="e">
        <f t="shared" si="85"/>
        <v>#VALUE!</v>
      </c>
      <c r="P355" s="50">
        <f t="shared" si="86"/>
        <v>0</v>
      </c>
      <c r="R355" s="55" t="e">
        <f t="shared" si="87"/>
        <v>#VALUE!</v>
      </c>
      <c r="S355" s="55" t="e">
        <f t="shared" si="88"/>
        <v>#VALUE!</v>
      </c>
      <c r="T355" s="55" t="e">
        <f t="shared" si="93"/>
        <v>#VALUE!</v>
      </c>
      <c r="U355" s="50" t="e">
        <f t="shared" si="89"/>
        <v>#VALUE!</v>
      </c>
      <c r="V355" s="50" t="e">
        <f t="shared" si="90"/>
        <v>#VALUE!</v>
      </c>
      <c r="W355" s="50" t="e">
        <f t="shared" si="91"/>
        <v>#VALUE!</v>
      </c>
    </row>
    <row r="356" spans="2:23" x14ac:dyDescent="0.25">
      <c r="B356" s="50" t="b">
        <f t="shared" si="94"/>
        <v>0</v>
      </c>
      <c r="C356" s="50" t="e">
        <f t="shared" si="80"/>
        <v>#VALUE!</v>
      </c>
      <c r="E356" s="56">
        <v>352</v>
      </c>
      <c r="G356" s="138"/>
      <c r="H356" s="135">
        <v>1</v>
      </c>
      <c r="I356" s="57" t="str">
        <f t="shared" si="92"/>
        <v/>
      </c>
      <c r="J356" s="58" t="e">
        <f t="shared" si="81"/>
        <v>#VALUE!</v>
      </c>
      <c r="K356" s="50" t="e">
        <f t="shared" si="82"/>
        <v>#VALUE!</v>
      </c>
      <c r="L356" s="50" t="e">
        <f t="shared" si="83"/>
        <v>#VALUE!</v>
      </c>
      <c r="M356" s="50" t="e">
        <f t="shared" si="83"/>
        <v>#VALUE!</v>
      </c>
      <c r="N356" s="50" t="e">
        <f t="shared" si="84"/>
        <v>#VALUE!</v>
      </c>
      <c r="O356" s="50" t="e">
        <f t="shared" si="85"/>
        <v>#VALUE!</v>
      </c>
      <c r="P356" s="50">
        <f t="shared" si="86"/>
        <v>0</v>
      </c>
      <c r="R356" s="55" t="e">
        <f t="shared" si="87"/>
        <v>#VALUE!</v>
      </c>
      <c r="S356" s="55" t="e">
        <f t="shared" si="88"/>
        <v>#VALUE!</v>
      </c>
      <c r="T356" s="55" t="e">
        <f t="shared" si="93"/>
        <v>#VALUE!</v>
      </c>
      <c r="U356" s="50" t="e">
        <f t="shared" si="89"/>
        <v>#VALUE!</v>
      </c>
      <c r="V356" s="50" t="e">
        <f t="shared" si="90"/>
        <v>#VALUE!</v>
      </c>
      <c r="W356" s="50" t="e">
        <f t="shared" si="91"/>
        <v>#VALUE!</v>
      </c>
    </row>
    <row r="357" spans="2:23" x14ac:dyDescent="0.25">
      <c r="B357" s="50" t="b">
        <f t="shared" si="94"/>
        <v>0</v>
      </c>
      <c r="C357" s="50" t="e">
        <f t="shared" si="80"/>
        <v>#VALUE!</v>
      </c>
      <c r="E357" s="56">
        <v>353</v>
      </c>
      <c r="G357" s="138"/>
      <c r="H357" s="135">
        <v>1</v>
      </c>
      <c r="I357" s="57" t="str">
        <f t="shared" si="92"/>
        <v/>
      </c>
      <c r="J357" s="58" t="e">
        <f t="shared" si="81"/>
        <v>#VALUE!</v>
      </c>
      <c r="K357" s="50" t="e">
        <f t="shared" si="82"/>
        <v>#VALUE!</v>
      </c>
      <c r="L357" s="50" t="e">
        <f t="shared" si="83"/>
        <v>#VALUE!</v>
      </c>
      <c r="M357" s="50" t="e">
        <f t="shared" si="83"/>
        <v>#VALUE!</v>
      </c>
      <c r="N357" s="50" t="e">
        <f t="shared" si="84"/>
        <v>#VALUE!</v>
      </c>
      <c r="O357" s="50" t="e">
        <f t="shared" si="85"/>
        <v>#VALUE!</v>
      </c>
      <c r="P357" s="50">
        <f t="shared" si="86"/>
        <v>0</v>
      </c>
      <c r="R357" s="55" t="e">
        <f t="shared" si="87"/>
        <v>#VALUE!</v>
      </c>
      <c r="S357" s="55" t="e">
        <f t="shared" si="88"/>
        <v>#VALUE!</v>
      </c>
      <c r="T357" s="55" t="e">
        <f t="shared" si="93"/>
        <v>#VALUE!</v>
      </c>
      <c r="U357" s="50" t="e">
        <f t="shared" si="89"/>
        <v>#VALUE!</v>
      </c>
      <c r="V357" s="50" t="e">
        <f t="shared" si="90"/>
        <v>#VALUE!</v>
      </c>
      <c r="W357" s="50" t="e">
        <f t="shared" si="91"/>
        <v>#VALUE!</v>
      </c>
    </row>
    <row r="358" spans="2:23" x14ac:dyDescent="0.25">
      <c r="B358" s="50" t="b">
        <f t="shared" si="94"/>
        <v>0</v>
      </c>
      <c r="C358" s="50" t="e">
        <f t="shared" si="80"/>
        <v>#VALUE!</v>
      </c>
      <c r="E358" s="56">
        <v>354</v>
      </c>
      <c r="G358" s="138"/>
      <c r="H358" s="135">
        <v>1</v>
      </c>
      <c r="I358" s="57" t="str">
        <f t="shared" si="92"/>
        <v/>
      </c>
      <c r="J358" s="58" t="e">
        <f t="shared" si="81"/>
        <v>#VALUE!</v>
      </c>
      <c r="K358" s="50" t="e">
        <f t="shared" si="82"/>
        <v>#VALUE!</v>
      </c>
      <c r="L358" s="50" t="e">
        <f t="shared" si="83"/>
        <v>#VALUE!</v>
      </c>
      <c r="M358" s="50" t="e">
        <f t="shared" si="83"/>
        <v>#VALUE!</v>
      </c>
      <c r="N358" s="50" t="e">
        <f t="shared" si="84"/>
        <v>#VALUE!</v>
      </c>
      <c r="O358" s="50" t="e">
        <f t="shared" si="85"/>
        <v>#VALUE!</v>
      </c>
      <c r="P358" s="50">
        <f t="shared" si="86"/>
        <v>0</v>
      </c>
      <c r="R358" s="55" t="e">
        <f t="shared" si="87"/>
        <v>#VALUE!</v>
      </c>
      <c r="S358" s="55" t="e">
        <f t="shared" si="88"/>
        <v>#VALUE!</v>
      </c>
      <c r="T358" s="55" t="e">
        <f t="shared" si="93"/>
        <v>#VALUE!</v>
      </c>
      <c r="U358" s="50" t="e">
        <f t="shared" si="89"/>
        <v>#VALUE!</v>
      </c>
      <c r="V358" s="50" t="e">
        <f t="shared" si="90"/>
        <v>#VALUE!</v>
      </c>
      <c r="W358" s="50" t="e">
        <f t="shared" si="91"/>
        <v>#VALUE!</v>
      </c>
    </row>
    <row r="359" spans="2:23" x14ac:dyDescent="0.25">
      <c r="B359" s="50" t="b">
        <f t="shared" si="94"/>
        <v>0</v>
      </c>
      <c r="C359" s="50" t="e">
        <f t="shared" si="80"/>
        <v>#VALUE!</v>
      </c>
      <c r="E359" s="56">
        <v>355</v>
      </c>
      <c r="G359" s="138"/>
      <c r="H359" s="135">
        <v>1</v>
      </c>
      <c r="I359" s="57" t="str">
        <f t="shared" si="92"/>
        <v/>
      </c>
      <c r="J359" s="58" t="e">
        <f t="shared" si="81"/>
        <v>#VALUE!</v>
      </c>
      <c r="K359" s="50" t="e">
        <f t="shared" si="82"/>
        <v>#VALUE!</v>
      </c>
      <c r="L359" s="50" t="e">
        <f t="shared" si="83"/>
        <v>#VALUE!</v>
      </c>
      <c r="M359" s="50" t="e">
        <f t="shared" si="83"/>
        <v>#VALUE!</v>
      </c>
      <c r="N359" s="50" t="e">
        <f t="shared" si="84"/>
        <v>#VALUE!</v>
      </c>
      <c r="O359" s="50" t="e">
        <f t="shared" si="85"/>
        <v>#VALUE!</v>
      </c>
      <c r="P359" s="50">
        <f t="shared" si="86"/>
        <v>0</v>
      </c>
      <c r="R359" s="55" t="e">
        <f t="shared" si="87"/>
        <v>#VALUE!</v>
      </c>
      <c r="S359" s="55" t="e">
        <f t="shared" si="88"/>
        <v>#VALUE!</v>
      </c>
      <c r="T359" s="55" t="e">
        <f t="shared" si="93"/>
        <v>#VALUE!</v>
      </c>
      <c r="U359" s="50" t="e">
        <f t="shared" si="89"/>
        <v>#VALUE!</v>
      </c>
      <c r="V359" s="50" t="e">
        <f t="shared" si="90"/>
        <v>#VALUE!</v>
      </c>
      <c r="W359" s="50" t="e">
        <f t="shared" si="91"/>
        <v>#VALUE!</v>
      </c>
    </row>
    <row r="360" spans="2:23" x14ac:dyDescent="0.25">
      <c r="B360" s="50" t="b">
        <f t="shared" si="94"/>
        <v>0</v>
      </c>
      <c r="C360" s="50" t="e">
        <f t="shared" si="80"/>
        <v>#VALUE!</v>
      </c>
      <c r="E360" s="56">
        <v>356</v>
      </c>
      <c r="G360" s="138"/>
      <c r="H360" s="135">
        <v>1</v>
      </c>
      <c r="I360" s="57" t="str">
        <f t="shared" si="92"/>
        <v/>
      </c>
      <c r="J360" s="58" t="e">
        <f t="shared" si="81"/>
        <v>#VALUE!</v>
      </c>
      <c r="K360" s="50" t="e">
        <f t="shared" si="82"/>
        <v>#VALUE!</v>
      </c>
      <c r="L360" s="50" t="e">
        <f t="shared" si="83"/>
        <v>#VALUE!</v>
      </c>
      <c r="M360" s="50" t="e">
        <f t="shared" si="83"/>
        <v>#VALUE!</v>
      </c>
      <c r="N360" s="50" t="e">
        <f t="shared" si="84"/>
        <v>#VALUE!</v>
      </c>
      <c r="O360" s="50" t="e">
        <f t="shared" si="85"/>
        <v>#VALUE!</v>
      </c>
      <c r="P360" s="50">
        <f t="shared" si="86"/>
        <v>0</v>
      </c>
      <c r="R360" s="55" t="e">
        <f t="shared" si="87"/>
        <v>#VALUE!</v>
      </c>
      <c r="S360" s="55" t="e">
        <f t="shared" si="88"/>
        <v>#VALUE!</v>
      </c>
      <c r="T360" s="55" t="e">
        <f t="shared" si="93"/>
        <v>#VALUE!</v>
      </c>
      <c r="U360" s="50" t="e">
        <f t="shared" si="89"/>
        <v>#VALUE!</v>
      </c>
      <c r="V360" s="50" t="e">
        <f t="shared" si="90"/>
        <v>#VALUE!</v>
      </c>
      <c r="W360" s="50" t="e">
        <f t="shared" si="91"/>
        <v>#VALUE!</v>
      </c>
    </row>
    <row r="361" spans="2:23" x14ac:dyDescent="0.25">
      <c r="B361" s="50" t="b">
        <f t="shared" si="94"/>
        <v>0</v>
      </c>
      <c r="C361" s="50" t="e">
        <f t="shared" si="80"/>
        <v>#VALUE!</v>
      </c>
      <c r="E361" s="56">
        <v>357</v>
      </c>
      <c r="G361" s="138"/>
      <c r="H361" s="135">
        <v>1</v>
      </c>
      <c r="I361" s="57" t="str">
        <f t="shared" si="92"/>
        <v/>
      </c>
      <c r="J361" s="58" t="e">
        <f t="shared" si="81"/>
        <v>#VALUE!</v>
      </c>
      <c r="K361" s="50" t="e">
        <f t="shared" si="82"/>
        <v>#VALUE!</v>
      </c>
      <c r="L361" s="50" t="e">
        <f t="shared" si="83"/>
        <v>#VALUE!</v>
      </c>
      <c r="M361" s="50" t="e">
        <f t="shared" si="83"/>
        <v>#VALUE!</v>
      </c>
      <c r="N361" s="50" t="e">
        <f t="shared" si="84"/>
        <v>#VALUE!</v>
      </c>
      <c r="O361" s="50" t="e">
        <f t="shared" si="85"/>
        <v>#VALUE!</v>
      </c>
      <c r="P361" s="50">
        <f t="shared" si="86"/>
        <v>0</v>
      </c>
      <c r="R361" s="55" t="e">
        <f t="shared" si="87"/>
        <v>#VALUE!</v>
      </c>
      <c r="S361" s="55" t="e">
        <f t="shared" si="88"/>
        <v>#VALUE!</v>
      </c>
      <c r="T361" s="55" t="e">
        <f t="shared" si="93"/>
        <v>#VALUE!</v>
      </c>
      <c r="U361" s="50" t="e">
        <f t="shared" si="89"/>
        <v>#VALUE!</v>
      </c>
      <c r="V361" s="50" t="e">
        <f t="shared" si="90"/>
        <v>#VALUE!</v>
      </c>
      <c r="W361" s="50" t="e">
        <f t="shared" si="91"/>
        <v>#VALUE!</v>
      </c>
    </row>
    <row r="362" spans="2:23" x14ac:dyDescent="0.25">
      <c r="B362" s="50" t="b">
        <f t="shared" si="94"/>
        <v>0</v>
      </c>
      <c r="C362" s="50" t="e">
        <f t="shared" si="80"/>
        <v>#VALUE!</v>
      </c>
      <c r="E362" s="56">
        <v>358</v>
      </c>
      <c r="G362" s="138"/>
      <c r="H362" s="135">
        <v>1</v>
      </c>
      <c r="I362" s="57" t="str">
        <f t="shared" si="92"/>
        <v/>
      </c>
      <c r="J362" s="58" t="e">
        <f t="shared" si="81"/>
        <v>#VALUE!</v>
      </c>
      <c r="K362" s="50" t="e">
        <f t="shared" si="82"/>
        <v>#VALUE!</v>
      </c>
      <c r="L362" s="50" t="e">
        <f t="shared" si="83"/>
        <v>#VALUE!</v>
      </c>
      <c r="M362" s="50" t="e">
        <f t="shared" si="83"/>
        <v>#VALUE!</v>
      </c>
      <c r="N362" s="50" t="e">
        <f t="shared" si="84"/>
        <v>#VALUE!</v>
      </c>
      <c r="O362" s="50" t="e">
        <f t="shared" si="85"/>
        <v>#VALUE!</v>
      </c>
      <c r="P362" s="50">
        <f t="shared" si="86"/>
        <v>0</v>
      </c>
      <c r="R362" s="55" t="e">
        <f t="shared" si="87"/>
        <v>#VALUE!</v>
      </c>
      <c r="S362" s="55" t="e">
        <f t="shared" si="88"/>
        <v>#VALUE!</v>
      </c>
      <c r="T362" s="55" t="e">
        <f t="shared" si="93"/>
        <v>#VALUE!</v>
      </c>
      <c r="U362" s="50" t="e">
        <f t="shared" si="89"/>
        <v>#VALUE!</v>
      </c>
      <c r="V362" s="50" t="e">
        <f t="shared" si="90"/>
        <v>#VALUE!</v>
      </c>
      <c r="W362" s="50" t="e">
        <f t="shared" si="91"/>
        <v>#VALUE!</v>
      </c>
    </row>
    <row r="363" spans="2:23" x14ac:dyDescent="0.25">
      <c r="B363" s="50" t="b">
        <f t="shared" si="94"/>
        <v>0</v>
      </c>
      <c r="C363" s="50" t="e">
        <f t="shared" si="80"/>
        <v>#VALUE!</v>
      </c>
      <c r="E363" s="56">
        <v>359</v>
      </c>
      <c r="G363" s="138"/>
      <c r="H363" s="135">
        <v>1</v>
      </c>
      <c r="I363" s="57" t="str">
        <f t="shared" si="92"/>
        <v/>
      </c>
      <c r="J363" s="58" t="e">
        <f t="shared" si="81"/>
        <v>#VALUE!</v>
      </c>
      <c r="K363" s="50" t="e">
        <f t="shared" si="82"/>
        <v>#VALUE!</v>
      </c>
      <c r="L363" s="50" t="e">
        <f t="shared" si="83"/>
        <v>#VALUE!</v>
      </c>
      <c r="M363" s="50" t="e">
        <f t="shared" si="83"/>
        <v>#VALUE!</v>
      </c>
      <c r="N363" s="50" t="e">
        <f t="shared" si="84"/>
        <v>#VALUE!</v>
      </c>
      <c r="O363" s="50" t="e">
        <f t="shared" si="85"/>
        <v>#VALUE!</v>
      </c>
      <c r="P363" s="50">
        <f t="shared" si="86"/>
        <v>0</v>
      </c>
      <c r="R363" s="55" t="e">
        <f t="shared" si="87"/>
        <v>#VALUE!</v>
      </c>
      <c r="S363" s="55" t="e">
        <f t="shared" si="88"/>
        <v>#VALUE!</v>
      </c>
      <c r="T363" s="55" t="e">
        <f t="shared" si="93"/>
        <v>#VALUE!</v>
      </c>
      <c r="U363" s="50" t="e">
        <f t="shared" si="89"/>
        <v>#VALUE!</v>
      </c>
      <c r="V363" s="50" t="e">
        <f t="shared" si="90"/>
        <v>#VALUE!</v>
      </c>
      <c r="W363" s="50" t="e">
        <f t="shared" si="91"/>
        <v>#VALUE!</v>
      </c>
    </row>
    <row r="364" spans="2:23" x14ac:dyDescent="0.25">
      <c r="B364" s="50" t="b">
        <f t="shared" si="94"/>
        <v>0</v>
      </c>
      <c r="C364" s="50" t="e">
        <f t="shared" si="80"/>
        <v>#VALUE!</v>
      </c>
      <c r="E364" s="56">
        <v>360</v>
      </c>
      <c r="G364" s="138"/>
      <c r="H364" s="135">
        <v>1</v>
      </c>
      <c r="I364" s="57" t="str">
        <f t="shared" si="92"/>
        <v/>
      </c>
      <c r="J364" s="58" t="e">
        <f t="shared" si="81"/>
        <v>#VALUE!</v>
      </c>
      <c r="K364" s="50" t="e">
        <f t="shared" si="82"/>
        <v>#VALUE!</v>
      </c>
      <c r="L364" s="50" t="e">
        <f t="shared" si="83"/>
        <v>#VALUE!</v>
      </c>
      <c r="M364" s="50" t="e">
        <f t="shared" si="83"/>
        <v>#VALUE!</v>
      </c>
      <c r="N364" s="50" t="e">
        <f t="shared" si="84"/>
        <v>#VALUE!</v>
      </c>
      <c r="O364" s="50" t="e">
        <f t="shared" si="85"/>
        <v>#VALUE!</v>
      </c>
      <c r="P364" s="50">
        <f t="shared" si="86"/>
        <v>0</v>
      </c>
      <c r="R364" s="55" t="e">
        <f t="shared" si="87"/>
        <v>#VALUE!</v>
      </c>
      <c r="S364" s="55" t="e">
        <f t="shared" si="88"/>
        <v>#VALUE!</v>
      </c>
      <c r="T364" s="55" t="e">
        <f t="shared" si="93"/>
        <v>#VALUE!</v>
      </c>
      <c r="U364" s="50" t="e">
        <f t="shared" si="89"/>
        <v>#VALUE!</v>
      </c>
      <c r="V364" s="50" t="e">
        <f t="shared" si="90"/>
        <v>#VALUE!</v>
      </c>
      <c r="W364" s="50" t="e">
        <f t="shared" si="91"/>
        <v>#VALUE!</v>
      </c>
    </row>
    <row r="365" spans="2:23" x14ac:dyDescent="0.25">
      <c r="B365" s="50" t="b">
        <f t="shared" si="94"/>
        <v>0</v>
      </c>
      <c r="C365" s="50" t="e">
        <f t="shared" si="80"/>
        <v>#VALUE!</v>
      </c>
      <c r="E365" s="56">
        <v>361</v>
      </c>
      <c r="G365" s="138"/>
      <c r="H365" s="135">
        <v>1</v>
      </c>
      <c r="I365" s="57" t="str">
        <f t="shared" si="92"/>
        <v/>
      </c>
      <c r="J365" s="58" t="e">
        <f t="shared" si="81"/>
        <v>#VALUE!</v>
      </c>
      <c r="K365" s="50" t="e">
        <f t="shared" si="82"/>
        <v>#VALUE!</v>
      </c>
      <c r="L365" s="50" t="e">
        <f t="shared" si="83"/>
        <v>#VALUE!</v>
      </c>
      <c r="M365" s="50" t="e">
        <f t="shared" si="83"/>
        <v>#VALUE!</v>
      </c>
      <c r="N365" s="50" t="e">
        <f t="shared" si="84"/>
        <v>#VALUE!</v>
      </c>
      <c r="O365" s="50" t="e">
        <f t="shared" si="85"/>
        <v>#VALUE!</v>
      </c>
      <c r="P365" s="50">
        <f t="shared" si="86"/>
        <v>0</v>
      </c>
      <c r="R365" s="55" t="e">
        <f t="shared" si="87"/>
        <v>#VALUE!</v>
      </c>
      <c r="S365" s="55" t="e">
        <f t="shared" si="88"/>
        <v>#VALUE!</v>
      </c>
      <c r="T365" s="55" t="e">
        <f t="shared" si="93"/>
        <v>#VALUE!</v>
      </c>
      <c r="U365" s="50" t="e">
        <f t="shared" si="89"/>
        <v>#VALUE!</v>
      </c>
      <c r="V365" s="50" t="e">
        <f t="shared" si="90"/>
        <v>#VALUE!</v>
      </c>
      <c r="W365" s="50" t="e">
        <f t="shared" si="91"/>
        <v>#VALUE!</v>
      </c>
    </row>
    <row r="366" spans="2:23" x14ac:dyDescent="0.25">
      <c r="B366" s="50" t="b">
        <f t="shared" si="94"/>
        <v>0</v>
      </c>
      <c r="C366" s="50" t="e">
        <f t="shared" si="80"/>
        <v>#VALUE!</v>
      </c>
      <c r="E366" s="56">
        <v>362</v>
      </c>
      <c r="G366" s="138"/>
      <c r="H366" s="135">
        <v>1</v>
      </c>
      <c r="I366" s="57" t="str">
        <f t="shared" si="92"/>
        <v/>
      </c>
      <c r="J366" s="58" t="e">
        <f t="shared" si="81"/>
        <v>#VALUE!</v>
      </c>
      <c r="K366" s="50" t="e">
        <f t="shared" si="82"/>
        <v>#VALUE!</v>
      </c>
      <c r="L366" s="50" t="e">
        <f t="shared" si="83"/>
        <v>#VALUE!</v>
      </c>
      <c r="M366" s="50" t="e">
        <f t="shared" si="83"/>
        <v>#VALUE!</v>
      </c>
      <c r="N366" s="50" t="e">
        <f t="shared" si="84"/>
        <v>#VALUE!</v>
      </c>
      <c r="O366" s="50" t="e">
        <f t="shared" si="85"/>
        <v>#VALUE!</v>
      </c>
      <c r="P366" s="50">
        <f t="shared" si="86"/>
        <v>0</v>
      </c>
      <c r="R366" s="55" t="e">
        <f t="shared" si="87"/>
        <v>#VALUE!</v>
      </c>
      <c r="S366" s="55" t="e">
        <f t="shared" si="88"/>
        <v>#VALUE!</v>
      </c>
      <c r="T366" s="55" t="e">
        <f t="shared" si="93"/>
        <v>#VALUE!</v>
      </c>
      <c r="U366" s="50" t="e">
        <f t="shared" si="89"/>
        <v>#VALUE!</v>
      </c>
      <c r="V366" s="50" t="e">
        <f t="shared" si="90"/>
        <v>#VALUE!</v>
      </c>
      <c r="W366" s="50" t="e">
        <f t="shared" si="91"/>
        <v>#VALUE!</v>
      </c>
    </row>
    <row r="367" spans="2:23" x14ac:dyDescent="0.25">
      <c r="B367" s="50" t="b">
        <f t="shared" si="94"/>
        <v>0</v>
      </c>
      <c r="C367" s="50" t="e">
        <f t="shared" si="80"/>
        <v>#VALUE!</v>
      </c>
      <c r="E367" s="56">
        <v>363</v>
      </c>
      <c r="G367" s="138"/>
      <c r="H367" s="135">
        <v>1</v>
      </c>
      <c r="I367" s="57" t="str">
        <f t="shared" si="92"/>
        <v/>
      </c>
      <c r="J367" s="58" t="e">
        <f t="shared" si="81"/>
        <v>#VALUE!</v>
      </c>
      <c r="K367" s="50" t="e">
        <f t="shared" si="82"/>
        <v>#VALUE!</v>
      </c>
      <c r="L367" s="50" t="e">
        <f t="shared" si="83"/>
        <v>#VALUE!</v>
      </c>
      <c r="M367" s="50" t="e">
        <f t="shared" si="83"/>
        <v>#VALUE!</v>
      </c>
      <c r="N367" s="50" t="e">
        <f t="shared" si="84"/>
        <v>#VALUE!</v>
      </c>
      <c r="O367" s="50" t="e">
        <f t="shared" si="85"/>
        <v>#VALUE!</v>
      </c>
      <c r="P367" s="50">
        <f t="shared" si="86"/>
        <v>0</v>
      </c>
      <c r="R367" s="55" t="e">
        <f t="shared" si="87"/>
        <v>#VALUE!</v>
      </c>
      <c r="S367" s="55" t="e">
        <f t="shared" si="88"/>
        <v>#VALUE!</v>
      </c>
      <c r="T367" s="55" t="e">
        <f t="shared" si="93"/>
        <v>#VALUE!</v>
      </c>
      <c r="U367" s="50" t="e">
        <f t="shared" si="89"/>
        <v>#VALUE!</v>
      </c>
      <c r="V367" s="50" t="e">
        <f t="shared" si="90"/>
        <v>#VALUE!</v>
      </c>
      <c r="W367" s="50" t="e">
        <f t="shared" si="91"/>
        <v>#VALUE!</v>
      </c>
    </row>
    <row r="368" spans="2:23" x14ac:dyDescent="0.25">
      <c r="B368" s="50" t="b">
        <f t="shared" si="94"/>
        <v>0</v>
      </c>
      <c r="C368" s="50" t="e">
        <f t="shared" si="80"/>
        <v>#VALUE!</v>
      </c>
      <c r="E368" s="56">
        <v>364</v>
      </c>
      <c r="G368" s="138"/>
      <c r="H368" s="135">
        <v>1</v>
      </c>
      <c r="I368" s="57" t="str">
        <f t="shared" si="92"/>
        <v/>
      </c>
      <c r="J368" s="58" t="e">
        <f t="shared" si="81"/>
        <v>#VALUE!</v>
      </c>
      <c r="K368" s="50" t="e">
        <f t="shared" si="82"/>
        <v>#VALUE!</v>
      </c>
      <c r="L368" s="50" t="e">
        <f t="shared" si="83"/>
        <v>#VALUE!</v>
      </c>
      <c r="M368" s="50" t="e">
        <f t="shared" si="83"/>
        <v>#VALUE!</v>
      </c>
      <c r="N368" s="50" t="e">
        <f t="shared" si="84"/>
        <v>#VALUE!</v>
      </c>
      <c r="O368" s="50" t="e">
        <f t="shared" si="85"/>
        <v>#VALUE!</v>
      </c>
      <c r="P368" s="50">
        <f t="shared" si="86"/>
        <v>0</v>
      </c>
      <c r="R368" s="55" t="e">
        <f t="shared" si="87"/>
        <v>#VALUE!</v>
      </c>
      <c r="S368" s="55" t="e">
        <f t="shared" si="88"/>
        <v>#VALUE!</v>
      </c>
      <c r="T368" s="55" t="e">
        <f t="shared" si="93"/>
        <v>#VALUE!</v>
      </c>
      <c r="U368" s="50" t="e">
        <f t="shared" si="89"/>
        <v>#VALUE!</v>
      </c>
      <c r="V368" s="50" t="e">
        <f t="shared" si="90"/>
        <v>#VALUE!</v>
      </c>
      <c r="W368" s="50" t="e">
        <f t="shared" si="91"/>
        <v>#VALUE!</v>
      </c>
    </row>
    <row r="369" spans="2:23" x14ac:dyDescent="0.25">
      <c r="B369" s="50" t="b">
        <f t="shared" si="94"/>
        <v>0</v>
      </c>
      <c r="C369" s="50" t="e">
        <f t="shared" si="80"/>
        <v>#VALUE!</v>
      </c>
      <c r="E369" s="56">
        <v>365</v>
      </c>
      <c r="G369" s="138"/>
      <c r="H369" s="135">
        <v>1</v>
      </c>
      <c r="I369" s="57" t="str">
        <f t="shared" si="92"/>
        <v/>
      </c>
      <c r="J369" s="58" t="e">
        <f t="shared" si="81"/>
        <v>#VALUE!</v>
      </c>
      <c r="K369" s="50" t="e">
        <f t="shared" si="82"/>
        <v>#VALUE!</v>
      </c>
      <c r="L369" s="50" t="e">
        <f t="shared" si="83"/>
        <v>#VALUE!</v>
      </c>
      <c r="M369" s="50" t="e">
        <f t="shared" si="83"/>
        <v>#VALUE!</v>
      </c>
      <c r="N369" s="50" t="e">
        <f t="shared" si="84"/>
        <v>#VALUE!</v>
      </c>
      <c r="O369" s="50" t="e">
        <f t="shared" si="85"/>
        <v>#VALUE!</v>
      </c>
      <c r="P369" s="50">
        <f t="shared" si="86"/>
        <v>0</v>
      </c>
      <c r="R369" s="55" t="e">
        <f t="shared" si="87"/>
        <v>#VALUE!</v>
      </c>
      <c r="S369" s="55" t="e">
        <f t="shared" si="88"/>
        <v>#VALUE!</v>
      </c>
      <c r="T369" s="55" t="e">
        <f t="shared" si="93"/>
        <v>#VALUE!</v>
      </c>
      <c r="U369" s="50" t="e">
        <f t="shared" si="89"/>
        <v>#VALUE!</v>
      </c>
      <c r="V369" s="50" t="e">
        <f t="shared" si="90"/>
        <v>#VALUE!</v>
      </c>
      <c r="W369" s="50" t="e">
        <f t="shared" si="91"/>
        <v>#VALUE!</v>
      </c>
    </row>
    <row r="370" spans="2:23" x14ac:dyDescent="0.25">
      <c r="B370" s="50" t="b">
        <f t="shared" si="94"/>
        <v>0</v>
      </c>
      <c r="C370" s="50" t="e">
        <f t="shared" si="80"/>
        <v>#VALUE!</v>
      </c>
      <c r="E370" s="56">
        <v>366</v>
      </c>
      <c r="G370" s="138"/>
      <c r="H370" s="135">
        <v>1</v>
      </c>
      <c r="I370" s="57" t="str">
        <f t="shared" si="92"/>
        <v/>
      </c>
      <c r="J370" s="58" t="e">
        <f t="shared" si="81"/>
        <v>#VALUE!</v>
      </c>
      <c r="K370" s="50" t="e">
        <f t="shared" si="82"/>
        <v>#VALUE!</v>
      </c>
      <c r="L370" s="50" t="e">
        <f t="shared" si="83"/>
        <v>#VALUE!</v>
      </c>
      <c r="M370" s="50" t="e">
        <f t="shared" si="83"/>
        <v>#VALUE!</v>
      </c>
      <c r="N370" s="50" t="e">
        <f t="shared" si="84"/>
        <v>#VALUE!</v>
      </c>
      <c r="O370" s="50" t="e">
        <f t="shared" si="85"/>
        <v>#VALUE!</v>
      </c>
      <c r="P370" s="50">
        <f t="shared" si="86"/>
        <v>0</v>
      </c>
      <c r="R370" s="55" t="e">
        <f t="shared" si="87"/>
        <v>#VALUE!</v>
      </c>
      <c r="S370" s="55" t="e">
        <f t="shared" si="88"/>
        <v>#VALUE!</v>
      </c>
      <c r="T370" s="55" t="e">
        <f t="shared" si="93"/>
        <v>#VALUE!</v>
      </c>
      <c r="U370" s="50" t="e">
        <f t="shared" si="89"/>
        <v>#VALUE!</v>
      </c>
      <c r="V370" s="50" t="e">
        <f t="shared" si="90"/>
        <v>#VALUE!</v>
      </c>
      <c r="W370" s="50" t="e">
        <f t="shared" si="91"/>
        <v>#VALUE!</v>
      </c>
    </row>
    <row r="371" spans="2:23" x14ac:dyDescent="0.25">
      <c r="B371" s="50" t="b">
        <f t="shared" si="94"/>
        <v>0</v>
      </c>
      <c r="C371" s="50" t="e">
        <f t="shared" si="80"/>
        <v>#VALUE!</v>
      </c>
      <c r="E371" s="56">
        <v>367</v>
      </c>
      <c r="G371" s="138"/>
      <c r="H371" s="135">
        <v>1</v>
      </c>
      <c r="I371" s="57" t="str">
        <f t="shared" si="92"/>
        <v/>
      </c>
      <c r="J371" s="58" t="e">
        <f t="shared" si="81"/>
        <v>#VALUE!</v>
      </c>
      <c r="K371" s="50" t="e">
        <f t="shared" si="82"/>
        <v>#VALUE!</v>
      </c>
      <c r="L371" s="50" t="e">
        <f t="shared" si="83"/>
        <v>#VALUE!</v>
      </c>
      <c r="M371" s="50" t="e">
        <f t="shared" si="83"/>
        <v>#VALUE!</v>
      </c>
      <c r="N371" s="50" t="e">
        <f t="shared" si="84"/>
        <v>#VALUE!</v>
      </c>
      <c r="O371" s="50" t="e">
        <f t="shared" si="85"/>
        <v>#VALUE!</v>
      </c>
      <c r="P371" s="50">
        <f t="shared" si="86"/>
        <v>0</v>
      </c>
      <c r="R371" s="55" t="e">
        <f t="shared" si="87"/>
        <v>#VALUE!</v>
      </c>
      <c r="S371" s="55" t="e">
        <f t="shared" si="88"/>
        <v>#VALUE!</v>
      </c>
      <c r="T371" s="55" t="e">
        <f t="shared" si="93"/>
        <v>#VALUE!</v>
      </c>
      <c r="U371" s="50" t="e">
        <f t="shared" si="89"/>
        <v>#VALUE!</v>
      </c>
      <c r="V371" s="50" t="e">
        <f t="shared" si="90"/>
        <v>#VALUE!</v>
      </c>
      <c r="W371" s="50" t="e">
        <f t="shared" si="91"/>
        <v>#VALUE!</v>
      </c>
    </row>
    <row r="372" spans="2:23" x14ac:dyDescent="0.25">
      <c r="B372" s="50" t="b">
        <f t="shared" si="94"/>
        <v>0</v>
      </c>
      <c r="C372" s="50" t="e">
        <f t="shared" si="80"/>
        <v>#VALUE!</v>
      </c>
      <c r="E372" s="56">
        <v>368</v>
      </c>
      <c r="G372" s="138"/>
      <c r="H372" s="135">
        <v>1</v>
      </c>
      <c r="I372" s="57" t="str">
        <f t="shared" si="92"/>
        <v/>
      </c>
      <c r="J372" s="58" t="e">
        <f t="shared" si="81"/>
        <v>#VALUE!</v>
      </c>
      <c r="K372" s="50" t="e">
        <f t="shared" si="82"/>
        <v>#VALUE!</v>
      </c>
      <c r="L372" s="50" t="e">
        <f t="shared" si="83"/>
        <v>#VALUE!</v>
      </c>
      <c r="M372" s="50" t="e">
        <f t="shared" si="83"/>
        <v>#VALUE!</v>
      </c>
      <c r="N372" s="50" t="e">
        <f t="shared" si="84"/>
        <v>#VALUE!</v>
      </c>
      <c r="O372" s="50" t="e">
        <f t="shared" si="85"/>
        <v>#VALUE!</v>
      </c>
      <c r="P372" s="50">
        <f t="shared" si="86"/>
        <v>0</v>
      </c>
      <c r="R372" s="55" t="e">
        <f t="shared" si="87"/>
        <v>#VALUE!</v>
      </c>
      <c r="S372" s="55" t="e">
        <f t="shared" si="88"/>
        <v>#VALUE!</v>
      </c>
      <c r="T372" s="55" t="e">
        <f t="shared" si="93"/>
        <v>#VALUE!</v>
      </c>
      <c r="U372" s="50" t="e">
        <f t="shared" si="89"/>
        <v>#VALUE!</v>
      </c>
      <c r="V372" s="50" t="e">
        <f t="shared" si="90"/>
        <v>#VALUE!</v>
      </c>
      <c r="W372" s="50" t="e">
        <f t="shared" si="91"/>
        <v>#VALUE!</v>
      </c>
    </row>
    <row r="373" spans="2:23" x14ac:dyDescent="0.25">
      <c r="B373" s="50" t="b">
        <f t="shared" si="94"/>
        <v>0</v>
      </c>
      <c r="C373" s="50" t="e">
        <f t="shared" si="80"/>
        <v>#VALUE!</v>
      </c>
      <c r="E373" s="56">
        <v>369</v>
      </c>
      <c r="G373" s="138"/>
      <c r="H373" s="135">
        <v>1</v>
      </c>
      <c r="I373" s="57" t="str">
        <f t="shared" si="92"/>
        <v/>
      </c>
      <c r="J373" s="58" t="e">
        <f t="shared" si="81"/>
        <v>#VALUE!</v>
      </c>
      <c r="K373" s="50" t="e">
        <f t="shared" si="82"/>
        <v>#VALUE!</v>
      </c>
      <c r="L373" s="50" t="e">
        <f t="shared" si="83"/>
        <v>#VALUE!</v>
      </c>
      <c r="M373" s="50" t="e">
        <f t="shared" si="83"/>
        <v>#VALUE!</v>
      </c>
      <c r="N373" s="50" t="e">
        <f t="shared" si="84"/>
        <v>#VALUE!</v>
      </c>
      <c r="O373" s="50" t="e">
        <f t="shared" si="85"/>
        <v>#VALUE!</v>
      </c>
      <c r="P373" s="50">
        <f t="shared" si="86"/>
        <v>0</v>
      </c>
      <c r="R373" s="55" t="e">
        <f t="shared" si="87"/>
        <v>#VALUE!</v>
      </c>
      <c r="S373" s="55" t="e">
        <f t="shared" si="88"/>
        <v>#VALUE!</v>
      </c>
      <c r="T373" s="55" t="e">
        <f t="shared" si="93"/>
        <v>#VALUE!</v>
      </c>
      <c r="U373" s="50" t="e">
        <f t="shared" si="89"/>
        <v>#VALUE!</v>
      </c>
      <c r="V373" s="50" t="e">
        <f t="shared" si="90"/>
        <v>#VALUE!</v>
      </c>
      <c r="W373" s="50" t="e">
        <f t="shared" si="91"/>
        <v>#VALUE!</v>
      </c>
    </row>
    <row r="374" spans="2:23" x14ac:dyDescent="0.25">
      <c r="B374" s="50" t="b">
        <f t="shared" si="94"/>
        <v>0</v>
      </c>
      <c r="C374" s="50" t="e">
        <f t="shared" ref="C374:C437" si="95">SUM(U374:W374)</f>
        <v>#VALUE!</v>
      </c>
      <c r="E374" s="56">
        <v>370</v>
      </c>
      <c r="G374" s="138"/>
      <c r="H374" s="135">
        <v>1</v>
      </c>
      <c r="I374" s="57" t="str">
        <f t="shared" si="92"/>
        <v/>
      </c>
      <c r="J374" s="58" t="e">
        <f t="shared" si="81"/>
        <v>#VALUE!</v>
      </c>
      <c r="K374" s="50" t="e">
        <f t="shared" si="82"/>
        <v>#VALUE!</v>
      </c>
      <c r="L374" s="50" t="e">
        <f t="shared" si="83"/>
        <v>#VALUE!</v>
      </c>
      <c r="M374" s="50" t="e">
        <f t="shared" si="83"/>
        <v>#VALUE!</v>
      </c>
      <c r="N374" s="50" t="e">
        <f t="shared" si="84"/>
        <v>#VALUE!</v>
      </c>
      <c r="O374" s="50" t="e">
        <f t="shared" si="85"/>
        <v>#VALUE!</v>
      </c>
      <c r="P374" s="50">
        <f t="shared" si="86"/>
        <v>0</v>
      </c>
      <c r="R374" s="55" t="e">
        <f t="shared" si="87"/>
        <v>#VALUE!</v>
      </c>
      <c r="S374" s="55" t="e">
        <f t="shared" si="88"/>
        <v>#VALUE!</v>
      </c>
      <c r="T374" s="55" t="e">
        <f t="shared" si="93"/>
        <v>#VALUE!</v>
      </c>
      <c r="U374" s="50" t="e">
        <f t="shared" si="89"/>
        <v>#VALUE!</v>
      </c>
      <c r="V374" s="50" t="e">
        <f t="shared" si="90"/>
        <v>#VALUE!</v>
      </c>
      <c r="W374" s="50" t="e">
        <f t="shared" si="91"/>
        <v>#VALUE!</v>
      </c>
    </row>
    <row r="375" spans="2:23" x14ac:dyDescent="0.25">
      <c r="B375" s="50" t="b">
        <f t="shared" si="94"/>
        <v>0</v>
      </c>
      <c r="C375" s="50" t="e">
        <f t="shared" si="95"/>
        <v>#VALUE!</v>
      </c>
      <c r="E375" s="56">
        <v>371</v>
      </c>
      <c r="G375" s="138"/>
      <c r="H375" s="135">
        <v>1</v>
      </c>
      <c r="I375" s="57" t="str">
        <f t="shared" si="92"/>
        <v/>
      </c>
      <c r="J375" s="58" t="e">
        <f t="shared" si="81"/>
        <v>#VALUE!</v>
      </c>
      <c r="K375" s="50" t="e">
        <f t="shared" si="82"/>
        <v>#VALUE!</v>
      </c>
      <c r="L375" s="50" t="e">
        <f t="shared" si="83"/>
        <v>#VALUE!</v>
      </c>
      <c r="M375" s="50" t="e">
        <f t="shared" si="83"/>
        <v>#VALUE!</v>
      </c>
      <c r="N375" s="50" t="e">
        <f t="shared" si="84"/>
        <v>#VALUE!</v>
      </c>
      <c r="O375" s="50" t="e">
        <f t="shared" si="85"/>
        <v>#VALUE!</v>
      </c>
      <c r="P375" s="50">
        <f t="shared" si="86"/>
        <v>0</v>
      </c>
      <c r="R375" s="55" t="e">
        <f t="shared" si="87"/>
        <v>#VALUE!</v>
      </c>
      <c r="S375" s="55" t="e">
        <f t="shared" si="88"/>
        <v>#VALUE!</v>
      </c>
      <c r="T375" s="55" t="e">
        <f t="shared" si="93"/>
        <v>#VALUE!</v>
      </c>
      <c r="U375" s="50" t="e">
        <f t="shared" si="89"/>
        <v>#VALUE!</v>
      </c>
      <c r="V375" s="50" t="e">
        <f t="shared" si="90"/>
        <v>#VALUE!</v>
      </c>
      <c r="W375" s="50" t="e">
        <f t="shared" si="91"/>
        <v>#VALUE!</v>
      </c>
    </row>
    <row r="376" spans="2:23" x14ac:dyDescent="0.25">
      <c r="B376" s="50" t="b">
        <f t="shared" si="94"/>
        <v>0</v>
      </c>
      <c r="C376" s="50" t="e">
        <f t="shared" si="95"/>
        <v>#VALUE!</v>
      </c>
      <c r="E376" s="56">
        <v>372</v>
      </c>
      <c r="G376" s="138"/>
      <c r="H376" s="135">
        <v>1</v>
      </c>
      <c r="I376" s="57" t="str">
        <f t="shared" si="92"/>
        <v/>
      </c>
      <c r="J376" s="58" t="e">
        <f t="shared" si="81"/>
        <v>#VALUE!</v>
      </c>
      <c r="K376" s="50" t="e">
        <f t="shared" si="82"/>
        <v>#VALUE!</v>
      </c>
      <c r="L376" s="50" t="e">
        <f t="shared" si="83"/>
        <v>#VALUE!</v>
      </c>
      <c r="M376" s="50" t="e">
        <f t="shared" si="83"/>
        <v>#VALUE!</v>
      </c>
      <c r="N376" s="50" t="e">
        <f t="shared" si="84"/>
        <v>#VALUE!</v>
      </c>
      <c r="O376" s="50" t="e">
        <f t="shared" si="85"/>
        <v>#VALUE!</v>
      </c>
      <c r="P376" s="50">
        <f t="shared" si="86"/>
        <v>0</v>
      </c>
      <c r="R376" s="55" t="e">
        <f t="shared" si="87"/>
        <v>#VALUE!</v>
      </c>
      <c r="S376" s="55" t="e">
        <f t="shared" si="88"/>
        <v>#VALUE!</v>
      </c>
      <c r="T376" s="55" t="e">
        <f t="shared" si="93"/>
        <v>#VALUE!</v>
      </c>
      <c r="U376" s="50" t="e">
        <f t="shared" si="89"/>
        <v>#VALUE!</v>
      </c>
      <c r="V376" s="50" t="e">
        <f t="shared" si="90"/>
        <v>#VALUE!</v>
      </c>
      <c r="W376" s="50" t="e">
        <f t="shared" si="91"/>
        <v>#VALUE!</v>
      </c>
    </row>
    <row r="377" spans="2:23" x14ac:dyDescent="0.25">
      <c r="B377" s="50" t="b">
        <f t="shared" si="94"/>
        <v>0</v>
      </c>
      <c r="C377" s="50" t="e">
        <f t="shared" si="95"/>
        <v>#VALUE!</v>
      </c>
      <c r="E377" s="56">
        <v>373</v>
      </c>
      <c r="G377" s="138"/>
      <c r="H377" s="135">
        <v>1</v>
      </c>
      <c r="I377" s="57" t="str">
        <f t="shared" si="92"/>
        <v/>
      </c>
      <c r="J377" s="58" t="e">
        <f t="shared" si="81"/>
        <v>#VALUE!</v>
      </c>
      <c r="K377" s="50" t="e">
        <f t="shared" si="82"/>
        <v>#VALUE!</v>
      </c>
      <c r="L377" s="50" t="e">
        <f t="shared" si="83"/>
        <v>#VALUE!</v>
      </c>
      <c r="M377" s="50" t="e">
        <f t="shared" si="83"/>
        <v>#VALUE!</v>
      </c>
      <c r="N377" s="50" t="e">
        <f t="shared" si="84"/>
        <v>#VALUE!</v>
      </c>
      <c r="O377" s="50" t="e">
        <f t="shared" si="85"/>
        <v>#VALUE!</v>
      </c>
      <c r="P377" s="50">
        <f t="shared" si="86"/>
        <v>0</v>
      </c>
      <c r="R377" s="55" t="e">
        <f t="shared" si="87"/>
        <v>#VALUE!</v>
      </c>
      <c r="S377" s="55" t="e">
        <f t="shared" si="88"/>
        <v>#VALUE!</v>
      </c>
      <c r="T377" s="55" t="e">
        <f t="shared" si="93"/>
        <v>#VALUE!</v>
      </c>
      <c r="U377" s="50" t="e">
        <f t="shared" si="89"/>
        <v>#VALUE!</v>
      </c>
      <c r="V377" s="50" t="e">
        <f t="shared" si="90"/>
        <v>#VALUE!</v>
      </c>
      <c r="W377" s="50" t="e">
        <f t="shared" si="91"/>
        <v>#VALUE!</v>
      </c>
    </row>
    <row r="378" spans="2:23" x14ac:dyDescent="0.25">
      <c r="B378" s="50" t="b">
        <f t="shared" si="94"/>
        <v>0</v>
      </c>
      <c r="C378" s="50" t="e">
        <f t="shared" si="95"/>
        <v>#VALUE!</v>
      </c>
      <c r="E378" s="56">
        <v>374</v>
      </c>
      <c r="G378" s="138"/>
      <c r="H378" s="135">
        <v>1</v>
      </c>
      <c r="I378" s="57" t="str">
        <f t="shared" si="92"/>
        <v/>
      </c>
      <c r="J378" s="58" t="e">
        <f t="shared" si="81"/>
        <v>#VALUE!</v>
      </c>
      <c r="K378" s="50" t="e">
        <f t="shared" si="82"/>
        <v>#VALUE!</v>
      </c>
      <c r="L378" s="50" t="e">
        <f t="shared" si="83"/>
        <v>#VALUE!</v>
      </c>
      <c r="M378" s="50" t="e">
        <f t="shared" si="83"/>
        <v>#VALUE!</v>
      </c>
      <c r="N378" s="50" t="e">
        <f t="shared" si="84"/>
        <v>#VALUE!</v>
      </c>
      <c r="O378" s="50" t="e">
        <f t="shared" si="85"/>
        <v>#VALUE!</v>
      </c>
      <c r="P378" s="50">
        <f t="shared" si="86"/>
        <v>0</v>
      </c>
      <c r="R378" s="55" t="e">
        <f t="shared" si="87"/>
        <v>#VALUE!</v>
      </c>
      <c r="S378" s="55" t="e">
        <f t="shared" si="88"/>
        <v>#VALUE!</v>
      </c>
      <c r="T378" s="55" t="e">
        <f t="shared" si="93"/>
        <v>#VALUE!</v>
      </c>
      <c r="U378" s="50" t="e">
        <f t="shared" si="89"/>
        <v>#VALUE!</v>
      </c>
      <c r="V378" s="50" t="e">
        <f t="shared" si="90"/>
        <v>#VALUE!</v>
      </c>
      <c r="W378" s="50" t="e">
        <f t="shared" si="91"/>
        <v>#VALUE!</v>
      </c>
    </row>
    <row r="379" spans="2:23" x14ac:dyDescent="0.25">
      <c r="B379" s="50" t="b">
        <f t="shared" si="94"/>
        <v>0</v>
      </c>
      <c r="C379" s="50" t="e">
        <f t="shared" si="95"/>
        <v>#VALUE!</v>
      </c>
      <c r="E379" s="56">
        <v>375</v>
      </c>
      <c r="G379" s="138"/>
      <c r="H379" s="135">
        <v>1</v>
      </c>
      <c r="I379" s="57" t="str">
        <f t="shared" si="92"/>
        <v/>
      </c>
      <c r="J379" s="58" t="e">
        <f t="shared" si="81"/>
        <v>#VALUE!</v>
      </c>
      <c r="K379" s="50" t="e">
        <f t="shared" si="82"/>
        <v>#VALUE!</v>
      </c>
      <c r="L379" s="50" t="e">
        <f t="shared" si="83"/>
        <v>#VALUE!</v>
      </c>
      <c r="M379" s="50" t="e">
        <f t="shared" si="83"/>
        <v>#VALUE!</v>
      </c>
      <c r="N379" s="50" t="e">
        <f t="shared" si="84"/>
        <v>#VALUE!</v>
      </c>
      <c r="O379" s="50" t="e">
        <f t="shared" si="85"/>
        <v>#VALUE!</v>
      </c>
      <c r="P379" s="50">
        <f t="shared" si="86"/>
        <v>0</v>
      </c>
      <c r="R379" s="55" t="e">
        <f t="shared" si="87"/>
        <v>#VALUE!</v>
      </c>
      <c r="S379" s="55" t="e">
        <f t="shared" si="88"/>
        <v>#VALUE!</v>
      </c>
      <c r="T379" s="55" t="e">
        <f t="shared" si="93"/>
        <v>#VALUE!</v>
      </c>
      <c r="U379" s="50" t="e">
        <f t="shared" si="89"/>
        <v>#VALUE!</v>
      </c>
      <c r="V379" s="50" t="e">
        <f t="shared" si="90"/>
        <v>#VALUE!</v>
      </c>
      <c r="W379" s="50" t="e">
        <f t="shared" si="91"/>
        <v>#VALUE!</v>
      </c>
    </row>
    <row r="380" spans="2:23" x14ac:dyDescent="0.25">
      <c r="B380" s="50" t="b">
        <f t="shared" si="94"/>
        <v>0</v>
      </c>
      <c r="C380" s="50" t="e">
        <f t="shared" si="95"/>
        <v>#VALUE!</v>
      </c>
      <c r="E380" s="56">
        <v>376</v>
      </c>
      <c r="G380" s="138"/>
      <c r="H380" s="135">
        <v>1</v>
      </c>
      <c r="I380" s="57" t="str">
        <f t="shared" si="92"/>
        <v/>
      </c>
      <c r="J380" s="58" t="e">
        <f t="shared" si="81"/>
        <v>#VALUE!</v>
      </c>
      <c r="K380" s="50" t="e">
        <f t="shared" si="82"/>
        <v>#VALUE!</v>
      </c>
      <c r="L380" s="50" t="e">
        <f t="shared" si="83"/>
        <v>#VALUE!</v>
      </c>
      <c r="M380" s="50" t="e">
        <f t="shared" si="83"/>
        <v>#VALUE!</v>
      </c>
      <c r="N380" s="50" t="e">
        <f t="shared" si="84"/>
        <v>#VALUE!</v>
      </c>
      <c r="O380" s="50" t="e">
        <f t="shared" si="85"/>
        <v>#VALUE!</v>
      </c>
      <c r="P380" s="50">
        <f t="shared" si="86"/>
        <v>0</v>
      </c>
      <c r="R380" s="55" t="e">
        <f t="shared" si="87"/>
        <v>#VALUE!</v>
      </c>
      <c r="S380" s="55" t="e">
        <f t="shared" si="88"/>
        <v>#VALUE!</v>
      </c>
      <c r="T380" s="55" t="e">
        <f t="shared" si="93"/>
        <v>#VALUE!</v>
      </c>
      <c r="U380" s="50" t="e">
        <f t="shared" si="89"/>
        <v>#VALUE!</v>
      </c>
      <c r="V380" s="50" t="e">
        <f t="shared" si="90"/>
        <v>#VALUE!</v>
      </c>
      <c r="W380" s="50" t="e">
        <f t="shared" si="91"/>
        <v>#VALUE!</v>
      </c>
    </row>
    <row r="381" spans="2:23" x14ac:dyDescent="0.25">
      <c r="B381" s="50" t="b">
        <f t="shared" si="94"/>
        <v>0</v>
      </c>
      <c r="C381" s="50" t="e">
        <f t="shared" si="95"/>
        <v>#VALUE!</v>
      </c>
      <c r="E381" s="56">
        <v>377</v>
      </c>
      <c r="G381" s="138"/>
      <c r="H381" s="135">
        <v>1</v>
      </c>
      <c r="I381" s="57" t="str">
        <f t="shared" si="92"/>
        <v/>
      </c>
      <c r="J381" s="58" t="e">
        <f t="shared" si="81"/>
        <v>#VALUE!</v>
      </c>
      <c r="K381" s="50" t="e">
        <f t="shared" si="82"/>
        <v>#VALUE!</v>
      </c>
      <c r="L381" s="50" t="e">
        <f t="shared" si="83"/>
        <v>#VALUE!</v>
      </c>
      <c r="M381" s="50" t="e">
        <f t="shared" si="83"/>
        <v>#VALUE!</v>
      </c>
      <c r="N381" s="50" t="e">
        <f t="shared" si="84"/>
        <v>#VALUE!</v>
      </c>
      <c r="O381" s="50" t="e">
        <f t="shared" si="85"/>
        <v>#VALUE!</v>
      </c>
      <c r="P381" s="50">
        <f t="shared" si="86"/>
        <v>0</v>
      </c>
      <c r="R381" s="55" t="e">
        <f t="shared" si="87"/>
        <v>#VALUE!</v>
      </c>
      <c r="S381" s="55" t="e">
        <f t="shared" si="88"/>
        <v>#VALUE!</v>
      </c>
      <c r="T381" s="55" t="e">
        <f t="shared" si="93"/>
        <v>#VALUE!</v>
      </c>
      <c r="U381" s="50" t="e">
        <f t="shared" si="89"/>
        <v>#VALUE!</v>
      </c>
      <c r="V381" s="50" t="e">
        <f t="shared" si="90"/>
        <v>#VALUE!</v>
      </c>
      <c r="W381" s="50" t="e">
        <f t="shared" si="91"/>
        <v>#VALUE!</v>
      </c>
    </row>
    <row r="382" spans="2:23" x14ac:dyDescent="0.25">
      <c r="B382" s="50" t="b">
        <f t="shared" si="94"/>
        <v>0</v>
      </c>
      <c r="C382" s="50" t="e">
        <f t="shared" si="95"/>
        <v>#VALUE!</v>
      </c>
      <c r="E382" s="56">
        <v>378</v>
      </c>
      <c r="G382" s="138"/>
      <c r="H382" s="135">
        <v>1</v>
      </c>
      <c r="I382" s="57" t="str">
        <f t="shared" si="92"/>
        <v/>
      </c>
      <c r="J382" s="58" t="e">
        <f t="shared" si="81"/>
        <v>#VALUE!</v>
      </c>
      <c r="K382" s="50" t="e">
        <f t="shared" si="82"/>
        <v>#VALUE!</v>
      </c>
      <c r="L382" s="50" t="e">
        <f t="shared" si="83"/>
        <v>#VALUE!</v>
      </c>
      <c r="M382" s="50" t="e">
        <f t="shared" si="83"/>
        <v>#VALUE!</v>
      </c>
      <c r="N382" s="50" t="e">
        <f t="shared" si="84"/>
        <v>#VALUE!</v>
      </c>
      <c r="O382" s="50" t="e">
        <f t="shared" si="85"/>
        <v>#VALUE!</v>
      </c>
      <c r="P382" s="50">
        <f t="shared" si="86"/>
        <v>0</v>
      </c>
      <c r="R382" s="55" t="e">
        <f t="shared" si="87"/>
        <v>#VALUE!</v>
      </c>
      <c r="S382" s="55" t="e">
        <f t="shared" si="88"/>
        <v>#VALUE!</v>
      </c>
      <c r="T382" s="55" t="e">
        <f t="shared" si="93"/>
        <v>#VALUE!</v>
      </c>
      <c r="U382" s="50" t="e">
        <f t="shared" si="89"/>
        <v>#VALUE!</v>
      </c>
      <c r="V382" s="50" t="e">
        <f t="shared" si="90"/>
        <v>#VALUE!</v>
      </c>
      <c r="W382" s="50" t="e">
        <f t="shared" si="91"/>
        <v>#VALUE!</v>
      </c>
    </row>
    <row r="383" spans="2:23" x14ac:dyDescent="0.25">
      <c r="B383" s="50" t="b">
        <f t="shared" si="94"/>
        <v>0</v>
      </c>
      <c r="C383" s="50" t="e">
        <f t="shared" si="95"/>
        <v>#VALUE!</v>
      </c>
      <c r="E383" s="56">
        <v>379</v>
      </c>
      <c r="G383" s="138"/>
      <c r="H383" s="135">
        <v>1</v>
      </c>
      <c r="I383" s="57" t="str">
        <f t="shared" si="92"/>
        <v/>
      </c>
      <c r="J383" s="58" t="e">
        <f t="shared" si="81"/>
        <v>#VALUE!</v>
      </c>
      <c r="K383" s="50" t="e">
        <f t="shared" si="82"/>
        <v>#VALUE!</v>
      </c>
      <c r="L383" s="50" t="e">
        <f t="shared" si="83"/>
        <v>#VALUE!</v>
      </c>
      <c r="M383" s="50" t="e">
        <f t="shared" si="83"/>
        <v>#VALUE!</v>
      </c>
      <c r="N383" s="50" t="e">
        <f t="shared" si="84"/>
        <v>#VALUE!</v>
      </c>
      <c r="O383" s="50" t="e">
        <f t="shared" si="85"/>
        <v>#VALUE!</v>
      </c>
      <c r="P383" s="50">
        <f t="shared" si="86"/>
        <v>0</v>
      </c>
      <c r="R383" s="55" t="e">
        <f t="shared" si="87"/>
        <v>#VALUE!</v>
      </c>
      <c r="S383" s="55" t="e">
        <f t="shared" si="88"/>
        <v>#VALUE!</v>
      </c>
      <c r="T383" s="55" t="e">
        <f t="shared" si="93"/>
        <v>#VALUE!</v>
      </c>
      <c r="U383" s="50" t="e">
        <f t="shared" si="89"/>
        <v>#VALUE!</v>
      </c>
      <c r="V383" s="50" t="e">
        <f t="shared" si="90"/>
        <v>#VALUE!</v>
      </c>
      <c r="W383" s="50" t="e">
        <f t="shared" si="91"/>
        <v>#VALUE!</v>
      </c>
    </row>
    <row r="384" spans="2:23" x14ac:dyDescent="0.25">
      <c r="B384" s="50" t="b">
        <f t="shared" si="94"/>
        <v>0</v>
      </c>
      <c r="C384" s="50" t="e">
        <f t="shared" si="95"/>
        <v>#VALUE!</v>
      </c>
      <c r="E384" s="56">
        <v>380</v>
      </c>
      <c r="G384" s="138"/>
      <c r="H384" s="135">
        <v>1</v>
      </c>
      <c r="I384" s="57" t="str">
        <f t="shared" si="92"/>
        <v/>
      </c>
      <c r="J384" s="58" t="e">
        <f t="shared" si="81"/>
        <v>#VALUE!</v>
      </c>
      <c r="K384" s="50" t="e">
        <f t="shared" si="82"/>
        <v>#VALUE!</v>
      </c>
      <c r="L384" s="50" t="e">
        <f t="shared" si="83"/>
        <v>#VALUE!</v>
      </c>
      <c r="M384" s="50" t="e">
        <f t="shared" si="83"/>
        <v>#VALUE!</v>
      </c>
      <c r="N384" s="50" t="e">
        <f t="shared" si="84"/>
        <v>#VALUE!</v>
      </c>
      <c r="O384" s="50" t="e">
        <f t="shared" si="85"/>
        <v>#VALUE!</v>
      </c>
      <c r="P384" s="50">
        <f t="shared" si="86"/>
        <v>0</v>
      </c>
      <c r="R384" s="55" t="e">
        <f t="shared" si="87"/>
        <v>#VALUE!</v>
      </c>
      <c r="S384" s="55" t="e">
        <f t="shared" si="88"/>
        <v>#VALUE!</v>
      </c>
      <c r="T384" s="55" t="e">
        <f t="shared" si="93"/>
        <v>#VALUE!</v>
      </c>
      <c r="U384" s="50" t="e">
        <f t="shared" si="89"/>
        <v>#VALUE!</v>
      </c>
      <c r="V384" s="50" t="e">
        <f t="shared" si="90"/>
        <v>#VALUE!</v>
      </c>
      <c r="W384" s="50" t="e">
        <f t="shared" si="91"/>
        <v>#VALUE!</v>
      </c>
    </row>
    <row r="385" spans="2:23" x14ac:dyDescent="0.25">
      <c r="B385" s="50" t="b">
        <f t="shared" si="94"/>
        <v>0</v>
      </c>
      <c r="C385" s="50" t="e">
        <f t="shared" si="95"/>
        <v>#VALUE!</v>
      </c>
      <c r="E385" s="56">
        <v>381</v>
      </c>
      <c r="G385" s="138"/>
      <c r="H385" s="135">
        <v>1</v>
      </c>
      <c r="I385" s="57" t="str">
        <f t="shared" si="92"/>
        <v/>
      </c>
      <c r="J385" s="58" t="e">
        <f t="shared" si="81"/>
        <v>#VALUE!</v>
      </c>
      <c r="K385" s="50" t="e">
        <f t="shared" si="82"/>
        <v>#VALUE!</v>
      </c>
      <c r="L385" s="50" t="e">
        <f t="shared" si="83"/>
        <v>#VALUE!</v>
      </c>
      <c r="M385" s="50" t="e">
        <f t="shared" si="83"/>
        <v>#VALUE!</v>
      </c>
      <c r="N385" s="50" t="e">
        <f t="shared" si="84"/>
        <v>#VALUE!</v>
      </c>
      <c r="O385" s="50" t="e">
        <f t="shared" si="85"/>
        <v>#VALUE!</v>
      </c>
      <c r="P385" s="50">
        <f t="shared" si="86"/>
        <v>0</v>
      </c>
      <c r="R385" s="55" t="e">
        <f t="shared" si="87"/>
        <v>#VALUE!</v>
      </c>
      <c r="S385" s="55" t="e">
        <f t="shared" si="88"/>
        <v>#VALUE!</v>
      </c>
      <c r="T385" s="55" t="e">
        <f t="shared" si="93"/>
        <v>#VALUE!</v>
      </c>
      <c r="U385" s="50" t="e">
        <f t="shared" si="89"/>
        <v>#VALUE!</v>
      </c>
      <c r="V385" s="50" t="e">
        <f t="shared" si="90"/>
        <v>#VALUE!</v>
      </c>
      <c r="W385" s="50" t="e">
        <f t="shared" si="91"/>
        <v>#VALUE!</v>
      </c>
    </row>
    <row r="386" spans="2:23" x14ac:dyDescent="0.25">
      <c r="B386" s="50" t="b">
        <f t="shared" si="94"/>
        <v>0</v>
      </c>
      <c r="C386" s="50" t="e">
        <f t="shared" si="95"/>
        <v>#VALUE!</v>
      </c>
      <c r="E386" s="56">
        <v>382</v>
      </c>
      <c r="G386" s="138"/>
      <c r="H386" s="135">
        <v>1</v>
      </c>
      <c r="I386" s="57" t="str">
        <f t="shared" si="92"/>
        <v/>
      </c>
      <c r="J386" s="58" t="e">
        <f t="shared" si="81"/>
        <v>#VALUE!</v>
      </c>
      <c r="K386" s="50" t="e">
        <f t="shared" si="82"/>
        <v>#VALUE!</v>
      </c>
      <c r="L386" s="50" t="e">
        <f t="shared" si="83"/>
        <v>#VALUE!</v>
      </c>
      <c r="M386" s="50" t="e">
        <f t="shared" si="83"/>
        <v>#VALUE!</v>
      </c>
      <c r="N386" s="50" t="e">
        <f t="shared" si="84"/>
        <v>#VALUE!</v>
      </c>
      <c r="O386" s="50" t="e">
        <f t="shared" si="85"/>
        <v>#VALUE!</v>
      </c>
      <c r="P386" s="50">
        <f t="shared" si="86"/>
        <v>0</v>
      </c>
      <c r="R386" s="55" t="e">
        <f t="shared" si="87"/>
        <v>#VALUE!</v>
      </c>
      <c r="S386" s="55" t="e">
        <f t="shared" si="88"/>
        <v>#VALUE!</v>
      </c>
      <c r="T386" s="55" t="e">
        <f t="shared" si="93"/>
        <v>#VALUE!</v>
      </c>
      <c r="U386" s="50" t="e">
        <f t="shared" si="89"/>
        <v>#VALUE!</v>
      </c>
      <c r="V386" s="50" t="e">
        <f t="shared" si="90"/>
        <v>#VALUE!</v>
      </c>
      <c r="W386" s="50" t="e">
        <f t="shared" si="91"/>
        <v>#VALUE!</v>
      </c>
    </row>
    <row r="387" spans="2:23" x14ac:dyDescent="0.25">
      <c r="B387" s="50" t="b">
        <f t="shared" si="94"/>
        <v>0</v>
      </c>
      <c r="C387" s="50" t="e">
        <f t="shared" si="95"/>
        <v>#VALUE!</v>
      </c>
      <c r="E387" s="56">
        <v>383</v>
      </c>
      <c r="G387" s="138"/>
      <c r="H387" s="135">
        <v>1</v>
      </c>
      <c r="I387" s="57" t="str">
        <f t="shared" si="92"/>
        <v/>
      </c>
      <c r="J387" s="58" t="e">
        <f t="shared" si="81"/>
        <v>#VALUE!</v>
      </c>
      <c r="K387" s="50" t="e">
        <f t="shared" si="82"/>
        <v>#VALUE!</v>
      </c>
      <c r="L387" s="50" t="e">
        <f t="shared" si="83"/>
        <v>#VALUE!</v>
      </c>
      <c r="M387" s="50" t="e">
        <f t="shared" si="83"/>
        <v>#VALUE!</v>
      </c>
      <c r="N387" s="50" t="e">
        <f t="shared" si="84"/>
        <v>#VALUE!</v>
      </c>
      <c r="O387" s="50" t="e">
        <f t="shared" si="85"/>
        <v>#VALUE!</v>
      </c>
      <c r="P387" s="50">
        <f t="shared" si="86"/>
        <v>0</v>
      </c>
      <c r="R387" s="55" t="e">
        <f t="shared" si="87"/>
        <v>#VALUE!</v>
      </c>
      <c r="S387" s="55" t="e">
        <f t="shared" si="88"/>
        <v>#VALUE!</v>
      </c>
      <c r="T387" s="55" t="e">
        <f t="shared" si="93"/>
        <v>#VALUE!</v>
      </c>
      <c r="U387" s="50" t="e">
        <f t="shared" si="89"/>
        <v>#VALUE!</v>
      </c>
      <c r="V387" s="50" t="e">
        <f t="shared" si="90"/>
        <v>#VALUE!</v>
      </c>
      <c r="W387" s="50" t="e">
        <f t="shared" si="91"/>
        <v>#VALUE!</v>
      </c>
    </row>
    <row r="388" spans="2:23" x14ac:dyDescent="0.25">
      <c r="B388" s="50" t="b">
        <f t="shared" si="94"/>
        <v>0</v>
      </c>
      <c r="C388" s="50" t="e">
        <f t="shared" si="95"/>
        <v>#VALUE!</v>
      </c>
      <c r="E388" s="56">
        <v>384</v>
      </c>
      <c r="G388" s="138"/>
      <c r="H388" s="135">
        <v>1</v>
      </c>
      <c r="I388" s="57" t="str">
        <f t="shared" si="92"/>
        <v/>
      </c>
      <c r="J388" s="58" t="e">
        <f t="shared" si="81"/>
        <v>#VALUE!</v>
      </c>
      <c r="K388" s="50" t="e">
        <f t="shared" si="82"/>
        <v>#VALUE!</v>
      </c>
      <c r="L388" s="50" t="e">
        <f t="shared" si="83"/>
        <v>#VALUE!</v>
      </c>
      <c r="M388" s="50" t="e">
        <f t="shared" si="83"/>
        <v>#VALUE!</v>
      </c>
      <c r="N388" s="50" t="e">
        <f t="shared" si="84"/>
        <v>#VALUE!</v>
      </c>
      <c r="O388" s="50" t="e">
        <f t="shared" si="85"/>
        <v>#VALUE!</v>
      </c>
      <c r="P388" s="50">
        <f t="shared" si="86"/>
        <v>0</v>
      </c>
      <c r="R388" s="55" t="e">
        <f t="shared" si="87"/>
        <v>#VALUE!</v>
      </c>
      <c r="S388" s="55" t="e">
        <f t="shared" si="88"/>
        <v>#VALUE!</v>
      </c>
      <c r="T388" s="55" t="e">
        <f t="shared" si="93"/>
        <v>#VALUE!</v>
      </c>
      <c r="U388" s="50" t="e">
        <f t="shared" si="89"/>
        <v>#VALUE!</v>
      </c>
      <c r="V388" s="50" t="e">
        <f t="shared" si="90"/>
        <v>#VALUE!</v>
      </c>
      <c r="W388" s="50" t="e">
        <f t="shared" si="91"/>
        <v>#VALUE!</v>
      </c>
    </row>
    <row r="389" spans="2:23" x14ac:dyDescent="0.25">
      <c r="B389" s="50" t="b">
        <f t="shared" si="94"/>
        <v>0</v>
      </c>
      <c r="C389" s="50" t="e">
        <f t="shared" si="95"/>
        <v>#VALUE!</v>
      </c>
      <c r="E389" s="56">
        <v>385</v>
      </c>
      <c r="G389" s="138"/>
      <c r="H389" s="135">
        <v>1</v>
      </c>
      <c r="I389" s="57" t="str">
        <f t="shared" si="92"/>
        <v/>
      </c>
      <c r="J389" s="58" t="e">
        <f t="shared" ref="J389:J452" si="96">RIGHT(I389,K389)</f>
        <v>#VALUE!</v>
      </c>
      <c r="K389" s="50" t="e">
        <f t="shared" ref="K389:K452" si="97">P389-N389</f>
        <v>#VALUE!</v>
      </c>
      <c r="L389" s="50" t="e">
        <f t="shared" ref="L389:M452" si="98">O389-N389</f>
        <v>#VALUE!</v>
      </c>
      <c r="M389" s="50" t="e">
        <f t="shared" si="98"/>
        <v>#VALUE!</v>
      </c>
      <c r="N389" s="50" t="e">
        <f t="shared" ref="N389:N452" si="99">SEARCH("-",I389,2)</f>
        <v>#VALUE!</v>
      </c>
      <c r="O389" s="50" t="e">
        <f t="shared" ref="O389:O452" si="100">SEARCH("-",I389,N389+1)</f>
        <v>#VALUE!</v>
      </c>
      <c r="P389" s="50">
        <f t="shared" ref="P389:P452" si="101">LEN(I389)</f>
        <v>0</v>
      </c>
      <c r="R389" s="55" t="e">
        <f t="shared" ref="R389:R452" si="102">LEFT(I389,N389-1)</f>
        <v>#VALUE!</v>
      </c>
      <c r="S389" s="55" t="e">
        <f t="shared" ref="S389:S452" si="103">LEFT(J389,L389-1)</f>
        <v>#VALUE!</v>
      </c>
      <c r="T389" s="55" t="e">
        <f t="shared" si="93"/>
        <v>#VALUE!</v>
      </c>
      <c r="U389" s="50" t="e">
        <f t="shared" ref="U389:U452" si="104">R389*1*$H389</f>
        <v>#VALUE!</v>
      </c>
      <c r="V389" s="50" t="e">
        <f t="shared" ref="V389:V452" si="105">S389*1*$H389</f>
        <v>#VALUE!</v>
      </c>
      <c r="W389" s="50" t="e">
        <f t="shared" ref="W389:W452" si="106">T389*1*$H389</f>
        <v>#VALUE!</v>
      </c>
    </row>
    <row r="390" spans="2:23" x14ac:dyDescent="0.25">
      <c r="B390" s="50" t="b">
        <f t="shared" si="94"/>
        <v>0</v>
      </c>
      <c r="C390" s="50" t="e">
        <f t="shared" si="95"/>
        <v>#VALUE!</v>
      </c>
      <c r="E390" s="56">
        <v>386</v>
      </c>
      <c r="G390" s="138"/>
      <c r="H390" s="135">
        <v>1</v>
      </c>
      <c r="I390" s="57" t="str">
        <f t="shared" ref="I390:I453" si="107">IF(G390="","",G390&amp;""&amp;"-0")</f>
        <v/>
      </c>
      <c r="J390" s="58" t="e">
        <f t="shared" si="96"/>
        <v>#VALUE!</v>
      </c>
      <c r="K390" s="50" t="e">
        <f t="shared" si="97"/>
        <v>#VALUE!</v>
      </c>
      <c r="L390" s="50" t="e">
        <f t="shared" si="98"/>
        <v>#VALUE!</v>
      </c>
      <c r="M390" s="50" t="e">
        <f t="shared" si="98"/>
        <v>#VALUE!</v>
      </c>
      <c r="N390" s="50" t="e">
        <f t="shared" si="99"/>
        <v>#VALUE!</v>
      </c>
      <c r="O390" s="50" t="e">
        <f t="shared" si="100"/>
        <v>#VALUE!</v>
      </c>
      <c r="P390" s="50">
        <f t="shared" si="101"/>
        <v>0</v>
      </c>
      <c r="R390" s="55" t="e">
        <f t="shared" si="102"/>
        <v>#VALUE!</v>
      </c>
      <c r="S390" s="55" t="e">
        <f t="shared" si="103"/>
        <v>#VALUE!</v>
      </c>
      <c r="T390" s="55" t="e">
        <f t="shared" ref="T390:T453" si="108">RIGHT(I390,M390)</f>
        <v>#VALUE!</v>
      </c>
      <c r="U390" s="50" t="e">
        <f t="shared" si="104"/>
        <v>#VALUE!</v>
      </c>
      <c r="V390" s="50" t="e">
        <f t="shared" si="105"/>
        <v>#VALUE!</v>
      </c>
      <c r="W390" s="50" t="e">
        <f t="shared" si="106"/>
        <v>#VALUE!</v>
      </c>
    </row>
    <row r="391" spans="2:23" x14ac:dyDescent="0.25">
      <c r="B391" s="50" t="b">
        <f t="shared" si="94"/>
        <v>0</v>
      </c>
      <c r="C391" s="50" t="e">
        <f t="shared" si="95"/>
        <v>#VALUE!</v>
      </c>
      <c r="E391" s="56">
        <v>387</v>
      </c>
      <c r="G391" s="138"/>
      <c r="H391" s="135">
        <v>1</v>
      </c>
      <c r="I391" s="57" t="str">
        <f t="shared" si="107"/>
        <v/>
      </c>
      <c r="J391" s="58" t="e">
        <f t="shared" si="96"/>
        <v>#VALUE!</v>
      </c>
      <c r="K391" s="50" t="e">
        <f t="shared" si="97"/>
        <v>#VALUE!</v>
      </c>
      <c r="L391" s="50" t="e">
        <f t="shared" si="98"/>
        <v>#VALUE!</v>
      </c>
      <c r="M391" s="50" t="e">
        <f t="shared" si="98"/>
        <v>#VALUE!</v>
      </c>
      <c r="N391" s="50" t="e">
        <f t="shared" si="99"/>
        <v>#VALUE!</v>
      </c>
      <c r="O391" s="50" t="e">
        <f t="shared" si="100"/>
        <v>#VALUE!</v>
      </c>
      <c r="P391" s="50">
        <f t="shared" si="101"/>
        <v>0</v>
      </c>
      <c r="R391" s="55" t="e">
        <f t="shared" si="102"/>
        <v>#VALUE!</v>
      </c>
      <c r="S391" s="55" t="e">
        <f t="shared" si="103"/>
        <v>#VALUE!</v>
      </c>
      <c r="T391" s="55" t="e">
        <f t="shared" si="108"/>
        <v>#VALUE!</v>
      </c>
      <c r="U391" s="50" t="e">
        <f t="shared" si="104"/>
        <v>#VALUE!</v>
      </c>
      <c r="V391" s="50" t="e">
        <f t="shared" si="105"/>
        <v>#VALUE!</v>
      </c>
      <c r="W391" s="50" t="e">
        <f t="shared" si="106"/>
        <v>#VALUE!</v>
      </c>
    </row>
    <row r="392" spans="2:23" x14ac:dyDescent="0.25">
      <c r="B392" s="50" t="b">
        <f t="shared" si="94"/>
        <v>0</v>
      </c>
      <c r="C392" s="50" t="e">
        <f t="shared" si="95"/>
        <v>#VALUE!</v>
      </c>
      <c r="E392" s="56">
        <v>388</v>
      </c>
      <c r="G392" s="138"/>
      <c r="H392" s="135">
        <v>1</v>
      </c>
      <c r="I392" s="57" t="str">
        <f t="shared" si="107"/>
        <v/>
      </c>
      <c r="J392" s="58" t="e">
        <f t="shared" si="96"/>
        <v>#VALUE!</v>
      </c>
      <c r="K392" s="50" t="e">
        <f t="shared" si="97"/>
        <v>#VALUE!</v>
      </c>
      <c r="L392" s="50" t="e">
        <f t="shared" si="98"/>
        <v>#VALUE!</v>
      </c>
      <c r="M392" s="50" t="e">
        <f t="shared" si="98"/>
        <v>#VALUE!</v>
      </c>
      <c r="N392" s="50" t="e">
        <f t="shared" si="99"/>
        <v>#VALUE!</v>
      </c>
      <c r="O392" s="50" t="e">
        <f t="shared" si="100"/>
        <v>#VALUE!</v>
      </c>
      <c r="P392" s="50">
        <f t="shared" si="101"/>
        <v>0</v>
      </c>
      <c r="R392" s="55" t="e">
        <f t="shared" si="102"/>
        <v>#VALUE!</v>
      </c>
      <c r="S392" s="55" t="e">
        <f t="shared" si="103"/>
        <v>#VALUE!</v>
      </c>
      <c r="T392" s="55" t="e">
        <f t="shared" si="108"/>
        <v>#VALUE!</v>
      </c>
      <c r="U392" s="50" t="e">
        <f t="shared" si="104"/>
        <v>#VALUE!</v>
      </c>
      <c r="V392" s="50" t="e">
        <f t="shared" si="105"/>
        <v>#VALUE!</v>
      </c>
      <c r="W392" s="50" t="e">
        <f t="shared" si="106"/>
        <v>#VALUE!</v>
      </c>
    </row>
    <row r="393" spans="2:23" x14ac:dyDescent="0.25">
      <c r="B393" s="50" t="b">
        <f t="shared" si="94"/>
        <v>0</v>
      </c>
      <c r="C393" s="50" t="e">
        <f t="shared" si="95"/>
        <v>#VALUE!</v>
      </c>
      <c r="E393" s="56">
        <v>389</v>
      </c>
      <c r="G393" s="138"/>
      <c r="H393" s="135">
        <v>1</v>
      </c>
      <c r="I393" s="57" t="str">
        <f t="shared" si="107"/>
        <v/>
      </c>
      <c r="J393" s="58" t="e">
        <f t="shared" si="96"/>
        <v>#VALUE!</v>
      </c>
      <c r="K393" s="50" t="e">
        <f t="shared" si="97"/>
        <v>#VALUE!</v>
      </c>
      <c r="L393" s="50" t="e">
        <f t="shared" si="98"/>
        <v>#VALUE!</v>
      </c>
      <c r="M393" s="50" t="e">
        <f t="shared" si="98"/>
        <v>#VALUE!</v>
      </c>
      <c r="N393" s="50" t="e">
        <f t="shared" si="99"/>
        <v>#VALUE!</v>
      </c>
      <c r="O393" s="50" t="e">
        <f t="shared" si="100"/>
        <v>#VALUE!</v>
      </c>
      <c r="P393" s="50">
        <f t="shared" si="101"/>
        <v>0</v>
      </c>
      <c r="R393" s="55" t="e">
        <f t="shared" si="102"/>
        <v>#VALUE!</v>
      </c>
      <c r="S393" s="55" t="e">
        <f t="shared" si="103"/>
        <v>#VALUE!</v>
      </c>
      <c r="T393" s="55" t="e">
        <f t="shared" si="108"/>
        <v>#VALUE!</v>
      </c>
      <c r="U393" s="50" t="e">
        <f t="shared" si="104"/>
        <v>#VALUE!</v>
      </c>
      <c r="V393" s="50" t="e">
        <f t="shared" si="105"/>
        <v>#VALUE!</v>
      </c>
      <c r="W393" s="50" t="e">
        <f t="shared" si="106"/>
        <v>#VALUE!</v>
      </c>
    </row>
    <row r="394" spans="2:23" x14ac:dyDescent="0.25">
      <c r="B394" s="50" t="b">
        <f t="shared" si="94"/>
        <v>0</v>
      </c>
      <c r="C394" s="50" t="e">
        <f t="shared" si="95"/>
        <v>#VALUE!</v>
      </c>
      <c r="E394" s="56">
        <v>390</v>
      </c>
      <c r="G394" s="138"/>
      <c r="H394" s="135">
        <v>1</v>
      </c>
      <c r="I394" s="57" t="str">
        <f t="shared" si="107"/>
        <v/>
      </c>
      <c r="J394" s="58" t="e">
        <f t="shared" si="96"/>
        <v>#VALUE!</v>
      </c>
      <c r="K394" s="50" t="e">
        <f t="shared" si="97"/>
        <v>#VALUE!</v>
      </c>
      <c r="L394" s="50" t="e">
        <f t="shared" si="98"/>
        <v>#VALUE!</v>
      </c>
      <c r="M394" s="50" t="e">
        <f t="shared" si="98"/>
        <v>#VALUE!</v>
      </c>
      <c r="N394" s="50" t="e">
        <f t="shared" si="99"/>
        <v>#VALUE!</v>
      </c>
      <c r="O394" s="50" t="e">
        <f t="shared" si="100"/>
        <v>#VALUE!</v>
      </c>
      <c r="P394" s="50">
        <f t="shared" si="101"/>
        <v>0</v>
      </c>
      <c r="R394" s="55" t="e">
        <f t="shared" si="102"/>
        <v>#VALUE!</v>
      </c>
      <c r="S394" s="55" t="e">
        <f t="shared" si="103"/>
        <v>#VALUE!</v>
      </c>
      <c r="T394" s="55" t="e">
        <f t="shared" si="108"/>
        <v>#VALUE!</v>
      </c>
      <c r="U394" s="50" t="e">
        <f t="shared" si="104"/>
        <v>#VALUE!</v>
      </c>
      <c r="V394" s="50" t="e">
        <f t="shared" si="105"/>
        <v>#VALUE!</v>
      </c>
      <c r="W394" s="50" t="e">
        <f t="shared" si="106"/>
        <v>#VALUE!</v>
      </c>
    </row>
    <row r="395" spans="2:23" x14ac:dyDescent="0.25">
      <c r="B395" s="50" t="b">
        <f t="shared" si="94"/>
        <v>0</v>
      </c>
      <c r="C395" s="50" t="e">
        <f t="shared" si="95"/>
        <v>#VALUE!</v>
      </c>
      <c r="E395" s="56">
        <v>391</v>
      </c>
      <c r="G395" s="138"/>
      <c r="H395" s="135">
        <v>1</v>
      </c>
      <c r="I395" s="57" t="str">
        <f t="shared" si="107"/>
        <v/>
      </c>
      <c r="J395" s="58" t="e">
        <f t="shared" si="96"/>
        <v>#VALUE!</v>
      </c>
      <c r="K395" s="50" t="e">
        <f t="shared" si="97"/>
        <v>#VALUE!</v>
      </c>
      <c r="L395" s="50" t="e">
        <f t="shared" si="98"/>
        <v>#VALUE!</v>
      </c>
      <c r="M395" s="50" t="e">
        <f t="shared" si="98"/>
        <v>#VALUE!</v>
      </c>
      <c r="N395" s="50" t="e">
        <f t="shared" si="99"/>
        <v>#VALUE!</v>
      </c>
      <c r="O395" s="50" t="e">
        <f t="shared" si="100"/>
        <v>#VALUE!</v>
      </c>
      <c r="P395" s="50">
        <f t="shared" si="101"/>
        <v>0</v>
      </c>
      <c r="R395" s="55" t="e">
        <f t="shared" si="102"/>
        <v>#VALUE!</v>
      </c>
      <c r="S395" s="55" t="e">
        <f t="shared" si="103"/>
        <v>#VALUE!</v>
      </c>
      <c r="T395" s="55" t="e">
        <f t="shared" si="108"/>
        <v>#VALUE!</v>
      </c>
      <c r="U395" s="50" t="e">
        <f t="shared" si="104"/>
        <v>#VALUE!</v>
      </c>
      <c r="V395" s="50" t="e">
        <f t="shared" si="105"/>
        <v>#VALUE!</v>
      </c>
      <c r="W395" s="50" t="e">
        <f t="shared" si="106"/>
        <v>#VALUE!</v>
      </c>
    </row>
    <row r="396" spans="2:23" x14ac:dyDescent="0.25">
      <c r="B396" s="50" t="b">
        <f t="shared" si="94"/>
        <v>0</v>
      </c>
      <c r="C396" s="50" t="e">
        <f t="shared" si="95"/>
        <v>#VALUE!</v>
      </c>
      <c r="E396" s="56">
        <v>392</v>
      </c>
      <c r="G396" s="138"/>
      <c r="H396" s="135">
        <v>1</v>
      </c>
      <c r="I396" s="57" t="str">
        <f t="shared" si="107"/>
        <v/>
      </c>
      <c r="J396" s="58" t="e">
        <f t="shared" si="96"/>
        <v>#VALUE!</v>
      </c>
      <c r="K396" s="50" t="e">
        <f t="shared" si="97"/>
        <v>#VALUE!</v>
      </c>
      <c r="L396" s="50" t="e">
        <f t="shared" si="98"/>
        <v>#VALUE!</v>
      </c>
      <c r="M396" s="50" t="e">
        <f t="shared" si="98"/>
        <v>#VALUE!</v>
      </c>
      <c r="N396" s="50" t="e">
        <f t="shared" si="99"/>
        <v>#VALUE!</v>
      </c>
      <c r="O396" s="50" t="e">
        <f t="shared" si="100"/>
        <v>#VALUE!</v>
      </c>
      <c r="P396" s="50">
        <f t="shared" si="101"/>
        <v>0</v>
      </c>
      <c r="R396" s="55" t="e">
        <f t="shared" si="102"/>
        <v>#VALUE!</v>
      </c>
      <c r="S396" s="55" t="e">
        <f t="shared" si="103"/>
        <v>#VALUE!</v>
      </c>
      <c r="T396" s="55" t="e">
        <f t="shared" si="108"/>
        <v>#VALUE!</v>
      </c>
      <c r="U396" s="50" t="e">
        <f t="shared" si="104"/>
        <v>#VALUE!</v>
      </c>
      <c r="V396" s="50" t="e">
        <f t="shared" si="105"/>
        <v>#VALUE!</v>
      </c>
      <c r="W396" s="50" t="e">
        <f t="shared" si="106"/>
        <v>#VALUE!</v>
      </c>
    </row>
    <row r="397" spans="2:23" x14ac:dyDescent="0.25">
      <c r="B397" s="50" t="b">
        <f t="shared" si="94"/>
        <v>0</v>
      </c>
      <c r="C397" s="50" t="e">
        <f t="shared" si="95"/>
        <v>#VALUE!</v>
      </c>
      <c r="E397" s="56">
        <v>393</v>
      </c>
      <c r="G397" s="138"/>
      <c r="H397" s="135">
        <v>1</v>
      </c>
      <c r="I397" s="57" t="str">
        <f t="shared" si="107"/>
        <v/>
      </c>
      <c r="J397" s="58" t="e">
        <f t="shared" si="96"/>
        <v>#VALUE!</v>
      </c>
      <c r="K397" s="50" t="e">
        <f t="shared" si="97"/>
        <v>#VALUE!</v>
      </c>
      <c r="L397" s="50" t="e">
        <f t="shared" si="98"/>
        <v>#VALUE!</v>
      </c>
      <c r="M397" s="50" t="e">
        <f t="shared" si="98"/>
        <v>#VALUE!</v>
      </c>
      <c r="N397" s="50" t="e">
        <f t="shared" si="99"/>
        <v>#VALUE!</v>
      </c>
      <c r="O397" s="50" t="e">
        <f t="shared" si="100"/>
        <v>#VALUE!</v>
      </c>
      <c r="P397" s="50">
        <f t="shared" si="101"/>
        <v>0</v>
      </c>
      <c r="R397" s="55" t="e">
        <f t="shared" si="102"/>
        <v>#VALUE!</v>
      </c>
      <c r="S397" s="55" t="e">
        <f t="shared" si="103"/>
        <v>#VALUE!</v>
      </c>
      <c r="T397" s="55" t="e">
        <f t="shared" si="108"/>
        <v>#VALUE!</v>
      </c>
      <c r="U397" s="50" t="e">
        <f t="shared" si="104"/>
        <v>#VALUE!</v>
      </c>
      <c r="V397" s="50" t="e">
        <f t="shared" si="105"/>
        <v>#VALUE!</v>
      </c>
      <c r="W397" s="50" t="e">
        <f t="shared" si="106"/>
        <v>#VALUE!</v>
      </c>
    </row>
    <row r="398" spans="2:23" x14ac:dyDescent="0.25">
      <c r="B398" s="50" t="b">
        <f t="shared" ref="B398:B461" si="109">ISNUMBER(C398)</f>
        <v>0</v>
      </c>
      <c r="C398" s="50" t="e">
        <f t="shared" si="95"/>
        <v>#VALUE!</v>
      </c>
      <c r="E398" s="56">
        <v>394</v>
      </c>
      <c r="G398" s="138"/>
      <c r="H398" s="135">
        <v>1</v>
      </c>
      <c r="I398" s="57" t="str">
        <f t="shared" si="107"/>
        <v/>
      </c>
      <c r="J398" s="58" t="e">
        <f t="shared" si="96"/>
        <v>#VALUE!</v>
      </c>
      <c r="K398" s="50" t="e">
        <f t="shared" si="97"/>
        <v>#VALUE!</v>
      </c>
      <c r="L398" s="50" t="e">
        <f t="shared" si="98"/>
        <v>#VALUE!</v>
      </c>
      <c r="M398" s="50" t="e">
        <f t="shared" si="98"/>
        <v>#VALUE!</v>
      </c>
      <c r="N398" s="50" t="e">
        <f t="shared" si="99"/>
        <v>#VALUE!</v>
      </c>
      <c r="O398" s="50" t="e">
        <f t="shared" si="100"/>
        <v>#VALUE!</v>
      </c>
      <c r="P398" s="50">
        <f t="shared" si="101"/>
        <v>0</v>
      </c>
      <c r="R398" s="55" t="e">
        <f t="shared" si="102"/>
        <v>#VALUE!</v>
      </c>
      <c r="S398" s="55" t="e">
        <f t="shared" si="103"/>
        <v>#VALUE!</v>
      </c>
      <c r="T398" s="55" t="e">
        <f t="shared" si="108"/>
        <v>#VALUE!</v>
      </c>
      <c r="U398" s="50" t="e">
        <f t="shared" si="104"/>
        <v>#VALUE!</v>
      </c>
      <c r="V398" s="50" t="e">
        <f t="shared" si="105"/>
        <v>#VALUE!</v>
      </c>
      <c r="W398" s="50" t="e">
        <f t="shared" si="106"/>
        <v>#VALUE!</v>
      </c>
    </row>
    <row r="399" spans="2:23" x14ac:dyDescent="0.25">
      <c r="B399" s="50" t="b">
        <f t="shared" si="109"/>
        <v>0</v>
      </c>
      <c r="C399" s="50" t="e">
        <f t="shared" si="95"/>
        <v>#VALUE!</v>
      </c>
      <c r="E399" s="56">
        <v>395</v>
      </c>
      <c r="G399" s="138"/>
      <c r="H399" s="135">
        <v>1</v>
      </c>
      <c r="I399" s="57" t="str">
        <f t="shared" si="107"/>
        <v/>
      </c>
      <c r="J399" s="58" t="e">
        <f t="shared" si="96"/>
        <v>#VALUE!</v>
      </c>
      <c r="K399" s="50" t="e">
        <f t="shared" si="97"/>
        <v>#VALUE!</v>
      </c>
      <c r="L399" s="50" t="e">
        <f t="shared" si="98"/>
        <v>#VALUE!</v>
      </c>
      <c r="M399" s="50" t="e">
        <f t="shared" si="98"/>
        <v>#VALUE!</v>
      </c>
      <c r="N399" s="50" t="e">
        <f t="shared" si="99"/>
        <v>#VALUE!</v>
      </c>
      <c r="O399" s="50" t="e">
        <f t="shared" si="100"/>
        <v>#VALUE!</v>
      </c>
      <c r="P399" s="50">
        <f t="shared" si="101"/>
        <v>0</v>
      </c>
      <c r="R399" s="55" t="e">
        <f t="shared" si="102"/>
        <v>#VALUE!</v>
      </c>
      <c r="S399" s="55" t="e">
        <f t="shared" si="103"/>
        <v>#VALUE!</v>
      </c>
      <c r="T399" s="55" t="e">
        <f t="shared" si="108"/>
        <v>#VALUE!</v>
      </c>
      <c r="U399" s="50" t="e">
        <f t="shared" si="104"/>
        <v>#VALUE!</v>
      </c>
      <c r="V399" s="50" t="e">
        <f t="shared" si="105"/>
        <v>#VALUE!</v>
      </c>
      <c r="W399" s="50" t="e">
        <f t="shared" si="106"/>
        <v>#VALUE!</v>
      </c>
    </row>
    <row r="400" spans="2:23" x14ac:dyDescent="0.25">
      <c r="B400" s="50" t="b">
        <f t="shared" si="109"/>
        <v>0</v>
      </c>
      <c r="C400" s="50" t="e">
        <f t="shared" si="95"/>
        <v>#VALUE!</v>
      </c>
      <c r="E400" s="56">
        <v>396</v>
      </c>
      <c r="G400" s="138"/>
      <c r="H400" s="135">
        <v>1</v>
      </c>
      <c r="I400" s="57" t="str">
        <f t="shared" si="107"/>
        <v/>
      </c>
      <c r="J400" s="58" t="e">
        <f t="shared" si="96"/>
        <v>#VALUE!</v>
      </c>
      <c r="K400" s="50" t="e">
        <f t="shared" si="97"/>
        <v>#VALUE!</v>
      </c>
      <c r="L400" s="50" t="e">
        <f t="shared" si="98"/>
        <v>#VALUE!</v>
      </c>
      <c r="M400" s="50" t="e">
        <f t="shared" si="98"/>
        <v>#VALUE!</v>
      </c>
      <c r="N400" s="50" t="e">
        <f t="shared" si="99"/>
        <v>#VALUE!</v>
      </c>
      <c r="O400" s="50" t="e">
        <f t="shared" si="100"/>
        <v>#VALUE!</v>
      </c>
      <c r="P400" s="50">
        <f t="shared" si="101"/>
        <v>0</v>
      </c>
      <c r="R400" s="55" t="e">
        <f t="shared" si="102"/>
        <v>#VALUE!</v>
      </c>
      <c r="S400" s="55" t="e">
        <f t="shared" si="103"/>
        <v>#VALUE!</v>
      </c>
      <c r="T400" s="55" t="e">
        <f t="shared" si="108"/>
        <v>#VALUE!</v>
      </c>
      <c r="U400" s="50" t="e">
        <f t="shared" si="104"/>
        <v>#VALUE!</v>
      </c>
      <c r="V400" s="50" t="e">
        <f t="shared" si="105"/>
        <v>#VALUE!</v>
      </c>
      <c r="W400" s="50" t="e">
        <f t="shared" si="106"/>
        <v>#VALUE!</v>
      </c>
    </row>
    <row r="401" spans="2:23" x14ac:dyDescent="0.25">
      <c r="B401" s="50" t="b">
        <f t="shared" si="109"/>
        <v>0</v>
      </c>
      <c r="C401" s="50" t="e">
        <f t="shared" si="95"/>
        <v>#VALUE!</v>
      </c>
      <c r="E401" s="56">
        <v>397</v>
      </c>
      <c r="G401" s="138"/>
      <c r="H401" s="135">
        <v>1</v>
      </c>
      <c r="I401" s="57" t="str">
        <f t="shared" si="107"/>
        <v/>
      </c>
      <c r="J401" s="58" t="e">
        <f t="shared" si="96"/>
        <v>#VALUE!</v>
      </c>
      <c r="K401" s="50" t="e">
        <f t="shared" si="97"/>
        <v>#VALUE!</v>
      </c>
      <c r="L401" s="50" t="e">
        <f t="shared" si="98"/>
        <v>#VALUE!</v>
      </c>
      <c r="M401" s="50" t="e">
        <f t="shared" si="98"/>
        <v>#VALUE!</v>
      </c>
      <c r="N401" s="50" t="e">
        <f t="shared" si="99"/>
        <v>#VALUE!</v>
      </c>
      <c r="O401" s="50" t="e">
        <f t="shared" si="100"/>
        <v>#VALUE!</v>
      </c>
      <c r="P401" s="50">
        <f t="shared" si="101"/>
        <v>0</v>
      </c>
      <c r="R401" s="55" t="e">
        <f t="shared" si="102"/>
        <v>#VALUE!</v>
      </c>
      <c r="S401" s="55" t="e">
        <f t="shared" si="103"/>
        <v>#VALUE!</v>
      </c>
      <c r="T401" s="55" t="e">
        <f t="shared" si="108"/>
        <v>#VALUE!</v>
      </c>
      <c r="U401" s="50" t="e">
        <f t="shared" si="104"/>
        <v>#VALUE!</v>
      </c>
      <c r="V401" s="50" t="e">
        <f t="shared" si="105"/>
        <v>#VALUE!</v>
      </c>
      <c r="W401" s="50" t="e">
        <f t="shared" si="106"/>
        <v>#VALUE!</v>
      </c>
    </row>
    <row r="402" spans="2:23" x14ac:dyDescent="0.25">
      <c r="B402" s="50" t="b">
        <f t="shared" si="109"/>
        <v>0</v>
      </c>
      <c r="C402" s="50" t="e">
        <f t="shared" si="95"/>
        <v>#VALUE!</v>
      </c>
      <c r="E402" s="56">
        <v>398</v>
      </c>
      <c r="G402" s="138"/>
      <c r="H402" s="135">
        <v>1</v>
      </c>
      <c r="I402" s="57" t="str">
        <f t="shared" si="107"/>
        <v/>
      </c>
      <c r="J402" s="58" t="e">
        <f t="shared" si="96"/>
        <v>#VALUE!</v>
      </c>
      <c r="K402" s="50" t="e">
        <f t="shared" si="97"/>
        <v>#VALUE!</v>
      </c>
      <c r="L402" s="50" t="e">
        <f t="shared" si="98"/>
        <v>#VALUE!</v>
      </c>
      <c r="M402" s="50" t="e">
        <f t="shared" si="98"/>
        <v>#VALUE!</v>
      </c>
      <c r="N402" s="50" t="e">
        <f t="shared" si="99"/>
        <v>#VALUE!</v>
      </c>
      <c r="O402" s="50" t="e">
        <f t="shared" si="100"/>
        <v>#VALUE!</v>
      </c>
      <c r="P402" s="50">
        <f t="shared" si="101"/>
        <v>0</v>
      </c>
      <c r="R402" s="55" t="e">
        <f t="shared" si="102"/>
        <v>#VALUE!</v>
      </c>
      <c r="S402" s="55" t="e">
        <f t="shared" si="103"/>
        <v>#VALUE!</v>
      </c>
      <c r="T402" s="55" t="e">
        <f t="shared" si="108"/>
        <v>#VALUE!</v>
      </c>
      <c r="U402" s="50" t="e">
        <f t="shared" si="104"/>
        <v>#VALUE!</v>
      </c>
      <c r="V402" s="50" t="e">
        <f t="shared" si="105"/>
        <v>#VALUE!</v>
      </c>
      <c r="W402" s="50" t="e">
        <f t="shared" si="106"/>
        <v>#VALUE!</v>
      </c>
    </row>
    <row r="403" spans="2:23" x14ac:dyDescent="0.25">
      <c r="B403" s="50" t="b">
        <f t="shared" si="109"/>
        <v>0</v>
      </c>
      <c r="C403" s="50" t="e">
        <f t="shared" si="95"/>
        <v>#VALUE!</v>
      </c>
      <c r="E403" s="56">
        <v>399</v>
      </c>
      <c r="G403" s="138"/>
      <c r="H403" s="135">
        <v>1</v>
      </c>
      <c r="I403" s="57" t="str">
        <f t="shared" si="107"/>
        <v/>
      </c>
      <c r="J403" s="58" t="e">
        <f t="shared" si="96"/>
        <v>#VALUE!</v>
      </c>
      <c r="K403" s="50" t="e">
        <f t="shared" si="97"/>
        <v>#VALUE!</v>
      </c>
      <c r="L403" s="50" t="e">
        <f t="shared" si="98"/>
        <v>#VALUE!</v>
      </c>
      <c r="M403" s="50" t="e">
        <f t="shared" si="98"/>
        <v>#VALUE!</v>
      </c>
      <c r="N403" s="50" t="e">
        <f t="shared" si="99"/>
        <v>#VALUE!</v>
      </c>
      <c r="O403" s="50" t="e">
        <f t="shared" si="100"/>
        <v>#VALUE!</v>
      </c>
      <c r="P403" s="50">
        <f t="shared" si="101"/>
        <v>0</v>
      </c>
      <c r="R403" s="55" t="e">
        <f t="shared" si="102"/>
        <v>#VALUE!</v>
      </c>
      <c r="S403" s="55" t="e">
        <f t="shared" si="103"/>
        <v>#VALUE!</v>
      </c>
      <c r="T403" s="55" t="e">
        <f t="shared" si="108"/>
        <v>#VALUE!</v>
      </c>
      <c r="U403" s="50" t="e">
        <f t="shared" si="104"/>
        <v>#VALUE!</v>
      </c>
      <c r="V403" s="50" t="e">
        <f t="shared" si="105"/>
        <v>#VALUE!</v>
      </c>
      <c r="W403" s="50" t="e">
        <f t="shared" si="106"/>
        <v>#VALUE!</v>
      </c>
    </row>
    <row r="404" spans="2:23" x14ac:dyDescent="0.25">
      <c r="B404" s="50" t="b">
        <f t="shared" si="109"/>
        <v>0</v>
      </c>
      <c r="C404" s="50" t="e">
        <f t="shared" si="95"/>
        <v>#VALUE!</v>
      </c>
      <c r="E404" s="56">
        <v>400</v>
      </c>
      <c r="G404" s="138"/>
      <c r="H404" s="135">
        <v>1</v>
      </c>
      <c r="I404" s="57" t="str">
        <f t="shared" si="107"/>
        <v/>
      </c>
      <c r="J404" s="58" t="e">
        <f t="shared" si="96"/>
        <v>#VALUE!</v>
      </c>
      <c r="K404" s="50" t="e">
        <f t="shared" si="97"/>
        <v>#VALUE!</v>
      </c>
      <c r="L404" s="50" t="e">
        <f t="shared" si="98"/>
        <v>#VALUE!</v>
      </c>
      <c r="M404" s="50" t="e">
        <f t="shared" si="98"/>
        <v>#VALUE!</v>
      </c>
      <c r="N404" s="50" t="e">
        <f t="shared" si="99"/>
        <v>#VALUE!</v>
      </c>
      <c r="O404" s="50" t="e">
        <f t="shared" si="100"/>
        <v>#VALUE!</v>
      </c>
      <c r="P404" s="50">
        <f t="shared" si="101"/>
        <v>0</v>
      </c>
      <c r="R404" s="55" t="e">
        <f t="shared" si="102"/>
        <v>#VALUE!</v>
      </c>
      <c r="S404" s="55" t="e">
        <f t="shared" si="103"/>
        <v>#VALUE!</v>
      </c>
      <c r="T404" s="55" t="e">
        <f t="shared" si="108"/>
        <v>#VALUE!</v>
      </c>
      <c r="U404" s="50" t="e">
        <f t="shared" si="104"/>
        <v>#VALUE!</v>
      </c>
      <c r="V404" s="50" t="e">
        <f t="shared" si="105"/>
        <v>#VALUE!</v>
      </c>
      <c r="W404" s="50" t="e">
        <f t="shared" si="106"/>
        <v>#VALUE!</v>
      </c>
    </row>
    <row r="405" spans="2:23" x14ac:dyDescent="0.25">
      <c r="B405" s="50" t="b">
        <f t="shared" si="109"/>
        <v>0</v>
      </c>
      <c r="C405" s="50" t="e">
        <f t="shared" si="95"/>
        <v>#VALUE!</v>
      </c>
      <c r="E405" s="56">
        <v>401</v>
      </c>
      <c r="G405" s="138"/>
      <c r="H405" s="135">
        <v>1</v>
      </c>
      <c r="I405" s="57" t="str">
        <f t="shared" si="107"/>
        <v/>
      </c>
      <c r="J405" s="58" t="e">
        <f t="shared" si="96"/>
        <v>#VALUE!</v>
      </c>
      <c r="K405" s="50" t="e">
        <f t="shared" si="97"/>
        <v>#VALUE!</v>
      </c>
      <c r="L405" s="50" t="e">
        <f t="shared" si="98"/>
        <v>#VALUE!</v>
      </c>
      <c r="M405" s="50" t="e">
        <f t="shared" si="98"/>
        <v>#VALUE!</v>
      </c>
      <c r="N405" s="50" t="e">
        <f t="shared" si="99"/>
        <v>#VALUE!</v>
      </c>
      <c r="O405" s="50" t="e">
        <f t="shared" si="100"/>
        <v>#VALUE!</v>
      </c>
      <c r="P405" s="50">
        <f t="shared" si="101"/>
        <v>0</v>
      </c>
      <c r="R405" s="55" t="e">
        <f t="shared" si="102"/>
        <v>#VALUE!</v>
      </c>
      <c r="S405" s="55" t="e">
        <f t="shared" si="103"/>
        <v>#VALUE!</v>
      </c>
      <c r="T405" s="55" t="e">
        <f t="shared" si="108"/>
        <v>#VALUE!</v>
      </c>
      <c r="U405" s="50" t="e">
        <f t="shared" si="104"/>
        <v>#VALUE!</v>
      </c>
      <c r="V405" s="50" t="e">
        <f t="shared" si="105"/>
        <v>#VALUE!</v>
      </c>
      <c r="W405" s="50" t="e">
        <f t="shared" si="106"/>
        <v>#VALUE!</v>
      </c>
    </row>
    <row r="406" spans="2:23" x14ac:dyDescent="0.25">
      <c r="B406" s="50" t="b">
        <f t="shared" si="109"/>
        <v>0</v>
      </c>
      <c r="C406" s="50" t="e">
        <f t="shared" si="95"/>
        <v>#VALUE!</v>
      </c>
      <c r="E406" s="56">
        <v>402</v>
      </c>
      <c r="G406" s="138"/>
      <c r="H406" s="135">
        <v>1</v>
      </c>
      <c r="I406" s="57" t="str">
        <f t="shared" si="107"/>
        <v/>
      </c>
      <c r="J406" s="58" t="e">
        <f t="shared" si="96"/>
        <v>#VALUE!</v>
      </c>
      <c r="K406" s="50" t="e">
        <f t="shared" si="97"/>
        <v>#VALUE!</v>
      </c>
      <c r="L406" s="50" t="e">
        <f t="shared" si="98"/>
        <v>#VALUE!</v>
      </c>
      <c r="M406" s="50" t="e">
        <f t="shared" si="98"/>
        <v>#VALUE!</v>
      </c>
      <c r="N406" s="50" t="e">
        <f t="shared" si="99"/>
        <v>#VALUE!</v>
      </c>
      <c r="O406" s="50" t="e">
        <f t="shared" si="100"/>
        <v>#VALUE!</v>
      </c>
      <c r="P406" s="50">
        <f t="shared" si="101"/>
        <v>0</v>
      </c>
      <c r="R406" s="55" t="e">
        <f t="shared" si="102"/>
        <v>#VALUE!</v>
      </c>
      <c r="S406" s="55" t="e">
        <f t="shared" si="103"/>
        <v>#VALUE!</v>
      </c>
      <c r="T406" s="55" t="e">
        <f t="shared" si="108"/>
        <v>#VALUE!</v>
      </c>
      <c r="U406" s="50" t="e">
        <f t="shared" si="104"/>
        <v>#VALUE!</v>
      </c>
      <c r="V406" s="50" t="e">
        <f t="shared" si="105"/>
        <v>#VALUE!</v>
      </c>
      <c r="W406" s="50" t="e">
        <f t="shared" si="106"/>
        <v>#VALUE!</v>
      </c>
    </row>
    <row r="407" spans="2:23" x14ac:dyDescent="0.25">
      <c r="B407" s="50" t="b">
        <f t="shared" si="109"/>
        <v>0</v>
      </c>
      <c r="C407" s="50" t="e">
        <f t="shared" si="95"/>
        <v>#VALUE!</v>
      </c>
      <c r="E407" s="56">
        <v>403</v>
      </c>
      <c r="G407" s="138"/>
      <c r="H407" s="135">
        <v>1</v>
      </c>
      <c r="I407" s="57" t="str">
        <f t="shared" si="107"/>
        <v/>
      </c>
      <c r="J407" s="58" t="e">
        <f t="shared" si="96"/>
        <v>#VALUE!</v>
      </c>
      <c r="K407" s="50" t="e">
        <f t="shared" si="97"/>
        <v>#VALUE!</v>
      </c>
      <c r="L407" s="50" t="e">
        <f t="shared" si="98"/>
        <v>#VALUE!</v>
      </c>
      <c r="M407" s="50" t="e">
        <f t="shared" si="98"/>
        <v>#VALUE!</v>
      </c>
      <c r="N407" s="50" t="e">
        <f t="shared" si="99"/>
        <v>#VALUE!</v>
      </c>
      <c r="O407" s="50" t="e">
        <f t="shared" si="100"/>
        <v>#VALUE!</v>
      </c>
      <c r="P407" s="50">
        <f t="shared" si="101"/>
        <v>0</v>
      </c>
      <c r="R407" s="55" t="e">
        <f t="shared" si="102"/>
        <v>#VALUE!</v>
      </c>
      <c r="S407" s="55" t="e">
        <f t="shared" si="103"/>
        <v>#VALUE!</v>
      </c>
      <c r="T407" s="55" t="e">
        <f t="shared" si="108"/>
        <v>#VALUE!</v>
      </c>
      <c r="U407" s="50" t="e">
        <f t="shared" si="104"/>
        <v>#VALUE!</v>
      </c>
      <c r="V407" s="50" t="e">
        <f t="shared" si="105"/>
        <v>#VALUE!</v>
      </c>
      <c r="W407" s="50" t="e">
        <f t="shared" si="106"/>
        <v>#VALUE!</v>
      </c>
    </row>
    <row r="408" spans="2:23" x14ac:dyDescent="0.25">
      <c r="B408" s="50" t="b">
        <f t="shared" si="109"/>
        <v>0</v>
      </c>
      <c r="C408" s="50" t="e">
        <f t="shared" si="95"/>
        <v>#VALUE!</v>
      </c>
      <c r="E408" s="56">
        <v>404</v>
      </c>
      <c r="G408" s="138"/>
      <c r="H408" s="135">
        <v>1</v>
      </c>
      <c r="I408" s="57" t="str">
        <f t="shared" si="107"/>
        <v/>
      </c>
      <c r="J408" s="58" t="e">
        <f t="shared" si="96"/>
        <v>#VALUE!</v>
      </c>
      <c r="K408" s="50" t="e">
        <f t="shared" si="97"/>
        <v>#VALUE!</v>
      </c>
      <c r="L408" s="50" t="e">
        <f t="shared" si="98"/>
        <v>#VALUE!</v>
      </c>
      <c r="M408" s="50" t="e">
        <f t="shared" si="98"/>
        <v>#VALUE!</v>
      </c>
      <c r="N408" s="50" t="e">
        <f t="shared" si="99"/>
        <v>#VALUE!</v>
      </c>
      <c r="O408" s="50" t="e">
        <f t="shared" si="100"/>
        <v>#VALUE!</v>
      </c>
      <c r="P408" s="50">
        <f t="shared" si="101"/>
        <v>0</v>
      </c>
      <c r="R408" s="55" t="e">
        <f t="shared" si="102"/>
        <v>#VALUE!</v>
      </c>
      <c r="S408" s="55" t="e">
        <f t="shared" si="103"/>
        <v>#VALUE!</v>
      </c>
      <c r="T408" s="55" t="e">
        <f t="shared" si="108"/>
        <v>#VALUE!</v>
      </c>
      <c r="U408" s="50" t="e">
        <f t="shared" si="104"/>
        <v>#VALUE!</v>
      </c>
      <c r="V408" s="50" t="e">
        <f t="shared" si="105"/>
        <v>#VALUE!</v>
      </c>
      <c r="W408" s="50" t="e">
        <f t="shared" si="106"/>
        <v>#VALUE!</v>
      </c>
    </row>
    <row r="409" spans="2:23" x14ac:dyDescent="0.25">
      <c r="B409" s="50" t="b">
        <f t="shared" si="109"/>
        <v>0</v>
      </c>
      <c r="C409" s="50" t="e">
        <f t="shared" si="95"/>
        <v>#VALUE!</v>
      </c>
      <c r="E409" s="56">
        <v>405</v>
      </c>
      <c r="G409" s="138"/>
      <c r="H409" s="135">
        <v>1</v>
      </c>
      <c r="I409" s="57" t="str">
        <f t="shared" si="107"/>
        <v/>
      </c>
      <c r="J409" s="58" t="e">
        <f t="shared" si="96"/>
        <v>#VALUE!</v>
      </c>
      <c r="K409" s="50" t="e">
        <f t="shared" si="97"/>
        <v>#VALUE!</v>
      </c>
      <c r="L409" s="50" t="e">
        <f t="shared" si="98"/>
        <v>#VALUE!</v>
      </c>
      <c r="M409" s="50" t="e">
        <f t="shared" si="98"/>
        <v>#VALUE!</v>
      </c>
      <c r="N409" s="50" t="e">
        <f t="shared" si="99"/>
        <v>#VALUE!</v>
      </c>
      <c r="O409" s="50" t="e">
        <f t="shared" si="100"/>
        <v>#VALUE!</v>
      </c>
      <c r="P409" s="50">
        <f t="shared" si="101"/>
        <v>0</v>
      </c>
      <c r="R409" s="55" t="e">
        <f t="shared" si="102"/>
        <v>#VALUE!</v>
      </c>
      <c r="S409" s="55" t="e">
        <f t="shared" si="103"/>
        <v>#VALUE!</v>
      </c>
      <c r="T409" s="55" t="e">
        <f t="shared" si="108"/>
        <v>#VALUE!</v>
      </c>
      <c r="U409" s="50" t="e">
        <f t="shared" si="104"/>
        <v>#VALUE!</v>
      </c>
      <c r="V409" s="50" t="e">
        <f t="shared" si="105"/>
        <v>#VALUE!</v>
      </c>
      <c r="W409" s="50" t="e">
        <f t="shared" si="106"/>
        <v>#VALUE!</v>
      </c>
    </row>
    <row r="410" spans="2:23" x14ac:dyDescent="0.25">
      <c r="B410" s="50" t="b">
        <f t="shared" si="109"/>
        <v>0</v>
      </c>
      <c r="C410" s="50" t="e">
        <f t="shared" si="95"/>
        <v>#VALUE!</v>
      </c>
      <c r="E410" s="56">
        <v>406</v>
      </c>
      <c r="G410" s="138"/>
      <c r="H410" s="135">
        <v>1</v>
      </c>
      <c r="I410" s="57" t="str">
        <f t="shared" si="107"/>
        <v/>
      </c>
      <c r="J410" s="58" t="e">
        <f t="shared" si="96"/>
        <v>#VALUE!</v>
      </c>
      <c r="K410" s="50" t="e">
        <f t="shared" si="97"/>
        <v>#VALUE!</v>
      </c>
      <c r="L410" s="50" t="e">
        <f t="shared" si="98"/>
        <v>#VALUE!</v>
      </c>
      <c r="M410" s="50" t="e">
        <f t="shared" si="98"/>
        <v>#VALUE!</v>
      </c>
      <c r="N410" s="50" t="e">
        <f t="shared" si="99"/>
        <v>#VALUE!</v>
      </c>
      <c r="O410" s="50" t="e">
        <f t="shared" si="100"/>
        <v>#VALUE!</v>
      </c>
      <c r="P410" s="50">
        <f t="shared" si="101"/>
        <v>0</v>
      </c>
      <c r="R410" s="55" t="e">
        <f t="shared" si="102"/>
        <v>#VALUE!</v>
      </c>
      <c r="S410" s="55" t="e">
        <f t="shared" si="103"/>
        <v>#VALUE!</v>
      </c>
      <c r="T410" s="55" t="e">
        <f t="shared" si="108"/>
        <v>#VALUE!</v>
      </c>
      <c r="U410" s="50" t="e">
        <f t="shared" si="104"/>
        <v>#VALUE!</v>
      </c>
      <c r="V410" s="50" t="e">
        <f t="shared" si="105"/>
        <v>#VALUE!</v>
      </c>
      <c r="W410" s="50" t="e">
        <f t="shared" si="106"/>
        <v>#VALUE!</v>
      </c>
    </row>
    <row r="411" spans="2:23" x14ac:dyDescent="0.25">
      <c r="B411" s="50" t="b">
        <f t="shared" si="109"/>
        <v>0</v>
      </c>
      <c r="C411" s="50" t="e">
        <f t="shared" si="95"/>
        <v>#VALUE!</v>
      </c>
      <c r="E411" s="56">
        <v>407</v>
      </c>
      <c r="G411" s="138"/>
      <c r="H411" s="135">
        <v>1</v>
      </c>
      <c r="I411" s="57" t="str">
        <f t="shared" si="107"/>
        <v/>
      </c>
      <c r="J411" s="58" t="e">
        <f t="shared" si="96"/>
        <v>#VALUE!</v>
      </c>
      <c r="K411" s="50" t="e">
        <f t="shared" si="97"/>
        <v>#VALUE!</v>
      </c>
      <c r="L411" s="50" t="e">
        <f t="shared" si="98"/>
        <v>#VALUE!</v>
      </c>
      <c r="M411" s="50" t="e">
        <f t="shared" si="98"/>
        <v>#VALUE!</v>
      </c>
      <c r="N411" s="50" t="e">
        <f t="shared" si="99"/>
        <v>#VALUE!</v>
      </c>
      <c r="O411" s="50" t="e">
        <f t="shared" si="100"/>
        <v>#VALUE!</v>
      </c>
      <c r="P411" s="50">
        <f t="shared" si="101"/>
        <v>0</v>
      </c>
      <c r="R411" s="55" t="e">
        <f t="shared" si="102"/>
        <v>#VALUE!</v>
      </c>
      <c r="S411" s="55" t="e">
        <f t="shared" si="103"/>
        <v>#VALUE!</v>
      </c>
      <c r="T411" s="55" t="e">
        <f t="shared" si="108"/>
        <v>#VALUE!</v>
      </c>
      <c r="U411" s="50" t="e">
        <f t="shared" si="104"/>
        <v>#VALUE!</v>
      </c>
      <c r="V411" s="50" t="e">
        <f t="shared" si="105"/>
        <v>#VALUE!</v>
      </c>
      <c r="W411" s="50" t="e">
        <f t="shared" si="106"/>
        <v>#VALUE!</v>
      </c>
    </row>
    <row r="412" spans="2:23" x14ac:dyDescent="0.25">
      <c r="B412" s="50" t="b">
        <f t="shared" si="109"/>
        <v>0</v>
      </c>
      <c r="C412" s="50" t="e">
        <f t="shared" si="95"/>
        <v>#VALUE!</v>
      </c>
      <c r="E412" s="56">
        <v>408</v>
      </c>
      <c r="G412" s="138"/>
      <c r="H412" s="135">
        <v>1</v>
      </c>
      <c r="I412" s="57" t="str">
        <f t="shared" si="107"/>
        <v/>
      </c>
      <c r="J412" s="58" t="e">
        <f t="shared" si="96"/>
        <v>#VALUE!</v>
      </c>
      <c r="K412" s="50" t="e">
        <f t="shared" si="97"/>
        <v>#VALUE!</v>
      </c>
      <c r="L412" s="50" t="e">
        <f t="shared" si="98"/>
        <v>#VALUE!</v>
      </c>
      <c r="M412" s="50" t="e">
        <f t="shared" si="98"/>
        <v>#VALUE!</v>
      </c>
      <c r="N412" s="50" t="e">
        <f t="shared" si="99"/>
        <v>#VALUE!</v>
      </c>
      <c r="O412" s="50" t="e">
        <f t="shared" si="100"/>
        <v>#VALUE!</v>
      </c>
      <c r="P412" s="50">
        <f t="shared" si="101"/>
        <v>0</v>
      </c>
      <c r="R412" s="55" t="e">
        <f t="shared" si="102"/>
        <v>#VALUE!</v>
      </c>
      <c r="S412" s="55" t="e">
        <f t="shared" si="103"/>
        <v>#VALUE!</v>
      </c>
      <c r="T412" s="55" t="e">
        <f t="shared" si="108"/>
        <v>#VALUE!</v>
      </c>
      <c r="U412" s="50" t="e">
        <f t="shared" si="104"/>
        <v>#VALUE!</v>
      </c>
      <c r="V412" s="50" t="e">
        <f t="shared" si="105"/>
        <v>#VALUE!</v>
      </c>
      <c r="W412" s="50" t="e">
        <f t="shared" si="106"/>
        <v>#VALUE!</v>
      </c>
    </row>
    <row r="413" spans="2:23" x14ac:dyDescent="0.25">
      <c r="B413" s="50" t="b">
        <f t="shared" si="109"/>
        <v>0</v>
      </c>
      <c r="C413" s="50" t="e">
        <f t="shared" si="95"/>
        <v>#VALUE!</v>
      </c>
      <c r="E413" s="56">
        <v>409</v>
      </c>
      <c r="G413" s="138"/>
      <c r="H413" s="135">
        <v>1</v>
      </c>
      <c r="I413" s="57" t="str">
        <f t="shared" si="107"/>
        <v/>
      </c>
      <c r="J413" s="58" t="e">
        <f t="shared" si="96"/>
        <v>#VALUE!</v>
      </c>
      <c r="K413" s="50" t="e">
        <f t="shared" si="97"/>
        <v>#VALUE!</v>
      </c>
      <c r="L413" s="50" t="e">
        <f t="shared" si="98"/>
        <v>#VALUE!</v>
      </c>
      <c r="M413" s="50" t="e">
        <f t="shared" si="98"/>
        <v>#VALUE!</v>
      </c>
      <c r="N413" s="50" t="e">
        <f t="shared" si="99"/>
        <v>#VALUE!</v>
      </c>
      <c r="O413" s="50" t="e">
        <f t="shared" si="100"/>
        <v>#VALUE!</v>
      </c>
      <c r="P413" s="50">
        <f t="shared" si="101"/>
        <v>0</v>
      </c>
      <c r="R413" s="55" t="e">
        <f t="shared" si="102"/>
        <v>#VALUE!</v>
      </c>
      <c r="S413" s="55" t="e">
        <f t="shared" si="103"/>
        <v>#VALUE!</v>
      </c>
      <c r="T413" s="55" t="e">
        <f t="shared" si="108"/>
        <v>#VALUE!</v>
      </c>
      <c r="U413" s="50" t="e">
        <f t="shared" si="104"/>
        <v>#VALUE!</v>
      </c>
      <c r="V413" s="50" t="e">
        <f t="shared" si="105"/>
        <v>#VALUE!</v>
      </c>
      <c r="W413" s="50" t="e">
        <f t="shared" si="106"/>
        <v>#VALUE!</v>
      </c>
    </row>
    <row r="414" spans="2:23" x14ac:dyDescent="0.25">
      <c r="B414" s="50" t="b">
        <f t="shared" si="109"/>
        <v>0</v>
      </c>
      <c r="C414" s="50" t="e">
        <f t="shared" si="95"/>
        <v>#VALUE!</v>
      </c>
      <c r="E414" s="56">
        <v>410</v>
      </c>
      <c r="G414" s="138"/>
      <c r="H414" s="135">
        <v>1</v>
      </c>
      <c r="I414" s="57" t="str">
        <f t="shared" si="107"/>
        <v/>
      </c>
      <c r="J414" s="58" t="e">
        <f t="shared" si="96"/>
        <v>#VALUE!</v>
      </c>
      <c r="K414" s="50" t="e">
        <f t="shared" si="97"/>
        <v>#VALUE!</v>
      </c>
      <c r="L414" s="50" t="e">
        <f t="shared" si="98"/>
        <v>#VALUE!</v>
      </c>
      <c r="M414" s="50" t="e">
        <f t="shared" si="98"/>
        <v>#VALUE!</v>
      </c>
      <c r="N414" s="50" t="e">
        <f t="shared" si="99"/>
        <v>#VALUE!</v>
      </c>
      <c r="O414" s="50" t="e">
        <f t="shared" si="100"/>
        <v>#VALUE!</v>
      </c>
      <c r="P414" s="50">
        <f t="shared" si="101"/>
        <v>0</v>
      </c>
      <c r="R414" s="55" t="e">
        <f t="shared" si="102"/>
        <v>#VALUE!</v>
      </c>
      <c r="S414" s="55" t="e">
        <f t="shared" si="103"/>
        <v>#VALUE!</v>
      </c>
      <c r="T414" s="55" t="e">
        <f t="shared" si="108"/>
        <v>#VALUE!</v>
      </c>
      <c r="U414" s="50" t="e">
        <f t="shared" si="104"/>
        <v>#VALUE!</v>
      </c>
      <c r="V414" s="50" t="e">
        <f t="shared" si="105"/>
        <v>#VALUE!</v>
      </c>
      <c r="W414" s="50" t="e">
        <f t="shared" si="106"/>
        <v>#VALUE!</v>
      </c>
    </row>
    <row r="415" spans="2:23" x14ac:dyDescent="0.25">
      <c r="B415" s="50" t="b">
        <f t="shared" si="109"/>
        <v>0</v>
      </c>
      <c r="C415" s="50" t="e">
        <f t="shared" si="95"/>
        <v>#VALUE!</v>
      </c>
      <c r="E415" s="56">
        <v>411</v>
      </c>
      <c r="G415" s="138"/>
      <c r="H415" s="135">
        <v>1</v>
      </c>
      <c r="I415" s="57" t="str">
        <f t="shared" si="107"/>
        <v/>
      </c>
      <c r="J415" s="58" t="e">
        <f t="shared" si="96"/>
        <v>#VALUE!</v>
      </c>
      <c r="K415" s="50" t="e">
        <f t="shared" si="97"/>
        <v>#VALUE!</v>
      </c>
      <c r="L415" s="50" t="e">
        <f t="shared" si="98"/>
        <v>#VALUE!</v>
      </c>
      <c r="M415" s="50" t="e">
        <f t="shared" si="98"/>
        <v>#VALUE!</v>
      </c>
      <c r="N415" s="50" t="e">
        <f t="shared" si="99"/>
        <v>#VALUE!</v>
      </c>
      <c r="O415" s="50" t="e">
        <f t="shared" si="100"/>
        <v>#VALUE!</v>
      </c>
      <c r="P415" s="50">
        <f t="shared" si="101"/>
        <v>0</v>
      </c>
      <c r="R415" s="55" t="e">
        <f t="shared" si="102"/>
        <v>#VALUE!</v>
      </c>
      <c r="S415" s="55" t="e">
        <f t="shared" si="103"/>
        <v>#VALUE!</v>
      </c>
      <c r="T415" s="55" t="e">
        <f t="shared" si="108"/>
        <v>#VALUE!</v>
      </c>
      <c r="U415" s="50" t="e">
        <f t="shared" si="104"/>
        <v>#VALUE!</v>
      </c>
      <c r="V415" s="50" t="e">
        <f t="shared" si="105"/>
        <v>#VALUE!</v>
      </c>
      <c r="W415" s="50" t="e">
        <f t="shared" si="106"/>
        <v>#VALUE!</v>
      </c>
    </row>
    <row r="416" spans="2:23" x14ac:dyDescent="0.25">
      <c r="B416" s="50" t="b">
        <f t="shared" si="109"/>
        <v>0</v>
      </c>
      <c r="C416" s="50" t="e">
        <f t="shared" si="95"/>
        <v>#VALUE!</v>
      </c>
      <c r="E416" s="56">
        <v>412</v>
      </c>
      <c r="G416" s="138"/>
      <c r="H416" s="135">
        <v>1</v>
      </c>
      <c r="I416" s="57" t="str">
        <f t="shared" si="107"/>
        <v/>
      </c>
      <c r="J416" s="58" t="e">
        <f t="shared" si="96"/>
        <v>#VALUE!</v>
      </c>
      <c r="K416" s="50" t="e">
        <f t="shared" si="97"/>
        <v>#VALUE!</v>
      </c>
      <c r="L416" s="50" t="e">
        <f t="shared" si="98"/>
        <v>#VALUE!</v>
      </c>
      <c r="M416" s="50" t="e">
        <f t="shared" si="98"/>
        <v>#VALUE!</v>
      </c>
      <c r="N416" s="50" t="e">
        <f t="shared" si="99"/>
        <v>#VALUE!</v>
      </c>
      <c r="O416" s="50" t="e">
        <f t="shared" si="100"/>
        <v>#VALUE!</v>
      </c>
      <c r="P416" s="50">
        <f t="shared" si="101"/>
        <v>0</v>
      </c>
      <c r="R416" s="55" t="e">
        <f t="shared" si="102"/>
        <v>#VALUE!</v>
      </c>
      <c r="S416" s="55" t="e">
        <f t="shared" si="103"/>
        <v>#VALUE!</v>
      </c>
      <c r="T416" s="55" t="e">
        <f t="shared" si="108"/>
        <v>#VALUE!</v>
      </c>
      <c r="U416" s="50" t="e">
        <f t="shared" si="104"/>
        <v>#VALUE!</v>
      </c>
      <c r="V416" s="50" t="e">
        <f t="shared" si="105"/>
        <v>#VALUE!</v>
      </c>
      <c r="W416" s="50" t="e">
        <f t="shared" si="106"/>
        <v>#VALUE!</v>
      </c>
    </row>
    <row r="417" spans="2:23" x14ac:dyDescent="0.25">
      <c r="B417" s="50" t="b">
        <f t="shared" si="109"/>
        <v>0</v>
      </c>
      <c r="C417" s="50" t="e">
        <f t="shared" si="95"/>
        <v>#VALUE!</v>
      </c>
      <c r="E417" s="56">
        <v>413</v>
      </c>
      <c r="G417" s="138"/>
      <c r="H417" s="135">
        <v>1</v>
      </c>
      <c r="I417" s="57" t="str">
        <f t="shared" si="107"/>
        <v/>
      </c>
      <c r="J417" s="58" t="e">
        <f t="shared" si="96"/>
        <v>#VALUE!</v>
      </c>
      <c r="K417" s="50" t="e">
        <f t="shared" si="97"/>
        <v>#VALUE!</v>
      </c>
      <c r="L417" s="50" t="e">
        <f t="shared" si="98"/>
        <v>#VALUE!</v>
      </c>
      <c r="M417" s="50" t="e">
        <f t="shared" si="98"/>
        <v>#VALUE!</v>
      </c>
      <c r="N417" s="50" t="e">
        <f t="shared" si="99"/>
        <v>#VALUE!</v>
      </c>
      <c r="O417" s="50" t="e">
        <f t="shared" si="100"/>
        <v>#VALUE!</v>
      </c>
      <c r="P417" s="50">
        <f t="shared" si="101"/>
        <v>0</v>
      </c>
      <c r="R417" s="55" t="e">
        <f t="shared" si="102"/>
        <v>#VALUE!</v>
      </c>
      <c r="S417" s="55" t="e">
        <f t="shared" si="103"/>
        <v>#VALUE!</v>
      </c>
      <c r="T417" s="55" t="e">
        <f t="shared" si="108"/>
        <v>#VALUE!</v>
      </c>
      <c r="U417" s="50" t="e">
        <f t="shared" si="104"/>
        <v>#VALUE!</v>
      </c>
      <c r="V417" s="50" t="e">
        <f t="shared" si="105"/>
        <v>#VALUE!</v>
      </c>
      <c r="W417" s="50" t="e">
        <f t="shared" si="106"/>
        <v>#VALUE!</v>
      </c>
    </row>
    <row r="418" spans="2:23" x14ac:dyDescent="0.25">
      <c r="B418" s="50" t="b">
        <f t="shared" si="109"/>
        <v>0</v>
      </c>
      <c r="C418" s="50" t="e">
        <f t="shared" si="95"/>
        <v>#VALUE!</v>
      </c>
      <c r="E418" s="56">
        <v>414</v>
      </c>
      <c r="G418" s="138"/>
      <c r="H418" s="135">
        <v>1</v>
      </c>
      <c r="I418" s="57" t="str">
        <f t="shared" si="107"/>
        <v/>
      </c>
      <c r="J418" s="58" t="e">
        <f t="shared" si="96"/>
        <v>#VALUE!</v>
      </c>
      <c r="K418" s="50" t="e">
        <f t="shared" si="97"/>
        <v>#VALUE!</v>
      </c>
      <c r="L418" s="50" t="e">
        <f t="shared" si="98"/>
        <v>#VALUE!</v>
      </c>
      <c r="M418" s="50" t="e">
        <f t="shared" si="98"/>
        <v>#VALUE!</v>
      </c>
      <c r="N418" s="50" t="e">
        <f t="shared" si="99"/>
        <v>#VALUE!</v>
      </c>
      <c r="O418" s="50" t="e">
        <f t="shared" si="100"/>
        <v>#VALUE!</v>
      </c>
      <c r="P418" s="50">
        <f t="shared" si="101"/>
        <v>0</v>
      </c>
      <c r="R418" s="55" t="e">
        <f t="shared" si="102"/>
        <v>#VALUE!</v>
      </c>
      <c r="S418" s="55" t="e">
        <f t="shared" si="103"/>
        <v>#VALUE!</v>
      </c>
      <c r="T418" s="55" t="e">
        <f t="shared" si="108"/>
        <v>#VALUE!</v>
      </c>
      <c r="U418" s="50" t="e">
        <f t="shared" si="104"/>
        <v>#VALUE!</v>
      </c>
      <c r="V418" s="50" t="e">
        <f t="shared" si="105"/>
        <v>#VALUE!</v>
      </c>
      <c r="W418" s="50" t="e">
        <f t="shared" si="106"/>
        <v>#VALUE!</v>
      </c>
    </row>
    <row r="419" spans="2:23" x14ac:dyDescent="0.25">
      <c r="B419" s="50" t="b">
        <f t="shared" si="109"/>
        <v>0</v>
      </c>
      <c r="C419" s="50" t="e">
        <f t="shared" si="95"/>
        <v>#VALUE!</v>
      </c>
      <c r="E419" s="56">
        <v>415</v>
      </c>
      <c r="G419" s="138"/>
      <c r="H419" s="135">
        <v>1</v>
      </c>
      <c r="I419" s="57" t="str">
        <f t="shared" si="107"/>
        <v/>
      </c>
      <c r="J419" s="58" t="e">
        <f t="shared" si="96"/>
        <v>#VALUE!</v>
      </c>
      <c r="K419" s="50" t="e">
        <f t="shared" si="97"/>
        <v>#VALUE!</v>
      </c>
      <c r="L419" s="50" t="e">
        <f t="shared" si="98"/>
        <v>#VALUE!</v>
      </c>
      <c r="M419" s="50" t="e">
        <f t="shared" si="98"/>
        <v>#VALUE!</v>
      </c>
      <c r="N419" s="50" t="e">
        <f t="shared" si="99"/>
        <v>#VALUE!</v>
      </c>
      <c r="O419" s="50" t="e">
        <f t="shared" si="100"/>
        <v>#VALUE!</v>
      </c>
      <c r="P419" s="50">
        <f t="shared" si="101"/>
        <v>0</v>
      </c>
      <c r="R419" s="55" t="e">
        <f t="shared" si="102"/>
        <v>#VALUE!</v>
      </c>
      <c r="S419" s="55" t="e">
        <f t="shared" si="103"/>
        <v>#VALUE!</v>
      </c>
      <c r="T419" s="55" t="e">
        <f t="shared" si="108"/>
        <v>#VALUE!</v>
      </c>
      <c r="U419" s="50" t="e">
        <f t="shared" si="104"/>
        <v>#VALUE!</v>
      </c>
      <c r="V419" s="50" t="e">
        <f t="shared" si="105"/>
        <v>#VALUE!</v>
      </c>
      <c r="W419" s="50" t="e">
        <f t="shared" si="106"/>
        <v>#VALUE!</v>
      </c>
    </row>
    <row r="420" spans="2:23" x14ac:dyDescent="0.25">
      <c r="B420" s="50" t="b">
        <f t="shared" si="109"/>
        <v>0</v>
      </c>
      <c r="C420" s="50" t="e">
        <f t="shared" si="95"/>
        <v>#VALUE!</v>
      </c>
      <c r="E420" s="56">
        <v>416</v>
      </c>
      <c r="G420" s="138"/>
      <c r="H420" s="135">
        <v>1</v>
      </c>
      <c r="I420" s="57" t="str">
        <f t="shared" si="107"/>
        <v/>
      </c>
      <c r="J420" s="58" t="e">
        <f t="shared" si="96"/>
        <v>#VALUE!</v>
      </c>
      <c r="K420" s="50" t="e">
        <f t="shared" si="97"/>
        <v>#VALUE!</v>
      </c>
      <c r="L420" s="50" t="e">
        <f t="shared" si="98"/>
        <v>#VALUE!</v>
      </c>
      <c r="M420" s="50" t="e">
        <f t="shared" si="98"/>
        <v>#VALUE!</v>
      </c>
      <c r="N420" s="50" t="e">
        <f t="shared" si="99"/>
        <v>#VALUE!</v>
      </c>
      <c r="O420" s="50" t="e">
        <f t="shared" si="100"/>
        <v>#VALUE!</v>
      </c>
      <c r="P420" s="50">
        <f t="shared" si="101"/>
        <v>0</v>
      </c>
      <c r="R420" s="55" t="e">
        <f t="shared" si="102"/>
        <v>#VALUE!</v>
      </c>
      <c r="S420" s="55" t="e">
        <f t="shared" si="103"/>
        <v>#VALUE!</v>
      </c>
      <c r="T420" s="55" t="e">
        <f t="shared" si="108"/>
        <v>#VALUE!</v>
      </c>
      <c r="U420" s="50" t="e">
        <f t="shared" si="104"/>
        <v>#VALUE!</v>
      </c>
      <c r="V420" s="50" t="e">
        <f t="shared" si="105"/>
        <v>#VALUE!</v>
      </c>
      <c r="W420" s="50" t="e">
        <f t="shared" si="106"/>
        <v>#VALUE!</v>
      </c>
    </row>
    <row r="421" spans="2:23" x14ac:dyDescent="0.25">
      <c r="B421" s="50" t="b">
        <f t="shared" si="109"/>
        <v>0</v>
      </c>
      <c r="C421" s="50" t="e">
        <f t="shared" si="95"/>
        <v>#VALUE!</v>
      </c>
      <c r="E421" s="56">
        <v>417</v>
      </c>
      <c r="G421" s="138"/>
      <c r="H421" s="135">
        <v>1</v>
      </c>
      <c r="I421" s="57" t="str">
        <f t="shared" si="107"/>
        <v/>
      </c>
      <c r="J421" s="58" t="e">
        <f t="shared" si="96"/>
        <v>#VALUE!</v>
      </c>
      <c r="K421" s="50" t="e">
        <f t="shared" si="97"/>
        <v>#VALUE!</v>
      </c>
      <c r="L421" s="50" t="e">
        <f t="shared" si="98"/>
        <v>#VALUE!</v>
      </c>
      <c r="M421" s="50" t="e">
        <f t="shared" si="98"/>
        <v>#VALUE!</v>
      </c>
      <c r="N421" s="50" t="e">
        <f t="shared" si="99"/>
        <v>#VALUE!</v>
      </c>
      <c r="O421" s="50" t="e">
        <f t="shared" si="100"/>
        <v>#VALUE!</v>
      </c>
      <c r="P421" s="50">
        <f t="shared" si="101"/>
        <v>0</v>
      </c>
      <c r="R421" s="55" t="e">
        <f t="shared" si="102"/>
        <v>#VALUE!</v>
      </c>
      <c r="S421" s="55" t="e">
        <f t="shared" si="103"/>
        <v>#VALUE!</v>
      </c>
      <c r="T421" s="55" t="e">
        <f t="shared" si="108"/>
        <v>#VALUE!</v>
      </c>
      <c r="U421" s="50" t="e">
        <f t="shared" si="104"/>
        <v>#VALUE!</v>
      </c>
      <c r="V421" s="50" t="e">
        <f t="shared" si="105"/>
        <v>#VALUE!</v>
      </c>
      <c r="W421" s="50" t="e">
        <f t="shared" si="106"/>
        <v>#VALUE!</v>
      </c>
    </row>
    <row r="422" spans="2:23" x14ac:dyDescent="0.25">
      <c r="B422" s="50" t="b">
        <f t="shared" si="109"/>
        <v>0</v>
      </c>
      <c r="C422" s="50" t="e">
        <f t="shared" si="95"/>
        <v>#VALUE!</v>
      </c>
      <c r="E422" s="56">
        <v>418</v>
      </c>
      <c r="G422" s="138"/>
      <c r="H422" s="135">
        <v>1</v>
      </c>
      <c r="I422" s="57" t="str">
        <f t="shared" si="107"/>
        <v/>
      </c>
      <c r="J422" s="58" t="e">
        <f t="shared" si="96"/>
        <v>#VALUE!</v>
      </c>
      <c r="K422" s="50" t="e">
        <f t="shared" si="97"/>
        <v>#VALUE!</v>
      </c>
      <c r="L422" s="50" t="e">
        <f t="shared" si="98"/>
        <v>#VALUE!</v>
      </c>
      <c r="M422" s="50" t="e">
        <f t="shared" si="98"/>
        <v>#VALUE!</v>
      </c>
      <c r="N422" s="50" t="e">
        <f t="shared" si="99"/>
        <v>#VALUE!</v>
      </c>
      <c r="O422" s="50" t="e">
        <f t="shared" si="100"/>
        <v>#VALUE!</v>
      </c>
      <c r="P422" s="50">
        <f t="shared" si="101"/>
        <v>0</v>
      </c>
      <c r="R422" s="55" t="e">
        <f t="shared" si="102"/>
        <v>#VALUE!</v>
      </c>
      <c r="S422" s="55" t="e">
        <f t="shared" si="103"/>
        <v>#VALUE!</v>
      </c>
      <c r="T422" s="55" t="e">
        <f t="shared" si="108"/>
        <v>#VALUE!</v>
      </c>
      <c r="U422" s="50" t="e">
        <f t="shared" si="104"/>
        <v>#VALUE!</v>
      </c>
      <c r="V422" s="50" t="e">
        <f t="shared" si="105"/>
        <v>#VALUE!</v>
      </c>
      <c r="W422" s="50" t="e">
        <f t="shared" si="106"/>
        <v>#VALUE!</v>
      </c>
    </row>
    <row r="423" spans="2:23" x14ac:dyDescent="0.25">
      <c r="B423" s="50" t="b">
        <f t="shared" si="109"/>
        <v>0</v>
      </c>
      <c r="C423" s="50" t="e">
        <f t="shared" si="95"/>
        <v>#VALUE!</v>
      </c>
      <c r="E423" s="56">
        <v>419</v>
      </c>
      <c r="G423" s="138"/>
      <c r="H423" s="135">
        <v>1</v>
      </c>
      <c r="I423" s="57" t="str">
        <f t="shared" si="107"/>
        <v/>
      </c>
      <c r="J423" s="58" t="e">
        <f t="shared" si="96"/>
        <v>#VALUE!</v>
      </c>
      <c r="K423" s="50" t="e">
        <f t="shared" si="97"/>
        <v>#VALUE!</v>
      </c>
      <c r="L423" s="50" t="e">
        <f t="shared" si="98"/>
        <v>#VALUE!</v>
      </c>
      <c r="M423" s="50" t="e">
        <f t="shared" si="98"/>
        <v>#VALUE!</v>
      </c>
      <c r="N423" s="50" t="e">
        <f t="shared" si="99"/>
        <v>#VALUE!</v>
      </c>
      <c r="O423" s="50" t="e">
        <f t="shared" si="100"/>
        <v>#VALUE!</v>
      </c>
      <c r="P423" s="50">
        <f t="shared" si="101"/>
        <v>0</v>
      </c>
      <c r="R423" s="55" t="e">
        <f t="shared" si="102"/>
        <v>#VALUE!</v>
      </c>
      <c r="S423" s="55" t="e">
        <f t="shared" si="103"/>
        <v>#VALUE!</v>
      </c>
      <c r="T423" s="55" t="e">
        <f t="shared" si="108"/>
        <v>#VALUE!</v>
      </c>
      <c r="U423" s="50" t="e">
        <f t="shared" si="104"/>
        <v>#VALUE!</v>
      </c>
      <c r="V423" s="50" t="e">
        <f t="shared" si="105"/>
        <v>#VALUE!</v>
      </c>
      <c r="W423" s="50" t="e">
        <f t="shared" si="106"/>
        <v>#VALUE!</v>
      </c>
    </row>
    <row r="424" spans="2:23" x14ac:dyDescent="0.25">
      <c r="B424" s="50" t="b">
        <f t="shared" si="109"/>
        <v>0</v>
      </c>
      <c r="C424" s="50" t="e">
        <f t="shared" si="95"/>
        <v>#VALUE!</v>
      </c>
      <c r="E424" s="56">
        <v>420</v>
      </c>
      <c r="G424" s="138"/>
      <c r="H424" s="135">
        <v>1</v>
      </c>
      <c r="I424" s="57" t="str">
        <f t="shared" si="107"/>
        <v/>
      </c>
      <c r="J424" s="58" t="e">
        <f t="shared" si="96"/>
        <v>#VALUE!</v>
      </c>
      <c r="K424" s="50" t="e">
        <f t="shared" si="97"/>
        <v>#VALUE!</v>
      </c>
      <c r="L424" s="50" t="e">
        <f t="shared" si="98"/>
        <v>#VALUE!</v>
      </c>
      <c r="M424" s="50" t="e">
        <f t="shared" si="98"/>
        <v>#VALUE!</v>
      </c>
      <c r="N424" s="50" t="e">
        <f t="shared" si="99"/>
        <v>#VALUE!</v>
      </c>
      <c r="O424" s="50" t="e">
        <f t="shared" si="100"/>
        <v>#VALUE!</v>
      </c>
      <c r="P424" s="50">
        <f t="shared" si="101"/>
        <v>0</v>
      </c>
      <c r="R424" s="55" t="e">
        <f t="shared" si="102"/>
        <v>#VALUE!</v>
      </c>
      <c r="S424" s="55" t="e">
        <f t="shared" si="103"/>
        <v>#VALUE!</v>
      </c>
      <c r="T424" s="55" t="e">
        <f t="shared" si="108"/>
        <v>#VALUE!</v>
      </c>
      <c r="U424" s="50" t="e">
        <f t="shared" si="104"/>
        <v>#VALUE!</v>
      </c>
      <c r="V424" s="50" t="e">
        <f t="shared" si="105"/>
        <v>#VALUE!</v>
      </c>
      <c r="W424" s="50" t="e">
        <f t="shared" si="106"/>
        <v>#VALUE!</v>
      </c>
    </row>
    <row r="425" spans="2:23" x14ac:dyDescent="0.25">
      <c r="B425" s="50" t="b">
        <f t="shared" si="109"/>
        <v>0</v>
      </c>
      <c r="C425" s="50" t="e">
        <f t="shared" si="95"/>
        <v>#VALUE!</v>
      </c>
      <c r="E425" s="56">
        <v>421</v>
      </c>
      <c r="G425" s="138"/>
      <c r="H425" s="135">
        <v>1</v>
      </c>
      <c r="I425" s="57" t="str">
        <f t="shared" si="107"/>
        <v/>
      </c>
      <c r="J425" s="58" t="e">
        <f t="shared" si="96"/>
        <v>#VALUE!</v>
      </c>
      <c r="K425" s="50" t="e">
        <f t="shared" si="97"/>
        <v>#VALUE!</v>
      </c>
      <c r="L425" s="50" t="e">
        <f t="shared" si="98"/>
        <v>#VALUE!</v>
      </c>
      <c r="M425" s="50" t="e">
        <f t="shared" si="98"/>
        <v>#VALUE!</v>
      </c>
      <c r="N425" s="50" t="e">
        <f t="shared" si="99"/>
        <v>#VALUE!</v>
      </c>
      <c r="O425" s="50" t="e">
        <f t="shared" si="100"/>
        <v>#VALUE!</v>
      </c>
      <c r="P425" s="50">
        <f t="shared" si="101"/>
        <v>0</v>
      </c>
      <c r="R425" s="55" t="e">
        <f t="shared" si="102"/>
        <v>#VALUE!</v>
      </c>
      <c r="S425" s="55" t="e">
        <f t="shared" si="103"/>
        <v>#VALUE!</v>
      </c>
      <c r="T425" s="55" t="e">
        <f t="shared" si="108"/>
        <v>#VALUE!</v>
      </c>
      <c r="U425" s="50" t="e">
        <f t="shared" si="104"/>
        <v>#VALUE!</v>
      </c>
      <c r="V425" s="50" t="e">
        <f t="shared" si="105"/>
        <v>#VALUE!</v>
      </c>
      <c r="W425" s="50" t="e">
        <f t="shared" si="106"/>
        <v>#VALUE!</v>
      </c>
    </row>
    <row r="426" spans="2:23" x14ac:dyDescent="0.25">
      <c r="B426" s="50" t="b">
        <f t="shared" si="109"/>
        <v>0</v>
      </c>
      <c r="C426" s="50" t="e">
        <f t="shared" si="95"/>
        <v>#VALUE!</v>
      </c>
      <c r="E426" s="56">
        <v>422</v>
      </c>
      <c r="G426" s="138"/>
      <c r="H426" s="135">
        <v>1</v>
      </c>
      <c r="I426" s="57" t="str">
        <f t="shared" si="107"/>
        <v/>
      </c>
      <c r="J426" s="58" t="e">
        <f t="shared" si="96"/>
        <v>#VALUE!</v>
      </c>
      <c r="K426" s="50" t="e">
        <f t="shared" si="97"/>
        <v>#VALUE!</v>
      </c>
      <c r="L426" s="50" t="e">
        <f t="shared" si="98"/>
        <v>#VALUE!</v>
      </c>
      <c r="M426" s="50" t="e">
        <f t="shared" si="98"/>
        <v>#VALUE!</v>
      </c>
      <c r="N426" s="50" t="e">
        <f t="shared" si="99"/>
        <v>#VALUE!</v>
      </c>
      <c r="O426" s="50" t="e">
        <f t="shared" si="100"/>
        <v>#VALUE!</v>
      </c>
      <c r="P426" s="50">
        <f t="shared" si="101"/>
        <v>0</v>
      </c>
      <c r="R426" s="55" t="e">
        <f t="shared" si="102"/>
        <v>#VALUE!</v>
      </c>
      <c r="S426" s="55" t="e">
        <f t="shared" si="103"/>
        <v>#VALUE!</v>
      </c>
      <c r="T426" s="55" t="e">
        <f t="shared" si="108"/>
        <v>#VALUE!</v>
      </c>
      <c r="U426" s="50" t="e">
        <f t="shared" si="104"/>
        <v>#VALUE!</v>
      </c>
      <c r="V426" s="50" t="e">
        <f t="shared" si="105"/>
        <v>#VALUE!</v>
      </c>
      <c r="W426" s="50" t="e">
        <f t="shared" si="106"/>
        <v>#VALUE!</v>
      </c>
    </row>
    <row r="427" spans="2:23" x14ac:dyDescent="0.25">
      <c r="B427" s="50" t="b">
        <f t="shared" si="109"/>
        <v>0</v>
      </c>
      <c r="C427" s="50" t="e">
        <f t="shared" si="95"/>
        <v>#VALUE!</v>
      </c>
      <c r="E427" s="56">
        <v>423</v>
      </c>
      <c r="G427" s="138"/>
      <c r="H427" s="135">
        <v>1</v>
      </c>
      <c r="I427" s="57" t="str">
        <f t="shared" si="107"/>
        <v/>
      </c>
      <c r="J427" s="58" t="e">
        <f t="shared" si="96"/>
        <v>#VALUE!</v>
      </c>
      <c r="K427" s="50" t="e">
        <f t="shared" si="97"/>
        <v>#VALUE!</v>
      </c>
      <c r="L427" s="50" t="e">
        <f t="shared" si="98"/>
        <v>#VALUE!</v>
      </c>
      <c r="M427" s="50" t="e">
        <f t="shared" si="98"/>
        <v>#VALUE!</v>
      </c>
      <c r="N427" s="50" t="e">
        <f t="shared" si="99"/>
        <v>#VALUE!</v>
      </c>
      <c r="O427" s="50" t="e">
        <f t="shared" si="100"/>
        <v>#VALUE!</v>
      </c>
      <c r="P427" s="50">
        <f t="shared" si="101"/>
        <v>0</v>
      </c>
      <c r="R427" s="55" t="e">
        <f t="shared" si="102"/>
        <v>#VALUE!</v>
      </c>
      <c r="S427" s="55" t="e">
        <f t="shared" si="103"/>
        <v>#VALUE!</v>
      </c>
      <c r="T427" s="55" t="e">
        <f t="shared" si="108"/>
        <v>#VALUE!</v>
      </c>
      <c r="U427" s="50" t="e">
        <f t="shared" si="104"/>
        <v>#VALUE!</v>
      </c>
      <c r="V427" s="50" t="e">
        <f t="shared" si="105"/>
        <v>#VALUE!</v>
      </c>
      <c r="W427" s="50" t="e">
        <f t="shared" si="106"/>
        <v>#VALUE!</v>
      </c>
    </row>
    <row r="428" spans="2:23" x14ac:dyDescent="0.25">
      <c r="B428" s="50" t="b">
        <f t="shared" si="109"/>
        <v>0</v>
      </c>
      <c r="C428" s="50" t="e">
        <f t="shared" si="95"/>
        <v>#VALUE!</v>
      </c>
      <c r="E428" s="56">
        <v>424</v>
      </c>
      <c r="G428" s="138"/>
      <c r="H428" s="135">
        <v>1</v>
      </c>
      <c r="I428" s="57" t="str">
        <f t="shared" si="107"/>
        <v/>
      </c>
      <c r="J428" s="58" t="e">
        <f t="shared" si="96"/>
        <v>#VALUE!</v>
      </c>
      <c r="K428" s="50" t="e">
        <f t="shared" si="97"/>
        <v>#VALUE!</v>
      </c>
      <c r="L428" s="50" t="e">
        <f t="shared" si="98"/>
        <v>#VALUE!</v>
      </c>
      <c r="M428" s="50" t="e">
        <f t="shared" si="98"/>
        <v>#VALUE!</v>
      </c>
      <c r="N428" s="50" t="e">
        <f t="shared" si="99"/>
        <v>#VALUE!</v>
      </c>
      <c r="O428" s="50" t="e">
        <f t="shared" si="100"/>
        <v>#VALUE!</v>
      </c>
      <c r="P428" s="50">
        <f t="shared" si="101"/>
        <v>0</v>
      </c>
      <c r="R428" s="55" t="e">
        <f t="shared" si="102"/>
        <v>#VALUE!</v>
      </c>
      <c r="S428" s="55" t="e">
        <f t="shared" si="103"/>
        <v>#VALUE!</v>
      </c>
      <c r="T428" s="55" t="e">
        <f t="shared" si="108"/>
        <v>#VALUE!</v>
      </c>
      <c r="U428" s="50" t="e">
        <f t="shared" si="104"/>
        <v>#VALUE!</v>
      </c>
      <c r="V428" s="50" t="e">
        <f t="shared" si="105"/>
        <v>#VALUE!</v>
      </c>
      <c r="W428" s="50" t="e">
        <f t="shared" si="106"/>
        <v>#VALUE!</v>
      </c>
    </row>
    <row r="429" spans="2:23" x14ac:dyDescent="0.25">
      <c r="B429" s="50" t="b">
        <f t="shared" si="109"/>
        <v>0</v>
      </c>
      <c r="C429" s="50" t="e">
        <f t="shared" si="95"/>
        <v>#VALUE!</v>
      </c>
      <c r="E429" s="56">
        <v>425</v>
      </c>
      <c r="G429" s="138"/>
      <c r="H429" s="135">
        <v>1</v>
      </c>
      <c r="I429" s="57" t="str">
        <f t="shared" si="107"/>
        <v/>
      </c>
      <c r="J429" s="58" t="e">
        <f t="shared" si="96"/>
        <v>#VALUE!</v>
      </c>
      <c r="K429" s="50" t="e">
        <f t="shared" si="97"/>
        <v>#VALUE!</v>
      </c>
      <c r="L429" s="50" t="e">
        <f t="shared" si="98"/>
        <v>#VALUE!</v>
      </c>
      <c r="M429" s="50" t="e">
        <f t="shared" si="98"/>
        <v>#VALUE!</v>
      </c>
      <c r="N429" s="50" t="e">
        <f t="shared" si="99"/>
        <v>#VALUE!</v>
      </c>
      <c r="O429" s="50" t="e">
        <f t="shared" si="100"/>
        <v>#VALUE!</v>
      </c>
      <c r="P429" s="50">
        <f t="shared" si="101"/>
        <v>0</v>
      </c>
      <c r="R429" s="55" t="e">
        <f t="shared" si="102"/>
        <v>#VALUE!</v>
      </c>
      <c r="S429" s="55" t="e">
        <f t="shared" si="103"/>
        <v>#VALUE!</v>
      </c>
      <c r="T429" s="55" t="e">
        <f t="shared" si="108"/>
        <v>#VALUE!</v>
      </c>
      <c r="U429" s="50" t="e">
        <f t="shared" si="104"/>
        <v>#VALUE!</v>
      </c>
      <c r="V429" s="50" t="e">
        <f t="shared" si="105"/>
        <v>#VALUE!</v>
      </c>
      <c r="W429" s="50" t="e">
        <f t="shared" si="106"/>
        <v>#VALUE!</v>
      </c>
    </row>
    <row r="430" spans="2:23" x14ac:dyDescent="0.25">
      <c r="B430" s="50" t="b">
        <f t="shared" si="109"/>
        <v>0</v>
      </c>
      <c r="C430" s="50" t="e">
        <f t="shared" si="95"/>
        <v>#VALUE!</v>
      </c>
      <c r="E430" s="56">
        <v>426</v>
      </c>
      <c r="G430" s="138"/>
      <c r="H430" s="135">
        <v>1</v>
      </c>
      <c r="I430" s="57" t="str">
        <f t="shared" si="107"/>
        <v/>
      </c>
      <c r="J430" s="58" t="e">
        <f t="shared" si="96"/>
        <v>#VALUE!</v>
      </c>
      <c r="K430" s="50" t="e">
        <f t="shared" si="97"/>
        <v>#VALUE!</v>
      </c>
      <c r="L430" s="50" t="e">
        <f t="shared" si="98"/>
        <v>#VALUE!</v>
      </c>
      <c r="M430" s="50" t="e">
        <f t="shared" si="98"/>
        <v>#VALUE!</v>
      </c>
      <c r="N430" s="50" t="e">
        <f t="shared" si="99"/>
        <v>#VALUE!</v>
      </c>
      <c r="O430" s="50" t="e">
        <f t="shared" si="100"/>
        <v>#VALUE!</v>
      </c>
      <c r="P430" s="50">
        <f t="shared" si="101"/>
        <v>0</v>
      </c>
      <c r="R430" s="55" t="e">
        <f t="shared" si="102"/>
        <v>#VALUE!</v>
      </c>
      <c r="S430" s="55" t="e">
        <f t="shared" si="103"/>
        <v>#VALUE!</v>
      </c>
      <c r="T430" s="55" t="e">
        <f t="shared" si="108"/>
        <v>#VALUE!</v>
      </c>
      <c r="U430" s="50" t="e">
        <f t="shared" si="104"/>
        <v>#VALUE!</v>
      </c>
      <c r="V430" s="50" t="e">
        <f t="shared" si="105"/>
        <v>#VALUE!</v>
      </c>
      <c r="W430" s="50" t="e">
        <f t="shared" si="106"/>
        <v>#VALUE!</v>
      </c>
    </row>
    <row r="431" spans="2:23" x14ac:dyDescent="0.25">
      <c r="B431" s="50" t="b">
        <f t="shared" si="109"/>
        <v>0</v>
      </c>
      <c r="C431" s="50" t="e">
        <f t="shared" si="95"/>
        <v>#VALUE!</v>
      </c>
      <c r="E431" s="56">
        <v>427</v>
      </c>
      <c r="G431" s="138"/>
      <c r="H431" s="135">
        <v>1</v>
      </c>
      <c r="I431" s="57" t="str">
        <f t="shared" si="107"/>
        <v/>
      </c>
      <c r="J431" s="58" t="e">
        <f t="shared" si="96"/>
        <v>#VALUE!</v>
      </c>
      <c r="K431" s="50" t="e">
        <f t="shared" si="97"/>
        <v>#VALUE!</v>
      </c>
      <c r="L431" s="50" t="e">
        <f t="shared" si="98"/>
        <v>#VALUE!</v>
      </c>
      <c r="M431" s="50" t="e">
        <f t="shared" si="98"/>
        <v>#VALUE!</v>
      </c>
      <c r="N431" s="50" t="e">
        <f t="shared" si="99"/>
        <v>#VALUE!</v>
      </c>
      <c r="O431" s="50" t="e">
        <f t="shared" si="100"/>
        <v>#VALUE!</v>
      </c>
      <c r="P431" s="50">
        <f t="shared" si="101"/>
        <v>0</v>
      </c>
      <c r="R431" s="55" t="e">
        <f t="shared" si="102"/>
        <v>#VALUE!</v>
      </c>
      <c r="S431" s="55" t="e">
        <f t="shared" si="103"/>
        <v>#VALUE!</v>
      </c>
      <c r="T431" s="55" t="e">
        <f t="shared" si="108"/>
        <v>#VALUE!</v>
      </c>
      <c r="U431" s="50" t="e">
        <f t="shared" si="104"/>
        <v>#VALUE!</v>
      </c>
      <c r="V431" s="50" t="e">
        <f t="shared" si="105"/>
        <v>#VALUE!</v>
      </c>
      <c r="W431" s="50" t="e">
        <f t="shared" si="106"/>
        <v>#VALUE!</v>
      </c>
    </row>
    <row r="432" spans="2:23" x14ac:dyDescent="0.25">
      <c r="B432" s="50" t="b">
        <f t="shared" si="109"/>
        <v>0</v>
      </c>
      <c r="C432" s="50" t="e">
        <f t="shared" si="95"/>
        <v>#VALUE!</v>
      </c>
      <c r="E432" s="56">
        <v>428</v>
      </c>
      <c r="G432" s="138"/>
      <c r="H432" s="135">
        <v>1</v>
      </c>
      <c r="I432" s="57" t="str">
        <f t="shared" si="107"/>
        <v/>
      </c>
      <c r="J432" s="58" t="e">
        <f t="shared" si="96"/>
        <v>#VALUE!</v>
      </c>
      <c r="K432" s="50" t="e">
        <f t="shared" si="97"/>
        <v>#VALUE!</v>
      </c>
      <c r="L432" s="50" t="e">
        <f t="shared" si="98"/>
        <v>#VALUE!</v>
      </c>
      <c r="M432" s="50" t="e">
        <f t="shared" si="98"/>
        <v>#VALUE!</v>
      </c>
      <c r="N432" s="50" t="e">
        <f t="shared" si="99"/>
        <v>#VALUE!</v>
      </c>
      <c r="O432" s="50" t="e">
        <f t="shared" si="100"/>
        <v>#VALUE!</v>
      </c>
      <c r="P432" s="50">
        <f t="shared" si="101"/>
        <v>0</v>
      </c>
      <c r="R432" s="55" t="e">
        <f t="shared" si="102"/>
        <v>#VALUE!</v>
      </c>
      <c r="S432" s="55" t="e">
        <f t="shared" si="103"/>
        <v>#VALUE!</v>
      </c>
      <c r="T432" s="55" t="e">
        <f t="shared" si="108"/>
        <v>#VALUE!</v>
      </c>
      <c r="U432" s="50" t="e">
        <f t="shared" si="104"/>
        <v>#VALUE!</v>
      </c>
      <c r="V432" s="50" t="e">
        <f t="shared" si="105"/>
        <v>#VALUE!</v>
      </c>
      <c r="W432" s="50" t="e">
        <f t="shared" si="106"/>
        <v>#VALUE!</v>
      </c>
    </row>
    <row r="433" spans="2:23" x14ac:dyDescent="0.25">
      <c r="B433" s="50" t="b">
        <f t="shared" si="109"/>
        <v>0</v>
      </c>
      <c r="C433" s="50" t="e">
        <f t="shared" si="95"/>
        <v>#VALUE!</v>
      </c>
      <c r="E433" s="56">
        <v>429</v>
      </c>
      <c r="G433" s="138"/>
      <c r="H433" s="135">
        <v>1</v>
      </c>
      <c r="I433" s="57" t="str">
        <f t="shared" si="107"/>
        <v/>
      </c>
      <c r="J433" s="58" t="e">
        <f t="shared" si="96"/>
        <v>#VALUE!</v>
      </c>
      <c r="K433" s="50" t="e">
        <f t="shared" si="97"/>
        <v>#VALUE!</v>
      </c>
      <c r="L433" s="50" t="e">
        <f t="shared" si="98"/>
        <v>#VALUE!</v>
      </c>
      <c r="M433" s="50" t="e">
        <f t="shared" si="98"/>
        <v>#VALUE!</v>
      </c>
      <c r="N433" s="50" t="e">
        <f t="shared" si="99"/>
        <v>#VALUE!</v>
      </c>
      <c r="O433" s="50" t="e">
        <f t="shared" si="100"/>
        <v>#VALUE!</v>
      </c>
      <c r="P433" s="50">
        <f t="shared" si="101"/>
        <v>0</v>
      </c>
      <c r="R433" s="55" t="e">
        <f t="shared" si="102"/>
        <v>#VALUE!</v>
      </c>
      <c r="S433" s="55" t="e">
        <f t="shared" si="103"/>
        <v>#VALUE!</v>
      </c>
      <c r="T433" s="55" t="e">
        <f t="shared" si="108"/>
        <v>#VALUE!</v>
      </c>
      <c r="U433" s="50" t="e">
        <f t="shared" si="104"/>
        <v>#VALUE!</v>
      </c>
      <c r="V433" s="50" t="e">
        <f t="shared" si="105"/>
        <v>#VALUE!</v>
      </c>
      <c r="W433" s="50" t="e">
        <f t="shared" si="106"/>
        <v>#VALUE!</v>
      </c>
    </row>
    <row r="434" spans="2:23" x14ac:dyDescent="0.25">
      <c r="B434" s="50" t="b">
        <f t="shared" si="109"/>
        <v>0</v>
      </c>
      <c r="C434" s="50" t="e">
        <f t="shared" si="95"/>
        <v>#VALUE!</v>
      </c>
      <c r="E434" s="56">
        <v>430</v>
      </c>
      <c r="G434" s="138"/>
      <c r="H434" s="135">
        <v>1</v>
      </c>
      <c r="I434" s="57" t="str">
        <f t="shared" si="107"/>
        <v/>
      </c>
      <c r="J434" s="58" t="e">
        <f t="shared" si="96"/>
        <v>#VALUE!</v>
      </c>
      <c r="K434" s="50" t="e">
        <f t="shared" si="97"/>
        <v>#VALUE!</v>
      </c>
      <c r="L434" s="50" t="e">
        <f t="shared" si="98"/>
        <v>#VALUE!</v>
      </c>
      <c r="M434" s="50" t="e">
        <f t="shared" si="98"/>
        <v>#VALUE!</v>
      </c>
      <c r="N434" s="50" t="e">
        <f t="shared" si="99"/>
        <v>#VALUE!</v>
      </c>
      <c r="O434" s="50" t="e">
        <f t="shared" si="100"/>
        <v>#VALUE!</v>
      </c>
      <c r="P434" s="50">
        <f t="shared" si="101"/>
        <v>0</v>
      </c>
      <c r="R434" s="55" t="e">
        <f t="shared" si="102"/>
        <v>#VALUE!</v>
      </c>
      <c r="S434" s="55" t="e">
        <f t="shared" si="103"/>
        <v>#VALUE!</v>
      </c>
      <c r="T434" s="55" t="e">
        <f t="shared" si="108"/>
        <v>#VALUE!</v>
      </c>
      <c r="U434" s="50" t="e">
        <f t="shared" si="104"/>
        <v>#VALUE!</v>
      </c>
      <c r="V434" s="50" t="e">
        <f t="shared" si="105"/>
        <v>#VALUE!</v>
      </c>
      <c r="W434" s="50" t="e">
        <f t="shared" si="106"/>
        <v>#VALUE!</v>
      </c>
    </row>
    <row r="435" spans="2:23" x14ac:dyDescent="0.25">
      <c r="B435" s="50" t="b">
        <f t="shared" si="109"/>
        <v>0</v>
      </c>
      <c r="C435" s="50" t="e">
        <f t="shared" si="95"/>
        <v>#VALUE!</v>
      </c>
      <c r="E435" s="56">
        <v>431</v>
      </c>
      <c r="G435" s="138"/>
      <c r="H435" s="135">
        <v>1</v>
      </c>
      <c r="I435" s="57" t="str">
        <f t="shared" si="107"/>
        <v/>
      </c>
      <c r="J435" s="58" t="e">
        <f t="shared" si="96"/>
        <v>#VALUE!</v>
      </c>
      <c r="K435" s="50" t="e">
        <f t="shared" si="97"/>
        <v>#VALUE!</v>
      </c>
      <c r="L435" s="50" t="e">
        <f t="shared" si="98"/>
        <v>#VALUE!</v>
      </c>
      <c r="M435" s="50" t="e">
        <f t="shared" si="98"/>
        <v>#VALUE!</v>
      </c>
      <c r="N435" s="50" t="e">
        <f t="shared" si="99"/>
        <v>#VALUE!</v>
      </c>
      <c r="O435" s="50" t="e">
        <f t="shared" si="100"/>
        <v>#VALUE!</v>
      </c>
      <c r="P435" s="50">
        <f t="shared" si="101"/>
        <v>0</v>
      </c>
      <c r="R435" s="55" t="e">
        <f t="shared" si="102"/>
        <v>#VALUE!</v>
      </c>
      <c r="S435" s="55" t="e">
        <f t="shared" si="103"/>
        <v>#VALUE!</v>
      </c>
      <c r="T435" s="55" t="e">
        <f t="shared" si="108"/>
        <v>#VALUE!</v>
      </c>
      <c r="U435" s="50" t="e">
        <f t="shared" si="104"/>
        <v>#VALUE!</v>
      </c>
      <c r="V435" s="50" t="e">
        <f t="shared" si="105"/>
        <v>#VALUE!</v>
      </c>
      <c r="W435" s="50" t="e">
        <f t="shared" si="106"/>
        <v>#VALUE!</v>
      </c>
    </row>
    <row r="436" spans="2:23" x14ac:dyDescent="0.25">
      <c r="B436" s="50" t="b">
        <f t="shared" si="109"/>
        <v>0</v>
      </c>
      <c r="C436" s="50" t="e">
        <f t="shared" si="95"/>
        <v>#VALUE!</v>
      </c>
      <c r="E436" s="56">
        <v>432</v>
      </c>
      <c r="G436" s="138"/>
      <c r="H436" s="135">
        <v>1</v>
      </c>
      <c r="I436" s="57" t="str">
        <f t="shared" si="107"/>
        <v/>
      </c>
      <c r="J436" s="58" t="e">
        <f t="shared" si="96"/>
        <v>#VALUE!</v>
      </c>
      <c r="K436" s="50" t="e">
        <f t="shared" si="97"/>
        <v>#VALUE!</v>
      </c>
      <c r="L436" s="50" t="e">
        <f t="shared" si="98"/>
        <v>#VALUE!</v>
      </c>
      <c r="M436" s="50" t="e">
        <f t="shared" si="98"/>
        <v>#VALUE!</v>
      </c>
      <c r="N436" s="50" t="e">
        <f t="shared" si="99"/>
        <v>#VALUE!</v>
      </c>
      <c r="O436" s="50" t="e">
        <f t="shared" si="100"/>
        <v>#VALUE!</v>
      </c>
      <c r="P436" s="50">
        <f t="shared" si="101"/>
        <v>0</v>
      </c>
      <c r="R436" s="55" t="e">
        <f t="shared" si="102"/>
        <v>#VALUE!</v>
      </c>
      <c r="S436" s="55" t="e">
        <f t="shared" si="103"/>
        <v>#VALUE!</v>
      </c>
      <c r="T436" s="55" t="e">
        <f t="shared" si="108"/>
        <v>#VALUE!</v>
      </c>
      <c r="U436" s="50" t="e">
        <f t="shared" si="104"/>
        <v>#VALUE!</v>
      </c>
      <c r="V436" s="50" t="e">
        <f t="shared" si="105"/>
        <v>#VALUE!</v>
      </c>
      <c r="W436" s="50" t="e">
        <f t="shared" si="106"/>
        <v>#VALUE!</v>
      </c>
    </row>
    <row r="437" spans="2:23" x14ac:dyDescent="0.25">
      <c r="B437" s="50" t="b">
        <f t="shared" si="109"/>
        <v>0</v>
      </c>
      <c r="C437" s="50" t="e">
        <f t="shared" si="95"/>
        <v>#VALUE!</v>
      </c>
      <c r="E437" s="56">
        <v>433</v>
      </c>
      <c r="G437" s="138"/>
      <c r="H437" s="135">
        <v>1</v>
      </c>
      <c r="I437" s="57" t="str">
        <f t="shared" si="107"/>
        <v/>
      </c>
      <c r="J437" s="58" t="e">
        <f t="shared" si="96"/>
        <v>#VALUE!</v>
      </c>
      <c r="K437" s="50" t="e">
        <f t="shared" si="97"/>
        <v>#VALUE!</v>
      </c>
      <c r="L437" s="50" t="e">
        <f t="shared" si="98"/>
        <v>#VALUE!</v>
      </c>
      <c r="M437" s="50" t="e">
        <f t="shared" si="98"/>
        <v>#VALUE!</v>
      </c>
      <c r="N437" s="50" t="e">
        <f t="shared" si="99"/>
        <v>#VALUE!</v>
      </c>
      <c r="O437" s="50" t="e">
        <f t="shared" si="100"/>
        <v>#VALUE!</v>
      </c>
      <c r="P437" s="50">
        <f t="shared" si="101"/>
        <v>0</v>
      </c>
      <c r="R437" s="55" t="e">
        <f t="shared" si="102"/>
        <v>#VALUE!</v>
      </c>
      <c r="S437" s="55" t="e">
        <f t="shared" si="103"/>
        <v>#VALUE!</v>
      </c>
      <c r="T437" s="55" t="e">
        <f t="shared" si="108"/>
        <v>#VALUE!</v>
      </c>
      <c r="U437" s="50" t="e">
        <f t="shared" si="104"/>
        <v>#VALUE!</v>
      </c>
      <c r="V437" s="50" t="e">
        <f t="shared" si="105"/>
        <v>#VALUE!</v>
      </c>
      <c r="W437" s="50" t="e">
        <f t="shared" si="106"/>
        <v>#VALUE!</v>
      </c>
    </row>
    <row r="438" spans="2:23" x14ac:dyDescent="0.25">
      <c r="B438" s="50" t="b">
        <f t="shared" si="109"/>
        <v>0</v>
      </c>
      <c r="C438" s="50" t="e">
        <f t="shared" ref="C438:C501" si="110">SUM(U438:W438)</f>
        <v>#VALUE!</v>
      </c>
      <c r="E438" s="56">
        <v>434</v>
      </c>
      <c r="G438" s="138"/>
      <c r="H438" s="135">
        <v>1</v>
      </c>
      <c r="I438" s="57" t="str">
        <f t="shared" si="107"/>
        <v/>
      </c>
      <c r="J438" s="58" t="e">
        <f t="shared" si="96"/>
        <v>#VALUE!</v>
      </c>
      <c r="K438" s="50" t="e">
        <f t="shared" si="97"/>
        <v>#VALUE!</v>
      </c>
      <c r="L438" s="50" t="e">
        <f t="shared" si="98"/>
        <v>#VALUE!</v>
      </c>
      <c r="M438" s="50" t="e">
        <f t="shared" si="98"/>
        <v>#VALUE!</v>
      </c>
      <c r="N438" s="50" t="e">
        <f t="shared" si="99"/>
        <v>#VALUE!</v>
      </c>
      <c r="O438" s="50" t="e">
        <f t="shared" si="100"/>
        <v>#VALUE!</v>
      </c>
      <c r="P438" s="50">
        <f t="shared" si="101"/>
        <v>0</v>
      </c>
      <c r="R438" s="55" t="e">
        <f t="shared" si="102"/>
        <v>#VALUE!</v>
      </c>
      <c r="S438" s="55" t="e">
        <f t="shared" si="103"/>
        <v>#VALUE!</v>
      </c>
      <c r="T438" s="55" t="e">
        <f t="shared" si="108"/>
        <v>#VALUE!</v>
      </c>
      <c r="U438" s="50" t="e">
        <f t="shared" si="104"/>
        <v>#VALUE!</v>
      </c>
      <c r="V438" s="50" t="e">
        <f t="shared" si="105"/>
        <v>#VALUE!</v>
      </c>
      <c r="W438" s="50" t="e">
        <f t="shared" si="106"/>
        <v>#VALUE!</v>
      </c>
    </row>
    <row r="439" spans="2:23" x14ac:dyDescent="0.25">
      <c r="B439" s="50" t="b">
        <f t="shared" si="109"/>
        <v>0</v>
      </c>
      <c r="C439" s="50" t="e">
        <f t="shared" si="110"/>
        <v>#VALUE!</v>
      </c>
      <c r="E439" s="56">
        <v>435</v>
      </c>
      <c r="G439" s="138"/>
      <c r="H439" s="135">
        <v>1</v>
      </c>
      <c r="I439" s="57" t="str">
        <f t="shared" si="107"/>
        <v/>
      </c>
      <c r="J439" s="58" t="e">
        <f t="shared" si="96"/>
        <v>#VALUE!</v>
      </c>
      <c r="K439" s="50" t="e">
        <f t="shared" si="97"/>
        <v>#VALUE!</v>
      </c>
      <c r="L439" s="50" t="e">
        <f t="shared" si="98"/>
        <v>#VALUE!</v>
      </c>
      <c r="M439" s="50" t="e">
        <f t="shared" si="98"/>
        <v>#VALUE!</v>
      </c>
      <c r="N439" s="50" t="e">
        <f t="shared" si="99"/>
        <v>#VALUE!</v>
      </c>
      <c r="O439" s="50" t="e">
        <f t="shared" si="100"/>
        <v>#VALUE!</v>
      </c>
      <c r="P439" s="50">
        <f t="shared" si="101"/>
        <v>0</v>
      </c>
      <c r="R439" s="55" t="e">
        <f t="shared" si="102"/>
        <v>#VALUE!</v>
      </c>
      <c r="S439" s="55" t="e">
        <f t="shared" si="103"/>
        <v>#VALUE!</v>
      </c>
      <c r="T439" s="55" t="e">
        <f t="shared" si="108"/>
        <v>#VALUE!</v>
      </c>
      <c r="U439" s="50" t="e">
        <f t="shared" si="104"/>
        <v>#VALUE!</v>
      </c>
      <c r="V439" s="50" t="e">
        <f t="shared" si="105"/>
        <v>#VALUE!</v>
      </c>
      <c r="W439" s="50" t="e">
        <f t="shared" si="106"/>
        <v>#VALUE!</v>
      </c>
    </row>
    <row r="440" spans="2:23" x14ac:dyDescent="0.25">
      <c r="B440" s="50" t="b">
        <f t="shared" si="109"/>
        <v>0</v>
      </c>
      <c r="C440" s="50" t="e">
        <f t="shared" si="110"/>
        <v>#VALUE!</v>
      </c>
      <c r="E440" s="56">
        <v>436</v>
      </c>
      <c r="G440" s="138"/>
      <c r="H440" s="135">
        <v>1</v>
      </c>
      <c r="I440" s="57" t="str">
        <f t="shared" si="107"/>
        <v/>
      </c>
      <c r="J440" s="58" t="e">
        <f t="shared" si="96"/>
        <v>#VALUE!</v>
      </c>
      <c r="K440" s="50" t="e">
        <f t="shared" si="97"/>
        <v>#VALUE!</v>
      </c>
      <c r="L440" s="50" t="e">
        <f t="shared" si="98"/>
        <v>#VALUE!</v>
      </c>
      <c r="M440" s="50" t="e">
        <f t="shared" si="98"/>
        <v>#VALUE!</v>
      </c>
      <c r="N440" s="50" t="e">
        <f t="shared" si="99"/>
        <v>#VALUE!</v>
      </c>
      <c r="O440" s="50" t="e">
        <f t="shared" si="100"/>
        <v>#VALUE!</v>
      </c>
      <c r="P440" s="50">
        <f t="shared" si="101"/>
        <v>0</v>
      </c>
      <c r="R440" s="55" t="e">
        <f t="shared" si="102"/>
        <v>#VALUE!</v>
      </c>
      <c r="S440" s="55" t="e">
        <f t="shared" si="103"/>
        <v>#VALUE!</v>
      </c>
      <c r="T440" s="55" t="e">
        <f t="shared" si="108"/>
        <v>#VALUE!</v>
      </c>
      <c r="U440" s="50" t="e">
        <f t="shared" si="104"/>
        <v>#VALUE!</v>
      </c>
      <c r="V440" s="50" t="e">
        <f t="shared" si="105"/>
        <v>#VALUE!</v>
      </c>
      <c r="W440" s="50" t="e">
        <f t="shared" si="106"/>
        <v>#VALUE!</v>
      </c>
    </row>
    <row r="441" spans="2:23" x14ac:dyDescent="0.25">
      <c r="B441" s="50" t="b">
        <f t="shared" si="109"/>
        <v>0</v>
      </c>
      <c r="C441" s="50" t="e">
        <f t="shared" si="110"/>
        <v>#VALUE!</v>
      </c>
      <c r="E441" s="56">
        <v>437</v>
      </c>
      <c r="G441" s="138"/>
      <c r="H441" s="135">
        <v>1</v>
      </c>
      <c r="I441" s="57" t="str">
        <f t="shared" si="107"/>
        <v/>
      </c>
      <c r="J441" s="58" t="e">
        <f t="shared" si="96"/>
        <v>#VALUE!</v>
      </c>
      <c r="K441" s="50" t="e">
        <f t="shared" si="97"/>
        <v>#VALUE!</v>
      </c>
      <c r="L441" s="50" t="e">
        <f t="shared" si="98"/>
        <v>#VALUE!</v>
      </c>
      <c r="M441" s="50" t="e">
        <f t="shared" si="98"/>
        <v>#VALUE!</v>
      </c>
      <c r="N441" s="50" t="e">
        <f t="shared" si="99"/>
        <v>#VALUE!</v>
      </c>
      <c r="O441" s="50" t="e">
        <f t="shared" si="100"/>
        <v>#VALUE!</v>
      </c>
      <c r="P441" s="50">
        <f t="shared" si="101"/>
        <v>0</v>
      </c>
      <c r="R441" s="55" t="e">
        <f t="shared" si="102"/>
        <v>#VALUE!</v>
      </c>
      <c r="S441" s="55" t="e">
        <f t="shared" si="103"/>
        <v>#VALUE!</v>
      </c>
      <c r="T441" s="55" t="e">
        <f t="shared" si="108"/>
        <v>#VALUE!</v>
      </c>
      <c r="U441" s="50" t="e">
        <f t="shared" si="104"/>
        <v>#VALUE!</v>
      </c>
      <c r="V441" s="50" t="e">
        <f t="shared" si="105"/>
        <v>#VALUE!</v>
      </c>
      <c r="W441" s="50" t="e">
        <f t="shared" si="106"/>
        <v>#VALUE!</v>
      </c>
    </row>
    <row r="442" spans="2:23" x14ac:dyDescent="0.25">
      <c r="B442" s="50" t="b">
        <f t="shared" si="109"/>
        <v>0</v>
      </c>
      <c r="C442" s="50" t="e">
        <f t="shared" si="110"/>
        <v>#VALUE!</v>
      </c>
      <c r="E442" s="56">
        <v>438</v>
      </c>
      <c r="G442" s="138"/>
      <c r="H442" s="135">
        <v>1</v>
      </c>
      <c r="I442" s="57" t="str">
        <f t="shared" si="107"/>
        <v/>
      </c>
      <c r="J442" s="58" t="e">
        <f t="shared" si="96"/>
        <v>#VALUE!</v>
      </c>
      <c r="K442" s="50" t="e">
        <f t="shared" si="97"/>
        <v>#VALUE!</v>
      </c>
      <c r="L442" s="50" t="e">
        <f t="shared" si="98"/>
        <v>#VALUE!</v>
      </c>
      <c r="M442" s="50" t="e">
        <f t="shared" si="98"/>
        <v>#VALUE!</v>
      </c>
      <c r="N442" s="50" t="e">
        <f t="shared" si="99"/>
        <v>#VALUE!</v>
      </c>
      <c r="O442" s="50" t="e">
        <f t="shared" si="100"/>
        <v>#VALUE!</v>
      </c>
      <c r="P442" s="50">
        <f t="shared" si="101"/>
        <v>0</v>
      </c>
      <c r="R442" s="55" t="e">
        <f t="shared" si="102"/>
        <v>#VALUE!</v>
      </c>
      <c r="S442" s="55" t="e">
        <f t="shared" si="103"/>
        <v>#VALUE!</v>
      </c>
      <c r="T442" s="55" t="e">
        <f t="shared" si="108"/>
        <v>#VALUE!</v>
      </c>
      <c r="U442" s="50" t="e">
        <f t="shared" si="104"/>
        <v>#VALUE!</v>
      </c>
      <c r="V442" s="50" t="e">
        <f t="shared" si="105"/>
        <v>#VALUE!</v>
      </c>
      <c r="W442" s="50" t="e">
        <f t="shared" si="106"/>
        <v>#VALUE!</v>
      </c>
    </row>
    <row r="443" spans="2:23" x14ac:dyDescent="0.25">
      <c r="B443" s="50" t="b">
        <f t="shared" si="109"/>
        <v>0</v>
      </c>
      <c r="C443" s="50" t="e">
        <f t="shared" si="110"/>
        <v>#VALUE!</v>
      </c>
      <c r="E443" s="56">
        <v>439</v>
      </c>
      <c r="G443" s="138"/>
      <c r="H443" s="135">
        <v>1</v>
      </c>
      <c r="I443" s="57" t="str">
        <f t="shared" si="107"/>
        <v/>
      </c>
      <c r="J443" s="58" t="e">
        <f t="shared" si="96"/>
        <v>#VALUE!</v>
      </c>
      <c r="K443" s="50" t="e">
        <f t="shared" si="97"/>
        <v>#VALUE!</v>
      </c>
      <c r="L443" s="50" t="e">
        <f t="shared" si="98"/>
        <v>#VALUE!</v>
      </c>
      <c r="M443" s="50" t="e">
        <f t="shared" si="98"/>
        <v>#VALUE!</v>
      </c>
      <c r="N443" s="50" t="e">
        <f t="shared" si="99"/>
        <v>#VALUE!</v>
      </c>
      <c r="O443" s="50" t="e">
        <f t="shared" si="100"/>
        <v>#VALUE!</v>
      </c>
      <c r="P443" s="50">
        <f t="shared" si="101"/>
        <v>0</v>
      </c>
      <c r="R443" s="55" t="e">
        <f t="shared" si="102"/>
        <v>#VALUE!</v>
      </c>
      <c r="S443" s="55" t="e">
        <f t="shared" si="103"/>
        <v>#VALUE!</v>
      </c>
      <c r="T443" s="55" t="e">
        <f t="shared" si="108"/>
        <v>#VALUE!</v>
      </c>
      <c r="U443" s="50" t="e">
        <f t="shared" si="104"/>
        <v>#VALUE!</v>
      </c>
      <c r="V443" s="50" t="e">
        <f t="shared" si="105"/>
        <v>#VALUE!</v>
      </c>
      <c r="W443" s="50" t="e">
        <f t="shared" si="106"/>
        <v>#VALUE!</v>
      </c>
    </row>
    <row r="444" spans="2:23" x14ac:dyDescent="0.25">
      <c r="B444" s="50" t="b">
        <f t="shared" si="109"/>
        <v>0</v>
      </c>
      <c r="C444" s="50" t="e">
        <f t="shared" si="110"/>
        <v>#VALUE!</v>
      </c>
      <c r="E444" s="56">
        <v>440</v>
      </c>
      <c r="G444" s="138"/>
      <c r="H444" s="135">
        <v>1</v>
      </c>
      <c r="I444" s="57" t="str">
        <f t="shared" si="107"/>
        <v/>
      </c>
      <c r="J444" s="58" t="e">
        <f t="shared" si="96"/>
        <v>#VALUE!</v>
      </c>
      <c r="K444" s="50" t="e">
        <f t="shared" si="97"/>
        <v>#VALUE!</v>
      </c>
      <c r="L444" s="50" t="e">
        <f t="shared" si="98"/>
        <v>#VALUE!</v>
      </c>
      <c r="M444" s="50" t="e">
        <f t="shared" si="98"/>
        <v>#VALUE!</v>
      </c>
      <c r="N444" s="50" t="e">
        <f t="shared" si="99"/>
        <v>#VALUE!</v>
      </c>
      <c r="O444" s="50" t="e">
        <f t="shared" si="100"/>
        <v>#VALUE!</v>
      </c>
      <c r="P444" s="50">
        <f t="shared" si="101"/>
        <v>0</v>
      </c>
      <c r="R444" s="55" t="e">
        <f t="shared" si="102"/>
        <v>#VALUE!</v>
      </c>
      <c r="S444" s="55" t="e">
        <f t="shared" si="103"/>
        <v>#VALUE!</v>
      </c>
      <c r="T444" s="55" t="e">
        <f t="shared" si="108"/>
        <v>#VALUE!</v>
      </c>
      <c r="U444" s="50" t="e">
        <f t="shared" si="104"/>
        <v>#VALUE!</v>
      </c>
      <c r="V444" s="50" t="e">
        <f t="shared" si="105"/>
        <v>#VALUE!</v>
      </c>
      <c r="W444" s="50" t="e">
        <f t="shared" si="106"/>
        <v>#VALUE!</v>
      </c>
    </row>
    <row r="445" spans="2:23" x14ac:dyDescent="0.25">
      <c r="B445" s="50" t="b">
        <f t="shared" si="109"/>
        <v>0</v>
      </c>
      <c r="C445" s="50" t="e">
        <f t="shared" si="110"/>
        <v>#VALUE!</v>
      </c>
      <c r="E445" s="56">
        <v>441</v>
      </c>
      <c r="G445" s="138"/>
      <c r="H445" s="135">
        <v>1</v>
      </c>
      <c r="I445" s="57" t="str">
        <f t="shared" si="107"/>
        <v/>
      </c>
      <c r="J445" s="58" t="e">
        <f t="shared" si="96"/>
        <v>#VALUE!</v>
      </c>
      <c r="K445" s="50" t="e">
        <f t="shared" si="97"/>
        <v>#VALUE!</v>
      </c>
      <c r="L445" s="50" t="e">
        <f t="shared" si="98"/>
        <v>#VALUE!</v>
      </c>
      <c r="M445" s="50" t="e">
        <f t="shared" si="98"/>
        <v>#VALUE!</v>
      </c>
      <c r="N445" s="50" t="e">
        <f t="shared" si="99"/>
        <v>#VALUE!</v>
      </c>
      <c r="O445" s="50" t="e">
        <f t="shared" si="100"/>
        <v>#VALUE!</v>
      </c>
      <c r="P445" s="50">
        <f t="shared" si="101"/>
        <v>0</v>
      </c>
      <c r="R445" s="55" t="e">
        <f t="shared" si="102"/>
        <v>#VALUE!</v>
      </c>
      <c r="S445" s="55" t="e">
        <f t="shared" si="103"/>
        <v>#VALUE!</v>
      </c>
      <c r="T445" s="55" t="e">
        <f t="shared" si="108"/>
        <v>#VALUE!</v>
      </c>
      <c r="U445" s="50" t="e">
        <f t="shared" si="104"/>
        <v>#VALUE!</v>
      </c>
      <c r="V445" s="50" t="e">
        <f t="shared" si="105"/>
        <v>#VALUE!</v>
      </c>
      <c r="W445" s="50" t="e">
        <f t="shared" si="106"/>
        <v>#VALUE!</v>
      </c>
    </row>
    <row r="446" spans="2:23" x14ac:dyDescent="0.25">
      <c r="B446" s="50" t="b">
        <f t="shared" si="109"/>
        <v>0</v>
      </c>
      <c r="C446" s="50" t="e">
        <f t="shared" si="110"/>
        <v>#VALUE!</v>
      </c>
      <c r="E446" s="56">
        <v>442</v>
      </c>
      <c r="G446" s="138"/>
      <c r="H446" s="135">
        <v>1</v>
      </c>
      <c r="I446" s="57" t="str">
        <f t="shared" si="107"/>
        <v/>
      </c>
      <c r="J446" s="58" t="e">
        <f t="shared" si="96"/>
        <v>#VALUE!</v>
      </c>
      <c r="K446" s="50" t="e">
        <f t="shared" si="97"/>
        <v>#VALUE!</v>
      </c>
      <c r="L446" s="50" t="e">
        <f t="shared" si="98"/>
        <v>#VALUE!</v>
      </c>
      <c r="M446" s="50" t="e">
        <f t="shared" si="98"/>
        <v>#VALUE!</v>
      </c>
      <c r="N446" s="50" t="e">
        <f t="shared" si="99"/>
        <v>#VALUE!</v>
      </c>
      <c r="O446" s="50" t="e">
        <f t="shared" si="100"/>
        <v>#VALUE!</v>
      </c>
      <c r="P446" s="50">
        <f t="shared" si="101"/>
        <v>0</v>
      </c>
      <c r="R446" s="55" t="e">
        <f t="shared" si="102"/>
        <v>#VALUE!</v>
      </c>
      <c r="S446" s="55" t="e">
        <f t="shared" si="103"/>
        <v>#VALUE!</v>
      </c>
      <c r="T446" s="55" t="e">
        <f t="shared" si="108"/>
        <v>#VALUE!</v>
      </c>
      <c r="U446" s="50" t="e">
        <f t="shared" si="104"/>
        <v>#VALUE!</v>
      </c>
      <c r="V446" s="50" t="e">
        <f t="shared" si="105"/>
        <v>#VALUE!</v>
      </c>
      <c r="W446" s="50" t="e">
        <f t="shared" si="106"/>
        <v>#VALUE!</v>
      </c>
    </row>
    <row r="447" spans="2:23" x14ac:dyDescent="0.25">
      <c r="B447" s="50" t="b">
        <f t="shared" si="109"/>
        <v>0</v>
      </c>
      <c r="C447" s="50" t="e">
        <f t="shared" si="110"/>
        <v>#VALUE!</v>
      </c>
      <c r="E447" s="56">
        <v>443</v>
      </c>
      <c r="G447" s="138"/>
      <c r="H447" s="135">
        <v>1</v>
      </c>
      <c r="I447" s="57" t="str">
        <f t="shared" si="107"/>
        <v/>
      </c>
      <c r="J447" s="58" t="e">
        <f t="shared" si="96"/>
        <v>#VALUE!</v>
      </c>
      <c r="K447" s="50" t="e">
        <f t="shared" si="97"/>
        <v>#VALUE!</v>
      </c>
      <c r="L447" s="50" t="e">
        <f t="shared" si="98"/>
        <v>#VALUE!</v>
      </c>
      <c r="M447" s="50" t="e">
        <f t="shared" si="98"/>
        <v>#VALUE!</v>
      </c>
      <c r="N447" s="50" t="e">
        <f t="shared" si="99"/>
        <v>#VALUE!</v>
      </c>
      <c r="O447" s="50" t="e">
        <f t="shared" si="100"/>
        <v>#VALUE!</v>
      </c>
      <c r="P447" s="50">
        <f t="shared" si="101"/>
        <v>0</v>
      </c>
      <c r="R447" s="55" t="e">
        <f t="shared" si="102"/>
        <v>#VALUE!</v>
      </c>
      <c r="S447" s="55" t="e">
        <f t="shared" si="103"/>
        <v>#VALUE!</v>
      </c>
      <c r="T447" s="55" t="e">
        <f t="shared" si="108"/>
        <v>#VALUE!</v>
      </c>
      <c r="U447" s="50" t="e">
        <f t="shared" si="104"/>
        <v>#VALUE!</v>
      </c>
      <c r="V447" s="50" t="e">
        <f t="shared" si="105"/>
        <v>#VALUE!</v>
      </c>
      <c r="W447" s="50" t="e">
        <f t="shared" si="106"/>
        <v>#VALUE!</v>
      </c>
    </row>
    <row r="448" spans="2:23" x14ac:dyDescent="0.25">
      <c r="B448" s="50" t="b">
        <f t="shared" si="109"/>
        <v>0</v>
      </c>
      <c r="C448" s="50" t="e">
        <f t="shared" si="110"/>
        <v>#VALUE!</v>
      </c>
      <c r="E448" s="56">
        <v>444</v>
      </c>
      <c r="G448" s="138"/>
      <c r="H448" s="135">
        <v>1</v>
      </c>
      <c r="I448" s="57" t="str">
        <f t="shared" si="107"/>
        <v/>
      </c>
      <c r="J448" s="58" t="e">
        <f t="shared" si="96"/>
        <v>#VALUE!</v>
      </c>
      <c r="K448" s="50" t="e">
        <f t="shared" si="97"/>
        <v>#VALUE!</v>
      </c>
      <c r="L448" s="50" t="e">
        <f t="shared" si="98"/>
        <v>#VALUE!</v>
      </c>
      <c r="M448" s="50" t="e">
        <f t="shared" si="98"/>
        <v>#VALUE!</v>
      </c>
      <c r="N448" s="50" t="e">
        <f t="shared" si="99"/>
        <v>#VALUE!</v>
      </c>
      <c r="O448" s="50" t="e">
        <f t="shared" si="100"/>
        <v>#VALUE!</v>
      </c>
      <c r="P448" s="50">
        <f t="shared" si="101"/>
        <v>0</v>
      </c>
      <c r="R448" s="55" t="e">
        <f t="shared" si="102"/>
        <v>#VALUE!</v>
      </c>
      <c r="S448" s="55" t="e">
        <f t="shared" si="103"/>
        <v>#VALUE!</v>
      </c>
      <c r="T448" s="55" t="e">
        <f t="shared" si="108"/>
        <v>#VALUE!</v>
      </c>
      <c r="U448" s="50" t="e">
        <f t="shared" si="104"/>
        <v>#VALUE!</v>
      </c>
      <c r="V448" s="50" t="e">
        <f t="shared" si="105"/>
        <v>#VALUE!</v>
      </c>
      <c r="W448" s="50" t="e">
        <f t="shared" si="106"/>
        <v>#VALUE!</v>
      </c>
    </row>
    <row r="449" spans="2:23" x14ac:dyDescent="0.25">
      <c r="B449" s="50" t="b">
        <f t="shared" si="109"/>
        <v>0</v>
      </c>
      <c r="C449" s="50" t="e">
        <f t="shared" si="110"/>
        <v>#VALUE!</v>
      </c>
      <c r="E449" s="56">
        <v>445</v>
      </c>
      <c r="G449" s="138"/>
      <c r="H449" s="135">
        <v>1</v>
      </c>
      <c r="I449" s="57" t="str">
        <f t="shared" si="107"/>
        <v/>
      </c>
      <c r="J449" s="58" t="e">
        <f t="shared" si="96"/>
        <v>#VALUE!</v>
      </c>
      <c r="K449" s="50" t="e">
        <f t="shared" si="97"/>
        <v>#VALUE!</v>
      </c>
      <c r="L449" s="50" t="e">
        <f t="shared" si="98"/>
        <v>#VALUE!</v>
      </c>
      <c r="M449" s="50" t="e">
        <f t="shared" si="98"/>
        <v>#VALUE!</v>
      </c>
      <c r="N449" s="50" t="e">
        <f t="shared" si="99"/>
        <v>#VALUE!</v>
      </c>
      <c r="O449" s="50" t="e">
        <f t="shared" si="100"/>
        <v>#VALUE!</v>
      </c>
      <c r="P449" s="50">
        <f t="shared" si="101"/>
        <v>0</v>
      </c>
      <c r="R449" s="55" t="e">
        <f t="shared" si="102"/>
        <v>#VALUE!</v>
      </c>
      <c r="S449" s="55" t="e">
        <f t="shared" si="103"/>
        <v>#VALUE!</v>
      </c>
      <c r="T449" s="55" t="e">
        <f t="shared" si="108"/>
        <v>#VALUE!</v>
      </c>
      <c r="U449" s="50" t="e">
        <f t="shared" si="104"/>
        <v>#VALUE!</v>
      </c>
      <c r="V449" s="50" t="e">
        <f t="shared" si="105"/>
        <v>#VALUE!</v>
      </c>
      <c r="W449" s="50" t="e">
        <f t="shared" si="106"/>
        <v>#VALUE!</v>
      </c>
    </row>
    <row r="450" spans="2:23" x14ac:dyDescent="0.25">
      <c r="B450" s="50" t="b">
        <f t="shared" si="109"/>
        <v>0</v>
      </c>
      <c r="C450" s="50" t="e">
        <f t="shared" si="110"/>
        <v>#VALUE!</v>
      </c>
      <c r="E450" s="56">
        <v>446</v>
      </c>
      <c r="G450" s="138"/>
      <c r="H450" s="135">
        <v>1</v>
      </c>
      <c r="I450" s="57" t="str">
        <f t="shared" si="107"/>
        <v/>
      </c>
      <c r="J450" s="58" t="e">
        <f t="shared" si="96"/>
        <v>#VALUE!</v>
      </c>
      <c r="K450" s="50" t="e">
        <f t="shared" si="97"/>
        <v>#VALUE!</v>
      </c>
      <c r="L450" s="50" t="e">
        <f t="shared" si="98"/>
        <v>#VALUE!</v>
      </c>
      <c r="M450" s="50" t="e">
        <f t="shared" si="98"/>
        <v>#VALUE!</v>
      </c>
      <c r="N450" s="50" t="e">
        <f t="shared" si="99"/>
        <v>#VALUE!</v>
      </c>
      <c r="O450" s="50" t="e">
        <f t="shared" si="100"/>
        <v>#VALUE!</v>
      </c>
      <c r="P450" s="50">
        <f t="shared" si="101"/>
        <v>0</v>
      </c>
      <c r="R450" s="55" t="e">
        <f t="shared" si="102"/>
        <v>#VALUE!</v>
      </c>
      <c r="S450" s="55" t="e">
        <f t="shared" si="103"/>
        <v>#VALUE!</v>
      </c>
      <c r="T450" s="55" t="e">
        <f t="shared" si="108"/>
        <v>#VALUE!</v>
      </c>
      <c r="U450" s="50" t="e">
        <f t="shared" si="104"/>
        <v>#VALUE!</v>
      </c>
      <c r="V450" s="50" t="e">
        <f t="shared" si="105"/>
        <v>#VALUE!</v>
      </c>
      <c r="W450" s="50" t="e">
        <f t="shared" si="106"/>
        <v>#VALUE!</v>
      </c>
    </row>
    <row r="451" spans="2:23" x14ac:dyDescent="0.25">
      <c r="B451" s="50" t="b">
        <f t="shared" si="109"/>
        <v>0</v>
      </c>
      <c r="C451" s="50" t="e">
        <f t="shared" si="110"/>
        <v>#VALUE!</v>
      </c>
      <c r="E451" s="56">
        <v>447</v>
      </c>
      <c r="G451" s="138"/>
      <c r="H451" s="135">
        <v>1</v>
      </c>
      <c r="I451" s="57" t="str">
        <f t="shared" si="107"/>
        <v/>
      </c>
      <c r="J451" s="58" t="e">
        <f t="shared" si="96"/>
        <v>#VALUE!</v>
      </c>
      <c r="K451" s="50" t="e">
        <f t="shared" si="97"/>
        <v>#VALUE!</v>
      </c>
      <c r="L451" s="50" t="e">
        <f t="shared" si="98"/>
        <v>#VALUE!</v>
      </c>
      <c r="M451" s="50" t="e">
        <f t="shared" si="98"/>
        <v>#VALUE!</v>
      </c>
      <c r="N451" s="50" t="e">
        <f t="shared" si="99"/>
        <v>#VALUE!</v>
      </c>
      <c r="O451" s="50" t="e">
        <f t="shared" si="100"/>
        <v>#VALUE!</v>
      </c>
      <c r="P451" s="50">
        <f t="shared" si="101"/>
        <v>0</v>
      </c>
      <c r="R451" s="55" t="e">
        <f t="shared" si="102"/>
        <v>#VALUE!</v>
      </c>
      <c r="S451" s="55" t="e">
        <f t="shared" si="103"/>
        <v>#VALUE!</v>
      </c>
      <c r="T451" s="55" t="e">
        <f t="shared" si="108"/>
        <v>#VALUE!</v>
      </c>
      <c r="U451" s="50" t="e">
        <f t="shared" si="104"/>
        <v>#VALUE!</v>
      </c>
      <c r="V451" s="50" t="e">
        <f t="shared" si="105"/>
        <v>#VALUE!</v>
      </c>
      <c r="W451" s="50" t="e">
        <f t="shared" si="106"/>
        <v>#VALUE!</v>
      </c>
    </row>
    <row r="452" spans="2:23" x14ac:dyDescent="0.25">
      <c r="B452" s="50" t="b">
        <f t="shared" si="109"/>
        <v>0</v>
      </c>
      <c r="C452" s="50" t="e">
        <f t="shared" si="110"/>
        <v>#VALUE!</v>
      </c>
      <c r="E452" s="56">
        <v>448</v>
      </c>
      <c r="G452" s="138"/>
      <c r="H452" s="135">
        <v>1</v>
      </c>
      <c r="I452" s="57" t="str">
        <f t="shared" si="107"/>
        <v/>
      </c>
      <c r="J452" s="58" t="e">
        <f t="shared" si="96"/>
        <v>#VALUE!</v>
      </c>
      <c r="K452" s="50" t="e">
        <f t="shared" si="97"/>
        <v>#VALUE!</v>
      </c>
      <c r="L452" s="50" t="e">
        <f t="shared" si="98"/>
        <v>#VALUE!</v>
      </c>
      <c r="M452" s="50" t="e">
        <f t="shared" si="98"/>
        <v>#VALUE!</v>
      </c>
      <c r="N452" s="50" t="e">
        <f t="shared" si="99"/>
        <v>#VALUE!</v>
      </c>
      <c r="O452" s="50" t="e">
        <f t="shared" si="100"/>
        <v>#VALUE!</v>
      </c>
      <c r="P452" s="50">
        <f t="shared" si="101"/>
        <v>0</v>
      </c>
      <c r="R452" s="55" t="e">
        <f t="shared" si="102"/>
        <v>#VALUE!</v>
      </c>
      <c r="S452" s="55" t="e">
        <f t="shared" si="103"/>
        <v>#VALUE!</v>
      </c>
      <c r="T452" s="55" t="e">
        <f t="shared" si="108"/>
        <v>#VALUE!</v>
      </c>
      <c r="U452" s="50" t="e">
        <f t="shared" si="104"/>
        <v>#VALUE!</v>
      </c>
      <c r="V452" s="50" t="e">
        <f t="shared" si="105"/>
        <v>#VALUE!</v>
      </c>
      <c r="W452" s="50" t="e">
        <f t="shared" si="106"/>
        <v>#VALUE!</v>
      </c>
    </row>
    <row r="453" spans="2:23" x14ac:dyDescent="0.25">
      <c r="B453" s="50" t="b">
        <f t="shared" si="109"/>
        <v>0</v>
      </c>
      <c r="C453" s="50" t="e">
        <f t="shared" si="110"/>
        <v>#VALUE!</v>
      </c>
      <c r="E453" s="56">
        <v>449</v>
      </c>
      <c r="G453" s="138"/>
      <c r="H453" s="135">
        <v>1</v>
      </c>
      <c r="I453" s="57" t="str">
        <f t="shared" si="107"/>
        <v/>
      </c>
      <c r="J453" s="58" t="e">
        <f t="shared" ref="J453:J516" si="111">RIGHT(I453,K453)</f>
        <v>#VALUE!</v>
      </c>
      <c r="K453" s="50" t="e">
        <f t="shared" ref="K453:K516" si="112">P453-N453</f>
        <v>#VALUE!</v>
      </c>
      <c r="L453" s="50" t="e">
        <f t="shared" ref="L453:M516" si="113">O453-N453</f>
        <v>#VALUE!</v>
      </c>
      <c r="M453" s="50" t="e">
        <f t="shared" si="113"/>
        <v>#VALUE!</v>
      </c>
      <c r="N453" s="50" t="e">
        <f t="shared" ref="N453:N516" si="114">SEARCH("-",I453,2)</f>
        <v>#VALUE!</v>
      </c>
      <c r="O453" s="50" t="e">
        <f t="shared" ref="O453:O516" si="115">SEARCH("-",I453,N453+1)</f>
        <v>#VALUE!</v>
      </c>
      <c r="P453" s="50">
        <f t="shared" ref="P453:P516" si="116">LEN(I453)</f>
        <v>0</v>
      </c>
      <c r="R453" s="55" t="e">
        <f t="shared" ref="R453:R516" si="117">LEFT(I453,N453-1)</f>
        <v>#VALUE!</v>
      </c>
      <c r="S453" s="55" t="e">
        <f t="shared" ref="S453:S516" si="118">LEFT(J453,L453-1)</f>
        <v>#VALUE!</v>
      </c>
      <c r="T453" s="55" t="e">
        <f t="shared" si="108"/>
        <v>#VALUE!</v>
      </c>
      <c r="U453" s="50" t="e">
        <f t="shared" ref="U453:U516" si="119">R453*1*$H453</f>
        <v>#VALUE!</v>
      </c>
      <c r="V453" s="50" t="e">
        <f t="shared" ref="V453:V516" si="120">S453*1*$H453</f>
        <v>#VALUE!</v>
      </c>
      <c r="W453" s="50" t="e">
        <f t="shared" ref="W453:W516" si="121">T453*1*$H453</f>
        <v>#VALUE!</v>
      </c>
    </row>
    <row r="454" spans="2:23" x14ac:dyDescent="0.25">
      <c r="B454" s="50" t="b">
        <f t="shared" si="109"/>
        <v>0</v>
      </c>
      <c r="C454" s="50" t="e">
        <f t="shared" si="110"/>
        <v>#VALUE!</v>
      </c>
      <c r="E454" s="56">
        <v>450</v>
      </c>
      <c r="G454" s="138"/>
      <c r="H454" s="135">
        <v>1</v>
      </c>
      <c r="I454" s="57" t="str">
        <f t="shared" ref="I454:I517" si="122">IF(G454="","",G454&amp;""&amp;"-0")</f>
        <v/>
      </c>
      <c r="J454" s="58" t="e">
        <f t="shared" si="111"/>
        <v>#VALUE!</v>
      </c>
      <c r="K454" s="50" t="e">
        <f t="shared" si="112"/>
        <v>#VALUE!</v>
      </c>
      <c r="L454" s="50" t="e">
        <f t="shared" si="113"/>
        <v>#VALUE!</v>
      </c>
      <c r="M454" s="50" t="e">
        <f t="shared" si="113"/>
        <v>#VALUE!</v>
      </c>
      <c r="N454" s="50" t="e">
        <f t="shared" si="114"/>
        <v>#VALUE!</v>
      </c>
      <c r="O454" s="50" t="e">
        <f t="shared" si="115"/>
        <v>#VALUE!</v>
      </c>
      <c r="P454" s="50">
        <f t="shared" si="116"/>
        <v>0</v>
      </c>
      <c r="R454" s="55" t="e">
        <f t="shared" si="117"/>
        <v>#VALUE!</v>
      </c>
      <c r="S454" s="55" t="e">
        <f t="shared" si="118"/>
        <v>#VALUE!</v>
      </c>
      <c r="T454" s="55" t="e">
        <f t="shared" ref="T454:T517" si="123">RIGHT(I454,M454)</f>
        <v>#VALUE!</v>
      </c>
      <c r="U454" s="50" t="e">
        <f t="shared" si="119"/>
        <v>#VALUE!</v>
      </c>
      <c r="V454" s="50" t="e">
        <f t="shared" si="120"/>
        <v>#VALUE!</v>
      </c>
      <c r="W454" s="50" t="e">
        <f t="shared" si="121"/>
        <v>#VALUE!</v>
      </c>
    </row>
    <row r="455" spans="2:23" x14ac:dyDescent="0.25">
      <c r="B455" s="50" t="b">
        <f t="shared" si="109"/>
        <v>0</v>
      </c>
      <c r="C455" s="50" t="e">
        <f t="shared" si="110"/>
        <v>#VALUE!</v>
      </c>
      <c r="E455" s="56">
        <v>451</v>
      </c>
      <c r="G455" s="138"/>
      <c r="H455" s="135">
        <v>1</v>
      </c>
      <c r="I455" s="57" t="str">
        <f t="shared" si="122"/>
        <v/>
      </c>
      <c r="J455" s="58" t="e">
        <f t="shared" si="111"/>
        <v>#VALUE!</v>
      </c>
      <c r="K455" s="50" t="e">
        <f t="shared" si="112"/>
        <v>#VALUE!</v>
      </c>
      <c r="L455" s="50" t="e">
        <f t="shared" si="113"/>
        <v>#VALUE!</v>
      </c>
      <c r="M455" s="50" t="e">
        <f t="shared" si="113"/>
        <v>#VALUE!</v>
      </c>
      <c r="N455" s="50" t="e">
        <f t="shared" si="114"/>
        <v>#VALUE!</v>
      </c>
      <c r="O455" s="50" t="e">
        <f t="shared" si="115"/>
        <v>#VALUE!</v>
      </c>
      <c r="P455" s="50">
        <f t="shared" si="116"/>
        <v>0</v>
      </c>
      <c r="R455" s="55" t="e">
        <f t="shared" si="117"/>
        <v>#VALUE!</v>
      </c>
      <c r="S455" s="55" t="e">
        <f t="shared" si="118"/>
        <v>#VALUE!</v>
      </c>
      <c r="T455" s="55" t="e">
        <f t="shared" si="123"/>
        <v>#VALUE!</v>
      </c>
      <c r="U455" s="50" t="e">
        <f t="shared" si="119"/>
        <v>#VALUE!</v>
      </c>
      <c r="V455" s="50" t="e">
        <f t="shared" si="120"/>
        <v>#VALUE!</v>
      </c>
      <c r="W455" s="50" t="e">
        <f t="shared" si="121"/>
        <v>#VALUE!</v>
      </c>
    </row>
    <row r="456" spans="2:23" x14ac:dyDescent="0.25">
      <c r="B456" s="50" t="b">
        <f t="shared" si="109"/>
        <v>0</v>
      </c>
      <c r="C456" s="50" t="e">
        <f t="shared" si="110"/>
        <v>#VALUE!</v>
      </c>
      <c r="E456" s="56">
        <v>452</v>
      </c>
      <c r="G456" s="138"/>
      <c r="H456" s="135">
        <v>1</v>
      </c>
      <c r="I456" s="57" t="str">
        <f t="shared" si="122"/>
        <v/>
      </c>
      <c r="J456" s="58" t="e">
        <f t="shared" si="111"/>
        <v>#VALUE!</v>
      </c>
      <c r="K456" s="50" t="e">
        <f t="shared" si="112"/>
        <v>#VALUE!</v>
      </c>
      <c r="L456" s="50" t="e">
        <f t="shared" si="113"/>
        <v>#VALUE!</v>
      </c>
      <c r="M456" s="50" t="e">
        <f t="shared" si="113"/>
        <v>#VALUE!</v>
      </c>
      <c r="N456" s="50" t="e">
        <f t="shared" si="114"/>
        <v>#VALUE!</v>
      </c>
      <c r="O456" s="50" t="e">
        <f t="shared" si="115"/>
        <v>#VALUE!</v>
      </c>
      <c r="P456" s="50">
        <f t="shared" si="116"/>
        <v>0</v>
      </c>
      <c r="R456" s="55" t="e">
        <f t="shared" si="117"/>
        <v>#VALUE!</v>
      </c>
      <c r="S456" s="55" t="e">
        <f t="shared" si="118"/>
        <v>#VALUE!</v>
      </c>
      <c r="T456" s="55" t="e">
        <f t="shared" si="123"/>
        <v>#VALUE!</v>
      </c>
      <c r="U456" s="50" t="e">
        <f t="shared" si="119"/>
        <v>#VALUE!</v>
      </c>
      <c r="V456" s="50" t="e">
        <f t="shared" si="120"/>
        <v>#VALUE!</v>
      </c>
      <c r="W456" s="50" t="e">
        <f t="shared" si="121"/>
        <v>#VALUE!</v>
      </c>
    </row>
    <row r="457" spans="2:23" x14ac:dyDescent="0.25">
      <c r="B457" s="50" t="b">
        <f t="shared" si="109"/>
        <v>0</v>
      </c>
      <c r="C457" s="50" t="e">
        <f t="shared" si="110"/>
        <v>#VALUE!</v>
      </c>
      <c r="E457" s="56">
        <v>453</v>
      </c>
      <c r="G457" s="138"/>
      <c r="H457" s="135">
        <v>1</v>
      </c>
      <c r="I457" s="57" t="str">
        <f t="shared" si="122"/>
        <v/>
      </c>
      <c r="J457" s="58" t="e">
        <f t="shared" si="111"/>
        <v>#VALUE!</v>
      </c>
      <c r="K457" s="50" t="e">
        <f t="shared" si="112"/>
        <v>#VALUE!</v>
      </c>
      <c r="L457" s="50" t="e">
        <f t="shared" si="113"/>
        <v>#VALUE!</v>
      </c>
      <c r="M457" s="50" t="e">
        <f t="shared" si="113"/>
        <v>#VALUE!</v>
      </c>
      <c r="N457" s="50" t="e">
        <f t="shared" si="114"/>
        <v>#VALUE!</v>
      </c>
      <c r="O457" s="50" t="e">
        <f t="shared" si="115"/>
        <v>#VALUE!</v>
      </c>
      <c r="P457" s="50">
        <f t="shared" si="116"/>
        <v>0</v>
      </c>
      <c r="R457" s="55" t="e">
        <f t="shared" si="117"/>
        <v>#VALUE!</v>
      </c>
      <c r="S457" s="55" t="e">
        <f t="shared" si="118"/>
        <v>#VALUE!</v>
      </c>
      <c r="T457" s="55" t="e">
        <f t="shared" si="123"/>
        <v>#VALUE!</v>
      </c>
      <c r="U457" s="50" t="e">
        <f t="shared" si="119"/>
        <v>#VALUE!</v>
      </c>
      <c r="V457" s="50" t="e">
        <f t="shared" si="120"/>
        <v>#VALUE!</v>
      </c>
      <c r="W457" s="50" t="e">
        <f t="shared" si="121"/>
        <v>#VALUE!</v>
      </c>
    </row>
    <row r="458" spans="2:23" x14ac:dyDescent="0.25">
      <c r="B458" s="50" t="b">
        <f t="shared" si="109"/>
        <v>0</v>
      </c>
      <c r="C458" s="50" t="e">
        <f t="shared" si="110"/>
        <v>#VALUE!</v>
      </c>
      <c r="E458" s="56">
        <v>454</v>
      </c>
      <c r="G458" s="138"/>
      <c r="H458" s="135">
        <v>1</v>
      </c>
      <c r="I458" s="57" t="str">
        <f t="shared" si="122"/>
        <v/>
      </c>
      <c r="J458" s="58" t="e">
        <f t="shared" si="111"/>
        <v>#VALUE!</v>
      </c>
      <c r="K458" s="50" t="e">
        <f t="shared" si="112"/>
        <v>#VALUE!</v>
      </c>
      <c r="L458" s="50" t="e">
        <f t="shared" si="113"/>
        <v>#VALUE!</v>
      </c>
      <c r="M458" s="50" t="e">
        <f t="shared" si="113"/>
        <v>#VALUE!</v>
      </c>
      <c r="N458" s="50" t="e">
        <f t="shared" si="114"/>
        <v>#VALUE!</v>
      </c>
      <c r="O458" s="50" t="e">
        <f t="shared" si="115"/>
        <v>#VALUE!</v>
      </c>
      <c r="P458" s="50">
        <f t="shared" si="116"/>
        <v>0</v>
      </c>
      <c r="R458" s="55" t="e">
        <f t="shared" si="117"/>
        <v>#VALUE!</v>
      </c>
      <c r="S458" s="55" t="e">
        <f t="shared" si="118"/>
        <v>#VALUE!</v>
      </c>
      <c r="T458" s="55" t="e">
        <f t="shared" si="123"/>
        <v>#VALUE!</v>
      </c>
      <c r="U458" s="50" t="e">
        <f t="shared" si="119"/>
        <v>#VALUE!</v>
      </c>
      <c r="V458" s="50" t="e">
        <f t="shared" si="120"/>
        <v>#VALUE!</v>
      </c>
      <c r="W458" s="50" t="e">
        <f t="shared" si="121"/>
        <v>#VALUE!</v>
      </c>
    </row>
    <row r="459" spans="2:23" x14ac:dyDescent="0.25">
      <c r="B459" s="50" t="b">
        <f t="shared" si="109"/>
        <v>0</v>
      </c>
      <c r="C459" s="50" t="e">
        <f t="shared" si="110"/>
        <v>#VALUE!</v>
      </c>
      <c r="E459" s="56">
        <v>455</v>
      </c>
      <c r="G459" s="138"/>
      <c r="H459" s="135">
        <v>1</v>
      </c>
      <c r="I459" s="57" t="str">
        <f t="shared" si="122"/>
        <v/>
      </c>
      <c r="J459" s="58" t="e">
        <f t="shared" si="111"/>
        <v>#VALUE!</v>
      </c>
      <c r="K459" s="50" t="e">
        <f t="shared" si="112"/>
        <v>#VALUE!</v>
      </c>
      <c r="L459" s="50" t="e">
        <f t="shared" si="113"/>
        <v>#VALUE!</v>
      </c>
      <c r="M459" s="50" t="e">
        <f t="shared" si="113"/>
        <v>#VALUE!</v>
      </c>
      <c r="N459" s="50" t="e">
        <f t="shared" si="114"/>
        <v>#VALUE!</v>
      </c>
      <c r="O459" s="50" t="e">
        <f t="shared" si="115"/>
        <v>#VALUE!</v>
      </c>
      <c r="P459" s="50">
        <f t="shared" si="116"/>
        <v>0</v>
      </c>
      <c r="R459" s="55" t="e">
        <f t="shared" si="117"/>
        <v>#VALUE!</v>
      </c>
      <c r="S459" s="55" t="e">
        <f t="shared" si="118"/>
        <v>#VALUE!</v>
      </c>
      <c r="T459" s="55" t="e">
        <f t="shared" si="123"/>
        <v>#VALUE!</v>
      </c>
      <c r="U459" s="50" t="e">
        <f t="shared" si="119"/>
        <v>#VALUE!</v>
      </c>
      <c r="V459" s="50" t="e">
        <f t="shared" si="120"/>
        <v>#VALUE!</v>
      </c>
      <c r="W459" s="50" t="e">
        <f t="shared" si="121"/>
        <v>#VALUE!</v>
      </c>
    </row>
    <row r="460" spans="2:23" x14ac:dyDescent="0.25">
      <c r="B460" s="50" t="b">
        <f t="shared" si="109"/>
        <v>0</v>
      </c>
      <c r="C460" s="50" t="e">
        <f t="shared" si="110"/>
        <v>#VALUE!</v>
      </c>
      <c r="E460" s="56">
        <v>456</v>
      </c>
      <c r="G460" s="138"/>
      <c r="H460" s="135">
        <v>1</v>
      </c>
      <c r="I460" s="57" t="str">
        <f t="shared" si="122"/>
        <v/>
      </c>
      <c r="J460" s="58" t="e">
        <f t="shared" si="111"/>
        <v>#VALUE!</v>
      </c>
      <c r="K460" s="50" t="e">
        <f t="shared" si="112"/>
        <v>#VALUE!</v>
      </c>
      <c r="L460" s="50" t="e">
        <f t="shared" si="113"/>
        <v>#VALUE!</v>
      </c>
      <c r="M460" s="50" t="e">
        <f t="shared" si="113"/>
        <v>#VALUE!</v>
      </c>
      <c r="N460" s="50" t="e">
        <f t="shared" si="114"/>
        <v>#VALUE!</v>
      </c>
      <c r="O460" s="50" t="e">
        <f t="shared" si="115"/>
        <v>#VALUE!</v>
      </c>
      <c r="P460" s="50">
        <f t="shared" si="116"/>
        <v>0</v>
      </c>
      <c r="R460" s="55" t="e">
        <f t="shared" si="117"/>
        <v>#VALUE!</v>
      </c>
      <c r="S460" s="55" t="e">
        <f t="shared" si="118"/>
        <v>#VALUE!</v>
      </c>
      <c r="T460" s="55" t="e">
        <f t="shared" si="123"/>
        <v>#VALUE!</v>
      </c>
      <c r="U460" s="50" t="e">
        <f t="shared" si="119"/>
        <v>#VALUE!</v>
      </c>
      <c r="V460" s="50" t="e">
        <f t="shared" si="120"/>
        <v>#VALUE!</v>
      </c>
      <c r="W460" s="50" t="e">
        <f t="shared" si="121"/>
        <v>#VALUE!</v>
      </c>
    </row>
    <row r="461" spans="2:23" x14ac:dyDescent="0.25">
      <c r="B461" s="50" t="b">
        <f t="shared" si="109"/>
        <v>0</v>
      </c>
      <c r="C461" s="50" t="e">
        <f t="shared" si="110"/>
        <v>#VALUE!</v>
      </c>
      <c r="E461" s="56">
        <v>457</v>
      </c>
      <c r="G461" s="138"/>
      <c r="H461" s="135">
        <v>1</v>
      </c>
      <c r="I461" s="57" t="str">
        <f t="shared" si="122"/>
        <v/>
      </c>
      <c r="J461" s="58" t="e">
        <f t="shared" si="111"/>
        <v>#VALUE!</v>
      </c>
      <c r="K461" s="50" t="e">
        <f t="shared" si="112"/>
        <v>#VALUE!</v>
      </c>
      <c r="L461" s="50" t="e">
        <f t="shared" si="113"/>
        <v>#VALUE!</v>
      </c>
      <c r="M461" s="50" t="e">
        <f t="shared" si="113"/>
        <v>#VALUE!</v>
      </c>
      <c r="N461" s="50" t="e">
        <f t="shared" si="114"/>
        <v>#VALUE!</v>
      </c>
      <c r="O461" s="50" t="e">
        <f t="shared" si="115"/>
        <v>#VALUE!</v>
      </c>
      <c r="P461" s="50">
        <f t="shared" si="116"/>
        <v>0</v>
      </c>
      <c r="R461" s="55" t="e">
        <f t="shared" si="117"/>
        <v>#VALUE!</v>
      </c>
      <c r="S461" s="55" t="e">
        <f t="shared" si="118"/>
        <v>#VALUE!</v>
      </c>
      <c r="T461" s="55" t="e">
        <f t="shared" si="123"/>
        <v>#VALUE!</v>
      </c>
      <c r="U461" s="50" t="e">
        <f t="shared" si="119"/>
        <v>#VALUE!</v>
      </c>
      <c r="V461" s="50" t="e">
        <f t="shared" si="120"/>
        <v>#VALUE!</v>
      </c>
      <c r="W461" s="50" t="e">
        <f t="shared" si="121"/>
        <v>#VALUE!</v>
      </c>
    </row>
    <row r="462" spans="2:23" x14ac:dyDescent="0.25">
      <c r="B462" s="50" t="b">
        <f t="shared" ref="B462:B525" si="124">ISNUMBER(C462)</f>
        <v>0</v>
      </c>
      <c r="C462" s="50" t="e">
        <f t="shared" si="110"/>
        <v>#VALUE!</v>
      </c>
      <c r="E462" s="56">
        <v>458</v>
      </c>
      <c r="G462" s="138"/>
      <c r="H462" s="135">
        <v>1</v>
      </c>
      <c r="I462" s="57" t="str">
        <f t="shared" si="122"/>
        <v/>
      </c>
      <c r="J462" s="58" t="e">
        <f t="shared" si="111"/>
        <v>#VALUE!</v>
      </c>
      <c r="K462" s="50" t="e">
        <f t="shared" si="112"/>
        <v>#VALUE!</v>
      </c>
      <c r="L462" s="50" t="e">
        <f t="shared" si="113"/>
        <v>#VALUE!</v>
      </c>
      <c r="M462" s="50" t="e">
        <f t="shared" si="113"/>
        <v>#VALUE!</v>
      </c>
      <c r="N462" s="50" t="e">
        <f t="shared" si="114"/>
        <v>#VALUE!</v>
      </c>
      <c r="O462" s="50" t="e">
        <f t="shared" si="115"/>
        <v>#VALUE!</v>
      </c>
      <c r="P462" s="50">
        <f t="shared" si="116"/>
        <v>0</v>
      </c>
      <c r="R462" s="55" t="e">
        <f t="shared" si="117"/>
        <v>#VALUE!</v>
      </c>
      <c r="S462" s="55" t="e">
        <f t="shared" si="118"/>
        <v>#VALUE!</v>
      </c>
      <c r="T462" s="55" t="e">
        <f t="shared" si="123"/>
        <v>#VALUE!</v>
      </c>
      <c r="U462" s="50" t="e">
        <f t="shared" si="119"/>
        <v>#VALUE!</v>
      </c>
      <c r="V462" s="50" t="e">
        <f t="shared" si="120"/>
        <v>#VALUE!</v>
      </c>
      <c r="W462" s="50" t="e">
        <f t="shared" si="121"/>
        <v>#VALUE!</v>
      </c>
    </row>
    <row r="463" spans="2:23" x14ac:dyDescent="0.25">
      <c r="B463" s="50" t="b">
        <f t="shared" si="124"/>
        <v>0</v>
      </c>
      <c r="C463" s="50" t="e">
        <f t="shared" si="110"/>
        <v>#VALUE!</v>
      </c>
      <c r="E463" s="56">
        <v>459</v>
      </c>
      <c r="G463" s="138"/>
      <c r="H463" s="135">
        <v>1</v>
      </c>
      <c r="I463" s="57" t="str">
        <f t="shared" si="122"/>
        <v/>
      </c>
      <c r="J463" s="58" t="e">
        <f t="shared" si="111"/>
        <v>#VALUE!</v>
      </c>
      <c r="K463" s="50" t="e">
        <f t="shared" si="112"/>
        <v>#VALUE!</v>
      </c>
      <c r="L463" s="50" t="e">
        <f t="shared" si="113"/>
        <v>#VALUE!</v>
      </c>
      <c r="M463" s="50" t="e">
        <f t="shared" si="113"/>
        <v>#VALUE!</v>
      </c>
      <c r="N463" s="50" t="e">
        <f t="shared" si="114"/>
        <v>#VALUE!</v>
      </c>
      <c r="O463" s="50" t="e">
        <f t="shared" si="115"/>
        <v>#VALUE!</v>
      </c>
      <c r="P463" s="50">
        <f t="shared" si="116"/>
        <v>0</v>
      </c>
      <c r="R463" s="55" t="e">
        <f t="shared" si="117"/>
        <v>#VALUE!</v>
      </c>
      <c r="S463" s="55" t="e">
        <f t="shared" si="118"/>
        <v>#VALUE!</v>
      </c>
      <c r="T463" s="55" t="e">
        <f t="shared" si="123"/>
        <v>#VALUE!</v>
      </c>
      <c r="U463" s="50" t="e">
        <f t="shared" si="119"/>
        <v>#VALUE!</v>
      </c>
      <c r="V463" s="50" t="e">
        <f t="shared" si="120"/>
        <v>#VALUE!</v>
      </c>
      <c r="W463" s="50" t="e">
        <f t="shared" si="121"/>
        <v>#VALUE!</v>
      </c>
    </row>
    <row r="464" spans="2:23" x14ac:dyDescent="0.25">
      <c r="B464" s="50" t="b">
        <f t="shared" si="124"/>
        <v>0</v>
      </c>
      <c r="C464" s="50" t="e">
        <f t="shared" si="110"/>
        <v>#VALUE!</v>
      </c>
      <c r="E464" s="56">
        <v>460</v>
      </c>
      <c r="G464" s="138"/>
      <c r="H464" s="135">
        <v>1</v>
      </c>
      <c r="I464" s="57" t="str">
        <f t="shared" si="122"/>
        <v/>
      </c>
      <c r="J464" s="58" t="e">
        <f t="shared" si="111"/>
        <v>#VALUE!</v>
      </c>
      <c r="K464" s="50" t="e">
        <f t="shared" si="112"/>
        <v>#VALUE!</v>
      </c>
      <c r="L464" s="50" t="e">
        <f t="shared" si="113"/>
        <v>#VALUE!</v>
      </c>
      <c r="M464" s="50" t="e">
        <f t="shared" si="113"/>
        <v>#VALUE!</v>
      </c>
      <c r="N464" s="50" t="e">
        <f t="shared" si="114"/>
        <v>#VALUE!</v>
      </c>
      <c r="O464" s="50" t="e">
        <f t="shared" si="115"/>
        <v>#VALUE!</v>
      </c>
      <c r="P464" s="50">
        <f t="shared" si="116"/>
        <v>0</v>
      </c>
      <c r="R464" s="55" t="e">
        <f t="shared" si="117"/>
        <v>#VALUE!</v>
      </c>
      <c r="S464" s="55" t="e">
        <f t="shared" si="118"/>
        <v>#VALUE!</v>
      </c>
      <c r="T464" s="55" t="e">
        <f t="shared" si="123"/>
        <v>#VALUE!</v>
      </c>
      <c r="U464" s="50" t="e">
        <f t="shared" si="119"/>
        <v>#VALUE!</v>
      </c>
      <c r="V464" s="50" t="e">
        <f t="shared" si="120"/>
        <v>#VALUE!</v>
      </c>
      <c r="W464" s="50" t="e">
        <f t="shared" si="121"/>
        <v>#VALUE!</v>
      </c>
    </row>
    <row r="465" spans="2:23" x14ac:dyDescent="0.25">
      <c r="B465" s="50" t="b">
        <f t="shared" si="124"/>
        <v>0</v>
      </c>
      <c r="C465" s="50" t="e">
        <f t="shared" si="110"/>
        <v>#VALUE!</v>
      </c>
      <c r="E465" s="56">
        <v>461</v>
      </c>
      <c r="G465" s="138"/>
      <c r="H465" s="135">
        <v>1</v>
      </c>
      <c r="I465" s="57" t="str">
        <f t="shared" si="122"/>
        <v/>
      </c>
      <c r="J465" s="58" t="e">
        <f t="shared" si="111"/>
        <v>#VALUE!</v>
      </c>
      <c r="K465" s="50" t="e">
        <f t="shared" si="112"/>
        <v>#VALUE!</v>
      </c>
      <c r="L465" s="50" t="e">
        <f t="shared" si="113"/>
        <v>#VALUE!</v>
      </c>
      <c r="M465" s="50" t="e">
        <f t="shared" si="113"/>
        <v>#VALUE!</v>
      </c>
      <c r="N465" s="50" t="e">
        <f t="shared" si="114"/>
        <v>#VALUE!</v>
      </c>
      <c r="O465" s="50" t="e">
        <f t="shared" si="115"/>
        <v>#VALUE!</v>
      </c>
      <c r="P465" s="50">
        <f t="shared" si="116"/>
        <v>0</v>
      </c>
      <c r="R465" s="55" t="e">
        <f t="shared" si="117"/>
        <v>#VALUE!</v>
      </c>
      <c r="S465" s="55" t="e">
        <f t="shared" si="118"/>
        <v>#VALUE!</v>
      </c>
      <c r="T465" s="55" t="e">
        <f t="shared" si="123"/>
        <v>#VALUE!</v>
      </c>
      <c r="U465" s="50" t="e">
        <f t="shared" si="119"/>
        <v>#VALUE!</v>
      </c>
      <c r="V465" s="50" t="e">
        <f t="shared" si="120"/>
        <v>#VALUE!</v>
      </c>
      <c r="W465" s="50" t="e">
        <f t="shared" si="121"/>
        <v>#VALUE!</v>
      </c>
    </row>
    <row r="466" spans="2:23" x14ac:dyDescent="0.25">
      <c r="B466" s="50" t="b">
        <f t="shared" si="124"/>
        <v>0</v>
      </c>
      <c r="C466" s="50" t="e">
        <f t="shared" si="110"/>
        <v>#VALUE!</v>
      </c>
      <c r="E466" s="56">
        <v>462</v>
      </c>
      <c r="G466" s="138"/>
      <c r="H466" s="135">
        <v>1</v>
      </c>
      <c r="I466" s="57" t="str">
        <f t="shared" si="122"/>
        <v/>
      </c>
      <c r="J466" s="58" t="e">
        <f t="shared" si="111"/>
        <v>#VALUE!</v>
      </c>
      <c r="K466" s="50" t="e">
        <f t="shared" si="112"/>
        <v>#VALUE!</v>
      </c>
      <c r="L466" s="50" t="e">
        <f t="shared" si="113"/>
        <v>#VALUE!</v>
      </c>
      <c r="M466" s="50" t="e">
        <f t="shared" si="113"/>
        <v>#VALUE!</v>
      </c>
      <c r="N466" s="50" t="e">
        <f t="shared" si="114"/>
        <v>#VALUE!</v>
      </c>
      <c r="O466" s="50" t="e">
        <f t="shared" si="115"/>
        <v>#VALUE!</v>
      </c>
      <c r="P466" s="50">
        <f t="shared" si="116"/>
        <v>0</v>
      </c>
      <c r="R466" s="55" t="e">
        <f t="shared" si="117"/>
        <v>#VALUE!</v>
      </c>
      <c r="S466" s="55" t="e">
        <f t="shared" si="118"/>
        <v>#VALUE!</v>
      </c>
      <c r="T466" s="55" t="e">
        <f t="shared" si="123"/>
        <v>#VALUE!</v>
      </c>
      <c r="U466" s="50" t="e">
        <f t="shared" si="119"/>
        <v>#VALUE!</v>
      </c>
      <c r="V466" s="50" t="e">
        <f t="shared" si="120"/>
        <v>#VALUE!</v>
      </c>
      <c r="W466" s="50" t="e">
        <f t="shared" si="121"/>
        <v>#VALUE!</v>
      </c>
    </row>
    <row r="467" spans="2:23" x14ac:dyDescent="0.25">
      <c r="B467" s="50" t="b">
        <f t="shared" si="124"/>
        <v>0</v>
      </c>
      <c r="C467" s="50" t="e">
        <f t="shared" si="110"/>
        <v>#VALUE!</v>
      </c>
      <c r="E467" s="56">
        <v>463</v>
      </c>
      <c r="G467" s="138"/>
      <c r="H467" s="135">
        <v>1</v>
      </c>
      <c r="I467" s="57" t="str">
        <f t="shared" si="122"/>
        <v/>
      </c>
      <c r="J467" s="58" t="e">
        <f t="shared" si="111"/>
        <v>#VALUE!</v>
      </c>
      <c r="K467" s="50" t="e">
        <f t="shared" si="112"/>
        <v>#VALUE!</v>
      </c>
      <c r="L467" s="50" t="e">
        <f t="shared" si="113"/>
        <v>#VALUE!</v>
      </c>
      <c r="M467" s="50" t="e">
        <f t="shared" si="113"/>
        <v>#VALUE!</v>
      </c>
      <c r="N467" s="50" t="e">
        <f t="shared" si="114"/>
        <v>#VALUE!</v>
      </c>
      <c r="O467" s="50" t="e">
        <f t="shared" si="115"/>
        <v>#VALUE!</v>
      </c>
      <c r="P467" s="50">
        <f t="shared" si="116"/>
        <v>0</v>
      </c>
      <c r="R467" s="55" t="e">
        <f t="shared" si="117"/>
        <v>#VALUE!</v>
      </c>
      <c r="S467" s="55" t="e">
        <f t="shared" si="118"/>
        <v>#VALUE!</v>
      </c>
      <c r="T467" s="55" t="e">
        <f t="shared" si="123"/>
        <v>#VALUE!</v>
      </c>
      <c r="U467" s="50" t="e">
        <f t="shared" si="119"/>
        <v>#VALUE!</v>
      </c>
      <c r="V467" s="50" t="e">
        <f t="shared" si="120"/>
        <v>#VALUE!</v>
      </c>
      <c r="W467" s="50" t="e">
        <f t="shared" si="121"/>
        <v>#VALUE!</v>
      </c>
    </row>
    <row r="468" spans="2:23" x14ac:dyDescent="0.25">
      <c r="B468" s="50" t="b">
        <f t="shared" si="124"/>
        <v>0</v>
      </c>
      <c r="C468" s="50" t="e">
        <f t="shared" si="110"/>
        <v>#VALUE!</v>
      </c>
      <c r="E468" s="56">
        <v>464</v>
      </c>
      <c r="G468" s="138"/>
      <c r="H468" s="135">
        <v>1</v>
      </c>
      <c r="I468" s="57" t="str">
        <f t="shared" si="122"/>
        <v/>
      </c>
      <c r="J468" s="58" t="e">
        <f t="shared" si="111"/>
        <v>#VALUE!</v>
      </c>
      <c r="K468" s="50" t="e">
        <f t="shared" si="112"/>
        <v>#VALUE!</v>
      </c>
      <c r="L468" s="50" t="e">
        <f t="shared" si="113"/>
        <v>#VALUE!</v>
      </c>
      <c r="M468" s="50" t="e">
        <f t="shared" si="113"/>
        <v>#VALUE!</v>
      </c>
      <c r="N468" s="50" t="e">
        <f t="shared" si="114"/>
        <v>#VALUE!</v>
      </c>
      <c r="O468" s="50" t="e">
        <f t="shared" si="115"/>
        <v>#VALUE!</v>
      </c>
      <c r="P468" s="50">
        <f t="shared" si="116"/>
        <v>0</v>
      </c>
      <c r="R468" s="55" t="e">
        <f t="shared" si="117"/>
        <v>#VALUE!</v>
      </c>
      <c r="S468" s="55" t="e">
        <f t="shared" si="118"/>
        <v>#VALUE!</v>
      </c>
      <c r="T468" s="55" t="e">
        <f t="shared" si="123"/>
        <v>#VALUE!</v>
      </c>
      <c r="U468" s="50" t="e">
        <f t="shared" si="119"/>
        <v>#VALUE!</v>
      </c>
      <c r="V468" s="50" t="e">
        <f t="shared" si="120"/>
        <v>#VALUE!</v>
      </c>
      <c r="W468" s="50" t="e">
        <f t="shared" si="121"/>
        <v>#VALUE!</v>
      </c>
    </row>
    <row r="469" spans="2:23" x14ac:dyDescent="0.25">
      <c r="B469" s="50" t="b">
        <f t="shared" si="124"/>
        <v>0</v>
      </c>
      <c r="C469" s="50" t="e">
        <f t="shared" si="110"/>
        <v>#VALUE!</v>
      </c>
      <c r="E469" s="56">
        <v>465</v>
      </c>
      <c r="G469" s="138"/>
      <c r="H469" s="135">
        <v>1</v>
      </c>
      <c r="I469" s="57" t="str">
        <f t="shared" si="122"/>
        <v/>
      </c>
      <c r="J469" s="58" t="e">
        <f t="shared" si="111"/>
        <v>#VALUE!</v>
      </c>
      <c r="K469" s="50" t="e">
        <f t="shared" si="112"/>
        <v>#VALUE!</v>
      </c>
      <c r="L469" s="50" t="e">
        <f t="shared" si="113"/>
        <v>#VALUE!</v>
      </c>
      <c r="M469" s="50" t="e">
        <f t="shared" si="113"/>
        <v>#VALUE!</v>
      </c>
      <c r="N469" s="50" t="e">
        <f t="shared" si="114"/>
        <v>#VALUE!</v>
      </c>
      <c r="O469" s="50" t="e">
        <f t="shared" si="115"/>
        <v>#VALUE!</v>
      </c>
      <c r="P469" s="50">
        <f t="shared" si="116"/>
        <v>0</v>
      </c>
      <c r="R469" s="55" t="e">
        <f t="shared" si="117"/>
        <v>#VALUE!</v>
      </c>
      <c r="S469" s="55" t="e">
        <f t="shared" si="118"/>
        <v>#VALUE!</v>
      </c>
      <c r="T469" s="55" t="e">
        <f t="shared" si="123"/>
        <v>#VALUE!</v>
      </c>
      <c r="U469" s="50" t="e">
        <f t="shared" si="119"/>
        <v>#VALUE!</v>
      </c>
      <c r="V469" s="50" t="e">
        <f t="shared" si="120"/>
        <v>#VALUE!</v>
      </c>
      <c r="W469" s="50" t="e">
        <f t="shared" si="121"/>
        <v>#VALUE!</v>
      </c>
    </row>
    <row r="470" spans="2:23" x14ac:dyDescent="0.25">
      <c r="B470" s="50" t="b">
        <f t="shared" si="124"/>
        <v>0</v>
      </c>
      <c r="C470" s="50" t="e">
        <f t="shared" si="110"/>
        <v>#VALUE!</v>
      </c>
      <c r="E470" s="56">
        <v>466</v>
      </c>
      <c r="G470" s="138"/>
      <c r="H470" s="135">
        <v>1</v>
      </c>
      <c r="I470" s="57" t="str">
        <f t="shared" si="122"/>
        <v/>
      </c>
      <c r="J470" s="58" t="e">
        <f t="shared" si="111"/>
        <v>#VALUE!</v>
      </c>
      <c r="K470" s="50" t="e">
        <f t="shared" si="112"/>
        <v>#VALUE!</v>
      </c>
      <c r="L470" s="50" t="e">
        <f t="shared" si="113"/>
        <v>#VALUE!</v>
      </c>
      <c r="M470" s="50" t="e">
        <f t="shared" si="113"/>
        <v>#VALUE!</v>
      </c>
      <c r="N470" s="50" t="e">
        <f t="shared" si="114"/>
        <v>#VALUE!</v>
      </c>
      <c r="O470" s="50" t="e">
        <f t="shared" si="115"/>
        <v>#VALUE!</v>
      </c>
      <c r="P470" s="50">
        <f t="shared" si="116"/>
        <v>0</v>
      </c>
      <c r="R470" s="55" t="e">
        <f t="shared" si="117"/>
        <v>#VALUE!</v>
      </c>
      <c r="S470" s="55" t="e">
        <f t="shared" si="118"/>
        <v>#VALUE!</v>
      </c>
      <c r="T470" s="55" t="e">
        <f t="shared" si="123"/>
        <v>#VALUE!</v>
      </c>
      <c r="U470" s="50" t="e">
        <f t="shared" si="119"/>
        <v>#VALUE!</v>
      </c>
      <c r="V470" s="50" t="e">
        <f t="shared" si="120"/>
        <v>#VALUE!</v>
      </c>
      <c r="W470" s="50" t="e">
        <f t="shared" si="121"/>
        <v>#VALUE!</v>
      </c>
    </row>
    <row r="471" spans="2:23" x14ac:dyDescent="0.25">
      <c r="B471" s="50" t="b">
        <f t="shared" si="124"/>
        <v>0</v>
      </c>
      <c r="C471" s="50" t="e">
        <f t="shared" si="110"/>
        <v>#VALUE!</v>
      </c>
      <c r="E471" s="56">
        <v>467</v>
      </c>
      <c r="G471" s="138"/>
      <c r="H471" s="135">
        <v>1</v>
      </c>
      <c r="I471" s="57" t="str">
        <f t="shared" si="122"/>
        <v/>
      </c>
      <c r="J471" s="58" t="e">
        <f t="shared" si="111"/>
        <v>#VALUE!</v>
      </c>
      <c r="K471" s="50" t="e">
        <f t="shared" si="112"/>
        <v>#VALUE!</v>
      </c>
      <c r="L471" s="50" t="e">
        <f t="shared" si="113"/>
        <v>#VALUE!</v>
      </c>
      <c r="M471" s="50" t="e">
        <f t="shared" si="113"/>
        <v>#VALUE!</v>
      </c>
      <c r="N471" s="50" t="e">
        <f t="shared" si="114"/>
        <v>#VALUE!</v>
      </c>
      <c r="O471" s="50" t="e">
        <f t="shared" si="115"/>
        <v>#VALUE!</v>
      </c>
      <c r="P471" s="50">
        <f t="shared" si="116"/>
        <v>0</v>
      </c>
      <c r="R471" s="55" t="e">
        <f t="shared" si="117"/>
        <v>#VALUE!</v>
      </c>
      <c r="S471" s="55" t="e">
        <f t="shared" si="118"/>
        <v>#VALUE!</v>
      </c>
      <c r="T471" s="55" t="e">
        <f t="shared" si="123"/>
        <v>#VALUE!</v>
      </c>
      <c r="U471" s="50" t="e">
        <f t="shared" si="119"/>
        <v>#VALUE!</v>
      </c>
      <c r="V471" s="50" t="e">
        <f t="shared" si="120"/>
        <v>#VALUE!</v>
      </c>
      <c r="W471" s="50" t="e">
        <f t="shared" si="121"/>
        <v>#VALUE!</v>
      </c>
    </row>
    <row r="472" spans="2:23" x14ac:dyDescent="0.25">
      <c r="B472" s="50" t="b">
        <f t="shared" si="124"/>
        <v>0</v>
      </c>
      <c r="C472" s="50" t="e">
        <f t="shared" si="110"/>
        <v>#VALUE!</v>
      </c>
      <c r="E472" s="56">
        <v>468</v>
      </c>
      <c r="G472" s="138"/>
      <c r="H472" s="135">
        <v>1</v>
      </c>
      <c r="I472" s="57" t="str">
        <f t="shared" si="122"/>
        <v/>
      </c>
      <c r="J472" s="58" t="e">
        <f t="shared" si="111"/>
        <v>#VALUE!</v>
      </c>
      <c r="K472" s="50" t="e">
        <f t="shared" si="112"/>
        <v>#VALUE!</v>
      </c>
      <c r="L472" s="50" t="e">
        <f t="shared" si="113"/>
        <v>#VALUE!</v>
      </c>
      <c r="M472" s="50" t="e">
        <f t="shared" si="113"/>
        <v>#VALUE!</v>
      </c>
      <c r="N472" s="50" t="e">
        <f t="shared" si="114"/>
        <v>#VALUE!</v>
      </c>
      <c r="O472" s="50" t="e">
        <f t="shared" si="115"/>
        <v>#VALUE!</v>
      </c>
      <c r="P472" s="50">
        <f t="shared" si="116"/>
        <v>0</v>
      </c>
      <c r="R472" s="55" t="e">
        <f t="shared" si="117"/>
        <v>#VALUE!</v>
      </c>
      <c r="S472" s="55" t="e">
        <f t="shared" si="118"/>
        <v>#VALUE!</v>
      </c>
      <c r="T472" s="55" t="e">
        <f t="shared" si="123"/>
        <v>#VALUE!</v>
      </c>
      <c r="U472" s="50" t="e">
        <f t="shared" si="119"/>
        <v>#VALUE!</v>
      </c>
      <c r="V472" s="50" t="e">
        <f t="shared" si="120"/>
        <v>#VALUE!</v>
      </c>
      <c r="W472" s="50" t="e">
        <f t="shared" si="121"/>
        <v>#VALUE!</v>
      </c>
    </row>
    <row r="473" spans="2:23" x14ac:dyDescent="0.25">
      <c r="B473" s="50" t="b">
        <f t="shared" si="124"/>
        <v>0</v>
      </c>
      <c r="C473" s="50" t="e">
        <f t="shared" si="110"/>
        <v>#VALUE!</v>
      </c>
      <c r="E473" s="56">
        <v>469</v>
      </c>
      <c r="G473" s="138"/>
      <c r="H473" s="135">
        <v>1</v>
      </c>
      <c r="I473" s="57" t="str">
        <f t="shared" si="122"/>
        <v/>
      </c>
      <c r="J473" s="58" t="e">
        <f t="shared" si="111"/>
        <v>#VALUE!</v>
      </c>
      <c r="K473" s="50" t="e">
        <f t="shared" si="112"/>
        <v>#VALUE!</v>
      </c>
      <c r="L473" s="50" t="e">
        <f t="shared" si="113"/>
        <v>#VALUE!</v>
      </c>
      <c r="M473" s="50" t="e">
        <f t="shared" si="113"/>
        <v>#VALUE!</v>
      </c>
      <c r="N473" s="50" t="e">
        <f t="shared" si="114"/>
        <v>#VALUE!</v>
      </c>
      <c r="O473" s="50" t="e">
        <f t="shared" si="115"/>
        <v>#VALUE!</v>
      </c>
      <c r="P473" s="50">
        <f t="shared" si="116"/>
        <v>0</v>
      </c>
      <c r="R473" s="55" t="e">
        <f t="shared" si="117"/>
        <v>#VALUE!</v>
      </c>
      <c r="S473" s="55" t="e">
        <f t="shared" si="118"/>
        <v>#VALUE!</v>
      </c>
      <c r="T473" s="55" t="e">
        <f t="shared" si="123"/>
        <v>#VALUE!</v>
      </c>
      <c r="U473" s="50" t="e">
        <f t="shared" si="119"/>
        <v>#VALUE!</v>
      </c>
      <c r="V473" s="50" t="e">
        <f t="shared" si="120"/>
        <v>#VALUE!</v>
      </c>
      <c r="W473" s="50" t="e">
        <f t="shared" si="121"/>
        <v>#VALUE!</v>
      </c>
    </row>
    <row r="474" spans="2:23" x14ac:dyDescent="0.25">
      <c r="B474" s="50" t="b">
        <f t="shared" si="124"/>
        <v>0</v>
      </c>
      <c r="C474" s="50" t="e">
        <f t="shared" si="110"/>
        <v>#VALUE!</v>
      </c>
      <c r="E474" s="56">
        <v>470</v>
      </c>
      <c r="G474" s="138"/>
      <c r="H474" s="135">
        <v>1</v>
      </c>
      <c r="I474" s="57" t="str">
        <f t="shared" si="122"/>
        <v/>
      </c>
      <c r="J474" s="58" t="e">
        <f t="shared" si="111"/>
        <v>#VALUE!</v>
      </c>
      <c r="K474" s="50" t="e">
        <f t="shared" si="112"/>
        <v>#VALUE!</v>
      </c>
      <c r="L474" s="50" t="e">
        <f t="shared" si="113"/>
        <v>#VALUE!</v>
      </c>
      <c r="M474" s="50" t="e">
        <f t="shared" si="113"/>
        <v>#VALUE!</v>
      </c>
      <c r="N474" s="50" t="e">
        <f t="shared" si="114"/>
        <v>#VALUE!</v>
      </c>
      <c r="O474" s="50" t="e">
        <f t="shared" si="115"/>
        <v>#VALUE!</v>
      </c>
      <c r="P474" s="50">
        <f t="shared" si="116"/>
        <v>0</v>
      </c>
      <c r="R474" s="55" t="e">
        <f t="shared" si="117"/>
        <v>#VALUE!</v>
      </c>
      <c r="S474" s="55" t="e">
        <f t="shared" si="118"/>
        <v>#VALUE!</v>
      </c>
      <c r="T474" s="55" t="e">
        <f t="shared" si="123"/>
        <v>#VALUE!</v>
      </c>
      <c r="U474" s="50" t="e">
        <f t="shared" si="119"/>
        <v>#VALUE!</v>
      </c>
      <c r="V474" s="50" t="e">
        <f t="shared" si="120"/>
        <v>#VALUE!</v>
      </c>
      <c r="W474" s="50" t="e">
        <f t="shared" si="121"/>
        <v>#VALUE!</v>
      </c>
    </row>
    <row r="475" spans="2:23" x14ac:dyDescent="0.25">
      <c r="B475" s="50" t="b">
        <f t="shared" si="124"/>
        <v>0</v>
      </c>
      <c r="C475" s="50" t="e">
        <f t="shared" si="110"/>
        <v>#VALUE!</v>
      </c>
      <c r="E475" s="56">
        <v>471</v>
      </c>
      <c r="G475" s="138"/>
      <c r="H475" s="135">
        <v>1</v>
      </c>
      <c r="I475" s="57" t="str">
        <f t="shared" si="122"/>
        <v/>
      </c>
      <c r="J475" s="58" t="e">
        <f t="shared" si="111"/>
        <v>#VALUE!</v>
      </c>
      <c r="K475" s="50" t="e">
        <f t="shared" si="112"/>
        <v>#VALUE!</v>
      </c>
      <c r="L475" s="50" t="e">
        <f t="shared" si="113"/>
        <v>#VALUE!</v>
      </c>
      <c r="M475" s="50" t="e">
        <f t="shared" si="113"/>
        <v>#VALUE!</v>
      </c>
      <c r="N475" s="50" t="e">
        <f t="shared" si="114"/>
        <v>#VALUE!</v>
      </c>
      <c r="O475" s="50" t="e">
        <f t="shared" si="115"/>
        <v>#VALUE!</v>
      </c>
      <c r="P475" s="50">
        <f t="shared" si="116"/>
        <v>0</v>
      </c>
      <c r="R475" s="55" t="e">
        <f t="shared" si="117"/>
        <v>#VALUE!</v>
      </c>
      <c r="S475" s="55" t="e">
        <f t="shared" si="118"/>
        <v>#VALUE!</v>
      </c>
      <c r="T475" s="55" t="e">
        <f t="shared" si="123"/>
        <v>#VALUE!</v>
      </c>
      <c r="U475" s="50" t="e">
        <f t="shared" si="119"/>
        <v>#VALUE!</v>
      </c>
      <c r="V475" s="50" t="e">
        <f t="shared" si="120"/>
        <v>#VALUE!</v>
      </c>
      <c r="W475" s="50" t="e">
        <f t="shared" si="121"/>
        <v>#VALUE!</v>
      </c>
    </row>
    <row r="476" spans="2:23" x14ac:dyDescent="0.25">
      <c r="B476" s="50" t="b">
        <f t="shared" si="124"/>
        <v>0</v>
      </c>
      <c r="C476" s="50" t="e">
        <f t="shared" si="110"/>
        <v>#VALUE!</v>
      </c>
      <c r="E476" s="56">
        <v>472</v>
      </c>
      <c r="G476" s="138"/>
      <c r="H476" s="135">
        <v>1</v>
      </c>
      <c r="I476" s="57" t="str">
        <f t="shared" si="122"/>
        <v/>
      </c>
      <c r="J476" s="58" t="e">
        <f t="shared" si="111"/>
        <v>#VALUE!</v>
      </c>
      <c r="K476" s="50" t="e">
        <f t="shared" si="112"/>
        <v>#VALUE!</v>
      </c>
      <c r="L476" s="50" t="e">
        <f t="shared" si="113"/>
        <v>#VALUE!</v>
      </c>
      <c r="M476" s="50" t="e">
        <f t="shared" si="113"/>
        <v>#VALUE!</v>
      </c>
      <c r="N476" s="50" t="e">
        <f t="shared" si="114"/>
        <v>#VALUE!</v>
      </c>
      <c r="O476" s="50" t="e">
        <f t="shared" si="115"/>
        <v>#VALUE!</v>
      </c>
      <c r="P476" s="50">
        <f t="shared" si="116"/>
        <v>0</v>
      </c>
      <c r="R476" s="55" t="e">
        <f t="shared" si="117"/>
        <v>#VALUE!</v>
      </c>
      <c r="S476" s="55" t="e">
        <f t="shared" si="118"/>
        <v>#VALUE!</v>
      </c>
      <c r="T476" s="55" t="e">
        <f t="shared" si="123"/>
        <v>#VALUE!</v>
      </c>
      <c r="U476" s="50" t="e">
        <f t="shared" si="119"/>
        <v>#VALUE!</v>
      </c>
      <c r="V476" s="50" t="e">
        <f t="shared" si="120"/>
        <v>#VALUE!</v>
      </c>
      <c r="W476" s="50" t="e">
        <f t="shared" si="121"/>
        <v>#VALUE!</v>
      </c>
    </row>
    <row r="477" spans="2:23" x14ac:dyDescent="0.25">
      <c r="B477" s="50" t="b">
        <f t="shared" si="124"/>
        <v>0</v>
      </c>
      <c r="C477" s="50" t="e">
        <f t="shared" si="110"/>
        <v>#VALUE!</v>
      </c>
      <c r="E477" s="56">
        <v>473</v>
      </c>
      <c r="G477" s="138"/>
      <c r="H477" s="135">
        <v>1</v>
      </c>
      <c r="I477" s="57" t="str">
        <f t="shared" si="122"/>
        <v/>
      </c>
      <c r="J477" s="58" t="e">
        <f t="shared" si="111"/>
        <v>#VALUE!</v>
      </c>
      <c r="K477" s="50" t="e">
        <f t="shared" si="112"/>
        <v>#VALUE!</v>
      </c>
      <c r="L477" s="50" t="e">
        <f t="shared" si="113"/>
        <v>#VALUE!</v>
      </c>
      <c r="M477" s="50" t="e">
        <f t="shared" si="113"/>
        <v>#VALUE!</v>
      </c>
      <c r="N477" s="50" t="e">
        <f t="shared" si="114"/>
        <v>#VALUE!</v>
      </c>
      <c r="O477" s="50" t="e">
        <f t="shared" si="115"/>
        <v>#VALUE!</v>
      </c>
      <c r="P477" s="50">
        <f t="shared" si="116"/>
        <v>0</v>
      </c>
      <c r="R477" s="55" t="e">
        <f t="shared" si="117"/>
        <v>#VALUE!</v>
      </c>
      <c r="S477" s="55" t="e">
        <f t="shared" si="118"/>
        <v>#VALUE!</v>
      </c>
      <c r="T477" s="55" t="e">
        <f t="shared" si="123"/>
        <v>#VALUE!</v>
      </c>
      <c r="U477" s="50" t="e">
        <f t="shared" si="119"/>
        <v>#VALUE!</v>
      </c>
      <c r="V477" s="50" t="e">
        <f t="shared" si="120"/>
        <v>#VALUE!</v>
      </c>
      <c r="W477" s="50" t="e">
        <f t="shared" si="121"/>
        <v>#VALUE!</v>
      </c>
    </row>
    <row r="478" spans="2:23" x14ac:dyDescent="0.25">
      <c r="B478" s="50" t="b">
        <f t="shared" si="124"/>
        <v>0</v>
      </c>
      <c r="C478" s="50" t="e">
        <f t="shared" si="110"/>
        <v>#VALUE!</v>
      </c>
      <c r="E478" s="56">
        <v>474</v>
      </c>
      <c r="G478" s="138"/>
      <c r="H478" s="135">
        <v>1</v>
      </c>
      <c r="I478" s="57" t="str">
        <f t="shared" si="122"/>
        <v/>
      </c>
      <c r="J478" s="58" t="e">
        <f t="shared" si="111"/>
        <v>#VALUE!</v>
      </c>
      <c r="K478" s="50" t="e">
        <f t="shared" si="112"/>
        <v>#VALUE!</v>
      </c>
      <c r="L478" s="50" t="e">
        <f t="shared" si="113"/>
        <v>#VALUE!</v>
      </c>
      <c r="M478" s="50" t="e">
        <f t="shared" si="113"/>
        <v>#VALUE!</v>
      </c>
      <c r="N478" s="50" t="e">
        <f t="shared" si="114"/>
        <v>#VALUE!</v>
      </c>
      <c r="O478" s="50" t="e">
        <f t="shared" si="115"/>
        <v>#VALUE!</v>
      </c>
      <c r="P478" s="50">
        <f t="shared" si="116"/>
        <v>0</v>
      </c>
      <c r="R478" s="55" t="e">
        <f t="shared" si="117"/>
        <v>#VALUE!</v>
      </c>
      <c r="S478" s="55" t="e">
        <f t="shared" si="118"/>
        <v>#VALUE!</v>
      </c>
      <c r="T478" s="55" t="e">
        <f t="shared" si="123"/>
        <v>#VALUE!</v>
      </c>
      <c r="U478" s="50" t="e">
        <f t="shared" si="119"/>
        <v>#VALUE!</v>
      </c>
      <c r="V478" s="50" t="e">
        <f t="shared" si="120"/>
        <v>#VALUE!</v>
      </c>
      <c r="W478" s="50" t="e">
        <f t="shared" si="121"/>
        <v>#VALUE!</v>
      </c>
    </row>
    <row r="479" spans="2:23" x14ac:dyDescent="0.25">
      <c r="B479" s="50" t="b">
        <f t="shared" si="124"/>
        <v>0</v>
      </c>
      <c r="C479" s="50" t="e">
        <f t="shared" si="110"/>
        <v>#VALUE!</v>
      </c>
      <c r="E479" s="56">
        <v>475</v>
      </c>
      <c r="G479" s="138"/>
      <c r="H479" s="135">
        <v>1</v>
      </c>
      <c r="I479" s="57" t="str">
        <f t="shared" si="122"/>
        <v/>
      </c>
      <c r="J479" s="58" t="e">
        <f t="shared" si="111"/>
        <v>#VALUE!</v>
      </c>
      <c r="K479" s="50" t="e">
        <f t="shared" si="112"/>
        <v>#VALUE!</v>
      </c>
      <c r="L479" s="50" t="e">
        <f t="shared" si="113"/>
        <v>#VALUE!</v>
      </c>
      <c r="M479" s="50" t="e">
        <f t="shared" si="113"/>
        <v>#VALUE!</v>
      </c>
      <c r="N479" s="50" t="e">
        <f t="shared" si="114"/>
        <v>#VALUE!</v>
      </c>
      <c r="O479" s="50" t="e">
        <f t="shared" si="115"/>
        <v>#VALUE!</v>
      </c>
      <c r="P479" s="50">
        <f t="shared" si="116"/>
        <v>0</v>
      </c>
      <c r="R479" s="55" t="e">
        <f t="shared" si="117"/>
        <v>#VALUE!</v>
      </c>
      <c r="S479" s="55" t="e">
        <f t="shared" si="118"/>
        <v>#VALUE!</v>
      </c>
      <c r="T479" s="55" t="e">
        <f t="shared" si="123"/>
        <v>#VALUE!</v>
      </c>
      <c r="U479" s="50" t="e">
        <f t="shared" si="119"/>
        <v>#VALUE!</v>
      </c>
      <c r="V479" s="50" t="e">
        <f t="shared" si="120"/>
        <v>#VALUE!</v>
      </c>
      <c r="W479" s="50" t="e">
        <f t="shared" si="121"/>
        <v>#VALUE!</v>
      </c>
    </row>
    <row r="480" spans="2:23" x14ac:dyDescent="0.25">
      <c r="B480" s="50" t="b">
        <f t="shared" si="124"/>
        <v>0</v>
      </c>
      <c r="C480" s="50" t="e">
        <f t="shared" si="110"/>
        <v>#VALUE!</v>
      </c>
      <c r="E480" s="56">
        <v>476</v>
      </c>
      <c r="G480" s="138"/>
      <c r="H480" s="135">
        <v>1</v>
      </c>
      <c r="I480" s="57" t="str">
        <f t="shared" si="122"/>
        <v/>
      </c>
      <c r="J480" s="58" t="e">
        <f t="shared" si="111"/>
        <v>#VALUE!</v>
      </c>
      <c r="K480" s="50" t="e">
        <f t="shared" si="112"/>
        <v>#VALUE!</v>
      </c>
      <c r="L480" s="50" t="e">
        <f t="shared" si="113"/>
        <v>#VALUE!</v>
      </c>
      <c r="M480" s="50" t="e">
        <f t="shared" si="113"/>
        <v>#VALUE!</v>
      </c>
      <c r="N480" s="50" t="e">
        <f t="shared" si="114"/>
        <v>#VALUE!</v>
      </c>
      <c r="O480" s="50" t="e">
        <f t="shared" si="115"/>
        <v>#VALUE!</v>
      </c>
      <c r="P480" s="50">
        <f t="shared" si="116"/>
        <v>0</v>
      </c>
      <c r="R480" s="55" t="e">
        <f t="shared" si="117"/>
        <v>#VALUE!</v>
      </c>
      <c r="S480" s="55" t="e">
        <f t="shared" si="118"/>
        <v>#VALUE!</v>
      </c>
      <c r="T480" s="55" t="e">
        <f t="shared" si="123"/>
        <v>#VALUE!</v>
      </c>
      <c r="U480" s="50" t="e">
        <f t="shared" si="119"/>
        <v>#VALUE!</v>
      </c>
      <c r="V480" s="50" t="e">
        <f t="shared" si="120"/>
        <v>#VALUE!</v>
      </c>
      <c r="W480" s="50" t="e">
        <f t="shared" si="121"/>
        <v>#VALUE!</v>
      </c>
    </row>
    <row r="481" spans="2:23" x14ac:dyDescent="0.25">
      <c r="B481" s="50" t="b">
        <f t="shared" si="124"/>
        <v>0</v>
      </c>
      <c r="C481" s="50" t="e">
        <f t="shared" si="110"/>
        <v>#VALUE!</v>
      </c>
      <c r="E481" s="56">
        <v>477</v>
      </c>
      <c r="G481" s="138"/>
      <c r="H481" s="135">
        <v>1</v>
      </c>
      <c r="I481" s="57" t="str">
        <f t="shared" si="122"/>
        <v/>
      </c>
      <c r="J481" s="58" t="e">
        <f t="shared" si="111"/>
        <v>#VALUE!</v>
      </c>
      <c r="K481" s="50" t="e">
        <f t="shared" si="112"/>
        <v>#VALUE!</v>
      </c>
      <c r="L481" s="50" t="e">
        <f t="shared" si="113"/>
        <v>#VALUE!</v>
      </c>
      <c r="M481" s="50" t="e">
        <f t="shared" si="113"/>
        <v>#VALUE!</v>
      </c>
      <c r="N481" s="50" t="e">
        <f t="shared" si="114"/>
        <v>#VALUE!</v>
      </c>
      <c r="O481" s="50" t="e">
        <f t="shared" si="115"/>
        <v>#VALUE!</v>
      </c>
      <c r="P481" s="50">
        <f t="shared" si="116"/>
        <v>0</v>
      </c>
      <c r="R481" s="55" t="e">
        <f t="shared" si="117"/>
        <v>#VALUE!</v>
      </c>
      <c r="S481" s="55" t="e">
        <f t="shared" si="118"/>
        <v>#VALUE!</v>
      </c>
      <c r="T481" s="55" t="e">
        <f t="shared" si="123"/>
        <v>#VALUE!</v>
      </c>
      <c r="U481" s="50" t="e">
        <f t="shared" si="119"/>
        <v>#VALUE!</v>
      </c>
      <c r="V481" s="50" t="e">
        <f t="shared" si="120"/>
        <v>#VALUE!</v>
      </c>
      <c r="W481" s="50" t="e">
        <f t="shared" si="121"/>
        <v>#VALUE!</v>
      </c>
    </row>
    <row r="482" spans="2:23" x14ac:dyDescent="0.25">
      <c r="B482" s="50" t="b">
        <f t="shared" si="124"/>
        <v>0</v>
      </c>
      <c r="C482" s="50" t="e">
        <f t="shared" si="110"/>
        <v>#VALUE!</v>
      </c>
      <c r="E482" s="56">
        <v>478</v>
      </c>
      <c r="G482" s="138"/>
      <c r="H482" s="135">
        <v>1</v>
      </c>
      <c r="I482" s="57" t="str">
        <f t="shared" si="122"/>
        <v/>
      </c>
      <c r="J482" s="58" t="e">
        <f t="shared" si="111"/>
        <v>#VALUE!</v>
      </c>
      <c r="K482" s="50" t="e">
        <f t="shared" si="112"/>
        <v>#VALUE!</v>
      </c>
      <c r="L482" s="50" t="e">
        <f t="shared" si="113"/>
        <v>#VALUE!</v>
      </c>
      <c r="M482" s="50" t="e">
        <f t="shared" si="113"/>
        <v>#VALUE!</v>
      </c>
      <c r="N482" s="50" t="e">
        <f t="shared" si="114"/>
        <v>#VALUE!</v>
      </c>
      <c r="O482" s="50" t="e">
        <f t="shared" si="115"/>
        <v>#VALUE!</v>
      </c>
      <c r="P482" s="50">
        <f t="shared" si="116"/>
        <v>0</v>
      </c>
      <c r="R482" s="55" t="e">
        <f t="shared" si="117"/>
        <v>#VALUE!</v>
      </c>
      <c r="S482" s="55" t="e">
        <f t="shared" si="118"/>
        <v>#VALUE!</v>
      </c>
      <c r="T482" s="55" t="e">
        <f t="shared" si="123"/>
        <v>#VALUE!</v>
      </c>
      <c r="U482" s="50" t="e">
        <f t="shared" si="119"/>
        <v>#VALUE!</v>
      </c>
      <c r="V482" s="50" t="e">
        <f t="shared" si="120"/>
        <v>#VALUE!</v>
      </c>
      <c r="W482" s="50" t="e">
        <f t="shared" si="121"/>
        <v>#VALUE!</v>
      </c>
    </row>
    <row r="483" spans="2:23" x14ac:dyDescent="0.25">
      <c r="B483" s="50" t="b">
        <f t="shared" si="124"/>
        <v>0</v>
      </c>
      <c r="C483" s="50" t="e">
        <f t="shared" si="110"/>
        <v>#VALUE!</v>
      </c>
      <c r="E483" s="56">
        <v>479</v>
      </c>
      <c r="G483" s="138"/>
      <c r="H483" s="135">
        <v>1</v>
      </c>
      <c r="I483" s="57" t="str">
        <f t="shared" si="122"/>
        <v/>
      </c>
      <c r="J483" s="58" t="e">
        <f t="shared" si="111"/>
        <v>#VALUE!</v>
      </c>
      <c r="K483" s="50" t="e">
        <f t="shared" si="112"/>
        <v>#VALUE!</v>
      </c>
      <c r="L483" s="50" t="e">
        <f t="shared" si="113"/>
        <v>#VALUE!</v>
      </c>
      <c r="M483" s="50" t="e">
        <f t="shared" si="113"/>
        <v>#VALUE!</v>
      </c>
      <c r="N483" s="50" t="e">
        <f t="shared" si="114"/>
        <v>#VALUE!</v>
      </c>
      <c r="O483" s="50" t="e">
        <f t="shared" si="115"/>
        <v>#VALUE!</v>
      </c>
      <c r="P483" s="50">
        <f t="shared" si="116"/>
        <v>0</v>
      </c>
      <c r="R483" s="55" t="e">
        <f t="shared" si="117"/>
        <v>#VALUE!</v>
      </c>
      <c r="S483" s="55" t="e">
        <f t="shared" si="118"/>
        <v>#VALUE!</v>
      </c>
      <c r="T483" s="55" t="e">
        <f t="shared" si="123"/>
        <v>#VALUE!</v>
      </c>
      <c r="U483" s="50" t="e">
        <f t="shared" si="119"/>
        <v>#VALUE!</v>
      </c>
      <c r="V483" s="50" t="e">
        <f t="shared" si="120"/>
        <v>#VALUE!</v>
      </c>
      <c r="W483" s="50" t="e">
        <f t="shared" si="121"/>
        <v>#VALUE!</v>
      </c>
    </row>
    <row r="484" spans="2:23" x14ac:dyDescent="0.25">
      <c r="B484" s="50" t="b">
        <f t="shared" si="124"/>
        <v>0</v>
      </c>
      <c r="C484" s="50" t="e">
        <f t="shared" si="110"/>
        <v>#VALUE!</v>
      </c>
      <c r="E484" s="56">
        <v>480</v>
      </c>
      <c r="G484" s="138"/>
      <c r="H484" s="135">
        <v>1</v>
      </c>
      <c r="I484" s="57" t="str">
        <f t="shared" si="122"/>
        <v/>
      </c>
      <c r="J484" s="58" t="e">
        <f t="shared" si="111"/>
        <v>#VALUE!</v>
      </c>
      <c r="K484" s="50" t="e">
        <f t="shared" si="112"/>
        <v>#VALUE!</v>
      </c>
      <c r="L484" s="50" t="e">
        <f t="shared" si="113"/>
        <v>#VALUE!</v>
      </c>
      <c r="M484" s="50" t="e">
        <f t="shared" si="113"/>
        <v>#VALUE!</v>
      </c>
      <c r="N484" s="50" t="e">
        <f t="shared" si="114"/>
        <v>#VALUE!</v>
      </c>
      <c r="O484" s="50" t="e">
        <f t="shared" si="115"/>
        <v>#VALUE!</v>
      </c>
      <c r="P484" s="50">
        <f t="shared" si="116"/>
        <v>0</v>
      </c>
      <c r="R484" s="55" t="e">
        <f t="shared" si="117"/>
        <v>#VALUE!</v>
      </c>
      <c r="S484" s="55" t="e">
        <f t="shared" si="118"/>
        <v>#VALUE!</v>
      </c>
      <c r="T484" s="55" t="e">
        <f t="shared" si="123"/>
        <v>#VALUE!</v>
      </c>
      <c r="U484" s="50" t="e">
        <f t="shared" si="119"/>
        <v>#VALUE!</v>
      </c>
      <c r="V484" s="50" t="e">
        <f t="shared" si="120"/>
        <v>#VALUE!</v>
      </c>
      <c r="W484" s="50" t="e">
        <f t="shared" si="121"/>
        <v>#VALUE!</v>
      </c>
    </row>
    <row r="485" spans="2:23" x14ac:dyDescent="0.25">
      <c r="B485" s="50" t="b">
        <f t="shared" si="124"/>
        <v>0</v>
      </c>
      <c r="C485" s="50" t="e">
        <f t="shared" si="110"/>
        <v>#VALUE!</v>
      </c>
      <c r="E485" s="56">
        <v>481</v>
      </c>
      <c r="G485" s="138"/>
      <c r="H485" s="135">
        <v>1</v>
      </c>
      <c r="I485" s="57" t="str">
        <f t="shared" si="122"/>
        <v/>
      </c>
      <c r="J485" s="58" t="e">
        <f t="shared" si="111"/>
        <v>#VALUE!</v>
      </c>
      <c r="K485" s="50" t="e">
        <f t="shared" si="112"/>
        <v>#VALUE!</v>
      </c>
      <c r="L485" s="50" t="e">
        <f t="shared" si="113"/>
        <v>#VALUE!</v>
      </c>
      <c r="M485" s="50" t="e">
        <f t="shared" si="113"/>
        <v>#VALUE!</v>
      </c>
      <c r="N485" s="50" t="e">
        <f t="shared" si="114"/>
        <v>#VALUE!</v>
      </c>
      <c r="O485" s="50" t="e">
        <f t="shared" si="115"/>
        <v>#VALUE!</v>
      </c>
      <c r="P485" s="50">
        <f t="shared" si="116"/>
        <v>0</v>
      </c>
      <c r="R485" s="55" t="e">
        <f t="shared" si="117"/>
        <v>#VALUE!</v>
      </c>
      <c r="S485" s="55" t="e">
        <f t="shared" si="118"/>
        <v>#VALUE!</v>
      </c>
      <c r="T485" s="55" t="e">
        <f t="shared" si="123"/>
        <v>#VALUE!</v>
      </c>
      <c r="U485" s="50" t="e">
        <f t="shared" si="119"/>
        <v>#VALUE!</v>
      </c>
      <c r="V485" s="50" t="e">
        <f t="shared" si="120"/>
        <v>#VALUE!</v>
      </c>
      <c r="W485" s="50" t="e">
        <f t="shared" si="121"/>
        <v>#VALUE!</v>
      </c>
    </row>
    <row r="486" spans="2:23" x14ac:dyDescent="0.25">
      <c r="B486" s="50" t="b">
        <f t="shared" si="124"/>
        <v>0</v>
      </c>
      <c r="C486" s="50" t="e">
        <f t="shared" si="110"/>
        <v>#VALUE!</v>
      </c>
      <c r="E486" s="56">
        <v>482</v>
      </c>
      <c r="G486" s="138"/>
      <c r="H486" s="135">
        <v>1</v>
      </c>
      <c r="I486" s="57" t="str">
        <f t="shared" si="122"/>
        <v/>
      </c>
      <c r="J486" s="58" t="e">
        <f t="shared" si="111"/>
        <v>#VALUE!</v>
      </c>
      <c r="K486" s="50" t="e">
        <f t="shared" si="112"/>
        <v>#VALUE!</v>
      </c>
      <c r="L486" s="50" t="e">
        <f t="shared" si="113"/>
        <v>#VALUE!</v>
      </c>
      <c r="M486" s="50" t="e">
        <f t="shared" si="113"/>
        <v>#VALUE!</v>
      </c>
      <c r="N486" s="50" t="e">
        <f t="shared" si="114"/>
        <v>#VALUE!</v>
      </c>
      <c r="O486" s="50" t="e">
        <f t="shared" si="115"/>
        <v>#VALUE!</v>
      </c>
      <c r="P486" s="50">
        <f t="shared" si="116"/>
        <v>0</v>
      </c>
      <c r="R486" s="55" t="e">
        <f t="shared" si="117"/>
        <v>#VALUE!</v>
      </c>
      <c r="S486" s="55" t="e">
        <f t="shared" si="118"/>
        <v>#VALUE!</v>
      </c>
      <c r="T486" s="55" t="e">
        <f t="shared" si="123"/>
        <v>#VALUE!</v>
      </c>
      <c r="U486" s="50" t="e">
        <f t="shared" si="119"/>
        <v>#VALUE!</v>
      </c>
      <c r="V486" s="50" t="e">
        <f t="shared" si="120"/>
        <v>#VALUE!</v>
      </c>
      <c r="W486" s="50" t="e">
        <f t="shared" si="121"/>
        <v>#VALUE!</v>
      </c>
    </row>
    <row r="487" spans="2:23" x14ac:dyDescent="0.25">
      <c r="B487" s="50" t="b">
        <f t="shared" si="124"/>
        <v>0</v>
      </c>
      <c r="C487" s="50" t="e">
        <f t="shared" si="110"/>
        <v>#VALUE!</v>
      </c>
      <c r="E487" s="56">
        <v>483</v>
      </c>
      <c r="G487" s="138"/>
      <c r="H487" s="135">
        <v>1</v>
      </c>
      <c r="I487" s="57" t="str">
        <f t="shared" si="122"/>
        <v/>
      </c>
      <c r="J487" s="58" t="e">
        <f t="shared" si="111"/>
        <v>#VALUE!</v>
      </c>
      <c r="K487" s="50" t="e">
        <f t="shared" si="112"/>
        <v>#VALUE!</v>
      </c>
      <c r="L487" s="50" t="e">
        <f t="shared" si="113"/>
        <v>#VALUE!</v>
      </c>
      <c r="M487" s="50" t="e">
        <f t="shared" si="113"/>
        <v>#VALUE!</v>
      </c>
      <c r="N487" s="50" t="e">
        <f t="shared" si="114"/>
        <v>#VALUE!</v>
      </c>
      <c r="O487" s="50" t="e">
        <f t="shared" si="115"/>
        <v>#VALUE!</v>
      </c>
      <c r="P487" s="50">
        <f t="shared" si="116"/>
        <v>0</v>
      </c>
      <c r="R487" s="55" t="e">
        <f t="shared" si="117"/>
        <v>#VALUE!</v>
      </c>
      <c r="S487" s="55" t="e">
        <f t="shared" si="118"/>
        <v>#VALUE!</v>
      </c>
      <c r="T487" s="55" t="e">
        <f t="shared" si="123"/>
        <v>#VALUE!</v>
      </c>
      <c r="U487" s="50" t="e">
        <f t="shared" si="119"/>
        <v>#VALUE!</v>
      </c>
      <c r="V487" s="50" t="e">
        <f t="shared" si="120"/>
        <v>#VALUE!</v>
      </c>
      <c r="W487" s="50" t="e">
        <f t="shared" si="121"/>
        <v>#VALUE!</v>
      </c>
    </row>
    <row r="488" spans="2:23" x14ac:dyDescent="0.25">
      <c r="B488" s="50" t="b">
        <f t="shared" si="124"/>
        <v>0</v>
      </c>
      <c r="C488" s="50" t="e">
        <f t="shared" si="110"/>
        <v>#VALUE!</v>
      </c>
      <c r="E488" s="56">
        <v>484</v>
      </c>
      <c r="G488" s="138"/>
      <c r="H488" s="135">
        <v>1</v>
      </c>
      <c r="I488" s="57" t="str">
        <f t="shared" si="122"/>
        <v/>
      </c>
      <c r="J488" s="58" t="e">
        <f t="shared" si="111"/>
        <v>#VALUE!</v>
      </c>
      <c r="K488" s="50" t="e">
        <f t="shared" si="112"/>
        <v>#VALUE!</v>
      </c>
      <c r="L488" s="50" t="e">
        <f t="shared" si="113"/>
        <v>#VALUE!</v>
      </c>
      <c r="M488" s="50" t="e">
        <f t="shared" si="113"/>
        <v>#VALUE!</v>
      </c>
      <c r="N488" s="50" t="e">
        <f t="shared" si="114"/>
        <v>#VALUE!</v>
      </c>
      <c r="O488" s="50" t="e">
        <f t="shared" si="115"/>
        <v>#VALUE!</v>
      </c>
      <c r="P488" s="50">
        <f t="shared" si="116"/>
        <v>0</v>
      </c>
      <c r="R488" s="55" t="e">
        <f t="shared" si="117"/>
        <v>#VALUE!</v>
      </c>
      <c r="S488" s="55" t="e">
        <f t="shared" si="118"/>
        <v>#VALUE!</v>
      </c>
      <c r="T488" s="55" t="e">
        <f t="shared" si="123"/>
        <v>#VALUE!</v>
      </c>
      <c r="U488" s="50" t="e">
        <f t="shared" si="119"/>
        <v>#VALUE!</v>
      </c>
      <c r="V488" s="50" t="e">
        <f t="shared" si="120"/>
        <v>#VALUE!</v>
      </c>
      <c r="W488" s="50" t="e">
        <f t="shared" si="121"/>
        <v>#VALUE!</v>
      </c>
    </row>
    <row r="489" spans="2:23" x14ac:dyDescent="0.25">
      <c r="B489" s="50" t="b">
        <f t="shared" si="124"/>
        <v>0</v>
      </c>
      <c r="C489" s="50" t="e">
        <f t="shared" si="110"/>
        <v>#VALUE!</v>
      </c>
      <c r="E489" s="56">
        <v>485</v>
      </c>
      <c r="G489" s="138"/>
      <c r="H489" s="135">
        <v>1</v>
      </c>
      <c r="I489" s="57" t="str">
        <f t="shared" si="122"/>
        <v/>
      </c>
      <c r="J489" s="58" t="e">
        <f t="shared" si="111"/>
        <v>#VALUE!</v>
      </c>
      <c r="K489" s="50" t="e">
        <f t="shared" si="112"/>
        <v>#VALUE!</v>
      </c>
      <c r="L489" s="50" t="e">
        <f t="shared" si="113"/>
        <v>#VALUE!</v>
      </c>
      <c r="M489" s="50" t="e">
        <f t="shared" si="113"/>
        <v>#VALUE!</v>
      </c>
      <c r="N489" s="50" t="e">
        <f t="shared" si="114"/>
        <v>#VALUE!</v>
      </c>
      <c r="O489" s="50" t="e">
        <f t="shared" si="115"/>
        <v>#VALUE!</v>
      </c>
      <c r="P489" s="50">
        <f t="shared" si="116"/>
        <v>0</v>
      </c>
      <c r="R489" s="55" t="e">
        <f t="shared" si="117"/>
        <v>#VALUE!</v>
      </c>
      <c r="S489" s="55" t="e">
        <f t="shared" si="118"/>
        <v>#VALUE!</v>
      </c>
      <c r="T489" s="55" t="e">
        <f t="shared" si="123"/>
        <v>#VALUE!</v>
      </c>
      <c r="U489" s="50" t="e">
        <f t="shared" si="119"/>
        <v>#VALUE!</v>
      </c>
      <c r="V489" s="50" t="e">
        <f t="shared" si="120"/>
        <v>#VALUE!</v>
      </c>
      <c r="W489" s="50" t="e">
        <f t="shared" si="121"/>
        <v>#VALUE!</v>
      </c>
    </row>
    <row r="490" spans="2:23" x14ac:dyDescent="0.25">
      <c r="B490" s="50" t="b">
        <f t="shared" si="124"/>
        <v>0</v>
      </c>
      <c r="C490" s="50" t="e">
        <f t="shared" si="110"/>
        <v>#VALUE!</v>
      </c>
      <c r="E490" s="56">
        <v>486</v>
      </c>
      <c r="G490" s="138"/>
      <c r="H490" s="135">
        <v>1</v>
      </c>
      <c r="I490" s="57" t="str">
        <f t="shared" si="122"/>
        <v/>
      </c>
      <c r="J490" s="58" t="e">
        <f t="shared" si="111"/>
        <v>#VALUE!</v>
      </c>
      <c r="K490" s="50" t="e">
        <f t="shared" si="112"/>
        <v>#VALUE!</v>
      </c>
      <c r="L490" s="50" t="e">
        <f t="shared" si="113"/>
        <v>#VALUE!</v>
      </c>
      <c r="M490" s="50" t="e">
        <f t="shared" si="113"/>
        <v>#VALUE!</v>
      </c>
      <c r="N490" s="50" t="e">
        <f t="shared" si="114"/>
        <v>#VALUE!</v>
      </c>
      <c r="O490" s="50" t="e">
        <f t="shared" si="115"/>
        <v>#VALUE!</v>
      </c>
      <c r="P490" s="50">
        <f t="shared" si="116"/>
        <v>0</v>
      </c>
      <c r="R490" s="55" t="e">
        <f t="shared" si="117"/>
        <v>#VALUE!</v>
      </c>
      <c r="S490" s="55" t="e">
        <f t="shared" si="118"/>
        <v>#VALUE!</v>
      </c>
      <c r="T490" s="55" t="e">
        <f t="shared" si="123"/>
        <v>#VALUE!</v>
      </c>
      <c r="U490" s="50" t="e">
        <f t="shared" si="119"/>
        <v>#VALUE!</v>
      </c>
      <c r="V490" s="50" t="e">
        <f t="shared" si="120"/>
        <v>#VALUE!</v>
      </c>
      <c r="W490" s="50" t="e">
        <f t="shared" si="121"/>
        <v>#VALUE!</v>
      </c>
    </row>
    <row r="491" spans="2:23" x14ac:dyDescent="0.25">
      <c r="B491" s="50" t="b">
        <f t="shared" si="124"/>
        <v>0</v>
      </c>
      <c r="C491" s="50" t="e">
        <f t="shared" si="110"/>
        <v>#VALUE!</v>
      </c>
      <c r="E491" s="56">
        <v>487</v>
      </c>
      <c r="G491" s="138"/>
      <c r="H491" s="135">
        <v>1</v>
      </c>
      <c r="I491" s="57" t="str">
        <f t="shared" si="122"/>
        <v/>
      </c>
      <c r="J491" s="58" t="e">
        <f t="shared" si="111"/>
        <v>#VALUE!</v>
      </c>
      <c r="K491" s="50" t="e">
        <f t="shared" si="112"/>
        <v>#VALUE!</v>
      </c>
      <c r="L491" s="50" t="e">
        <f t="shared" si="113"/>
        <v>#VALUE!</v>
      </c>
      <c r="M491" s="50" t="e">
        <f t="shared" si="113"/>
        <v>#VALUE!</v>
      </c>
      <c r="N491" s="50" t="e">
        <f t="shared" si="114"/>
        <v>#VALUE!</v>
      </c>
      <c r="O491" s="50" t="e">
        <f t="shared" si="115"/>
        <v>#VALUE!</v>
      </c>
      <c r="P491" s="50">
        <f t="shared" si="116"/>
        <v>0</v>
      </c>
      <c r="R491" s="55" t="e">
        <f t="shared" si="117"/>
        <v>#VALUE!</v>
      </c>
      <c r="S491" s="55" t="e">
        <f t="shared" si="118"/>
        <v>#VALUE!</v>
      </c>
      <c r="T491" s="55" t="e">
        <f t="shared" si="123"/>
        <v>#VALUE!</v>
      </c>
      <c r="U491" s="50" t="e">
        <f t="shared" si="119"/>
        <v>#VALUE!</v>
      </c>
      <c r="V491" s="50" t="e">
        <f t="shared" si="120"/>
        <v>#VALUE!</v>
      </c>
      <c r="W491" s="50" t="e">
        <f t="shared" si="121"/>
        <v>#VALUE!</v>
      </c>
    </row>
    <row r="492" spans="2:23" x14ac:dyDescent="0.25">
      <c r="B492" s="50" t="b">
        <f t="shared" si="124"/>
        <v>0</v>
      </c>
      <c r="C492" s="50" t="e">
        <f t="shared" si="110"/>
        <v>#VALUE!</v>
      </c>
      <c r="E492" s="56">
        <v>488</v>
      </c>
      <c r="G492" s="138"/>
      <c r="H492" s="135">
        <v>1</v>
      </c>
      <c r="I492" s="57" t="str">
        <f t="shared" si="122"/>
        <v/>
      </c>
      <c r="J492" s="58" t="e">
        <f t="shared" si="111"/>
        <v>#VALUE!</v>
      </c>
      <c r="K492" s="50" t="e">
        <f t="shared" si="112"/>
        <v>#VALUE!</v>
      </c>
      <c r="L492" s="50" t="e">
        <f t="shared" si="113"/>
        <v>#VALUE!</v>
      </c>
      <c r="M492" s="50" t="e">
        <f t="shared" si="113"/>
        <v>#VALUE!</v>
      </c>
      <c r="N492" s="50" t="e">
        <f t="shared" si="114"/>
        <v>#VALUE!</v>
      </c>
      <c r="O492" s="50" t="e">
        <f t="shared" si="115"/>
        <v>#VALUE!</v>
      </c>
      <c r="P492" s="50">
        <f t="shared" si="116"/>
        <v>0</v>
      </c>
      <c r="R492" s="55" t="e">
        <f t="shared" si="117"/>
        <v>#VALUE!</v>
      </c>
      <c r="S492" s="55" t="e">
        <f t="shared" si="118"/>
        <v>#VALUE!</v>
      </c>
      <c r="T492" s="55" t="e">
        <f t="shared" si="123"/>
        <v>#VALUE!</v>
      </c>
      <c r="U492" s="50" t="e">
        <f t="shared" si="119"/>
        <v>#VALUE!</v>
      </c>
      <c r="V492" s="50" t="e">
        <f t="shared" si="120"/>
        <v>#VALUE!</v>
      </c>
      <c r="W492" s="50" t="e">
        <f t="shared" si="121"/>
        <v>#VALUE!</v>
      </c>
    </row>
    <row r="493" spans="2:23" x14ac:dyDescent="0.25">
      <c r="B493" s="50" t="b">
        <f t="shared" si="124"/>
        <v>0</v>
      </c>
      <c r="C493" s="50" t="e">
        <f t="shared" si="110"/>
        <v>#VALUE!</v>
      </c>
      <c r="E493" s="56">
        <v>489</v>
      </c>
      <c r="G493" s="138"/>
      <c r="H493" s="135">
        <v>1</v>
      </c>
      <c r="I493" s="57" t="str">
        <f t="shared" si="122"/>
        <v/>
      </c>
      <c r="J493" s="58" t="e">
        <f t="shared" si="111"/>
        <v>#VALUE!</v>
      </c>
      <c r="K493" s="50" t="e">
        <f t="shared" si="112"/>
        <v>#VALUE!</v>
      </c>
      <c r="L493" s="50" t="e">
        <f t="shared" si="113"/>
        <v>#VALUE!</v>
      </c>
      <c r="M493" s="50" t="e">
        <f t="shared" si="113"/>
        <v>#VALUE!</v>
      </c>
      <c r="N493" s="50" t="e">
        <f t="shared" si="114"/>
        <v>#VALUE!</v>
      </c>
      <c r="O493" s="50" t="e">
        <f t="shared" si="115"/>
        <v>#VALUE!</v>
      </c>
      <c r="P493" s="50">
        <f t="shared" si="116"/>
        <v>0</v>
      </c>
      <c r="R493" s="55" t="e">
        <f t="shared" si="117"/>
        <v>#VALUE!</v>
      </c>
      <c r="S493" s="55" t="e">
        <f t="shared" si="118"/>
        <v>#VALUE!</v>
      </c>
      <c r="T493" s="55" t="e">
        <f t="shared" si="123"/>
        <v>#VALUE!</v>
      </c>
      <c r="U493" s="50" t="e">
        <f t="shared" si="119"/>
        <v>#VALUE!</v>
      </c>
      <c r="V493" s="50" t="e">
        <f t="shared" si="120"/>
        <v>#VALUE!</v>
      </c>
      <c r="W493" s="50" t="e">
        <f t="shared" si="121"/>
        <v>#VALUE!</v>
      </c>
    </row>
    <row r="494" spans="2:23" x14ac:dyDescent="0.25">
      <c r="B494" s="50" t="b">
        <f t="shared" si="124"/>
        <v>0</v>
      </c>
      <c r="C494" s="50" t="e">
        <f t="shared" si="110"/>
        <v>#VALUE!</v>
      </c>
      <c r="E494" s="56">
        <v>490</v>
      </c>
      <c r="G494" s="138"/>
      <c r="H494" s="135">
        <v>1</v>
      </c>
      <c r="I494" s="57" t="str">
        <f t="shared" si="122"/>
        <v/>
      </c>
      <c r="J494" s="58" t="e">
        <f t="shared" si="111"/>
        <v>#VALUE!</v>
      </c>
      <c r="K494" s="50" t="e">
        <f t="shared" si="112"/>
        <v>#VALUE!</v>
      </c>
      <c r="L494" s="50" t="e">
        <f t="shared" si="113"/>
        <v>#VALUE!</v>
      </c>
      <c r="M494" s="50" t="e">
        <f t="shared" si="113"/>
        <v>#VALUE!</v>
      </c>
      <c r="N494" s="50" t="e">
        <f t="shared" si="114"/>
        <v>#VALUE!</v>
      </c>
      <c r="O494" s="50" t="e">
        <f t="shared" si="115"/>
        <v>#VALUE!</v>
      </c>
      <c r="P494" s="50">
        <f t="shared" si="116"/>
        <v>0</v>
      </c>
      <c r="R494" s="55" t="e">
        <f t="shared" si="117"/>
        <v>#VALUE!</v>
      </c>
      <c r="S494" s="55" t="e">
        <f t="shared" si="118"/>
        <v>#VALUE!</v>
      </c>
      <c r="T494" s="55" t="e">
        <f t="shared" si="123"/>
        <v>#VALUE!</v>
      </c>
      <c r="U494" s="50" t="e">
        <f t="shared" si="119"/>
        <v>#VALUE!</v>
      </c>
      <c r="V494" s="50" t="e">
        <f t="shared" si="120"/>
        <v>#VALUE!</v>
      </c>
      <c r="W494" s="50" t="e">
        <f t="shared" si="121"/>
        <v>#VALUE!</v>
      </c>
    </row>
    <row r="495" spans="2:23" x14ac:dyDescent="0.25">
      <c r="B495" s="50" t="b">
        <f t="shared" si="124"/>
        <v>0</v>
      </c>
      <c r="C495" s="50" t="e">
        <f t="shared" si="110"/>
        <v>#VALUE!</v>
      </c>
      <c r="E495" s="56">
        <v>491</v>
      </c>
      <c r="G495" s="138"/>
      <c r="H495" s="135">
        <v>1</v>
      </c>
      <c r="I495" s="57" t="str">
        <f t="shared" si="122"/>
        <v/>
      </c>
      <c r="J495" s="58" t="e">
        <f t="shared" si="111"/>
        <v>#VALUE!</v>
      </c>
      <c r="K495" s="50" t="e">
        <f t="shared" si="112"/>
        <v>#VALUE!</v>
      </c>
      <c r="L495" s="50" t="e">
        <f t="shared" si="113"/>
        <v>#VALUE!</v>
      </c>
      <c r="M495" s="50" t="e">
        <f t="shared" si="113"/>
        <v>#VALUE!</v>
      </c>
      <c r="N495" s="50" t="e">
        <f t="shared" si="114"/>
        <v>#VALUE!</v>
      </c>
      <c r="O495" s="50" t="e">
        <f t="shared" si="115"/>
        <v>#VALUE!</v>
      </c>
      <c r="P495" s="50">
        <f t="shared" si="116"/>
        <v>0</v>
      </c>
      <c r="R495" s="55" t="e">
        <f t="shared" si="117"/>
        <v>#VALUE!</v>
      </c>
      <c r="S495" s="55" t="e">
        <f t="shared" si="118"/>
        <v>#VALUE!</v>
      </c>
      <c r="T495" s="55" t="e">
        <f t="shared" si="123"/>
        <v>#VALUE!</v>
      </c>
      <c r="U495" s="50" t="e">
        <f t="shared" si="119"/>
        <v>#VALUE!</v>
      </c>
      <c r="V495" s="50" t="e">
        <f t="shared" si="120"/>
        <v>#VALUE!</v>
      </c>
      <c r="W495" s="50" t="e">
        <f t="shared" si="121"/>
        <v>#VALUE!</v>
      </c>
    </row>
    <row r="496" spans="2:23" x14ac:dyDescent="0.25">
      <c r="B496" s="50" t="b">
        <f t="shared" si="124"/>
        <v>0</v>
      </c>
      <c r="C496" s="50" t="e">
        <f t="shared" si="110"/>
        <v>#VALUE!</v>
      </c>
      <c r="E496" s="56">
        <v>492</v>
      </c>
      <c r="G496" s="138"/>
      <c r="H496" s="135">
        <v>1</v>
      </c>
      <c r="I496" s="57" t="str">
        <f t="shared" si="122"/>
        <v/>
      </c>
      <c r="J496" s="58" t="e">
        <f t="shared" si="111"/>
        <v>#VALUE!</v>
      </c>
      <c r="K496" s="50" t="e">
        <f t="shared" si="112"/>
        <v>#VALUE!</v>
      </c>
      <c r="L496" s="50" t="e">
        <f t="shared" si="113"/>
        <v>#VALUE!</v>
      </c>
      <c r="M496" s="50" t="e">
        <f t="shared" si="113"/>
        <v>#VALUE!</v>
      </c>
      <c r="N496" s="50" t="e">
        <f t="shared" si="114"/>
        <v>#VALUE!</v>
      </c>
      <c r="O496" s="50" t="e">
        <f t="shared" si="115"/>
        <v>#VALUE!</v>
      </c>
      <c r="P496" s="50">
        <f t="shared" si="116"/>
        <v>0</v>
      </c>
      <c r="R496" s="55" t="e">
        <f t="shared" si="117"/>
        <v>#VALUE!</v>
      </c>
      <c r="S496" s="55" t="e">
        <f t="shared" si="118"/>
        <v>#VALUE!</v>
      </c>
      <c r="T496" s="55" t="e">
        <f t="shared" si="123"/>
        <v>#VALUE!</v>
      </c>
      <c r="U496" s="50" t="e">
        <f t="shared" si="119"/>
        <v>#VALUE!</v>
      </c>
      <c r="V496" s="50" t="e">
        <f t="shared" si="120"/>
        <v>#VALUE!</v>
      </c>
      <c r="W496" s="50" t="e">
        <f t="shared" si="121"/>
        <v>#VALUE!</v>
      </c>
    </row>
    <row r="497" spans="2:23" x14ac:dyDescent="0.25">
      <c r="B497" s="50" t="b">
        <f t="shared" si="124"/>
        <v>0</v>
      </c>
      <c r="C497" s="50" t="e">
        <f t="shared" si="110"/>
        <v>#VALUE!</v>
      </c>
      <c r="E497" s="56">
        <v>493</v>
      </c>
      <c r="G497" s="138"/>
      <c r="H497" s="135">
        <v>1</v>
      </c>
      <c r="I497" s="57" t="str">
        <f t="shared" si="122"/>
        <v/>
      </c>
      <c r="J497" s="58" t="e">
        <f t="shared" si="111"/>
        <v>#VALUE!</v>
      </c>
      <c r="K497" s="50" t="e">
        <f t="shared" si="112"/>
        <v>#VALUE!</v>
      </c>
      <c r="L497" s="50" t="e">
        <f t="shared" si="113"/>
        <v>#VALUE!</v>
      </c>
      <c r="M497" s="50" t="e">
        <f t="shared" si="113"/>
        <v>#VALUE!</v>
      </c>
      <c r="N497" s="50" t="e">
        <f t="shared" si="114"/>
        <v>#VALUE!</v>
      </c>
      <c r="O497" s="50" t="e">
        <f t="shared" si="115"/>
        <v>#VALUE!</v>
      </c>
      <c r="P497" s="50">
        <f t="shared" si="116"/>
        <v>0</v>
      </c>
      <c r="R497" s="55" t="e">
        <f t="shared" si="117"/>
        <v>#VALUE!</v>
      </c>
      <c r="S497" s="55" t="e">
        <f t="shared" si="118"/>
        <v>#VALUE!</v>
      </c>
      <c r="T497" s="55" t="e">
        <f t="shared" si="123"/>
        <v>#VALUE!</v>
      </c>
      <c r="U497" s="50" t="e">
        <f t="shared" si="119"/>
        <v>#VALUE!</v>
      </c>
      <c r="V497" s="50" t="e">
        <f t="shared" si="120"/>
        <v>#VALUE!</v>
      </c>
      <c r="W497" s="50" t="e">
        <f t="shared" si="121"/>
        <v>#VALUE!</v>
      </c>
    </row>
    <row r="498" spans="2:23" x14ac:dyDescent="0.25">
      <c r="B498" s="50" t="b">
        <f t="shared" si="124"/>
        <v>0</v>
      </c>
      <c r="C498" s="50" t="e">
        <f t="shared" si="110"/>
        <v>#VALUE!</v>
      </c>
      <c r="E498" s="56">
        <v>494</v>
      </c>
      <c r="G498" s="138"/>
      <c r="H498" s="135">
        <v>1</v>
      </c>
      <c r="I498" s="57" t="str">
        <f t="shared" si="122"/>
        <v/>
      </c>
      <c r="J498" s="58" t="e">
        <f t="shared" si="111"/>
        <v>#VALUE!</v>
      </c>
      <c r="K498" s="50" t="e">
        <f t="shared" si="112"/>
        <v>#VALUE!</v>
      </c>
      <c r="L498" s="50" t="e">
        <f t="shared" si="113"/>
        <v>#VALUE!</v>
      </c>
      <c r="M498" s="50" t="e">
        <f t="shared" si="113"/>
        <v>#VALUE!</v>
      </c>
      <c r="N498" s="50" t="e">
        <f t="shared" si="114"/>
        <v>#VALUE!</v>
      </c>
      <c r="O498" s="50" t="e">
        <f t="shared" si="115"/>
        <v>#VALUE!</v>
      </c>
      <c r="P498" s="50">
        <f t="shared" si="116"/>
        <v>0</v>
      </c>
      <c r="R498" s="55" t="e">
        <f t="shared" si="117"/>
        <v>#VALUE!</v>
      </c>
      <c r="S498" s="55" t="e">
        <f t="shared" si="118"/>
        <v>#VALUE!</v>
      </c>
      <c r="T498" s="55" t="e">
        <f t="shared" si="123"/>
        <v>#VALUE!</v>
      </c>
      <c r="U498" s="50" t="e">
        <f t="shared" si="119"/>
        <v>#VALUE!</v>
      </c>
      <c r="V498" s="50" t="e">
        <f t="shared" si="120"/>
        <v>#VALUE!</v>
      </c>
      <c r="W498" s="50" t="e">
        <f t="shared" si="121"/>
        <v>#VALUE!</v>
      </c>
    </row>
    <row r="499" spans="2:23" x14ac:dyDescent="0.25">
      <c r="B499" s="50" t="b">
        <f t="shared" si="124"/>
        <v>0</v>
      </c>
      <c r="C499" s="50" t="e">
        <f t="shared" si="110"/>
        <v>#VALUE!</v>
      </c>
      <c r="E499" s="56">
        <v>495</v>
      </c>
      <c r="G499" s="138"/>
      <c r="H499" s="135">
        <v>1</v>
      </c>
      <c r="I499" s="57" t="str">
        <f t="shared" si="122"/>
        <v/>
      </c>
      <c r="J499" s="58" t="e">
        <f t="shared" si="111"/>
        <v>#VALUE!</v>
      </c>
      <c r="K499" s="50" t="e">
        <f t="shared" si="112"/>
        <v>#VALUE!</v>
      </c>
      <c r="L499" s="50" t="e">
        <f t="shared" si="113"/>
        <v>#VALUE!</v>
      </c>
      <c r="M499" s="50" t="e">
        <f t="shared" si="113"/>
        <v>#VALUE!</v>
      </c>
      <c r="N499" s="50" t="e">
        <f t="shared" si="114"/>
        <v>#VALUE!</v>
      </c>
      <c r="O499" s="50" t="e">
        <f t="shared" si="115"/>
        <v>#VALUE!</v>
      </c>
      <c r="P499" s="50">
        <f t="shared" si="116"/>
        <v>0</v>
      </c>
      <c r="R499" s="55" t="e">
        <f t="shared" si="117"/>
        <v>#VALUE!</v>
      </c>
      <c r="S499" s="55" t="e">
        <f t="shared" si="118"/>
        <v>#VALUE!</v>
      </c>
      <c r="T499" s="55" t="e">
        <f t="shared" si="123"/>
        <v>#VALUE!</v>
      </c>
      <c r="U499" s="50" t="e">
        <f t="shared" si="119"/>
        <v>#VALUE!</v>
      </c>
      <c r="V499" s="50" t="e">
        <f t="shared" si="120"/>
        <v>#VALUE!</v>
      </c>
      <c r="W499" s="50" t="e">
        <f t="shared" si="121"/>
        <v>#VALUE!</v>
      </c>
    </row>
    <row r="500" spans="2:23" x14ac:dyDescent="0.25">
      <c r="B500" s="50" t="b">
        <f t="shared" si="124"/>
        <v>0</v>
      </c>
      <c r="C500" s="50" t="e">
        <f t="shared" si="110"/>
        <v>#VALUE!</v>
      </c>
      <c r="E500" s="56">
        <v>496</v>
      </c>
      <c r="G500" s="138"/>
      <c r="H500" s="135">
        <v>1</v>
      </c>
      <c r="I500" s="57" t="str">
        <f t="shared" si="122"/>
        <v/>
      </c>
      <c r="J500" s="58" t="e">
        <f t="shared" si="111"/>
        <v>#VALUE!</v>
      </c>
      <c r="K500" s="50" t="e">
        <f t="shared" si="112"/>
        <v>#VALUE!</v>
      </c>
      <c r="L500" s="50" t="e">
        <f t="shared" si="113"/>
        <v>#VALUE!</v>
      </c>
      <c r="M500" s="50" t="e">
        <f t="shared" si="113"/>
        <v>#VALUE!</v>
      </c>
      <c r="N500" s="50" t="e">
        <f t="shared" si="114"/>
        <v>#VALUE!</v>
      </c>
      <c r="O500" s="50" t="e">
        <f t="shared" si="115"/>
        <v>#VALUE!</v>
      </c>
      <c r="P500" s="50">
        <f t="shared" si="116"/>
        <v>0</v>
      </c>
      <c r="R500" s="55" t="e">
        <f t="shared" si="117"/>
        <v>#VALUE!</v>
      </c>
      <c r="S500" s="55" t="e">
        <f t="shared" si="118"/>
        <v>#VALUE!</v>
      </c>
      <c r="T500" s="55" t="e">
        <f t="shared" si="123"/>
        <v>#VALUE!</v>
      </c>
      <c r="U500" s="50" t="e">
        <f t="shared" si="119"/>
        <v>#VALUE!</v>
      </c>
      <c r="V500" s="50" t="e">
        <f t="shared" si="120"/>
        <v>#VALUE!</v>
      </c>
      <c r="W500" s="50" t="e">
        <f t="shared" si="121"/>
        <v>#VALUE!</v>
      </c>
    </row>
    <row r="501" spans="2:23" x14ac:dyDescent="0.25">
      <c r="B501" s="50" t="b">
        <f t="shared" si="124"/>
        <v>0</v>
      </c>
      <c r="C501" s="50" t="e">
        <f t="shared" si="110"/>
        <v>#VALUE!</v>
      </c>
      <c r="E501" s="56">
        <v>497</v>
      </c>
      <c r="G501" s="138"/>
      <c r="H501" s="135">
        <v>1</v>
      </c>
      <c r="I501" s="57" t="str">
        <f t="shared" si="122"/>
        <v/>
      </c>
      <c r="J501" s="58" t="e">
        <f t="shared" si="111"/>
        <v>#VALUE!</v>
      </c>
      <c r="K501" s="50" t="e">
        <f t="shared" si="112"/>
        <v>#VALUE!</v>
      </c>
      <c r="L501" s="50" t="e">
        <f t="shared" si="113"/>
        <v>#VALUE!</v>
      </c>
      <c r="M501" s="50" t="e">
        <f t="shared" si="113"/>
        <v>#VALUE!</v>
      </c>
      <c r="N501" s="50" t="e">
        <f t="shared" si="114"/>
        <v>#VALUE!</v>
      </c>
      <c r="O501" s="50" t="e">
        <f t="shared" si="115"/>
        <v>#VALUE!</v>
      </c>
      <c r="P501" s="50">
        <f t="shared" si="116"/>
        <v>0</v>
      </c>
      <c r="R501" s="55" t="e">
        <f t="shared" si="117"/>
        <v>#VALUE!</v>
      </c>
      <c r="S501" s="55" t="e">
        <f t="shared" si="118"/>
        <v>#VALUE!</v>
      </c>
      <c r="T501" s="55" t="e">
        <f t="shared" si="123"/>
        <v>#VALUE!</v>
      </c>
      <c r="U501" s="50" t="e">
        <f t="shared" si="119"/>
        <v>#VALUE!</v>
      </c>
      <c r="V501" s="50" t="e">
        <f t="shared" si="120"/>
        <v>#VALUE!</v>
      </c>
      <c r="W501" s="50" t="e">
        <f t="shared" si="121"/>
        <v>#VALUE!</v>
      </c>
    </row>
    <row r="502" spans="2:23" x14ac:dyDescent="0.25">
      <c r="B502" s="50" t="b">
        <f t="shared" si="124"/>
        <v>0</v>
      </c>
      <c r="C502" s="50" t="e">
        <f t="shared" ref="C502:C565" si="125">SUM(U502:W502)</f>
        <v>#VALUE!</v>
      </c>
      <c r="E502" s="56">
        <v>498</v>
      </c>
      <c r="G502" s="138"/>
      <c r="H502" s="135">
        <v>1</v>
      </c>
      <c r="I502" s="57" t="str">
        <f t="shared" si="122"/>
        <v/>
      </c>
      <c r="J502" s="58" t="e">
        <f t="shared" si="111"/>
        <v>#VALUE!</v>
      </c>
      <c r="K502" s="50" t="e">
        <f t="shared" si="112"/>
        <v>#VALUE!</v>
      </c>
      <c r="L502" s="50" t="e">
        <f t="shared" si="113"/>
        <v>#VALUE!</v>
      </c>
      <c r="M502" s="50" t="e">
        <f t="shared" si="113"/>
        <v>#VALUE!</v>
      </c>
      <c r="N502" s="50" t="e">
        <f t="shared" si="114"/>
        <v>#VALUE!</v>
      </c>
      <c r="O502" s="50" t="e">
        <f t="shared" si="115"/>
        <v>#VALUE!</v>
      </c>
      <c r="P502" s="50">
        <f t="shared" si="116"/>
        <v>0</v>
      </c>
      <c r="R502" s="55" t="e">
        <f t="shared" si="117"/>
        <v>#VALUE!</v>
      </c>
      <c r="S502" s="55" t="e">
        <f t="shared" si="118"/>
        <v>#VALUE!</v>
      </c>
      <c r="T502" s="55" t="e">
        <f t="shared" si="123"/>
        <v>#VALUE!</v>
      </c>
      <c r="U502" s="50" t="e">
        <f t="shared" si="119"/>
        <v>#VALUE!</v>
      </c>
      <c r="V502" s="50" t="e">
        <f t="shared" si="120"/>
        <v>#VALUE!</v>
      </c>
      <c r="W502" s="50" t="e">
        <f t="shared" si="121"/>
        <v>#VALUE!</v>
      </c>
    </row>
    <row r="503" spans="2:23" x14ac:dyDescent="0.25">
      <c r="B503" s="50" t="b">
        <f t="shared" si="124"/>
        <v>0</v>
      </c>
      <c r="C503" s="50" t="e">
        <f t="shared" si="125"/>
        <v>#VALUE!</v>
      </c>
      <c r="E503" s="56">
        <v>499</v>
      </c>
      <c r="G503" s="138"/>
      <c r="H503" s="135">
        <v>1</v>
      </c>
      <c r="I503" s="57" t="str">
        <f t="shared" si="122"/>
        <v/>
      </c>
      <c r="J503" s="58" t="e">
        <f t="shared" si="111"/>
        <v>#VALUE!</v>
      </c>
      <c r="K503" s="50" t="e">
        <f t="shared" si="112"/>
        <v>#VALUE!</v>
      </c>
      <c r="L503" s="50" t="e">
        <f t="shared" si="113"/>
        <v>#VALUE!</v>
      </c>
      <c r="M503" s="50" t="e">
        <f t="shared" si="113"/>
        <v>#VALUE!</v>
      </c>
      <c r="N503" s="50" t="e">
        <f t="shared" si="114"/>
        <v>#VALUE!</v>
      </c>
      <c r="O503" s="50" t="e">
        <f t="shared" si="115"/>
        <v>#VALUE!</v>
      </c>
      <c r="P503" s="50">
        <f t="shared" si="116"/>
        <v>0</v>
      </c>
      <c r="R503" s="55" t="e">
        <f t="shared" si="117"/>
        <v>#VALUE!</v>
      </c>
      <c r="S503" s="55" t="e">
        <f t="shared" si="118"/>
        <v>#VALUE!</v>
      </c>
      <c r="T503" s="55" t="e">
        <f t="shared" si="123"/>
        <v>#VALUE!</v>
      </c>
      <c r="U503" s="50" t="e">
        <f t="shared" si="119"/>
        <v>#VALUE!</v>
      </c>
      <c r="V503" s="50" t="e">
        <f t="shared" si="120"/>
        <v>#VALUE!</v>
      </c>
      <c r="W503" s="50" t="e">
        <f t="shared" si="121"/>
        <v>#VALUE!</v>
      </c>
    </row>
    <row r="504" spans="2:23" x14ac:dyDescent="0.25">
      <c r="B504" s="50" t="b">
        <f t="shared" si="124"/>
        <v>0</v>
      </c>
      <c r="C504" s="50" t="e">
        <f t="shared" si="125"/>
        <v>#VALUE!</v>
      </c>
      <c r="E504" s="56">
        <v>500</v>
      </c>
      <c r="G504" s="138"/>
      <c r="H504" s="135">
        <v>1</v>
      </c>
      <c r="I504" s="57" t="str">
        <f t="shared" si="122"/>
        <v/>
      </c>
      <c r="J504" s="58" t="e">
        <f t="shared" si="111"/>
        <v>#VALUE!</v>
      </c>
      <c r="K504" s="50" t="e">
        <f t="shared" si="112"/>
        <v>#VALUE!</v>
      </c>
      <c r="L504" s="50" t="e">
        <f t="shared" si="113"/>
        <v>#VALUE!</v>
      </c>
      <c r="M504" s="50" t="e">
        <f t="shared" si="113"/>
        <v>#VALUE!</v>
      </c>
      <c r="N504" s="50" t="e">
        <f t="shared" si="114"/>
        <v>#VALUE!</v>
      </c>
      <c r="O504" s="50" t="e">
        <f t="shared" si="115"/>
        <v>#VALUE!</v>
      </c>
      <c r="P504" s="50">
        <f t="shared" si="116"/>
        <v>0</v>
      </c>
      <c r="R504" s="55" t="e">
        <f t="shared" si="117"/>
        <v>#VALUE!</v>
      </c>
      <c r="S504" s="55" t="e">
        <f t="shared" si="118"/>
        <v>#VALUE!</v>
      </c>
      <c r="T504" s="55" t="e">
        <f t="shared" si="123"/>
        <v>#VALUE!</v>
      </c>
      <c r="U504" s="50" t="e">
        <f t="shared" si="119"/>
        <v>#VALUE!</v>
      </c>
      <c r="V504" s="50" t="e">
        <f t="shared" si="120"/>
        <v>#VALUE!</v>
      </c>
      <c r="W504" s="50" t="e">
        <f t="shared" si="121"/>
        <v>#VALUE!</v>
      </c>
    </row>
    <row r="505" spans="2:23" x14ac:dyDescent="0.25">
      <c r="B505" s="50" t="b">
        <f t="shared" si="124"/>
        <v>0</v>
      </c>
      <c r="C505" s="50" t="e">
        <f t="shared" si="125"/>
        <v>#VALUE!</v>
      </c>
      <c r="E505" s="56">
        <v>501</v>
      </c>
      <c r="G505" s="138"/>
      <c r="H505" s="135">
        <v>1</v>
      </c>
      <c r="I505" s="57" t="str">
        <f t="shared" si="122"/>
        <v/>
      </c>
      <c r="J505" s="58" t="e">
        <f t="shared" si="111"/>
        <v>#VALUE!</v>
      </c>
      <c r="K505" s="50" t="e">
        <f t="shared" si="112"/>
        <v>#VALUE!</v>
      </c>
      <c r="L505" s="50" t="e">
        <f t="shared" si="113"/>
        <v>#VALUE!</v>
      </c>
      <c r="M505" s="50" t="e">
        <f t="shared" si="113"/>
        <v>#VALUE!</v>
      </c>
      <c r="N505" s="50" t="e">
        <f t="shared" si="114"/>
        <v>#VALUE!</v>
      </c>
      <c r="O505" s="50" t="e">
        <f t="shared" si="115"/>
        <v>#VALUE!</v>
      </c>
      <c r="P505" s="50">
        <f t="shared" si="116"/>
        <v>0</v>
      </c>
      <c r="R505" s="55" t="e">
        <f t="shared" si="117"/>
        <v>#VALUE!</v>
      </c>
      <c r="S505" s="55" t="e">
        <f t="shared" si="118"/>
        <v>#VALUE!</v>
      </c>
      <c r="T505" s="55" t="e">
        <f t="shared" si="123"/>
        <v>#VALUE!</v>
      </c>
      <c r="U505" s="50" t="e">
        <f t="shared" si="119"/>
        <v>#VALUE!</v>
      </c>
      <c r="V505" s="50" t="e">
        <f t="shared" si="120"/>
        <v>#VALUE!</v>
      </c>
      <c r="W505" s="50" t="e">
        <f t="shared" si="121"/>
        <v>#VALUE!</v>
      </c>
    </row>
    <row r="506" spans="2:23" x14ac:dyDescent="0.25">
      <c r="B506" s="50" t="b">
        <f t="shared" si="124"/>
        <v>0</v>
      </c>
      <c r="C506" s="50" t="e">
        <f t="shared" si="125"/>
        <v>#VALUE!</v>
      </c>
      <c r="E506" s="56">
        <v>502</v>
      </c>
      <c r="G506" s="138"/>
      <c r="H506" s="135">
        <v>1</v>
      </c>
      <c r="I506" s="57" t="str">
        <f t="shared" si="122"/>
        <v/>
      </c>
      <c r="J506" s="58" t="e">
        <f t="shared" si="111"/>
        <v>#VALUE!</v>
      </c>
      <c r="K506" s="50" t="e">
        <f t="shared" si="112"/>
        <v>#VALUE!</v>
      </c>
      <c r="L506" s="50" t="e">
        <f t="shared" si="113"/>
        <v>#VALUE!</v>
      </c>
      <c r="M506" s="50" t="e">
        <f t="shared" si="113"/>
        <v>#VALUE!</v>
      </c>
      <c r="N506" s="50" t="e">
        <f t="shared" si="114"/>
        <v>#VALUE!</v>
      </c>
      <c r="O506" s="50" t="e">
        <f t="shared" si="115"/>
        <v>#VALUE!</v>
      </c>
      <c r="P506" s="50">
        <f t="shared" si="116"/>
        <v>0</v>
      </c>
      <c r="R506" s="55" t="e">
        <f t="shared" si="117"/>
        <v>#VALUE!</v>
      </c>
      <c r="S506" s="55" t="e">
        <f t="shared" si="118"/>
        <v>#VALUE!</v>
      </c>
      <c r="T506" s="55" t="e">
        <f t="shared" si="123"/>
        <v>#VALUE!</v>
      </c>
      <c r="U506" s="50" t="e">
        <f t="shared" si="119"/>
        <v>#VALUE!</v>
      </c>
      <c r="V506" s="50" t="e">
        <f t="shared" si="120"/>
        <v>#VALUE!</v>
      </c>
      <c r="W506" s="50" t="e">
        <f t="shared" si="121"/>
        <v>#VALUE!</v>
      </c>
    </row>
    <row r="507" spans="2:23" x14ac:dyDescent="0.25">
      <c r="B507" s="50" t="b">
        <f t="shared" si="124"/>
        <v>0</v>
      </c>
      <c r="C507" s="50" t="e">
        <f t="shared" si="125"/>
        <v>#VALUE!</v>
      </c>
      <c r="E507" s="56">
        <v>503</v>
      </c>
      <c r="G507" s="138"/>
      <c r="H507" s="135">
        <v>1</v>
      </c>
      <c r="I507" s="57" t="str">
        <f t="shared" si="122"/>
        <v/>
      </c>
      <c r="J507" s="58" t="e">
        <f t="shared" si="111"/>
        <v>#VALUE!</v>
      </c>
      <c r="K507" s="50" t="e">
        <f t="shared" si="112"/>
        <v>#VALUE!</v>
      </c>
      <c r="L507" s="50" t="e">
        <f t="shared" si="113"/>
        <v>#VALUE!</v>
      </c>
      <c r="M507" s="50" t="e">
        <f t="shared" si="113"/>
        <v>#VALUE!</v>
      </c>
      <c r="N507" s="50" t="e">
        <f t="shared" si="114"/>
        <v>#VALUE!</v>
      </c>
      <c r="O507" s="50" t="e">
        <f t="shared" si="115"/>
        <v>#VALUE!</v>
      </c>
      <c r="P507" s="50">
        <f t="shared" si="116"/>
        <v>0</v>
      </c>
      <c r="R507" s="55" t="e">
        <f t="shared" si="117"/>
        <v>#VALUE!</v>
      </c>
      <c r="S507" s="55" t="e">
        <f t="shared" si="118"/>
        <v>#VALUE!</v>
      </c>
      <c r="T507" s="55" t="e">
        <f t="shared" si="123"/>
        <v>#VALUE!</v>
      </c>
      <c r="U507" s="50" t="e">
        <f t="shared" si="119"/>
        <v>#VALUE!</v>
      </c>
      <c r="V507" s="50" t="e">
        <f t="shared" si="120"/>
        <v>#VALUE!</v>
      </c>
      <c r="W507" s="50" t="e">
        <f t="shared" si="121"/>
        <v>#VALUE!</v>
      </c>
    </row>
    <row r="508" spans="2:23" x14ac:dyDescent="0.25">
      <c r="B508" s="50" t="b">
        <f t="shared" si="124"/>
        <v>0</v>
      </c>
      <c r="C508" s="50" t="e">
        <f t="shared" si="125"/>
        <v>#VALUE!</v>
      </c>
      <c r="E508" s="56">
        <v>504</v>
      </c>
      <c r="G508" s="138"/>
      <c r="H508" s="135">
        <v>1</v>
      </c>
      <c r="I508" s="57" t="str">
        <f t="shared" si="122"/>
        <v/>
      </c>
      <c r="J508" s="58" t="e">
        <f t="shared" si="111"/>
        <v>#VALUE!</v>
      </c>
      <c r="K508" s="50" t="e">
        <f t="shared" si="112"/>
        <v>#VALUE!</v>
      </c>
      <c r="L508" s="50" t="e">
        <f t="shared" si="113"/>
        <v>#VALUE!</v>
      </c>
      <c r="M508" s="50" t="e">
        <f t="shared" si="113"/>
        <v>#VALUE!</v>
      </c>
      <c r="N508" s="50" t="e">
        <f t="shared" si="114"/>
        <v>#VALUE!</v>
      </c>
      <c r="O508" s="50" t="e">
        <f t="shared" si="115"/>
        <v>#VALUE!</v>
      </c>
      <c r="P508" s="50">
        <f t="shared" si="116"/>
        <v>0</v>
      </c>
      <c r="R508" s="55" t="e">
        <f t="shared" si="117"/>
        <v>#VALUE!</v>
      </c>
      <c r="S508" s="55" t="e">
        <f t="shared" si="118"/>
        <v>#VALUE!</v>
      </c>
      <c r="T508" s="55" t="e">
        <f t="shared" si="123"/>
        <v>#VALUE!</v>
      </c>
      <c r="U508" s="50" t="e">
        <f t="shared" si="119"/>
        <v>#VALUE!</v>
      </c>
      <c r="V508" s="50" t="e">
        <f t="shared" si="120"/>
        <v>#VALUE!</v>
      </c>
      <c r="W508" s="50" t="e">
        <f t="shared" si="121"/>
        <v>#VALUE!</v>
      </c>
    </row>
    <row r="509" spans="2:23" x14ac:dyDescent="0.25">
      <c r="B509" s="50" t="b">
        <f t="shared" si="124"/>
        <v>0</v>
      </c>
      <c r="C509" s="50" t="e">
        <f t="shared" si="125"/>
        <v>#VALUE!</v>
      </c>
      <c r="E509" s="56">
        <v>505</v>
      </c>
      <c r="G509" s="138"/>
      <c r="H509" s="135">
        <v>1</v>
      </c>
      <c r="I509" s="57" t="str">
        <f t="shared" si="122"/>
        <v/>
      </c>
      <c r="J509" s="58" t="e">
        <f t="shared" si="111"/>
        <v>#VALUE!</v>
      </c>
      <c r="K509" s="50" t="e">
        <f t="shared" si="112"/>
        <v>#VALUE!</v>
      </c>
      <c r="L509" s="50" t="e">
        <f t="shared" si="113"/>
        <v>#VALUE!</v>
      </c>
      <c r="M509" s="50" t="e">
        <f t="shared" si="113"/>
        <v>#VALUE!</v>
      </c>
      <c r="N509" s="50" t="e">
        <f t="shared" si="114"/>
        <v>#VALUE!</v>
      </c>
      <c r="O509" s="50" t="e">
        <f t="shared" si="115"/>
        <v>#VALUE!</v>
      </c>
      <c r="P509" s="50">
        <f t="shared" si="116"/>
        <v>0</v>
      </c>
      <c r="R509" s="55" t="e">
        <f t="shared" si="117"/>
        <v>#VALUE!</v>
      </c>
      <c r="S509" s="55" t="e">
        <f t="shared" si="118"/>
        <v>#VALUE!</v>
      </c>
      <c r="T509" s="55" t="e">
        <f t="shared" si="123"/>
        <v>#VALUE!</v>
      </c>
      <c r="U509" s="50" t="e">
        <f t="shared" si="119"/>
        <v>#VALUE!</v>
      </c>
      <c r="V509" s="50" t="e">
        <f t="shared" si="120"/>
        <v>#VALUE!</v>
      </c>
      <c r="W509" s="50" t="e">
        <f t="shared" si="121"/>
        <v>#VALUE!</v>
      </c>
    </row>
    <row r="510" spans="2:23" x14ac:dyDescent="0.25">
      <c r="B510" s="50" t="b">
        <f t="shared" si="124"/>
        <v>0</v>
      </c>
      <c r="C510" s="50" t="e">
        <f t="shared" si="125"/>
        <v>#VALUE!</v>
      </c>
      <c r="E510" s="56">
        <v>506</v>
      </c>
      <c r="G510" s="138"/>
      <c r="H510" s="135">
        <v>1</v>
      </c>
      <c r="I510" s="57" t="str">
        <f t="shared" si="122"/>
        <v/>
      </c>
      <c r="J510" s="58" t="e">
        <f t="shared" si="111"/>
        <v>#VALUE!</v>
      </c>
      <c r="K510" s="50" t="e">
        <f t="shared" si="112"/>
        <v>#VALUE!</v>
      </c>
      <c r="L510" s="50" t="e">
        <f t="shared" si="113"/>
        <v>#VALUE!</v>
      </c>
      <c r="M510" s="50" t="e">
        <f t="shared" si="113"/>
        <v>#VALUE!</v>
      </c>
      <c r="N510" s="50" t="e">
        <f t="shared" si="114"/>
        <v>#VALUE!</v>
      </c>
      <c r="O510" s="50" t="e">
        <f t="shared" si="115"/>
        <v>#VALUE!</v>
      </c>
      <c r="P510" s="50">
        <f t="shared" si="116"/>
        <v>0</v>
      </c>
      <c r="R510" s="55" t="e">
        <f t="shared" si="117"/>
        <v>#VALUE!</v>
      </c>
      <c r="S510" s="55" t="e">
        <f t="shared" si="118"/>
        <v>#VALUE!</v>
      </c>
      <c r="T510" s="55" t="e">
        <f t="shared" si="123"/>
        <v>#VALUE!</v>
      </c>
      <c r="U510" s="50" t="e">
        <f t="shared" si="119"/>
        <v>#VALUE!</v>
      </c>
      <c r="V510" s="50" t="e">
        <f t="shared" si="120"/>
        <v>#VALUE!</v>
      </c>
      <c r="W510" s="50" t="e">
        <f t="shared" si="121"/>
        <v>#VALUE!</v>
      </c>
    </row>
    <row r="511" spans="2:23" x14ac:dyDescent="0.25">
      <c r="B511" s="50" t="b">
        <f t="shared" si="124"/>
        <v>0</v>
      </c>
      <c r="C511" s="50" t="e">
        <f t="shared" si="125"/>
        <v>#VALUE!</v>
      </c>
      <c r="E511" s="56">
        <v>507</v>
      </c>
      <c r="G511" s="138"/>
      <c r="H511" s="135">
        <v>1</v>
      </c>
      <c r="I511" s="57" t="str">
        <f t="shared" si="122"/>
        <v/>
      </c>
      <c r="J511" s="58" t="e">
        <f t="shared" si="111"/>
        <v>#VALUE!</v>
      </c>
      <c r="K511" s="50" t="e">
        <f t="shared" si="112"/>
        <v>#VALUE!</v>
      </c>
      <c r="L511" s="50" t="e">
        <f t="shared" si="113"/>
        <v>#VALUE!</v>
      </c>
      <c r="M511" s="50" t="e">
        <f t="shared" si="113"/>
        <v>#VALUE!</v>
      </c>
      <c r="N511" s="50" t="e">
        <f t="shared" si="114"/>
        <v>#VALUE!</v>
      </c>
      <c r="O511" s="50" t="e">
        <f t="shared" si="115"/>
        <v>#VALUE!</v>
      </c>
      <c r="P511" s="50">
        <f t="shared" si="116"/>
        <v>0</v>
      </c>
      <c r="R511" s="55" t="e">
        <f t="shared" si="117"/>
        <v>#VALUE!</v>
      </c>
      <c r="S511" s="55" t="e">
        <f t="shared" si="118"/>
        <v>#VALUE!</v>
      </c>
      <c r="T511" s="55" t="e">
        <f t="shared" si="123"/>
        <v>#VALUE!</v>
      </c>
      <c r="U511" s="50" t="e">
        <f t="shared" si="119"/>
        <v>#VALUE!</v>
      </c>
      <c r="V511" s="50" t="e">
        <f t="shared" si="120"/>
        <v>#VALUE!</v>
      </c>
      <c r="W511" s="50" t="e">
        <f t="shared" si="121"/>
        <v>#VALUE!</v>
      </c>
    </row>
    <row r="512" spans="2:23" x14ac:dyDescent="0.25">
      <c r="B512" s="50" t="b">
        <f t="shared" si="124"/>
        <v>0</v>
      </c>
      <c r="C512" s="50" t="e">
        <f t="shared" si="125"/>
        <v>#VALUE!</v>
      </c>
      <c r="E512" s="56">
        <v>508</v>
      </c>
      <c r="G512" s="138"/>
      <c r="H512" s="135">
        <v>1</v>
      </c>
      <c r="I512" s="57" t="str">
        <f t="shared" si="122"/>
        <v/>
      </c>
      <c r="J512" s="58" t="e">
        <f t="shared" si="111"/>
        <v>#VALUE!</v>
      </c>
      <c r="K512" s="50" t="e">
        <f t="shared" si="112"/>
        <v>#VALUE!</v>
      </c>
      <c r="L512" s="50" t="e">
        <f t="shared" si="113"/>
        <v>#VALUE!</v>
      </c>
      <c r="M512" s="50" t="e">
        <f t="shared" si="113"/>
        <v>#VALUE!</v>
      </c>
      <c r="N512" s="50" t="e">
        <f t="shared" si="114"/>
        <v>#VALUE!</v>
      </c>
      <c r="O512" s="50" t="e">
        <f t="shared" si="115"/>
        <v>#VALUE!</v>
      </c>
      <c r="P512" s="50">
        <f t="shared" si="116"/>
        <v>0</v>
      </c>
      <c r="R512" s="55" t="e">
        <f t="shared" si="117"/>
        <v>#VALUE!</v>
      </c>
      <c r="S512" s="55" t="e">
        <f t="shared" si="118"/>
        <v>#VALUE!</v>
      </c>
      <c r="T512" s="55" t="e">
        <f t="shared" si="123"/>
        <v>#VALUE!</v>
      </c>
      <c r="U512" s="50" t="e">
        <f t="shared" si="119"/>
        <v>#VALUE!</v>
      </c>
      <c r="V512" s="50" t="e">
        <f t="shared" si="120"/>
        <v>#VALUE!</v>
      </c>
      <c r="W512" s="50" t="e">
        <f t="shared" si="121"/>
        <v>#VALUE!</v>
      </c>
    </row>
    <row r="513" spans="2:23" x14ac:dyDescent="0.25">
      <c r="B513" s="50" t="b">
        <f t="shared" si="124"/>
        <v>0</v>
      </c>
      <c r="C513" s="50" t="e">
        <f t="shared" si="125"/>
        <v>#VALUE!</v>
      </c>
      <c r="E513" s="56">
        <v>509</v>
      </c>
      <c r="G513" s="138"/>
      <c r="H513" s="135">
        <v>1</v>
      </c>
      <c r="I513" s="57" t="str">
        <f t="shared" si="122"/>
        <v/>
      </c>
      <c r="J513" s="58" t="e">
        <f t="shared" si="111"/>
        <v>#VALUE!</v>
      </c>
      <c r="K513" s="50" t="e">
        <f t="shared" si="112"/>
        <v>#VALUE!</v>
      </c>
      <c r="L513" s="50" t="e">
        <f t="shared" si="113"/>
        <v>#VALUE!</v>
      </c>
      <c r="M513" s="50" t="e">
        <f t="shared" si="113"/>
        <v>#VALUE!</v>
      </c>
      <c r="N513" s="50" t="e">
        <f t="shared" si="114"/>
        <v>#VALUE!</v>
      </c>
      <c r="O513" s="50" t="e">
        <f t="shared" si="115"/>
        <v>#VALUE!</v>
      </c>
      <c r="P513" s="50">
        <f t="shared" si="116"/>
        <v>0</v>
      </c>
      <c r="R513" s="55" t="e">
        <f t="shared" si="117"/>
        <v>#VALUE!</v>
      </c>
      <c r="S513" s="55" t="e">
        <f t="shared" si="118"/>
        <v>#VALUE!</v>
      </c>
      <c r="T513" s="55" t="e">
        <f t="shared" si="123"/>
        <v>#VALUE!</v>
      </c>
      <c r="U513" s="50" t="e">
        <f t="shared" si="119"/>
        <v>#VALUE!</v>
      </c>
      <c r="V513" s="50" t="e">
        <f t="shared" si="120"/>
        <v>#VALUE!</v>
      </c>
      <c r="W513" s="50" t="e">
        <f t="shared" si="121"/>
        <v>#VALUE!</v>
      </c>
    </row>
    <row r="514" spans="2:23" x14ac:dyDescent="0.25">
      <c r="B514" s="50" t="b">
        <f t="shared" si="124"/>
        <v>0</v>
      </c>
      <c r="C514" s="50" t="e">
        <f t="shared" si="125"/>
        <v>#VALUE!</v>
      </c>
      <c r="E514" s="56">
        <v>510</v>
      </c>
      <c r="G514" s="138"/>
      <c r="H514" s="135">
        <v>1</v>
      </c>
      <c r="I514" s="57" t="str">
        <f t="shared" si="122"/>
        <v/>
      </c>
      <c r="J514" s="58" t="e">
        <f t="shared" si="111"/>
        <v>#VALUE!</v>
      </c>
      <c r="K514" s="50" t="e">
        <f t="shared" si="112"/>
        <v>#VALUE!</v>
      </c>
      <c r="L514" s="50" t="e">
        <f t="shared" si="113"/>
        <v>#VALUE!</v>
      </c>
      <c r="M514" s="50" t="e">
        <f t="shared" si="113"/>
        <v>#VALUE!</v>
      </c>
      <c r="N514" s="50" t="e">
        <f t="shared" si="114"/>
        <v>#VALUE!</v>
      </c>
      <c r="O514" s="50" t="e">
        <f t="shared" si="115"/>
        <v>#VALUE!</v>
      </c>
      <c r="P514" s="50">
        <f t="shared" si="116"/>
        <v>0</v>
      </c>
      <c r="R514" s="55" t="e">
        <f t="shared" si="117"/>
        <v>#VALUE!</v>
      </c>
      <c r="S514" s="55" t="e">
        <f t="shared" si="118"/>
        <v>#VALUE!</v>
      </c>
      <c r="T514" s="55" t="e">
        <f t="shared" si="123"/>
        <v>#VALUE!</v>
      </c>
      <c r="U514" s="50" t="e">
        <f t="shared" si="119"/>
        <v>#VALUE!</v>
      </c>
      <c r="V514" s="50" t="e">
        <f t="shared" si="120"/>
        <v>#VALUE!</v>
      </c>
      <c r="W514" s="50" t="e">
        <f t="shared" si="121"/>
        <v>#VALUE!</v>
      </c>
    </row>
    <row r="515" spans="2:23" x14ac:dyDescent="0.25">
      <c r="B515" s="50" t="b">
        <f t="shared" si="124"/>
        <v>0</v>
      </c>
      <c r="C515" s="50" t="e">
        <f t="shared" si="125"/>
        <v>#VALUE!</v>
      </c>
      <c r="E515" s="56">
        <v>511</v>
      </c>
      <c r="G515" s="138"/>
      <c r="H515" s="135">
        <v>1</v>
      </c>
      <c r="I515" s="57" t="str">
        <f t="shared" si="122"/>
        <v/>
      </c>
      <c r="J515" s="58" t="e">
        <f t="shared" si="111"/>
        <v>#VALUE!</v>
      </c>
      <c r="K515" s="50" t="e">
        <f t="shared" si="112"/>
        <v>#VALUE!</v>
      </c>
      <c r="L515" s="50" t="e">
        <f t="shared" si="113"/>
        <v>#VALUE!</v>
      </c>
      <c r="M515" s="50" t="e">
        <f t="shared" si="113"/>
        <v>#VALUE!</v>
      </c>
      <c r="N515" s="50" t="e">
        <f t="shared" si="114"/>
        <v>#VALUE!</v>
      </c>
      <c r="O515" s="50" t="e">
        <f t="shared" si="115"/>
        <v>#VALUE!</v>
      </c>
      <c r="P515" s="50">
        <f t="shared" si="116"/>
        <v>0</v>
      </c>
      <c r="R515" s="55" t="e">
        <f t="shared" si="117"/>
        <v>#VALUE!</v>
      </c>
      <c r="S515" s="55" t="e">
        <f t="shared" si="118"/>
        <v>#VALUE!</v>
      </c>
      <c r="T515" s="55" t="e">
        <f t="shared" si="123"/>
        <v>#VALUE!</v>
      </c>
      <c r="U515" s="50" t="e">
        <f t="shared" si="119"/>
        <v>#VALUE!</v>
      </c>
      <c r="V515" s="50" t="e">
        <f t="shared" si="120"/>
        <v>#VALUE!</v>
      </c>
      <c r="W515" s="50" t="e">
        <f t="shared" si="121"/>
        <v>#VALUE!</v>
      </c>
    </row>
    <row r="516" spans="2:23" x14ac:dyDescent="0.25">
      <c r="B516" s="50" t="b">
        <f t="shared" si="124"/>
        <v>0</v>
      </c>
      <c r="C516" s="50" t="e">
        <f t="shared" si="125"/>
        <v>#VALUE!</v>
      </c>
      <c r="E516" s="56">
        <v>512</v>
      </c>
      <c r="G516" s="138"/>
      <c r="H516" s="135">
        <v>1</v>
      </c>
      <c r="I516" s="57" t="str">
        <f t="shared" si="122"/>
        <v/>
      </c>
      <c r="J516" s="58" t="e">
        <f t="shared" si="111"/>
        <v>#VALUE!</v>
      </c>
      <c r="K516" s="50" t="e">
        <f t="shared" si="112"/>
        <v>#VALUE!</v>
      </c>
      <c r="L516" s="50" t="e">
        <f t="shared" si="113"/>
        <v>#VALUE!</v>
      </c>
      <c r="M516" s="50" t="e">
        <f t="shared" si="113"/>
        <v>#VALUE!</v>
      </c>
      <c r="N516" s="50" t="e">
        <f t="shared" si="114"/>
        <v>#VALUE!</v>
      </c>
      <c r="O516" s="50" t="e">
        <f t="shared" si="115"/>
        <v>#VALUE!</v>
      </c>
      <c r="P516" s="50">
        <f t="shared" si="116"/>
        <v>0</v>
      </c>
      <c r="R516" s="55" t="e">
        <f t="shared" si="117"/>
        <v>#VALUE!</v>
      </c>
      <c r="S516" s="55" t="e">
        <f t="shared" si="118"/>
        <v>#VALUE!</v>
      </c>
      <c r="T516" s="55" t="e">
        <f t="shared" si="123"/>
        <v>#VALUE!</v>
      </c>
      <c r="U516" s="50" t="e">
        <f t="shared" si="119"/>
        <v>#VALUE!</v>
      </c>
      <c r="V516" s="50" t="e">
        <f t="shared" si="120"/>
        <v>#VALUE!</v>
      </c>
      <c r="W516" s="50" t="e">
        <f t="shared" si="121"/>
        <v>#VALUE!</v>
      </c>
    </row>
    <row r="517" spans="2:23" x14ac:dyDescent="0.25">
      <c r="B517" s="50" t="b">
        <f t="shared" si="124"/>
        <v>0</v>
      </c>
      <c r="C517" s="50" t="e">
        <f t="shared" si="125"/>
        <v>#VALUE!</v>
      </c>
      <c r="E517" s="56">
        <v>513</v>
      </c>
      <c r="G517" s="138"/>
      <c r="H517" s="135">
        <v>1</v>
      </c>
      <c r="I517" s="57" t="str">
        <f t="shared" si="122"/>
        <v/>
      </c>
      <c r="J517" s="58" t="e">
        <f t="shared" ref="J517:J580" si="126">RIGHT(I517,K517)</f>
        <v>#VALUE!</v>
      </c>
      <c r="K517" s="50" t="e">
        <f t="shared" ref="K517:K580" si="127">P517-N517</f>
        <v>#VALUE!</v>
      </c>
      <c r="L517" s="50" t="e">
        <f t="shared" ref="L517:M580" si="128">O517-N517</f>
        <v>#VALUE!</v>
      </c>
      <c r="M517" s="50" t="e">
        <f t="shared" si="128"/>
        <v>#VALUE!</v>
      </c>
      <c r="N517" s="50" t="e">
        <f t="shared" ref="N517:N580" si="129">SEARCH("-",I517,2)</f>
        <v>#VALUE!</v>
      </c>
      <c r="O517" s="50" t="e">
        <f t="shared" ref="O517:O580" si="130">SEARCH("-",I517,N517+1)</f>
        <v>#VALUE!</v>
      </c>
      <c r="P517" s="50">
        <f t="shared" ref="P517:P580" si="131">LEN(I517)</f>
        <v>0</v>
      </c>
      <c r="R517" s="55" t="e">
        <f t="shared" ref="R517:R580" si="132">LEFT(I517,N517-1)</f>
        <v>#VALUE!</v>
      </c>
      <c r="S517" s="55" t="e">
        <f t="shared" ref="S517:S580" si="133">LEFT(J517,L517-1)</f>
        <v>#VALUE!</v>
      </c>
      <c r="T517" s="55" t="e">
        <f t="shared" si="123"/>
        <v>#VALUE!</v>
      </c>
      <c r="U517" s="50" t="e">
        <f t="shared" ref="U517:U580" si="134">R517*1*$H517</f>
        <v>#VALUE!</v>
      </c>
      <c r="V517" s="50" t="e">
        <f t="shared" ref="V517:V580" si="135">S517*1*$H517</f>
        <v>#VALUE!</v>
      </c>
      <c r="W517" s="50" t="e">
        <f t="shared" ref="W517:W580" si="136">T517*1*$H517</f>
        <v>#VALUE!</v>
      </c>
    </row>
    <row r="518" spans="2:23" x14ac:dyDescent="0.25">
      <c r="B518" s="50" t="b">
        <f t="shared" si="124"/>
        <v>0</v>
      </c>
      <c r="C518" s="50" t="e">
        <f t="shared" si="125"/>
        <v>#VALUE!</v>
      </c>
      <c r="E518" s="56">
        <v>514</v>
      </c>
      <c r="G518" s="138"/>
      <c r="H518" s="135">
        <v>1</v>
      </c>
      <c r="I518" s="57" t="str">
        <f t="shared" ref="I518:I581" si="137">IF(G518="","",G518&amp;""&amp;"-0")</f>
        <v/>
      </c>
      <c r="J518" s="58" t="e">
        <f t="shared" si="126"/>
        <v>#VALUE!</v>
      </c>
      <c r="K518" s="50" t="e">
        <f t="shared" si="127"/>
        <v>#VALUE!</v>
      </c>
      <c r="L518" s="50" t="e">
        <f t="shared" si="128"/>
        <v>#VALUE!</v>
      </c>
      <c r="M518" s="50" t="e">
        <f t="shared" si="128"/>
        <v>#VALUE!</v>
      </c>
      <c r="N518" s="50" t="e">
        <f t="shared" si="129"/>
        <v>#VALUE!</v>
      </c>
      <c r="O518" s="50" t="e">
        <f t="shared" si="130"/>
        <v>#VALUE!</v>
      </c>
      <c r="P518" s="50">
        <f t="shared" si="131"/>
        <v>0</v>
      </c>
      <c r="R518" s="55" t="e">
        <f t="shared" si="132"/>
        <v>#VALUE!</v>
      </c>
      <c r="S518" s="55" t="e">
        <f t="shared" si="133"/>
        <v>#VALUE!</v>
      </c>
      <c r="T518" s="55" t="e">
        <f t="shared" ref="T518:T581" si="138">RIGHT(I518,M518)</f>
        <v>#VALUE!</v>
      </c>
      <c r="U518" s="50" t="e">
        <f t="shared" si="134"/>
        <v>#VALUE!</v>
      </c>
      <c r="V518" s="50" t="e">
        <f t="shared" si="135"/>
        <v>#VALUE!</v>
      </c>
      <c r="W518" s="50" t="e">
        <f t="shared" si="136"/>
        <v>#VALUE!</v>
      </c>
    </row>
    <row r="519" spans="2:23" x14ac:dyDescent="0.25">
      <c r="B519" s="50" t="b">
        <f t="shared" si="124"/>
        <v>0</v>
      </c>
      <c r="C519" s="50" t="e">
        <f t="shared" si="125"/>
        <v>#VALUE!</v>
      </c>
      <c r="E519" s="56">
        <v>515</v>
      </c>
      <c r="G519" s="138"/>
      <c r="H519" s="135">
        <v>1</v>
      </c>
      <c r="I519" s="57" t="str">
        <f t="shared" si="137"/>
        <v/>
      </c>
      <c r="J519" s="58" t="e">
        <f t="shared" si="126"/>
        <v>#VALUE!</v>
      </c>
      <c r="K519" s="50" t="e">
        <f t="shared" si="127"/>
        <v>#VALUE!</v>
      </c>
      <c r="L519" s="50" t="e">
        <f t="shared" si="128"/>
        <v>#VALUE!</v>
      </c>
      <c r="M519" s="50" t="e">
        <f t="shared" si="128"/>
        <v>#VALUE!</v>
      </c>
      <c r="N519" s="50" t="e">
        <f t="shared" si="129"/>
        <v>#VALUE!</v>
      </c>
      <c r="O519" s="50" t="e">
        <f t="shared" si="130"/>
        <v>#VALUE!</v>
      </c>
      <c r="P519" s="50">
        <f t="shared" si="131"/>
        <v>0</v>
      </c>
      <c r="R519" s="55" t="e">
        <f t="shared" si="132"/>
        <v>#VALUE!</v>
      </c>
      <c r="S519" s="55" t="e">
        <f t="shared" si="133"/>
        <v>#VALUE!</v>
      </c>
      <c r="T519" s="55" t="e">
        <f t="shared" si="138"/>
        <v>#VALUE!</v>
      </c>
      <c r="U519" s="50" t="e">
        <f t="shared" si="134"/>
        <v>#VALUE!</v>
      </c>
      <c r="V519" s="50" t="e">
        <f t="shared" si="135"/>
        <v>#VALUE!</v>
      </c>
      <c r="W519" s="50" t="e">
        <f t="shared" si="136"/>
        <v>#VALUE!</v>
      </c>
    </row>
    <row r="520" spans="2:23" x14ac:dyDescent="0.25">
      <c r="B520" s="50" t="b">
        <f t="shared" si="124"/>
        <v>0</v>
      </c>
      <c r="C520" s="50" t="e">
        <f t="shared" si="125"/>
        <v>#VALUE!</v>
      </c>
      <c r="E520" s="56">
        <v>516</v>
      </c>
      <c r="G520" s="138"/>
      <c r="H520" s="135">
        <v>1</v>
      </c>
      <c r="I520" s="57" t="str">
        <f t="shared" si="137"/>
        <v/>
      </c>
      <c r="J520" s="58" t="e">
        <f t="shared" si="126"/>
        <v>#VALUE!</v>
      </c>
      <c r="K520" s="50" t="e">
        <f t="shared" si="127"/>
        <v>#VALUE!</v>
      </c>
      <c r="L520" s="50" t="e">
        <f t="shared" si="128"/>
        <v>#VALUE!</v>
      </c>
      <c r="M520" s="50" t="e">
        <f t="shared" si="128"/>
        <v>#VALUE!</v>
      </c>
      <c r="N520" s="50" t="e">
        <f t="shared" si="129"/>
        <v>#VALUE!</v>
      </c>
      <c r="O520" s="50" t="e">
        <f t="shared" si="130"/>
        <v>#VALUE!</v>
      </c>
      <c r="P520" s="50">
        <f t="shared" si="131"/>
        <v>0</v>
      </c>
      <c r="R520" s="55" t="e">
        <f t="shared" si="132"/>
        <v>#VALUE!</v>
      </c>
      <c r="S520" s="55" t="e">
        <f t="shared" si="133"/>
        <v>#VALUE!</v>
      </c>
      <c r="T520" s="55" t="e">
        <f t="shared" si="138"/>
        <v>#VALUE!</v>
      </c>
      <c r="U520" s="50" t="e">
        <f t="shared" si="134"/>
        <v>#VALUE!</v>
      </c>
      <c r="V520" s="50" t="e">
        <f t="shared" si="135"/>
        <v>#VALUE!</v>
      </c>
      <c r="W520" s="50" t="e">
        <f t="shared" si="136"/>
        <v>#VALUE!</v>
      </c>
    </row>
    <row r="521" spans="2:23" x14ac:dyDescent="0.25">
      <c r="B521" s="50" t="b">
        <f t="shared" si="124"/>
        <v>0</v>
      </c>
      <c r="C521" s="50" t="e">
        <f t="shared" si="125"/>
        <v>#VALUE!</v>
      </c>
      <c r="E521" s="56">
        <v>517</v>
      </c>
      <c r="G521" s="138"/>
      <c r="H521" s="135">
        <v>1</v>
      </c>
      <c r="I521" s="57" t="str">
        <f t="shared" si="137"/>
        <v/>
      </c>
      <c r="J521" s="58" t="e">
        <f t="shared" si="126"/>
        <v>#VALUE!</v>
      </c>
      <c r="K521" s="50" t="e">
        <f t="shared" si="127"/>
        <v>#VALUE!</v>
      </c>
      <c r="L521" s="50" t="e">
        <f t="shared" si="128"/>
        <v>#VALUE!</v>
      </c>
      <c r="M521" s="50" t="e">
        <f t="shared" si="128"/>
        <v>#VALUE!</v>
      </c>
      <c r="N521" s="50" t="e">
        <f t="shared" si="129"/>
        <v>#VALUE!</v>
      </c>
      <c r="O521" s="50" t="e">
        <f t="shared" si="130"/>
        <v>#VALUE!</v>
      </c>
      <c r="P521" s="50">
        <f t="shared" si="131"/>
        <v>0</v>
      </c>
      <c r="R521" s="55" t="e">
        <f t="shared" si="132"/>
        <v>#VALUE!</v>
      </c>
      <c r="S521" s="55" t="e">
        <f t="shared" si="133"/>
        <v>#VALUE!</v>
      </c>
      <c r="T521" s="55" t="e">
        <f t="shared" si="138"/>
        <v>#VALUE!</v>
      </c>
      <c r="U521" s="50" t="e">
        <f t="shared" si="134"/>
        <v>#VALUE!</v>
      </c>
      <c r="V521" s="50" t="e">
        <f t="shared" si="135"/>
        <v>#VALUE!</v>
      </c>
      <c r="W521" s="50" t="e">
        <f t="shared" si="136"/>
        <v>#VALUE!</v>
      </c>
    </row>
    <row r="522" spans="2:23" x14ac:dyDescent="0.25">
      <c r="B522" s="50" t="b">
        <f t="shared" si="124"/>
        <v>0</v>
      </c>
      <c r="C522" s="50" t="e">
        <f t="shared" si="125"/>
        <v>#VALUE!</v>
      </c>
      <c r="E522" s="56">
        <v>518</v>
      </c>
      <c r="G522" s="138"/>
      <c r="H522" s="135">
        <v>1</v>
      </c>
      <c r="I522" s="57" t="str">
        <f t="shared" si="137"/>
        <v/>
      </c>
      <c r="J522" s="58" t="e">
        <f t="shared" si="126"/>
        <v>#VALUE!</v>
      </c>
      <c r="K522" s="50" t="e">
        <f t="shared" si="127"/>
        <v>#VALUE!</v>
      </c>
      <c r="L522" s="50" t="e">
        <f t="shared" si="128"/>
        <v>#VALUE!</v>
      </c>
      <c r="M522" s="50" t="e">
        <f t="shared" si="128"/>
        <v>#VALUE!</v>
      </c>
      <c r="N522" s="50" t="e">
        <f t="shared" si="129"/>
        <v>#VALUE!</v>
      </c>
      <c r="O522" s="50" t="e">
        <f t="shared" si="130"/>
        <v>#VALUE!</v>
      </c>
      <c r="P522" s="50">
        <f t="shared" si="131"/>
        <v>0</v>
      </c>
      <c r="R522" s="55" t="e">
        <f t="shared" si="132"/>
        <v>#VALUE!</v>
      </c>
      <c r="S522" s="55" t="e">
        <f t="shared" si="133"/>
        <v>#VALUE!</v>
      </c>
      <c r="T522" s="55" t="e">
        <f t="shared" si="138"/>
        <v>#VALUE!</v>
      </c>
      <c r="U522" s="50" t="e">
        <f t="shared" si="134"/>
        <v>#VALUE!</v>
      </c>
      <c r="V522" s="50" t="e">
        <f t="shared" si="135"/>
        <v>#VALUE!</v>
      </c>
      <c r="W522" s="50" t="e">
        <f t="shared" si="136"/>
        <v>#VALUE!</v>
      </c>
    </row>
    <row r="523" spans="2:23" x14ac:dyDescent="0.25">
      <c r="B523" s="50" t="b">
        <f t="shared" si="124"/>
        <v>0</v>
      </c>
      <c r="C523" s="50" t="e">
        <f t="shared" si="125"/>
        <v>#VALUE!</v>
      </c>
      <c r="E523" s="56">
        <v>519</v>
      </c>
      <c r="G523" s="138"/>
      <c r="H523" s="135">
        <v>1</v>
      </c>
      <c r="I523" s="57" t="str">
        <f t="shared" si="137"/>
        <v/>
      </c>
      <c r="J523" s="58" t="e">
        <f t="shared" si="126"/>
        <v>#VALUE!</v>
      </c>
      <c r="K523" s="50" t="e">
        <f t="shared" si="127"/>
        <v>#VALUE!</v>
      </c>
      <c r="L523" s="50" t="e">
        <f t="shared" si="128"/>
        <v>#VALUE!</v>
      </c>
      <c r="M523" s="50" t="e">
        <f t="shared" si="128"/>
        <v>#VALUE!</v>
      </c>
      <c r="N523" s="50" t="e">
        <f t="shared" si="129"/>
        <v>#VALUE!</v>
      </c>
      <c r="O523" s="50" t="e">
        <f t="shared" si="130"/>
        <v>#VALUE!</v>
      </c>
      <c r="P523" s="50">
        <f t="shared" si="131"/>
        <v>0</v>
      </c>
      <c r="R523" s="55" t="e">
        <f t="shared" si="132"/>
        <v>#VALUE!</v>
      </c>
      <c r="S523" s="55" t="e">
        <f t="shared" si="133"/>
        <v>#VALUE!</v>
      </c>
      <c r="T523" s="55" t="e">
        <f t="shared" si="138"/>
        <v>#VALUE!</v>
      </c>
      <c r="U523" s="50" t="e">
        <f t="shared" si="134"/>
        <v>#VALUE!</v>
      </c>
      <c r="V523" s="50" t="e">
        <f t="shared" si="135"/>
        <v>#VALUE!</v>
      </c>
      <c r="W523" s="50" t="e">
        <f t="shared" si="136"/>
        <v>#VALUE!</v>
      </c>
    </row>
    <row r="524" spans="2:23" x14ac:dyDescent="0.25">
      <c r="B524" s="50" t="b">
        <f t="shared" si="124"/>
        <v>0</v>
      </c>
      <c r="C524" s="50" t="e">
        <f t="shared" si="125"/>
        <v>#VALUE!</v>
      </c>
      <c r="E524" s="56">
        <v>520</v>
      </c>
      <c r="G524" s="138"/>
      <c r="H524" s="135">
        <v>1</v>
      </c>
      <c r="I524" s="57" t="str">
        <f t="shared" si="137"/>
        <v/>
      </c>
      <c r="J524" s="58" t="e">
        <f t="shared" si="126"/>
        <v>#VALUE!</v>
      </c>
      <c r="K524" s="50" t="e">
        <f t="shared" si="127"/>
        <v>#VALUE!</v>
      </c>
      <c r="L524" s="50" t="e">
        <f t="shared" si="128"/>
        <v>#VALUE!</v>
      </c>
      <c r="M524" s="50" t="e">
        <f t="shared" si="128"/>
        <v>#VALUE!</v>
      </c>
      <c r="N524" s="50" t="e">
        <f t="shared" si="129"/>
        <v>#VALUE!</v>
      </c>
      <c r="O524" s="50" t="e">
        <f t="shared" si="130"/>
        <v>#VALUE!</v>
      </c>
      <c r="P524" s="50">
        <f t="shared" si="131"/>
        <v>0</v>
      </c>
      <c r="R524" s="55" t="e">
        <f t="shared" si="132"/>
        <v>#VALUE!</v>
      </c>
      <c r="S524" s="55" t="e">
        <f t="shared" si="133"/>
        <v>#VALUE!</v>
      </c>
      <c r="T524" s="55" t="e">
        <f t="shared" si="138"/>
        <v>#VALUE!</v>
      </c>
      <c r="U524" s="50" t="e">
        <f t="shared" si="134"/>
        <v>#VALUE!</v>
      </c>
      <c r="V524" s="50" t="e">
        <f t="shared" si="135"/>
        <v>#VALUE!</v>
      </c>
      <c r="W524" s="50" t="e">
        <f t="shared" si="136"/>
        <v>#VALUE!</v>
      </c>
    </row>
    <row r="525" spans="2:23" x14ac:dyDescent="0.25">
      <c r="B525" s="50" t="b">
        <f t="shared" si="124"/>
        <v>0</v>
      </c>
      <c r="C525" s="50" t="e">
        <f t="shared" si="125"/>
        <v>#VALUE!</v>
      </c>
      <c r="E525" s="56">
        <v>521</v>
      </c>
      <c r="G525" s="138"/>
      <c r="H525" s="135">
        <v>1</v>
      </c>
      <c r="I525" s="57" t="str">
        <f t="shared" si="137"/>
        <v/>
      </c>
      <c r="J525" s="58" t="e">
        <f t="shared" si="126"/>
        <v>#VALUE!</v>
      </c>
      <c r="K525" s="50" t="e">
        <f t="shared" si="127"/>
        <v>#VALUE!</v>
      </c>
      <c r="L525" s="50" t="e">
        <f t="shared" si="128"/>
        <v>#VALUE!</v>
      </c>
      <c r="M525" s="50" t="e">
        <f t="shared" si="128"/>
        <v>#VALUE!</v>
      </c>
      <c r="N525" s="50" t="e">
        <f t="shared" si="129"/>
        <v>#VALUE!</v>
      </c>
      <c r="O525" s="50" t="e">
        <f t="shared" si="130"/>
        <v>#VALUE!</v>
      </c>
      <c r="P525" s="50">
        <f t="shared" si="131"/>
        <v>0</v>
      </c>
      <c r="R525" s="55" t="e">
        <f t="shared" si="132"/>
        <v>#VALUE!</v>
      </c>
      <c r="S525" s="55" t="e">
        <f t="shared" si="133"/>
        <v>#VALUE!</v>
      </c>
      <c r="T525" s="55" t="e">
        <f t="shared" si="138"/>
        <v>#VALUE!</v>
      </c>
      <c r="U525" s="50" t="e">
        <f t="shared" si="134"/>
        <v>#VALUE!</v>
      </c>
      <c r="V525" s="50" t="e">
        <f t="shared" si="135"/>
        <v>#VALUE!</v>
      </c>
      <c r="W525" s="50" t="e">
        <f t="shared" si="136"/>
        <v>#VALUE!</v>
      </c>
    </row>
    <row r="526" spans="2:23" x14ac:dyDescent="0.25">
      <c r="B526" s="50" t="b">
        <f t="shared" ref="B526:B589" si="139">ISNUMBER(C526)</f>
        <v>0</v>
      </c>
      <c r="C526" s="50" t="e">
        <f t="shared" si="125"/>
        <v>#VALUE!</v>
      </c>
      <c r="E526" s="56">
        <v>522</v>
      </c>
      <c r="G526" s="138"/>
      <c r="H526" s="135">
        <v>1</v>
      </c>
      <c r="I526" s="57" t="str">
        <f t="shared" si="137"/>
        <v/>
      </c>
      <c r="J526" s="58" t="e">
        <f t="shared" si="126"/>
        <v>#VALUE!</v>
      </c>
      <c r="K526" s="50" t="e">
        <f t="shared" si="127"/>
        <v>#VALUE!</v>
      </c>
      <c r="L526" s="50" t="e">
        <f t="shared" si="128"/>
        <v>#VALUE!</v>
      </c>
      <c r="M526" s="50" t="e">
        <f t="shared" si="128"/>
        <v>#VALUE!</v>
      </c>
      <c r="N526" s="50" t="e">
        <f t="shared" si="129"/>
        <v>#VALUE!</v>
      </c>
      <c r="O526" s="50" t="e">
        <f t="shared" si="130"/>
        <v>#VALUE!</v>
      </c>
      <c r="P526" s="50">
        <f t="shared" si="131"/>
        <v>0</v>
      </c>
      <c r="R526" s="55" t="e">
        <f t="shared" si="132"/>
        <v>#VALUE!</v>
      </c>
      <c r="S526" s="55" t="e">
        <f t="shared" si="133"/>
        <v>#VALUE!</v>
      </c>
      <c r="T526" s="55" t="e">
        <f t="shared" si="138"/>
        <v>#VALUE!</v>
      </c>
      <c r="U526" s="50" t="e">
        <f t="shared" si="134"/>
        <v>#VALUE!</v>
      </c>
      <c r="V526" s="50" t="e">
        <f t="shared" si="135"/>
        <v>#VALUE!</v>
      </c>
      <c r="W526" s="50" t="e">
        <f t="shared" si="136"/>
        <v>#VALUE!</v>
      </c>
    </row>
    <row r="527" spans="2:23" x14ac:dyDescent="0.25">
      <c r="B527" s="50" t="b">
        <f t="shared" si="139"/>
        <v>0</v>
      </c>
      <c r="C527" s="50" t="e">
        <f t="shared" si="125"/>
        <v>#VALUE!</v>
      </c>
      <c r="E527" s="56">
        <v>523</v>
      </c>
      <c r="G527" s="138"/>
      <c r="H527" s="135">
        <v>1</v>
      </c>
      <c r="I527" s="57" t="str">
        <f t="shared" si="137"/>
        <v/>
      </c>
      <c r="J527" s="58" t="e">
        <f t="shared" si="126"/>
        <v>#VALUE!</v>
      </c>
      <c r="K527" s="50" t="e">
        <f t="shared" si="127"/>
        <v>#VALUE!</v>
      </c>
      <c r="L527" s="50" t="e">
        <f t="shared" si="128"/>
        <v>#VALUE!</v>
      </c>
      <c r="M527" s="50" t="e">
        <f t="shared" si="128"/>
        <v>#VALUE!</v>
      </c>
      <c r="N527" s="50" t="e">
        <f t="shared" si="129"/>
        <v>#VALUE!</v>
      </c>
      <c r="O527" s="50" t="e">
        <f t="shared" si="130"/>
        <v>#VALUE!</v>
      </c>
      <c r="P527" s="50">
        <f t="shared" si="131"/>
        <v>0</v>
      </c>
      <c r="R527" s="55" t="e">
        <f t="shared" si="132"/>
        <v>#VALUE!</v>
      </c>
      <c r="S527" s="55" t="e">
        <f t="shared" si="133"/>
        <v>#VALUE!</v>
      </c>
      <c r="T527" s="55" t="e">
        <f t="shared" si="138"/>
        <v>#VALUE!</v>
      </c>
      <c r="U527" s="50" t="e">
        <f t="shared" si="134"/>
        <v>#VALUE!</v>
      </c>
      <c r="V527" s="50" t="e">
        <f t="shared" si="135"/>
        <v>#VALUE!</v>
      </c>
      <c r="W527" s="50" t="e">
        <f t="shared" si="136"/>
        <v>#VALUE!</v>
      </c>
    </row>
    <row r="528" spans="2:23" x14ac:dyDescent="0.25">
      <c r="B528" s="50" t="b">
        <f t="shared" si="139"/>
        <v>0</v>
      </c>
      <c r="C528" s="50" t="e">
        <f t="shared" si="125"/>
        <v>#VALUE!</v>
      </c>
      <c r="E528" s="56">
        <v>524</v>
      </c>
      <c r="G528" s="138"/>
      <c r="H528" s="135">
        <v>1</v>
      </c>
      <c r="I528" s="57" t="str">
        <f t="shared" si="137"/>
        <v/>
      </c>
      <c r="J528" s="58" t="e">
        <f t="shared" si="126"/>
        <v>#VALUE!</v>
      </c>
      <c r="K528" s="50" t="e">
        <f t="shared" si="127"/>
        <v>#VALUE!</v>
      </c>
      <c r="L528" s="50" t="e">
        <f t="shared" si="128"/>
        <v>#VALUE!</v>
      </c>
      <c r="M528" s="50" t="e">
        <f t="shared" si="128"/>
        <v>#VALUE!</v>
      </c>
      <c r="N528" s="50" t="e">
        <f t="shared" si="129"/>
        <v>#VALUE!</v>
      </c>
      <c r="O528" s="50" t="e">
        <f t="shared" si="130"/>
        <v>#VALUE!</v>
      </c>
      <c r="P528" s="50">
        <f t="shared" si="131"/>
        <v>0</v>
      </c>
      <c r="R528" s="55" t="e">
        <f t="shared" si="132"/>
        <v>#VALUE!</v>
      </c>
      <c r="S528" s="55" t="e">
        <f t="shared" si="133"/>
        <v>#VALUE!</v>
      </c>
      <c r="T528" s="55" t="e">
        <f t="shared" si="138"/>
        <v>#VALUE!</v>
      </c>
      <c r="U528" s="50" t="e">
        <f t="shared" si="134"/>
        <v>#VALUE!</v>
      </c>
      <c r="V528" s="50" t="e">
        <f t="shared" si="135"/>
        <v>#VALUE!</v>
      </c>
      <c r="W528" s="50" t="e">
        <f t="shared" si="136"/>
        <v>#VALUE!</v>
      </c>
    </row>
    <row r="529" spans="2:23" x14ac:dyDescent="0.25">
      <c r="B529" s="50" t="b">
        <f t="shared" si="139"/>
        <v>0</v>
      </c>
      <c r="C529" s="50" t="e">
        <f t="shared" si="125"/>
        <v>#VALUE!</v>
      </c>
      <c r="E529" s="56">
        <v>525</v>
      </c>
      <c r="G529" s="138"/>
      <c r="H529" s="135">
        <v>1</v>
      </c>
      <c r="I529" s="57" t="str">
        <f t="shared" si="137"/>
        <v/>
      </c>
      <c r="J529" s="58" t="e">
        <f t="shared" si="126"/>
        <v>#VALUE!</v>
      </c>
      <c r="K529" s="50" t="e">
        <f t="shared" si="127"/>
        <v>#VALUE!</v>
      </c>
      <c r="L529" s="50" t="e">
        <f t="shared" si="128"/>
        <v>#VALUE!</v>
      </c>
      <c r="M529" s="50" t="e">
        <f t="shared" si="128"/>
        <v>#VALUE!</v>
      </c>
      <c r="N529" s="50" t="e">
        <f t="shared" si="129"/>
        <v>#VALUE!</v>
      </c>
      <c r="O529" s="50" t="e">
        <f t="shared" si="130"/>
        <v>#VALUE!</v>
      </c>
      <c r="P529" s="50">
        <f t="shared" si="131"/>
        <v>0</v>
      </c>
      <c r="R529" s="55" t="e">
        <f t="shared" si="132"/>
        <v>#VALUE!</v>
      </c>
      <c r="S529" s="55" t="e">
        <f t="shared" si="133"/>
        <v>#VALUE!</v>
      </c>
      <c r="T529" s="55" t="e">
        <f t="shared" si="138"/>
        <v>#VALUE!</v>
      </c>
      <c r="U529" s="50" t="e">
        <f t="shared" si="134"/>
        <v>#VALUE!</v>
      </c>
      <c r="V529" s="50" t="e">
        <f t="shared" si="135"/>
        <v>#VALUE!</v>
      </c>
      <c r="W529" s="50" t="e">
        <f t="shared" si="136"/>
        <v>#VALUE!</v>
      </c>
    </row>
    <row r="530" spans="2:23" x14ac:dyDescent="0.25">
      <c r="B530" s="50" t="b">
        <f t="shared" si="139"/>
        <v>0</v>
      </c>
      <c r="C530" s="50" t="e">
        <f t="shared" si="125"/>
        <v>#VALUE!</v>
      </c>
      <c r="E530" s="56">
        <v>526</v>
      </c>
      <c r="G530" s="138"/>
      <c r="H530" s="135">
        <v>1</v>
      </c>
      <c r="I530" s="57" t="str">
        <f t="shared" si="137"/>
        <v/>
      </c>
      <c r="J530" s="58" t="e">
        <f t="shared" si="126"/>
        <v>#VALUE!</v>
      </c>
      <c r="K530" s="50" t="e">
        <f t="shared" si="127"/>
        <v>#VALUE!</v>
      </c>
      <c r="L530" s="50" t="e">
        <f t="shared" si="128"/>
        <v>#VALUE!</v>
      </c>
      <c r="M530" s="50" t="e">
        <f t="shared" si="128"/>
        <v>#VALUE!</v>
      </c>
      <c r="N530" s="50" t="e">
        <f t="shared" si="129"/>
        <v>#VALUE!</v>
      </c>
      <c r="O530" s="50" t="e">
        <f t="shared" si="130"/>
        <v>#VALUE!</v>
      </c>
      <c r="P530" s="50">
        <f t="shared" si="131"/>
        <v>0</v>
      </c>
      <c r="R530" s="55" t="e">
        <f t="shared" si="132"/>
        <v>#VALUE!</v>
      </c>
      <c r="S530" s="55" t="e">
        <f t="shared" si="133"/>
        <v>#VALUE!</v>
      </c>
      <c r="T530" s="55" t="e">
        <f t="shared" si="138"/>
        <v>#VALUE!</v>
      </c>
      <c r="U530" s="50" t="e">
        <f t="shared" si="134"/>
        <v>#VALUE!</v>
      </c>
      <c r="V530" s="50" t="e">
        <f t="shared" si="135"/>
        <v>#VALUE!</v>
      </c>
      <c r="W530" s="50" t="e">
        <f t="shared" si="136"/>
        <v>#VALUE!</v>
      </c>
    </row>
    <row r="531" spans="2:23" x14ac:dyDescent="0.25">
      <c r="B531" s="50" t="b">
        <f t="shared" si="139"/>
        <v>0</v>
      </c>
      <c r="C531" s="50" t="e">
        <f t="shared" si="125"/>
        <v>#VALUE!</v>
      </c>
      <c r="E531" s="56">
        <v>527</v>
      </c>
      <c r="G531" s="138"/>
      <c r="H531" s="135">
        <v>1</v>
      </c>
      <c r="I531" s="57" t="str">
        <f t="shared" si="137"/>
        <v/>
      </c>
      <c r="J531" s="58" t="e">
        <f t="shared" si="126"/>
        <v>#VALUE!</v>
      </c>
      <c r="K531" s="50" t="e">
        <f t="shared" si="127"/>
        <v>#VALUE!</v>
      </c>
      <c r="L531" s="50" t="e">
        <f t="shared" si="128"/>
        <v>#VALUE!</v>
      </c>
      <c r="M531" s="50" t="e">
        <f t="shared" si="128"/>
        <v>#VALUE!</v>
      </c>
      <c r="N531" s="50" t="e">
        <f t="shared" si="129"/>
        <v>#VALUE!</v>
      </c>
      <c r="O531" s="50" t="e">
        <f t="shared" si="130"/>
        <v>#VALUE!</v>
      </c>
      <c r="P531" s="50">
        <f t="shared" si="131"/>
        <v>0</v>
      </c>
      <c r="R531" s="55" t="e">
        <f t="shared" si="132"/>
        <v>#VALUE!</v>
      </c>
      <c r="S531" s="55" t="e">
        <f t="shared" si="133"/>
        <v>#VALUE!</v>
      </c>
      <c r="T531" s="55" t="e">
        <f t="shared" si="138"/>
        <v>#VALUE!</v>
      </c>
      <c r="U531" s="50" t="e">
        <f t="shared" si="134"/>
        <v>#VALUE!</v>
      </c>
      <c r="V531" s="50" t="e">
        <f t="shared" si="135"/>
        <v>#VALUE!</v>
      </c>
      <c r="W531" s="50" t="e">
        <f t="shared" si="136"/>
        <v>#VALUE!</v>
      </c>
    </row>
    <row r="532" spans="2:23" x14ac:dyDescent="0.25">
      <c r="B532" s="50" t="b">
        <f t="shared" si="139"/>
        <v>0</v>
      </c>
      <c r="C532" s="50" t="e">
        <f t="shared" si="125"/>
        <v>#VALUE!</v>
      </c>
      <c r="E532" s="56">
        <v>528</v>
      </c>
      <c r="G532" s="138"/>
      <c r="H532" s="135">
        <v>1</v>
      </c>
      <c r="I532" s="57" t="str">
        <f t="shared" si="137"/>
        <v/>
      </c>
      <c r="J532" s="58" t="e">
        <f t="shared" si="126"/>
        <v>#VALUE!</v>
      </c>
      <c r="K532" s="50" t="e">
        <f t="shared" si="127"/>
        <v>#VALUE!</v>
      </c>
      <c r="L532" s="50" t="e">
        <f t="shared" si="128"/>
        <v>#VALUE!</v>
      </c>
      <c r="M532" s="50" t="e">
        <f t="shared" si="128"/>
        <v>#VALUE!</v>
      </c>
      <c r="N532" s="50" t="e">
        <f t="shared" si="129"/>
        <v>#VALUE!</v>
      </c>
      <c r="O532" s="50" t="e">
        <f t="shared" si="130"/>
        <v>#VALUE!</v>
      </c>
      <c r="P532" s="50">
        <f t="shared" si="131"/>
        <v>0</v>
      </c>
      <c r="R532" s="55" t="e">
        <f t="shared" si="132"/>
        <v>#VALUE!</v>
      </c>
      <c r="S532" s="55" t="e">
        <f t="shared" si="133"/>
        <v>#VALUE!</v>
      </c>
      <c r="T532" s="55" t="e">
        <f t="shared" si="138"/>
        <v>#VALUE!</v>
      </c>
      <c r="U532" s="50" t="e">
        <f t="shared" si="134"/>
        <v>#VALUE!</v>
      </c>
      <c r="V532" s="50" t="e">
        <f t="shared" si="135"/>
        <v>#VALUE!</v>
      </c>
      <c r="W532" s="50" t="e">
        <f t="shared" si="136"/>
        <v>#VALUE!</v>
      </c>
    </row>
    <row r="533" spans="2:23" x14ac:dyDescent="0.25">
      <c r="B533" s="50" t="b">
        <f t="shared" si="139"/>
        <v>0</v>
      </c>
      <c r="C533" s="50" t="e">
        <f t="shared" si="125"/>
        <v>#VALUE!</v>
      </c>
      <c r="E533" s="56">
        <v>529</v>
      </c>
      <c r="G533" s="138"/>
      <c r="H533" s="135">
        <v>1</v>
      </c>
      <c r="I533" s="57" t="str">
        <f t="shared" si="137"/>
        <v/>
      </c>
      <c r="J533" s="58" t="e">
        <f t="shared" si="126"/>
        <v>#VALUE!</v>
      </c>
      <c r="K533" s="50" t="e">
        <f t="shared" si="127"/>
        <v>#VALUE!</v>
      </c>
      <c r="L533" s="50" t="e">
        <f t="shared" si="128"/>
        <v>#VALUE!</v>
      </c>
      <c r="M533" s="50" t="e">
        <f t="shared" si="128"/>
        <v>#VALUE!</v>
      </c>
      <c r="N533" s="50" t="e">
        <f t="shared" si="129"/>
        <v>#VALUE!</v>
      </c>
      <c r="O533" s="50" t="e">
        <f t="shared" si="130"/>
        <v>#VALUE!</v>
      </c>
      <c r="P533" s="50">
        <f t="shared" si="131"/>
        <v>0</v>
      </c>
      <c r="R533" s="55" t="e">
        <f t="shared" si="132"/>
        <v>#VALUE!</v>
      </c>
      <c r="S533" s="55" t="e">
        <f t="shared" si="133"/>
        <v>#VALUE!</v>
      </c>
      <c r="T533" s="55" t="e">
        <f t="shared" si="138"/>
        <v>#VALUE!</v>
      </c>
      <c r="U533" s="50" t="e">
        <f t="shared" si="134"/>
        <v>#VALUE!</v>
      </c>
      <c r="V533" s="50" t="e">
        <f t="shared" si="135"/>
        <v>#VALUE!</v>
      </c>
      <c r="W533" s="50" t="e">
        <f t="shared" si="136"/>
        <v>#VALUE!</v>
      </c>
    </row>
    <row r="534" spans="2:23" x14ac:dyDescent="0.25">
      <c r="B534" s="50" t="b">
        <f t="shared" si="139"/>
        <v>0</v>
      </c>
      <c r="C534" s="50" t="e">
        <f t="shared" si="125"/>
        <v>#VALUE!</v>
      </c>
      <c r="E534" s="56">
        <v>530</v>
      </c>
      <c r="G534" s="138"/>
      <c r="H534" s="135">
        <v>1</v>
      </c>
      <c r="I534" s="57" t="str">
        <f t="shared" si="137"/>
        <v/>
      </c>
      <c r="J534" s="58" t="e">
        <f t="shared" si="126"/>
        <v>#VALUE!</v>
      </c>
      <c r="K534" s="50" t="e">
        <f t="shared" si="127"/>
        <v>#VALUE!</v>
      </c>
      <c r="L534" s="50" t="e">
        <f t="shared" si="128"/>
        <v>#VALUE!</v>
      </c>
      <c r="M534" s="50" t="e">
        <f t="shared" si="128"/>
        <v>#VALUE!</v>
      </c>
      <c r="N534" s="50" t="e">
        <f t="shared" si="129"/>
        <v>#VALUE!</v>
      </c>
      <c r="O534" s="50" t="e">
        <f t="shared" si="130"/>
        <v>#VALUE!</v>
      </c>
      <c r="P534" s="50">
        <f t="shared" si="131"/>
        <v>0</v>
      </c>
      <c r="R534" s="55" t="e">
        <f t="shared" si="132"/>
        <v>#VALUE!</v>
      </c>
      <c r="S534" s="55" t="e">
        <f t="shared" si="133"/>
        <v>#VALUE!</v>
      </c>
      <c r="T534" s="55" t="e">
        <f t="shared" si="138"/>
        <v>#VALUE!</v>
      </c>
      <c r="U534" s="50" t="e">
        <f t="shared" si="134"/>
        <v>#VALUE!</v>
      </c>
      <c r="V534" s="50" t="e">
        <f t="shared" si="135"/>
        <v>#VALUE!</v>
      </c>
      <c r="W534" s="50" t="e">
        <f t="shared" si="136"/>
        <v>#VALUE!</v>
      </c>
    </row>
    <row r="535" spans="2:23" x14ac:dyDescent="0.25">
      <c r="B535" s="50" t="b">
        <f t="shared" si="139"/>
        <v>0</v>
      </c>
      <c r="C535" s="50" t="e">
        <f t="shared" si="125"/>
        <v>#VALUE!</v>
      </c>
      <c r="E535" s="56">
        <v>531</v>
      </c>
      <c r="G535" s="138"/>
      <c r="H535" s="135">
        <v>1</v>
      </c>
      <c r="I535" s="57" t="str">
        <f t="shared" si="137"/>
        <v/>
      </c>
      <c r="J535" s="58" t="e">
        <f t="shared" si="126"/>
        <v>#VALUE!</v>
      </c>
      <c r="K535" s="50" t="e">
        <f t="shared" si="127"/>
        <v>#VALUE!</v>
      </c>
      <c r="L535" s="50" t="e">
        <f t="shared" si="128"/>
        <v>#VALUE!</v>
      </c>
      <c r="M535" s="50" t="e">
        <f t="shared" si="128"/>
        <v>#VALUE!</v>
      </c>
      <c r="N535" s="50" t="e">
        <f t="shared" si="129"/>
        <v>#VALUE!</v>
      </c>
      <c r="O535" s="50" t="e">
        <f t="shared" si="130"/>
        <v>#VALUE!</v>
      </c>
      <c r="P535" s="50">
        <f t="shared" si="131"/>
        <v>0</v>
      </c>
      <c r="R535" s="55" t="e">
        <f t="shared" si="132"/>
        <v>#VALUE!</v>
      </c>
      <c r="S535" s="55" t="e">
        <f t="shared" si="133"/>
        <v>#VALUE!</v>
      </c>
      <c r="T535" s="55" t="e">
        <f t="shared" si="138"/>
        <v>#VALUE!</v>
      </c>
      <c r="U535" s="50" t="e">
        <f t="shared" si="134"/>
        <v>#VALUE!</v>
      </c>
      <c r="V535" s="50" t="e">
        <f t="shared" si="135"/>
        <v>#VALUE!</v>
      </c>
      <c r="W535" s="50" t="e">
        <f t="shared" si="136"/>
        <v>#VALUE!</v>
      </c>
    </row>
    <row r="536" spans="2:23" x14ac:dyDescent="0.25">
      <c r="B536" s="50" t="b">
        <f t="shared" si="139"/>
        <v>0</v>
      </c>
      <c r="C536" s="50" t="e">
        <f t="shared" si="125"/>
        <v>#VALUE!</v>
      </c>
      <c r="E536" s="56">
        <v>532</v>
      </c>
      <c r="G536" s="138"/>
      <c r="H536" s="135">
        <v>1</v>
      </c>
      <c r="I536" s="57" t="str">
        <f t="shared" si="137"/>
        <v/>
      </c>
      <c r="J536" s="58" t="e">
        <f t="shared" si="126"/>
        <v>#VALUE!</v>
      </c>
      <c r="K536" s="50" t="e">
        <f t="shared" si="127"/>
        <v>#VALUE!</v>
      </c>
      <c r="L536" s="50" t="e">
        <f t="shared" si="128"/>
        <v>#VALUE!</v>
      </c>
      <c r="M536" s="50" t="e">
        <f t="shared" si="128"/>
        <v>#VALUE!</v>
      </c>
      <c r="N536" s="50" t="e">
        <f t="shared" si="129"/>
        <v>#VALUE!</v>
      </c>
      <c r="O536" s="50" t="e">
        <f t="shared" si="130"/>
        <v>#VALUE!</v>
      </c>
      <c r="P536" s="50">
        <f t="shared" si="131"/>
        <v>0</v>
      </c>
      <c r="R536" s="55" t="e">
        <f t="shared" si="132"/>
        <v>#VALUE!</v>
      </c>
      <c r="S536" s="55" t="e">
        <f t="shared" si="133"/>
        <v>#VALUE!</v>
      </c>
      <c r="T536" s="55" t="e">
        <f t="shared" si="138"/>
        <v>#VALUE!</v>
      </c>
      <c r="U536" s="50" t="e">
        <f t="shared" si="134"/>
        <v>#VALUE!</v>
      </c>
      <c r="V536" s="50" t="e">
        <f t="shared" si="135"/>
        <v>#VALUE!</v>
      </c>
      <c r="W536" s="50" t="e">
        <f t="shared" si="136"/>
        <v>#VALUE!</v>
      </c>
    </row>
    <row r="537" spans="2:23" x14ac:dyDescent="0.25">
      <c r="B537" s="50" t="b">
        <f t="shared" si="139"/>
        <v>0</v>
      </c>
      <c r="C537" s="50" t="e">
        <f t="shared" si="125"/>
        <v>#VALUE!</v>
      </c>
      <c r="E537" s="56">
        <v>533</v>
      </c>
      <c r="G537" s="138"/>
      <c r="H537" s="135">
        <v>1</v>
      </c>
      <c r="I537" s="57" t="str">
        <f t="shared" si="137"/>
        <v/>
      </c>
      <c r="J537" s="58" t="e">
        <f t="shared" si="126"/>
        <v>#VALUE!</v>
      </c>
      <c r="K537" s="50" t="e">
        <f t="shared" si="127"/>
        <v>#VALUE!</v>
      </c>
      <c r="L537" s="50" t="e">
        <f t="shared" si="128"/>
        <v>#VALUE!</v>
      </c>
      <c r="M537" s="50" t="e">
        <f t="shared" si="128"/>
        <v>#VALUE!</v>
      </c>
      <c r="N537" s="50" t="e">
        <f t="shared" si="129"/>
        <v>#VALUE!</v>
      </c>
      <c r="O537" s="50" t="e">
        <f t="shared" si="130"/>
        <v>#VALUE!</v>
      </c>
      <c r="P537" s="50">
        <f t="shared" si="131"/>
        <v>0</v>
      </c>
      <c r="R537" s="55" t="e">
        <f t="shared" si="132"/>
        <v>#VALUE!</v>
      </c>
      <c r="S537" s="55" t="e">
        <f t="shared" si="133"/>
        <v>#VALUE!</v>
      </c>
      <c r="T537" s="55" t="e">
        <f t="shared" si="138"/>
        <v>#VALUE!</v>
      </c>
      <c r="U537" s="50" t="e">
        <f t="shared" si="134"/>
        <v>#VALUE!</v>
      </c>
      <c r="V537" s="50" t="e">
        <f t="shared" si="135"/>
        <v>#VALUE!</v>
      </c>
      <c r="W537" s="50" t="e">
        <f t="shared" si="136"/>
        <v>#VALUE!</v>
      </c>
    </row>
    <row r="538" spans="2:23" x14ac:dyDescent="0.25">
      <c r="B538" s="50" t="b">
        <f t="shared" si="139"/>
        <v>0</v>
      </c>
      <c r="C538" s="50" t="e">
        <f t="shared" si="125"/>
        <v>#VALUE!</v>
      </c>
      <c r="E538" s="56">
        <v>534</v>
      </c>
      <c r="G538" s="138"/>
      <c r="H538" s="135">
        <v>1</v>
      </c>
      <c r="I538" s="57" t="str">
        <f t="shared" si="137"/>
        <v/>
      </c>
      <c r="J538" s="58" t="e">
        <f t="shared" si="126"/>
        <v>#VALUE!</v>
      </c>
      <c r="K538" s="50" t="e">
        <f t="shared" si="127"/>
        <v>#VALUE!</v>
      </c>
      <c r="L538" s="50" t="e">
        <f t="shared" si="128"/>
        <v>#VALUE!</v>
      </c>
      <c r="M538" s="50" t="e">
        <f t="shared" si="128"/>
        <v>#VALUE!</v>
      </c>
      <c r="N538" s="50" t="e">
        <f t="shared" si="129"/>
        <v>#VALUE!</v>
      </c>
      <c r="O538" s="50" t="e">
        <f t="shared" si="130"/>
        <v>#VALUE!</v>
      </c>
      <c r="P538" s="50">
        <f t="shared" si="131"/>
        <v>0</v>
      </c>
      <c r="R538" s="55" t="e">
        <f t="shared" si="132"/>
        <v>#VALUE!</v>
      </c>
      <c r="S538" s="55" t="e">
        <f t="shared" si="133"/>
        <v>#VALUE!</v>
      </c>
      <c r="T538" s="55" t="e">
        <f t="shared" si="138"/>
        <v>#VALUE!</v>
      </c>
      <c r="U538" s="50" t="e">
        <f t="shared" si="134"/>
        <v>#VALUE!</v>
      </c>
      <c r="V538" s="50" t="e">
        <f t="shared" si="135"/>
        <v>#VALUE!</v>
      </c>
      <c r="W538" s="50" t="e">
        <f t="shared" si="136"/>
        <v>#VALUE!</v>
      </c>
    </row>
    <row r="539" spans="2:23" x14ac:dyDescent="0.25">
      <c r="B539" s="50" t="b">
        <f t="shared" si="139"/>
        <v>0</v>
      </c>
      <c r="C539" s="50" t="e">
        <f t="shared" si="125"/>
        <v>#VALUE!</v>
      </c>
      <c r="E539" s="56">
        <v>535</v>
      </c>
      <c r="G539" s="138"/>
      <c r="H539" s="135">
        <v>1</v>
      </c>
      <c r="I539" s="57" t="str">
        <f t="shared" si="137"/>
        <v/>
      </c>
      <c r="J539" s="58" t="e">
        <f t="shared" si="126"/>
        <v>#VALUE!</v>
      </c>
      <c r="K539" s="50" t="e">
        <f t="shared" si="127"/>
        <v>#VALUE!</v>
      </c>
      <c r="L539" s="50" t="e">
        <f t="shared" si="128"/>
        <v>#VALUE!</v>
      </c>
      <c r="M539" s="50" t="e">
        <f t="shared" si="128"/>
        <v>#VALUE!</v>
      </c>
      <c r="N539" s="50" t="e">
        <f t="shared" si="129"/>
        <v>#VALUE!</v>
      </c>
      <c r="O539" s="50" t="e">
        <f t="shared" si="130"/>
        <v>#VALUE!</v>
      </c>
      <c r="P539" s="50">
        <f t="shared" si="131"/>
        <v>0</v>
      </c>
      <c r="R539" s="55" t="e">
        <f t="shared" si="132"/>
        <v>#VALUE!</v>
      </c>
      <c r="S539" s="55" t="e">
        <f t="shared" si="133"/>
        <v>#VALUE!</v>
      </c>
      <c r="T539" s="55" t="e">
        <f t="shared" si="138"/>
        <v>#VALUE!</v>
      </c>
      <c r="U539" s="50" t="e">
        <f t="shared" si="134"/>
        <v>#VALUE!</v>
      </c>
      <c r="V539" s="50" t="e">
        <f t="shared" si="135"/>
        <v>#VALUE!</v>
      </c>
      <c r="W539" s="50" t="e">
        <f t="shared" si="136"/>
        <v>#VALUE!</v>
      </c>
    </row>
    <row r="540" spans="2:23" x14ac:dyDescent="0.25">
      <c r="B540" s="50" t="b">
        <f t="shared" si="139"/>
        <v>0</v>
      </c>
      <c r="C540" s="50" t="e">
        <f t="shared" si="125"/>
        <v>#VALUE!</v>
      </c>
      <c r="E540" s="56">
        <v>536</v>
      </c>
      <c r="G540" s="138"/>
      <c r="H540" s="135">
        <v>1</v>
      </c>
      <c r="I540" s="57" t="str">
        <f t="shared" si="137"/>
        <v/>
      </c>
      <c r="J540" s="58" t="e">
        <f t="shared" si="126"/>
        <v>#VALUE!</v>
      </c>
      <c r="K540" s="50" t="e">
        <f t="shared" si="127"/>
        <v>#VALUE!</v>
      </c>
      <c r="L540" s="50" t="e">
        <f t="shared" si="128"/>
        <v>#VALUE!</v>
      </c>
      <c r="M540" s="50" t="e">
        <f t="shared" si="128"/>
        <v>#VALUE!</v>
      </c>
      <c r="N540" s="50" t="e">
        <f t="shared" si="129"/>
        <v>#VALUE!</v>
      </c>
      <c r="O540" s="50" t="e">
        <f t="shared" si="130"/>
        <v>#VALUE!</v>
      </c>
      <c r="P540" s="50">
        <f t="shared" si="131"/>
        <v>0</v>
      </c>
      <c r="R540" s="55" t="e">
        <f t="shared" si="132"/>
        <v>#VALUE!</v>
      </c>
      <c r="S540" s="55" t="e">
        <f t="shared" si="133"/>
        <v>#VALUE!</v>
      </c>
      <c r="T540" s="55" t="e">
        <f t="shared" si="138"/>
        <v>#VALUE!</v>
      </c>
      <c r="U540" s="50" t="e">
        <f t="shared" si="134"/>
        <v>#VALUE!</v>
      </c>
      <c r="V540" s="50" t="e">
        <f t="shared" si="135"/>
        <v>#VALUE!</v>
      </c>
      <c r="W540" s="50" t="e">
        <f t="shared" si="136"/>
        <v>#VALUE!</v>
      </c>
    </row>
    <row r="541" spans="2:23" x14ac:dyDescent="0.25">
      <c r="B541" s="50" t="b">
        <f t="shared" si="139"/>
        <v>0</v>
      </c>
      <c r="C541" s="50" t="e">
        <f t="shared" si="125"/>
        <v>#VALUE!</v>
      </c>
      <c r="E541" s="56">
        <v>537</v>
      </c>
      <c r="G541" s="138"/>
      <c r="H541" s="135">
        <v>1</v>
      </c>
      <c r="I541" s="57" t="str">
        <f t="shared" si="137"/>
        <v/>
      </c>
      <c r="J541" s="58" t="e">
        <f t="shared" si="126"/>
        <v>#VALUE!</v>
      </c>
      <c r="K541" s="50" t="e">
        <f t="shared" si="127"/>
        <v>#VALUE!</v>
      </c>
      <c r="L541" s="50" t="e">
        <f t="shared" si="128"/>
        <v>#VALUE!</v>
      </c>
      <c r="M541" s="50" t="e">
        <f t="shared" si="128"/>
        <v>#VALUE!</v>
      </c>
      <c r="N541" s="50" t="e">
        <f t="shared" si="129"/>
        <v>#VALUE!</v>
      </c>
      <c r="O541" s="50" t="e">
        <f t="shared" si="130"/>
        <v>#VALUE!</v>
      </c>
      <c r="P541" s="50">
        <f t="shared" si="131"/>
        <v>0</v>
      </c>
      <c r="R541" s="55" t="e">
        <f t="shared" si="132"/>
        <v>#VALUE!</v>
      </c>
      <c r="S541" s="55" t="e">
        <f t="shared" si="133"/>
        <v>#VALUE!</v>
      </c>
      <c r="T541" s="55" t="e">
        <f t="shared" si="138"/>
        <v>#VALUE!</v>
      </c>
      <c r="U541" s="50" t="e">
        <f t="shared" si="134"/>
        <v>#VALUE!</v>
      </c>
      <c r="V541" s="50" t="e">
        <f t="shared" si="135"/>
        <v>#VALUE!</v>
      </c>
      <c r="W541" s="50" t="e">
        <f t="shared" si="136"/>
        <v>#VALUE!</v>
      </c>
    </row>
    <row r="542" spans="2:23" x14ac:dyDescent="0.25">
      <c r="B542" s="50" t="b">
        <f t="shared" si="139"/>
        <v>0</v>
      </c>
      <c r="C542" s="50" t="e">
        <f t="shared" si="125"/>
        <v>#VALUE!</v>
      </c>
      <c r="E542" s="56">
        <v>538</v>
      </c>
      <c r="G542" s="138"/>
      <c r="H542" s="135">
        <v>1</v>
      </c>
      <c r="I542" s="57" t="str">
        <f t="shared" si="137"/>
        <v/>
      </c>
      <c r="J542" s="58" t="e">
        <f t="shared" si="126"/>
        <v>#VALUE!</v>
      </c>
      <c r="K542" s="50" t="e">
        <f t="shared" si="127"/>
        <v>#VALUE!</v>
      </c>
      <c r="L542" s="50" t="e">
        <f t="shared" si="128"/>
        <v>#VALUE!</v>
      </c>
      <c r="M542" s="50" t="e">
        <f t="shared" si="128"/>
        <v>#VALUE!</v>
      </c>
      <c r="N542" s="50" t="e">
        <f t="shared" si="129"/>
        <v>#VALUE!</v>
      </c>
      <c r="O542" s="50" t="e">
        <f t="shared" si="130"/>
        <v>#VALUE!</v>
      </c>
      <c r="P542" s="50">
        <f t="shared" si="131"/>
        <v>0</v>
      </c>
      <c r="R542" s="55" t="e">
        <f t="shared" si="132"/>
        <v>#VALUE!</v>
      </c>
      <c r="S542" s="55" t="e">
        <f t="shared" si="133"/>
        <v>#VALUE!</v>
      </c>
      <c r="T542" s="55" t="e">
        <f t="shared" si="138"/>
        <v>#VALUE!</v>
      </c>
      <c r="U542" s="50" t="e">
        <f t="shared" si="134"/>
        <v>#VALUE!</v>
      </c>
      <c r="V542" s="50" t="e">
        <f t="shared" si="135"/>
        <v>#VALUE!</v>
      </c>
      <c r="W542" s="50" t="e">
        <f t="shared" si="136"/>
        <v>#VALUE!</v>
      </c>
    </row>
    <row r="543" spans="2:23" x14ac:dyDescent="0.25">
      <c r="B543" s="50" t="b">
        <f t="shared" si="139"/>
        <v>0</v>
      </c>
      <c r="C543" s="50" t="e">
        <f t="shared" si="125"/>
        <v>#VALUE!</v>
      </c>
      <c r="E543" s="56">
        <v>539</v>
      </c>
      <c r="G543" s="138"/>
      <c r="H543" s="135">
        <v>1</v>
      </c>
      <c r="I543" s="57" t="str">
        <f t="shared" si="137"/>
        <v/>
      </c>
      <c r="J543" s="58" t="e">
        <f t="shared" si="126"/>
        <v>#VALUE!</v>
      </c>
      <c r="K543" s="50" t="e">
        <f t="shared" si="127"/>
        <v>#VALUE!</v>
      </c>
      <c r="L543" s="50" t="e">
        <f t="shared" si="128"/>
        <v>#VALUE!</v>
      </c>
      <c r="M543" s="50" t="e">
        <f t="shared" si="128"/>
        <v>#VALUE!</v>
      </c>
      <c r="N543" s="50" t="e">
        <f t="shared" si="129"/>
        <v>#VALUE!</v>
      </c>
      <c r="O543" s="50" t="e">
        <f t="shared" si="130"/>
        <v>#VALUE!</v>
      </c>
      <c r="P543" s="50">
        <f t="shared" si="131"/>
        <v>0</v>
      </c>
      <c r="R543" s="55" t="e">
        <f t="shared" si="132"/>
        <v>#VALUE!</v>
      </c>
      <c r="S543" s="55" t="e">
        <f t="shared" si="133"/>
        <v>#VALUE!</v>
      </c>
      <c r="T543" s="55" t="e">
        <f t="shared" si="138"/>
        <v>#VALUE!</v>
      </c>
      <c r="U543" s="50" t="e">
        <f t="shared" si="134"/>
        <v>#VALUE!</v>
      </c>
      <c r="V543" s="50" t="e">
        <f t="shared" si="135"/>
        <v>#VALUE!</v>
      </c>
      <c r="W543" s="50" t="e">
        <f t="shared" si="136"/>
        <v>#VALUE!</v>
      </c>
    </row>
    <row r="544" spans="2:23" x14ac:dyDescent="0.25">
      <c r="B544" s="50" t="b">
        <f t="shared" si="139"/>
        <v>0</v>
      </c>
      <c r="C544" s="50" t="e">
        <f t="shared" si="125"/>
        <v>#VALUE!</v>
      </c>
      <c r="E544" s="56">
        <v>540</v>
      </c>
      <c r="G544" s="138"/>
      <c r="H544" s="135">
        <v>1</v>
      </c>
      <c r="I544" s="57" t="str">
        <f t="shared" si="137"/>
        <v/>
      </c>
      <c r="J544" s="58" t="e">
        <f t="shared" si="126"/>
        <v>#VALUE!</v>
      </c>
      <c r="K544" s="50" t="e">
        <f t="shared" si="127"/>
        <v>#VALUE!</v>
      </c>
      <c r="L544" s="50" t="e">
        <f t="shared" si="128"/>
        <v>#VALUE!</v>
      </c>
      <c r="M544" s="50" t="e">
        <f t="shared" si="128"/>
        <v>#VALUE!</v>
      </c>
      <c r="N544" s="50" t="e">
        <f t="shared" si="129"/>
        <v>#VALUE!</v>
      </c>
      <c r="O544" s="50" t="e">
        <f t="shared" si="130"/>
        <v>#VALUE!</v>
      </c>
      <c r="P544" s="50">
        <f t="shared" si="131"/>
        <v>0</v>
      </c>
      <c r="R544" s="55" t="e">
        <f t="shared" si="132"/>
        <v>#VALUE!</v>
      </c>
      <c r="S544" s="55" t="e">
        <f t="shared" si="133"/>
        <v>#VALUE!</v>
      </c>
      <c r="T544" s="55" t="e">
        <f t="shared" si="138"/>
        <v>#VALUE!</v>
      </c>
      <c r="U544" s="50" t="e">
        <f t="shared" si="134"/>
        <v>#VALUE!</v>
      </c>
      <c r="V544" s="50" t="e">
        <f t="shared" si="135"/>
        <v>#VALUE!</v>
      </c>
      <c r="W544" s="50" t="e">
        <f t="shared" si="136"/>
        <v>#VALUE!</v>
      </c>
    </row>
    <row r="545" spans="2:23" x14ac:dyDescent="0.25">
      <c r="B545" s="50" t="b">
        <f t="shared" si="139"/>
        <v>0</v>
      </c>
      <c r="C545" s="50" t="e">
        <f t="shared" si="125"/>
        <v>#VALUE!</v>
      </c>
      <c r="E545" s="56">
        <v>541</v>
      </c>
      <c r="G545" s="138"/>
      <c r="H545" s="135">
        <v>1</v>
      </c>
      <c r="I545" s="57" t="str">
        <f t="shared" si="137"/>
        <v/>
      </c>
      <c r="J545" s="58" t="e">
        <f t="shared" si="126"/>
        <v>#VALUE!</v>
      </c>
      <c r="K545" s="50" t="e">
        <f t="shared" si="127"/>
        <v>#VALUE!</v>
      </c>
      <c r="L545" s="50" t="e">
        <f t="shared" si="128"/>
        <v>#VALUE!</v>
      </c>
      <c r="M545" s="50" t="e">
        <f t="shared" si="128"/>
        <v>#VALUE!</v>
      </c>
      <c r="N545" s="50" t="e">
        <f t="shared" si="129"/>
        <v>#VALUE!</v>
      </c>
      <c r="O545" s="50" t="e">
        <f t="shared" si="130"/>
        <v>#VALUE!</v>
      </c>
      <c r="P545" s="50">
        <f t="shared" si="131"/>
        <v>0</v>
      </c>
      <c r="R545" s="55" t="e">
        <f t="shared" si="132"/>
        <v>#VALUE!</v>
      </c>
      <c r="S545" s="55" t="e">
        <f t="shared" si="133"/>
        <v>#VALUE!</v>
      </c>
      <c r="T545" s="55" t="e">
        <f t="shared" si="138"/>
        <v>#VALUE!</v>
      </c>
      <c r="U545" s="50" t="e">
        <f t="shared" si="134"/>
        <v>#VALUE!</v>
      </c>
      <c r="V545" s="50" t="e">
        <f t="shared" si="135"/>
        <v>#VALUE!</v>
      </c>
      <c r="W545" s="50" t="e">
        <f t="shared" si="136"/>
        <v>#VALUE!</v>
      </c>
    </row>
    <row r="546" spans="2:23" x14ac:dyDescent="0.25">
      <c r="B546" s="50" t="b">
        <f t="shared" si="139"/>
        <v>0</v>
      </c>
      <c r="C546" s="50" t="e">
        <f t="shared" si="125"/>
        <v>#VALUE!</v>
      </c>
      <c r="E546" s="56">
        <v>542</v>
      </c>
      <c r="G546" s="138"/>
      <c r="H546" s="135">
        <v>1</v>
      </c>
      <c r="I546" s="57" t="str">
        <f t="shared" si="137"/>
        <v/>
      </c>
      <c r="J546" s="58" t="e">
        <f t="shared" si="126"/>
        <v>#VALUE!</v>
      </c>
      <c r="K546" s="50" t="e">
        <f t="shared" si="127"/>
        <v>#VALUE!</v>
      </c>
      <c r="L546" s="50" t="e">
        <f t="shared" si="128"/>
        <v>#VALUE!</v>
      </c>
      <c r="M546" s="50" t="e">
        <f t="shared" si="128"/>
        <v>#VALUE!</v>
      </c>
      <c r="N546" s="50" t="e">
        <f t="shared" si="129"/>
        <v>#VALUE!</v>
      </c>
      <c r="O546" s="50" t="e">
        <f t="shared" si="130"/>
        <v>#VALUE!</v>
      </c>
      <c r="P546" s="50">
        <f t="shared" si="131"/>
        <v>0</v>
      </c>
      <c r="R546" s="55" t="e">
        <f t="shared" si="132"/>
        <v>#VALUE!</v>
      </c>
      <c r="S546" s="55" t="e">
        <f t="shared" si="133"/>
        <v>#VALUE!</v>
      </c>
      <c r="T546" s="55" t="e">
        <f t="shared" si="138"/>
        <v>#VALUE!</v>
      </c>
      <c r="U546" s="50" t="e">
        <f t="shared" si="134"/>
        <v>#VALUE!</v>
      </c>
      <c r="V546" s="50" t="e">
        <f t="shared" si="135"/>
        <v>#VALUE!</v>
      </c>
      <c r="W546" s="50" t="e">
        <f t="shared" si="136"/>
        <v>#VALUE!</v>
      </c>
    </row>
    <row r="547" spans="2:23" x14ac:dyDescent="0.25">
      <c r="B547" s="50" t="b">
        <f t="shared" si="139"/>
        <v>0</v>
      </c>
      <c r="C547" s="50" t="e">
        <f t="shared" si="125"/>
        <v>#VALUE!</v>
      </c>
      <c r="E547" s="56">
        <v>543</v>
      </c>
      <c r="G547" s="138"/>
      <c r="H547" s="135">
        <v>1</v>
      </c>
      <c r="I547" s="57" t="str">
        <f t="shared" si="137"/>
        <v/>
      </c>
      <c r="J547" s="58" t="e">
        <f t="shared" si="126"/>
        <v>#VALUE!</v>
      </c>
      <c r="K547" s="50" t="e">
        <f t="shared" si="127"/>
        <v>#VALUE!</v>
      </c>
      <c r="L547" s="50" t="e">
        <f t="shared" si="128"/>
        <v>#VALUE!</v>
      </c>
      <c r="M547" s="50" t="e">
        <f t="shared" si="128"/>
        <v>#VALUE!</v>
      </c>
      <c r="N547" s="50" t="e">
        <f t="shared" si="129"/>
        <v>#VALUE!</v>
      </c>
      <c r="O547" s="50" t="e">
        <f t="shared" si="130"/>
        <v>#VALUE!</v>
      </c>
      <c r="P547" s="50">
        <f t="shared" si="131"/>
        <v>0</v>
      </c>
      <c r="R547" s="55" t="e">
        <f t="shared" si="132"/>
        <v>#VALUE!</v>
      </c>
      <c r="S547" s="55" t="e">
        <f t="shared" si="133"/>
        <v>#VALUE!</v>
      </c>
      <c r="T547" s="55" t="e">
        <f t="shared" si="138"/>
        <v>#VALUE!</v>
      </c>
      <c r="U547" s="50" t="e">
        <f t="shared" si="134"/>
        <v>#VALUE!</v>
      </c>
      <c r="V547" s="50" t="e">
        <f t="shared" si="135"/>
        <v>#VALUE!</v>
      </c>
      <c r="W547" s="50" t="e">
        <f t="shared" si="136"/>
        <v>#VALUE!</v>
      </c>
    </row>
    <row r="548" spans="2:23" x14ac:dyDescent="0.25">
      <c r="B548" s="50" t="b">
        <f t="shared" si="139"/>
        <v>0</v>
      </c>
      <c r="C548" s="50" t="e">
        <f t="shared" si="125"/>
        <v>#VALUE!</v>
      </c>
      <c r="E548" s="56">
        <v>544</v>
      </c>
      <c r="G548" s="138"/>
      <c r="H548" s="135">
        <v>1</v>
      </c>
      <c r="I548" s="57" t="str">
        <f t="shared" si="137"/>
        <v/>
      </c>
      <c r="J548" s="58" t="e">
        <f t="shared" si="126"/>
        <v>#VALUE!</v>
      </c>
      <c r="K548" s="50" t="e">
        <f t="shared" si="127"/>
        <v>#VALUE!</v>
      </c>
      <c r="L548" s="50" t="e">
        <f t="shared" si="128"/>
        <v>#VALUE!</v>
      </c>
      <c r="M548" s="50" t="e">
        <f t="shared" si="128"/>
        <v>#VALUE!</v>
      </c>
      <c r="N548" s="50" t="e">
        <f t="shared" si="129"/>
        <v>#VALUE!</v>
      </c>
      <c r="O548" s="50" t="e">
        <f t="shared" si="130"/>
        <v>#VALUE!</v>
      </c>
      <c r="P548" s="50">
        <f t="shared" si="131"/>
        <v>0</v>
      </c>
      <c r="R548" s="55" t="e">
        <f t="shared" si="132"/>
        <v>#VALUE!</v>
      </c>
      <c r="S548" s="55" t="e">
        <f t="shared" si="133"/>
        <v>#VALUE!</v>
      </c>
      <c r="T548" s="55" t="e">
        <f t="shared" si="138"/>
        <v>#VALUE!</v>
      </c>
      <c r="U548" s="50" t="e">
        <f t="shared" si="134"/>
        <v>#VALUE!</v>
      </c>
      <c r="V548" s="50" t="e">
        <f t="shared" si="135"/>
        <v>#VALUE!</v>
      </c>
      <c r="W548" s="50" t="e">
        <f t="shared" si="136"/>
        <v>#VALUE!</v>
      </c>
    </row>
    <row r="549" spans="2:23" x14ac:dyDescent="0.25">
      <c r="B549" s="50" t="b">
        <f t="shared" si="139"/>
        <v>0</v>
      </c>
      <c r="C549" s="50" t="e">
        <f t="shared" si="125"/>
        <v>#VALUE!</v>
      </c>
      <c r="E549" s="56">
        <v>545</v>
      </c>
      <c r="G549" s="138"/>
      <c r="H549" s="135">
        <v>1</v>
      </c>
      <c r="I549" s="57" t="str">
        <f t="shared" si="137"/>
        <v/>
      </c>
      <c r="J549" s="58" t="e">
        <f t="shared" si="126"/>
        <v>#VALUE!</v>
      </c>
      <c r="K549" s="50" t="e">
        <f t="shared" si="127"/>
        <v>#VALUE!</v>
      </c>
      <c r="L549" s="50" t="e">
        <f t="shared" si="128"/>
        <v>#VALUE!</v>
      </c>
      <c r="M549" s="50" t="e">
        <f t="shared" si="128"/>
        <v>#VALUE!</v>
      </c>
      <c r="N549" s="50" t="e">
        <f t="shared" si="129"/>
        <v>#VALUE!</v>
      </c>
      <c r="O549" s="50" t="e">
        <f t="shared" si="130"/>
        <v>#VALUE!</v>
      </c>
      <c r="P549" s="50">
        <f t="shared" si="131"/>
        <v>0</v>
      </c>
      <c r="R549" s="55" t="e">
        <f t="shared" si="132"/>
        <v>#VALUE!</v>
      </c>
      <c r="S549" s="55" t="e">
        <f t="shared" si="133"/>
        <v>#VALUE!</v>
      </c>
      <c r="T549" s="55" t="e">
        <f t="shared" si="138"/>
        <v>#VALUE!</v>
      </c>
      <c r="U549" s="50" t="e">
        <f t="shared" si="134"/>
        <v>#VALUE!</v>
      </c>
      <c r="V549" s="50" t="e">
        <f t="shared" si="135"/>
        <v>#VALUE!</v>
      </c>
      <c r="W549" s="50" t="e">
        <f t="shared" si="136"/>
        <v>#VALUE!</v>
      </c>
    </row>
    <row r="550" spans="2:23" x14ac:dyDescent="0.25">
      <c r="B550" s="50" t="b">
        <f t="shared" si="139"/>
        <v>0</v>
      </c>
      <c r="C550" s="50" t="e">
        <f t="shared" si="125"/>
        <v>#VALUE!</v>
      </c>
      <c r="E550" s="56">
        <v>546</v>
      </c>
      <c r="G550" s="138"/>
      <c r="H550" s="135">
        <v>1</v>
      </c>
      <c r="I550" s="57" t="str">
        <f t="shared" si="137"/>
        <v/>
      </c>
      <c r="J550" s="58" t="e">
        <f t="shared" si="126"/>
        <v>#VALUE!</v>
      </c>
      <c r="K550" s="50" t="e">
        <f t="shared" si="127"/>
        <v>#VALUE!</v>
      </c>
      <c r="L550" s="50" t="e">
        <f t="shared" si="128"/>
        <v>#VALUE!</v>
      </c>
      <c r="M550" s="50" t="e">
        <f t="shared" si="128"/>
        <v>#VALUE!</v>
      </c>
      <c r="N550" s="50" t="e">
        <f t="shared" si="129"/>
        <v>#VALUE!</v>
      </c>
      <c r="O550" s="50" t="e">
        <f t="shared" si="130"/>
        <v>#VALUE!</v>
      </c>
      <c r="P550" s="50">
        <f t="shared" si="131"/>
        <v>0</v>
      </c>
      <c r="R550" s="55" t="e">
        <f t="shared" si="132"/>
        <v>#VALUE!</v>
      </c>
      <c r="S550" s="55" t="e">
        <f t="shared" si="133"/>
        <v>#VALUE!</v>
      </c>
      <c r="T550" s="55" t="e">
        <f t="shared" si="138"/>
        <v>#VALUE!</v>
      </c>
      <c r="U550" s="50" t="e">
        <f t="shared" si="134"/>
        <v>#VALUE!</v>
      </c>
      <c r="V550" s="50" t="e">
        <f t="shared" si="135"/>
        <v>#VALUE!</v>
      </c>
      <c r="W550" s="50" t="e">
        <f t="shared" si="136"/>
        <v>#VALUE!</v>
      </c>
    </row>
    <row r="551" spans="2:23" x14ac:dyDescent="0.25">
      <c r="B551" s="50" t="b">
        <f t="shared" si="139"/>
        <v>0</v>
      </c>
      <c r="C551" s="50" t="e">
        <f t="shared" si="125"/>
        <v>#VALUE!</v>
      </c>
      <c r="E551" s="56">
        <v>547</v>
      </c>
      <c r="G551" s="138"/>
      <c r="H551" s="135">
        <v>1</v>
      </c>
      <c r="I551" s="57" t="str">
        <f t="shared" si="137"/>
        <v/>
      </c>
      <c r="J551" s="58" t="e">
        <f t="shared" si="126"/>
        <v>#VALUE!</v>
      </c>
      <c r="K551" s="50" t="e">
        <f t="shared" si="127"/>
        <v>#VALUE!</v>
      </c>
      <c r="L551" s="50" t="e">
        <f t="shared" si="128"/>
        <v>#VALUE!</v>
      </c>
      <c r="M551" s="50" t="e">
        <f t="shared" si="128"/>
        <v>#VALUE!</v>
      </c>
      <c r="N551" s="50" t="e">
        <f t="shared" si="129"/>
        <v>#VALUE!</v>
      </c>
      <c r="O551" s="50" t="e">
        <f t="shared" si="130"/>
        <v>#VALUE!</v>
      </c>
      <c r="P551" s="50">
        <f t="shared" si="131"/>
        <v>0</v>
      </c>
      <c r="R551" s="55" t="e">
        <f t="shared" si="132"/>
        <v>#VALUE!</v>
      </c>
      <c r="S551" s="55" t="e">
        <f t="shared" si="133"/>
        <v>#VALUE!</v>
      </c>
      <c r="T551" s="55" t="e">
        <f t="shared" si="138"/>
        <v>#VALUE!</v>
      </c>
      <c r="U551" s="50" t="e">
        <f t="shared" si="134"/>
        <v>#VALUE!</v>
      </c>
      <c r="V551" s="50" t="e">
        <f t="shared" si="135"/>
        <v>#VALUE!</v>
      </c>
      <c r="W551" s="50" t="e">
        <f t="shared" si="136"/>
        <v>#VALUE!</v>
      </c>
    </row>
    <row r="552" spans="2:23" x14ac:dyDescent="0.25">
      <c r="B552" s="50" t="b">
        <f t="shared" si="139"/>
        <v>0</v>
      </c>
      <c r="C552" s="50" t="e">
        <f t="shared" si="125"/>
        <v>#VALUE!</v>
      </c>
      <c r="E552" s="56">
        <v>548</v>
      </c>
      <c r="G552" s="138"/>
      <c r="H552" s="135">
        <v>1</v>
      </c>
      <c r="I552" s="57" t="str">
        <f t="shared" si="137"/>
        <v/>
      </c>
      <c r="J552" s="58" t="e">
        <f t="shared" si="126"/>
        <v>#VALUE!</v>
      </c>
      <c r="K552" s="50" t="e">
        <f t="shared" si="127"/>
        <v>#VALUE!</v>
      </c>
      <c r="L552" s="50" t="e">
        <f t="shared" si="128"/>
        <v>#VALUE!</v>
      </c>
      <c r="M552" s="50" t="e">
        <f t="shared" si="128"/>
        <v>#VALUE!</v>
      </c>
      <c r="N552" s="50" t="e">
        <f t="shared" si="129"/>
        <v>#VALUE!</v>
      </c>
      <c r="O552" s="50" t="e">
        <f t="shared" si="130"/>
        <v>#VALUE!</v>
      </c>
      <c r="P552" s="50">
        <f t="shared" si="131"/>
        <v>0</v>
      </c>
      <c r="R552" s="55" t="e">
        <f t="shared" si="132"/>
        <v>#VALUE!</v>
      </c>
      <c r="S552" s="55" t="e">
        <f t="shared" si="133"/>
        <v>#VALUE!</v>
      </c>
      <c r="T552" s="55" t="e">
        <f t="shared" si="138"/>
        <v>#VALUE!</v>
      </c>
      <c r="U552" s="50" t="e">
        <f t="shared" si="134"/>
        <v>#VALUE!</v>
      </c>
      <c r="V552" s="50" t="e">
        <f t="shared" si="135"/>
        <v>#VALUE!</v>
      </c>
      <c r="W552" s="50" t="e">
        <f t="shared" si="136"/>
        <v>#VALUE!</v>
      </c>
    </row>
    <row r="553" spans="2:23" x14ac:dyDescent="0.25">
      <c r="B553" s="50" t="b">
        <f t="shared" si="139"/>
        <v>0</v>
      </c>
      <c r="C553" s="50" t="e">
        <f t="shared" si="125"/>
        <v>#VALUE!</v>
      </c>
      <c r="E553" s="56">
        <v>549</v>
      </c>
      <c r="G553" s="138"/>
      <c r="H553" s="135">
        <v>1</v>
      </c>
      <c r="I553" s="57" t="str">
        <f t="shared" si="137"/>
        <v/>
      </c>
      <c r="J553" s="58" t="e">
        <f t="shared" si="126"/>
        <v>#VALUE!</v>
      </c>
      <c r="K553" s="50" t="e">
        <f t="shared" si="127"/>
        <v>#VALUE!</v>
      </c>
      <c r="L553" s="50" t="e">
        <f t="shared" si="128"/>
        <v>#VALUE!</v>
      </c>
      <c r="M553" s="50" t="e">
        <f t="shared" si="128"/>
        <v>#VALUE!</v>
      </c>
      <c r="N553" s="50" t="e">
        <f t="shared" si="129"/>
        <v>#VALUE!</v>
      </c>
      <c r="O553" s="50" t="e">
        <f t="shared" si="130"/>
        <v>#VALUE!</v>
      </c>
      <c r="P553" s="50">
        <f t="shared" si="131"/>
        <v>0</v>
      </c>
      <c r="R553" s="55" t="e">
        <f t="shared" si="132"/>
        <v>#VALUE!</v>
      </c>
      <c r="S553" s="55" t="e">
        <f t="shared" si="133"/>
        <v>#VALUE!</v>
      </c>
      <c r="T553" s="55" t="e">
        <f t="shared" si="138"/>
        <v>#VALUE!</v>
      </c>
      <c r="U553" s="50" t="e">
        <f t="shared" si="134"/>
        <v>#VALUE!</v>
      </c>
      <c r="V553" s="50" t="e">
        <f t="shared" si="135"/>
        <v>#VALUE!</v>
      </c>
      <c r="W553" s="50" t="e">
        <f t="shared" si="136"/>
        <v>#VALUE!</v>
      </c>
    </row>
    <row r="554" spans="2:23" x14ac:dyDescent="0.25">
      <c r="B554" s="50" t="b">
        <f t="shared" si="139"/>
        <v>0</v>
      </c>
      <c r="C554" s="50" t="e">
        <f t="shared" si="125"/>
        <v>#VALUE!</v>
      </c>
      <c r="E554" s="56">
        <v>550</v>
      </c>
      <c r="G554" s="138"/>
      <c r="H554" s="135">
        <v>1</v>
      </c>
      <c r="I554" s="57" t="str">
        <f t="shared" si="137"/>
        <v/>
      </c>
      <c r="J554" s="58" t="e">
        <f t="shared" si="126"/>
        <v>#VALUE!</v>
      </c>
      <c r="K554" s="50" t="e">
        <f t="shared" si="127"/>
        <v>#VALUE!</v>
      </c>
      <c r="L554" s="50" t="e">
        <f t="shared" si="128"/>
        <v>#VALUE!</v>
      </c>
      <c r="M554" s="50" t="e">
        <f t="shared" si="128"/>
        <v>#VALUE!</v>
      </c>
      <c r="N554" s="50" t="e">
        <f t="shared" si="129"/>
        <v>#VALUE!</v>
      </c>
      <c r="O554" s="50" t="e">
        <f t="shared" si="130"/>
        <v>#VALUE!</v>
      </c>
      <c r="P554" s="50">
        <f t="shared" si="131"/>
        <v>0</v>
      </c>
      <c r="R554" s="55" t="e">
        <f t="shared" si="132"/>
        <v>#VALUE!</v>
      </c>
      <c r="S554" s="55" t="e">
        <f t="shared" si="133"/>
        <v>#VALUE!</v>
      </c>
      <c r="T554" s="55" t="e">
        <f t="shared" si="138"/>
        <v>#VALUE!</v>
      </c>
      <c r="U554" s="50" t="e">
        <f t="shared" si="134"/>
        <v>#VALUE!</v>
      </c>
      <c r="V554" s="50" t="e">
        <f t="shared" si="135"/>
        <v>#VALUE!</v>
      </c>
      <c r="W554" s="50" t="e">
        <f t="shared" si="136"/>
        <v>#VALUE!</v>
      </c>
    </row>
    <row r="555" spans="2:23" x14ac:dyDescent="0.25">
      <c r="B555" s="50" t="b">
        <f t="shared" si="139"/>
        <v>0</v>
      </c>
      <c r="C555" s="50" t="e">
        <f t="shared" si="125"/>
        <v>#VALUE!</v>
      </c>
      <c r="E555" s="56">
        <v>551</v>
      </c>
      <c r="G555" s="138"/>
      <c r="H555" s="135">
        <v>1</v>
      </c>
      <c r="I555" s="57" t="str">
        <f t="shared" si="137"/>
        <v/>
      </c>
      <c r="J555" s="58" t="e">
        <f t="shared" si="126"/>
        <v>#VALUE!</v>
      </c>
      <c r="K555" s="50" t="e">
        <f t="shared" si="127"/>
        <v>#VALUE!</v>
      </c>
      <c r="L555" s="50" t="e">
        <f t="shared" si="128"/>
        <v>#VALUE!</v>
      </c>
      <c r="M555" s="50" t="e">
        <f t="shared" si="128"/>
        <v>#VALUE!</v>
      </c>
      <c r="N555" s="50" t="e">
        <f t="shared" si="129"/>
        <v>#VALUE!</v>
      </c>
      <c r="O555" s="50" t="e">
        <f t="shared" si="130"/>
        <v>#VALUE!</v>
      </c>
      <c r="P555" s="50">
        <f t="shared" si="131"/>
        <v>0</v>
      </c>
      <c r="R555" s="55" t="e">
        <f t="shared" si="132"/>
        <v>#VALUE!</v>
      </c>
      <c r="S555" s="55" t="e">
        <f t="shared" si="133"/>
        <v>#VALUE!</v>
      </c>
      <c r="T555" s="55" t="e">
        <f t="shared" si="138"/>
        <v>#VALUE!</v>
      </c>
      <c r="U555" s="50" t="e">
        <f t="shared" si="134"/>
        <v>#VALUE!</v>
      </c>
      <c r="V555" s="50" t="e">
        <f t="shared" si="135"/>
        <v>#VALUE!</v>
      </c>
      <c r="W555" s="50" t="e">
        <f t="shared" si="136"/>
        <v>#VALUE!</v>
      </c>
    </row>
    <row r="556" spans="2:23" x14ac:dyDescent="0.25">
      <c r="B556" s="50" t="b">
        <f t="shared" si="139"/>
        <v>0</v>
      </c>
      <c r="C556" s="50" t="e">
        <f t="shared" si="125"/>
        <v>#VALUE!</v>
      </c>
      <c r="E556" s="56">
        <v>552</v>
      </c>
      <c r="G556" s="138"/>
      <c r="H556" s="135">
        <v>1</v>
      </c>
      <c r="I556" s="57" t="str">
        <f t="shared" si="137"/>
        <v/>
      </c>
      <c r="J556" s="58" t="e">
        <f t="shared" si="126"/>
        <v>#VALUE!</v>
      </c>
      <c r="K556" s="50" t="e">
        <f t="shared" si="127"/>
        <v>#VALUE!</v>
      </c>
      <c r="L556" s="50" t="e">
        <f t="shared" si="128"/>
        <v>#VALUE!</v>
      </c>
      <c r="M556" s="50" t="e">
        <f t="shared" si="128"/>
        <v>#VALUE!</v>
      </c>
      <c r="N556" s="50" t="e">
        <f t="shared" si="129"/>
        <v>#VALUE!</v>
      </c>
      <c r="O556" s="50" t="e">
        <f t="shared" si="130"/>
        <v>#VALUE!</v>
      </c>
      <c r="P556" s="50">
        <f t="shared" si="131"/>
        <v>0</v>
      </c>
      <c r="R556" s="55" t="e">
        <f t="shared" si="132"/>
        <v>#VALUE!</v>
      </c>
      <c r="S556" s="55" t="e">
        <f t="shared" si="133"/>
        <v>#VALUE!</v>
      </c>
      <c r="T556" s="55" t="e">
        <f t="shared" si="138"/>
        <v>#VALUE!</v>
      </c>
      <c r="U556" s="50" t="e">
        <f t="shared" si="134"/>
        <v>#VALUE!</v>
      </c>
      <c r="V556" s="50" t="e">
        <f t="shared" si="135"/>
        <v>#VALUE!</v>
      </c>
      <c r="W556" s="50" t="e">
        <f t="shared" si="136"/>
        <v>#VALUE!</v>
      </c>
    </row>
    <row r="557" spans="2:23" x14ac:dyDescent="0.25">
      <c r="B557" s="50" t="b">
        <f t="shared" si="139"/>
        <v>0</v>
      </c>
      <c r="C557" s="50" t="e">
        <f t="shared" si="125"/>
        <v>#VALUE!</v>
      </c>
      <c r="E557" s="56">
        <v>553</v>
      </c>
      <c r="G557" s="138"/>
      <c r="H557" s="135">
        <v>1</v>
      </c>
      <c r="I557" s="57" t="str">
        <f t="shared" si="137"/>
        <v/>
      </c>
      <c r="J557" s="58" t="e">
        <f t="shared" si="126"/>
        <v>#VALUE!</v>
      </c>
      <c r="K557" s="50" t="e">
        <f t="shared" si="127"/>
        <v>#VALUE!</v>
      </c>
      <c r="L557" s="50" t="e">
        <f t="shared" si="128"/>
        <v>#VALUE!</v>
      </c>
      <c r="M557" s="50" t="e">
        <f t="shared" si="128"/>
        <v>#VALUE!</v>
      </c>
      <c r="N557" s="50" t="e">
        <f t="shared" si="129"/>
        <v>#VALUE!</v>
      </c>
      <c r="O557" s="50" t="e">
        <f t="shared" si="130"/>
        <v>#VALUE!</v>
      </c>
      <c r="P557" s="50">
        <f t="shared" si="131"/>
        <v>0</v>
      </c>
      <c r="R557" s="55" t="e">
        <f t="shared" si="132"/>
        <v>#VALUE!</v>
      </c>
      <c r="S557" s="55" t="e">
        <f t="shared" si="133"/>
        <v>#VALUE!</v>
      </c>
      <c r="T557" s="55" t="e">
        <f t="shared" si="138"/>
        <v>#VALUE!</v>
      </c>
      <c r="U557" s="50" t="e">
        <f t="shared" si="134"/>
        <v>#VALUE!</v>
      </c>
      <c r="V557" s="50" t="e">
        <f t="shared" si="135"/>
        <v>#VALUE!</v>
      </c>
      <c r="W557" s="50" t="e">
        <f t="shared" si="136"/>
        <v>#VALUE!</v>
      </c>
    </row>
    <row r="558" spans="2:23" x14ac:dyDescent="0.25">
      <c r="B558" s="50" t="b">
        <f t="shared" si="139"/>
        <v>0</v>
      </c>
      <c r="C558" s="50" t="e">
        <f t="shared" si="125"/>
        <v>#VALUE!</v>
      </c>
      <c r="E558" s="56">
        <v>554</v>
      </c>
      <c r="G558" s="138"/>
      <c r="H558" s="135">
        <v>1</v>
      </c>
      <c r="I558" s="57" t="str">
        <f t="shared" si="137"/>
        <v/>
      </c>
      <c r="J558" s="58" t="e">
        <f t="shared" si="126"/>
        <v>#VALUE!</v>
      </c>
      <c r="K558" s="50" t="e">
        <f t="shared" si="127"/>
        <v>#VALUE!</v>
      </c>
      <c r="L558" s="50" t="e">
        <f t="shared" si="128"/>
        <v>#VALUE!</v>
      </c>
      <c r="M558" s="50" t="e">
        <f t="shared" si="128"/>
        <v>#VALUE!</v>
      </c>
      <c r="N558" s="50" t="e">
        <f t="shared" si="129"/>
        <v>#VALUE!</v>
      </c>
      <c r="O558" s="50" t="e">
        <f t="shared" si="130"/>
        <v>#VALUE!</v>
      </c>
      <c r="P558" s="50">
        <f t="shared" si="131"/>
        <v>0</v>
      </c>
      <c r="R558" s="55" t="e">
        <f t="shared" si="132"/>
        <v>#VALUE!</v>
      </c>
      <c r="S558" s="55" t="e">
        <f t="shared" si="133"/>
        <v>#VALUE!</v>
      </c>
      <c r="T558" s="55" t="e">
        <f t="shared" si="138"/>
        <v>#VALUE!</v>
      </c>
      <c r="U558" s="50" t="e">
        <f t="shared" si="134"/>
        <v>#VALUE!</v>
      </c>
      <c r="V558" s="50" t="e">
        <f t="shared" si="135"/>
        <v>#VALUE!</v>
      </c>
      <c r="W558" s="50" t="e">
        <f t="shared" si="136"/>
        <v>#VALUE!</v>
      </c>
    </row>
    <row r="559" spans="2:23" x14ac:dyDescent="0.25">
      <c r="B559" s="50" t="b">
        <f t="shared" si="139"/>
        <v>0</v>
      </c>
      <c r="C559" s="50" t="e">
        <f t="shared" si="125"/>
        <v>#VALUE!</v>
      </c>
      <c r="E559" s="56">
        <v>555</v>
      </c>
      <c r="G559" s="138"/>
      <c r="H559" s="135">
        <v>1</v>
      </c>
      <c r="I559" s="57" t="str">
        <f t="shared" si="137"/>
        <v/>
      </c>
      <c r="J559" s="58" t="e">
        <f t="shared" si="126"/>
        <v>#VALUE!</v>
      </c>
      <c r="K559" s="50" t="e">
        <f t="shared" si="127"/>
        <v>#VALUE!</v>
      </c>
      <c r="L559" s="50" t="e">
        <f t="shared" si="128"/>
        <v>#VALUE!</v>
      </c>
      <c r="M559" s="50" t="e">
        <f t="shared" si="128"/>
        <v>#VALUE!</v>
      </c>
      <c r="N559" s="50" t="e">
        <f t="shared" si="129"/>
        <v>#VALUE!</v>
      </c>
      <c r="O559" s="50" t="e">
        <f t="shared" si="130"/>
        <v>#VALUE!</v>
      </c>
      <c r="P559" s="50">
        <f t="shared" si="131"/>
        <v>0</v>
      </c>
      <c r="R559" s="55" t="e">
        <f t="shared" si="132"/>
        <v>#VALUE!</v>
      </c>
      <c r="S559" s="55" t="e">
        <f t="shared" si="133"/>
        <v>#VALUE!</v>
      </c>
      <c r="T559" s="55" t="e">
        <f t="shared" si="138"/>
        <v>#VALUE!</v>
      </c>
      <c r="U559" s="50" t="e">
        <f t="shared" si="134"/>
        <v>#VALUE!</v>
      </c>
      <c r="V559" s="50" t="e">
        <f t="shared" si="135"/>
        <v>#VALUE!</v>
      </c>
      <c r="W559" s="50" t="e">
        <f t="shared" si="136"/>
        <v>#VALUE!</v>
      </c>
    </row>
    <row r="560" spans="2:23" x14ac:dyDescent="0.25">
      <c r="B560" s="50" t="b">
        <f t="shared" si="139"/>
        <v>0</v>
      </c>
      <c r="C560" s="50" t="e">
        <f t="shared" si="125"/>
        <v>#VALUE!</v>
      </c>
      <c r="E560" s="56">
        <v>556</v>
      </c>
      <c r="G560" s="138"/>
      <c r="H560" s="135">
        <v>1</v>
      </c>
      <c r="I560" s="57" t="str">
        <f t="shared" si="137"/>
        <v/>
      </c>
      <c r="J560" s="58" t="e">
        <f t="shared" si="126"/>
        <v>#VALUE!</v>
      </c>
      <c r="K560" s="50" t="e">
        <f t="shared" si="127"/>
        <v>#VALUE!</v>
      </c>
      <c r="L560" s="50" t="e">
        <f t="shared" si="128"/>
        <v>#VALUE!</v>
      </c>
      <c r="M560" s="50" t="e">
        <f t="shared" si="128"/>
        <v>#VALUE!</v>
      </c>
      <c r="N560" s="50" t="e">
        <f t="shared" si="129"/>
        <v>#VALUE!</v>
      </c>
      <c r="O560" s="50" t="e">
        <f t="shared" si="130"/>
        <v>#VALUE!</v>
      </c>
      <c r="P560" s="50">
        <f t="shared" si="131"/>
        <v>0</v>
      </c>
      <c r="R560" s="55" t="e">
        <f t="shared" si="132"/>
        <v>#VALUE!</v>
      </c>
      <c r="S560" s="55" t="e">
        <f t="shared" si="133"/>
        <v>#VALUE!</v>
      </c>
      <c r="T560" s="55" t="e">
        <f t="shared" si="138"/>
        <v>#VALUE!</v>
      </c>
      <c r="U560" s="50" t="e">
        <f t="shared" si="134"/>
        <v>#VALUE!</v>
      </c>
      <c r="V560" s="50" t="e">
        <f t="shared" si="135"/>
        <v>#VALUE!</v>
      </c>
      <c r="W560" s="50" t="e">
        <f t="shared" si="136"/>
        <v>#VALUE!</v>
      </c>
    </row>
    <row r="561" spans="2:23" x14ac:dyDescent="0.25">
      <c r="B561" s="50" t="b">
        <f t="shared" si="139"/>
        <v>0</v>
      </c>
      <c r="C561" s="50" t="e">
        <f t="shared" si="125"/>
        <v>#VALUE!</v>
      </c>
      <c r="E561" s="56">
        <v>557</v>
      </c>
      <c r="G561" s="138"/>
      <c r="H561" s="135">
        <v>1</v>
      </c>
      <c r="I561" s="57" t="str">
        <f t="shared" si="137"/>
        <v/>
      </c>
      <c r="J561" s="58" t="e">
        <f t="shared" si="126"/>
        <v>#VALUE!</v>
      </c>
      <c r="K561" s="50" t="e">
        <f t="shared" si="127"/>
        <v>#VALUE!</v>
      </c>
      <c r="L561" s="50" t="e">
        <f t="shared" si="128"/>
        <v>#VALUE!</v>
      </c>
      <c r="M561" s="50" t="e">
        <f t="shared" si="128"/>
        <v>#VALUE!</v>
      </c>
      <c r="N561" s="50" t="e">
        <f t="shared" si="129"/>
        <v>#VALUE!</v>
      </c>
      <c r="O561" s="50" t="e">
        <f t="shared" si="130"/>
        <v>#VALUE!</v>
      </c>
      <c r="P561" s="50">
        <f t="shared" si="131"/>
        <v>0</v>
      </c>
      <c r="R561" s="55" t="e">
        <f t="shared" si="132"/>
        <v>#VALUE!</v>
      </c>
      <c r="S561" s="55" t="e">
        <f t="shared" si="133"/>
        <v>#VALUE!</v>
      </c>
      <c r="T561" s="55" t="e">
        <f t="shared" si="138"/>
        <v>#VALUE!</v>
      </c>
      <c r="U561" s="50" t="e">
        <f t="shared" si="134"/>
        <v>#VALUE!</v>
      </c>
      <c r="V561" s="50" t="e">
        <f t="shared" si="135"/>
        <v>#VALUE!</v>
      </c>
      <c r="W561" s="50" t="e">
        <f t="shared" si="136"/>
        <v>#VALUE!</v>
      </c>
    </row>
    <row r="562" spans="2:23" x14ac:dyDescent="0.25">
      <c r="B562" s="50" t="b">
        <f t="shared" si="139"/>
        <v>0</v>
      </c>
      <c r="C562" s="50" t="e">
        <f t="shared" si="125"/>
        <v>#VALUE!</v>
      </c>
      <c r="E562" s="56">
        <v>558</v>
      </c>
      <c r="G562" s="138"/>
      <c r="H562" s="135">
        <v>1</v>
      </c>
      <c r="I562" s="57" t="str">
        <f t="shared" si="137"/>
        <v/>
      </c>
      <c r="J562" s="58" t="e">
        <f t="shared" si="126"/>
        <v>#VALUE!</v>
      </c>
      <c r="K562" s="50" t="e">
        <f t="shared" si="127"/>
        <v>#VALUE!</v>
      </c>
      <c r="L562" s="50" t="e">
        <f t="shared" si="128"/>
        <v>#VALUE!</v>
      </c>
      <c r="M562" s="50" t="e">
        <f t="shared" si="128"/>
        <v>#VALUE!</v>
      </c>
      <c r="N562" s="50" t="e">
        <f t="shared" si="129"/>
        <v>#VALUE!</v>
      </c>
      <c r="O562" s="50" t="e">
        <f t="shared" si="130"/>
        <v>#VALUE!</v>
      </c>
      <c r="P562" s="50">
        <f t="shared" si="131"/>
        <v>0</v>
      </c>
      <c r="R562" s="55" t="e">
        <f t="shared" si="132"/>
        <v>#VALUE!</v>
      </c>
      <c r="S562" s="55" t="e">
        <f t="shared" si="133"/>
        <v>#VALUE!</v>
      </c>
      <c r="T562" s="55" t="e">
        <f t="shared" si="138"/>
        <v>#VALUE!</v>
      </c>
      <c r="U562" s="50" t="e">
        <f t="shared" si="134"/>
        <v>#VALUE!</v>
      </c>
      <c r="V562" s="50" t="e">
        <f t="shared" si="135"/>
        <v>#VALUE!</v>
      </c>
      <c r="W562" s="50" t="e">
        <f t="shared" si="136"/>
        <v>#VALUE!</v>
      </c>
    </row>
    <row r="563" spans="2:23" x14ac:dyDescent="0.25">
      <c r="B563" s="50" t="b">
        <f t="shared" si="139"/>
        <v>0</v>
      </c>
      <c r="C563" s="50" t="e">
        <f t="shared" si="125"/>
        <v>#VALUE!</v>
      </c>
      <c r="E563" s="56">
        <v>559</v>
      </c>
      <c r="G563" s="138"/>
      <c r="H563" s="135">
        <v>1</v>
      </c>
      <c r="I563" s="57" t="str">
        <f t="shared" si="137"/>
        <v/>
      </c>
      <c r="J563" s="58" t="e">
        <f t="shared" si="126"/>
        <v>#VALUE!</v>
      </c>
      <c r="K563" s="50" t="e">
        <f t="shared" si="127"/>
        <v>#VALUE!</v>
      </c>
      <c r="L563" s="50" t="e">
        <f t="shared" si="128"/>
        <v>#VALUE!</v>
      </c>
      <c r="M563" s="50" t="e">
        <f t="shared" si="128"/>
        <v>#VALUE!</v>
      </c>
      <c r="N563" s="50" t="e">
        <f t="shared" si="129"/>
        <v>#VALUE!</v>
      </c>
      <c r="O563" s="50" t="e">
        <f t="shared" si="130"/>
        <v>#VALUE!</v>
      </c>
      <c r="P563" s="50">
        <f t="shared" si="131"/>
        <v>0</v>
      </c>
      <c r="R563" s="55" t="e">
        <f t="shared" si="132"/>
        <v>#VALUE!</v>
      </c>
      <c r="S563" s="55" t="e">
        <f t="shared" si="133"/>
        <v>#VALUE!</v>
      </c>
      <c r="T563" s="55" t="e">
        <f t="shared" si="138"/>
        <v>#VALUE!</v>
      </c>
      <c r="U563" s="50" t="e">
        <f t="shared" si="134"/>
        <v>#VALUE!</v>
      </c>
      <c r="V563" s="50" t="e">
        <f t="shared" si="135"/>
        <v>#VALUE!</v>
      </c>
      <c r="W563" s="50" t="e">
        <f t="shared" si="136"/>
        <v>#VALUE!</v>
      </c>
    </row>
    <row r="564" spans="2:23" x14ac:dyDescent="0.25">
      <c r="B564" s="50" t="b">
        <f t="shared" si="139"/>
        <v>0</v>
      </c>
      <c r="C564" s="50" t="e">
        <f t="shared" si="125"/>
        <v>#VALUE!</v>
      </c>
      <c r="E564" s="56">
        <v>560</v>
      </c>
      <c r="G564" s="138"/>
      <c r="H564" s="135">
        <v>1</v>
      </c>
      <c r="I564" s="57" t="str">
        <f t="shared" si="137"/>
        <v/>
      </c>
      <c r="J564" s="58" t="e">
        <f t="shared" si="126"/>
        <v>#VALUE!</v>
      </c>
      <c r="K564" s="50" t="e">
        <f t="shared" si="127"/>
        <v>#VALUE!</v>
      </c>
      <c r="L564" s="50" t="e">
        <f t="shared" si="128"/>
        <v>#VALUE!</v>
      </c>
      <c r="M564" s="50" t="e">
        <f t="shared" si="128"/>
        <v>#VALUE!</v>
      </c>
      <c r="N564" s="50" t="e">
        <f t="shared" si="129"/>
        <v>#VALUE!</v>
      </c>
      <c r="O564" s="50" t="e">
        <f t="shared" si="130"/>
        <v>#VALUE!</v>
      </c>
      <c r="P564" s="50">
        <f t="shared" si="131"/>
        <v>0</v>
      </c>
      <c r="R564" s="55" t="e">
        <f t="shared" si="132"/>
        <v>#VALUE!</v>
      </c>
      <c r="S564" s="55" t="e">
        <f t="shared" si="133"/>
        <v>#VALUE!</v>
      </c>
      <c r="T564" s="55" t="e">
        <f t="shared" si="138"/>
        <v>#VALUE!</v>
      </c>
      <c r="U564" s="50" t="e">
        <f t="shared" si="134"/>
        <v>#VALUE!</v>
      </c>
      <c r="V564" s="50" t="e">
        <f t="shared" si="135"/>
        <v>#VALUE!</v>
      </c>
      <c r="W564" s="50" t="e">
        <f t="shared" si="136"/>
        <v>#VALUE!</v>
      </c>
    </row>
    <row r="565" spans="2:23" x14ac:dyDescent="0.25">
      <c r="B565" s="50" t="b">
        <f t="shared" si="139"/>
        <v>0</v>
      </c>
      <c r="C565" s="50" t="e">
        <f t="shared" si="125"/>
        <v>#VALUE!</v>
      </c>
      <c r="E565" s="56">
        <v>561</v>
      </c>
      <c r="G565" s="138"/>
      <c r="H565" s="135">
        <v>1</v>
      </c>
      <c r="I565" s="57" t="str">
        <f t="shared" si="137"/>
        <v/>
      </c>
      <c r="J565" s="58" t="e">
        <f t="shared" si="126"/>
        <v>#VALUE!</v>
      </c>
      <c r="K565" s="50" t="e">
        <f t="shared" si="127"/>
        <v>#VALUE!</v>
      </c>
      <c r="L565" s="50" t="e">
        <f t="shared" si="128"/>
        <v>#VALUE!</v>
      </c>
      <c r="M565" s="50" t="e">
        <f t="shared" si="128"/>
        <v>#VALUE!</v>
      </c>
      <c r="N565" s="50" t="e">
        <f t="shared" si="129"/>
        <v>#VALUE!</v>
      </c>
      <c r="O565" s="50" t="e">
        <f t="shared" si="130"/>
        <v>#VALUE!</v>
      </c>
      <c r="P565" s="50">
        <f t="shared" si="131"/>
        <v>0</v>
      </c>
      <c r="R565" s="55" t="e">
        <f t="shared" si="132"/>
        <v>#VALUE!</v>
      </c>
      <c r="S565" s="55" t="e">
        <f t="shared" si="133"/>
        <v>#VALUE!</v>
      </c>
      <c r="T565" s="55" t="e">
        <f t="shared" si="138"/>
        <v>#VALUE!</v>
      </c>
      <c r="U565" s="50" t="e">
        <f t="shared" si="134"/>
        <v>#VALUE!</v>
      </c>
      <c r="V565" s="50" t="e">
        <f t="shared" si="135"/>
        <v>#VALUE!</v>
      </c>
      <c r="W565" s="50" t="e">
        <f t="shared" si="136"/>
        <v>#VALUE!</v>
      </c>
    </row>
    <row r="566" spans="2:23" x14ac:dyDescent="0.25">
      <c r="B566" s="50" t="b">
        <f t="shared" si="139"/>
        <v>0</v>
      </c>
      <c r="C566" s="50" t="e">
        <f t="shared" ref="C566:C629" si="140">SUM(U566:W566)</f>
        <v>#VALUE!</v>
      </c>
      <c r="E566" s="56">
        <v>562</v>
      </c>
      <c r="G566" s="138"/>
      <c r="H566" s="135">
        <v>1</v>
      </c>
      <c r="I566" s="57" t="str">
        <f t="shared" si="137"/>
        <v/>
      </c>
      <c r="J566" s="58" t="e">
        <f t="shared" si="126"/>
        <v>#VALUE!</v>
      </c>
      <c r="K566" s="50" t="e">
        <f t="shared" si="127"/>
        <v>#VALUE!</v>
      </c>
      <c r="L566" s="50" t="e">
        <f t="shared" si="128"/>
        <v>#VALUE!</v>
      </c>
      <c r="M566" s="50" t="e">
        <f t="shared" si="128"/>
        <v>#VALUE!</v>
      </c>
      <c r="N566" s="50" t="e">
        <f t="shared" si="129"/>
        <v>#VALUE!</v>
      </c>
      <c r="O566" s="50" t="e">
        <f t="shared" si="130"/>
        <v>#VALUE!</v>
      </c>
      <c r="P566" s="50">
        <f t="shared" si="131"/>
        <v>0</v>
      </c>
      <c r="R566" s="55" t="e">
        <f t="shared" si="132"/>
        <v>#VALUE!</v>
      </c>
      <c r="S566" s="55" t="e">
        <f t="shared" si="133"/>
        <v>#VALUE!</v>
      </c>
      <c r="T566" s="55" t="e">
        <f t="shared" si="138"/>
        <v>#VALUE!</v>
      </c>
      <c r="U566" s="50" t="e">
        <f t="shared" si="134"/>
        <v>#VALUE!</v>
      </c>
      <c r="V566" s="50" t="e">
        <f t="shared" si="135"/>
        <v>#VALUE!</v>
      </c>
      <c r="W566" s="50" t="e">
        <f t="shared" si="136"/>
        <v>#VALUE!</v>
      </c>
    </row>
    <row r="567" spans="2:23" x14ac:dyDescent="0.25">
      <c r="B567" s="50" t="b">
        <f t="shared" si="139"/>
        <v>0</v>
      </c>
      <c r="C567" s="50" t="e">
        <f t="shared" si="140"/>
        <v>#VALUE!</v>
      </c>
      <c r="E567" s="56">
        <v>563</v>
      </c>
      <c r="G567" s="138"/>
      <c r="H567" s="135">
        <v>1</v>
      </c>
      <c r="I567" s="57" t="str">
        <f t="shared" si="137"/>
        <v/>
      </c>
      <c r="J567" s="58" t="e">
        <f t="shared" si="126"/>
        <v>#VALUE!</v>
      </c>
      <c r="K567" s="50" t="e">
        <f t="shared" si="127"/>
        <v>#VALUE!</v>
      </c>
      <c r="L567" s="50" t="e">
        <f t="shared" si="128"/>
        <v>#VALUE!</v>
      </c>
      <c r="M567" s="50" t="e">
        <f t="shared" si="128"/>
        <v>#VALUE!</v>
      </c>
      <c r="N567" s="50" t="e">
        <f t="shared" si="129"/>
        <v>#VALUE!</v>
      </c>
      <c r="O567" s="50" t="e">
        <f t="shared" si="130"/>
        <v>#VALUE!</v>
      </c>
      <c r="P567" s="50">
        <f t="shared" si="131"/>
        <v>0</v>
      </c>
      <c r="R567" s="55" t="e">
        <f t="shared" si="132"/>
        <v>#VALUE!</v>
      </c>
      <c r="S567" s="55" t="e">
        <f t="shared" si="133"/>
        <v>#VALUE!</v>
      </c>
      <c r="T567" s="55" t="e">
        <f t="shared" si="138"/>
        <v>#VALUE!</v>
      </c>
      <c r="U567" s="50" t="e">
        <f t="shared" si="134"/>
        <v>#VALUE!</v>
      </c>
      <c r="V567" s="50" t="e">
        <f t="shared" si="135"/>
        <v>#VALUE!</v>
      </c>
      <c r="W567" s="50" t="e">
        <f t="shared" si="136"/>
        <v>#VALUE!</v>
      </c>
    </row>
    <row r="568" spans="2:23" x14ac:dyDescent="0.25">
      <c r="B568" s="50" t="b">
        <f t="shared" si="139"/>
        <v>0</v>
      </c>
      <c r="C568" s="50" t="e">
        <f t="shared" si="140"/>
        <v>#VALUE!</v>
      </c>
      <c r="E568" s="56">
        <v>564</v>
      </c>
      <c r="G568" s="138"/>
      <c r="H568" s="135">
        <v>1</v>
      </c>
      <c r="I568" s="57" t="str">
        <f t="shared" si="137"/>
        <v/>
      </c>
      <c r="J568" s="58" t="e">
        <f t="shared" si="126"/>
        <v>#VALUE!</v>
      </c>
      <c r="K568" s="50" t="e">
        <f t="shared" si="127"/>
        <v>#VALUE!</v>
      </c>
      <c r="L568" s="50" t="e">
        <f t="shared" si="128"/>
        <v>#VALUE!</v>
      </c>
      <c r="M568" s="50" t="e">
        <f t="shared" si="128"/>
        <v>#VALUE!</v>
      </c>
      <c r="N568" s="50" t="e">
        <f t="shared" si="129"/>
        <v>#VALUE!</v>
      </c>
      <c r="O568" s="50" t="e">
        <f t="shared" si="130"/>
        <v>#VALUE!</v>
      </c>
      <c r="P568" s="50">
        <f t="shared" si="131"/>
        <v>0</v>
      </c>
      <c r="R568" s="55" t="e">
        <f t="shared" si="132"/>
        <v>#VALUE!</v>
      </c>
      <c r="S568" s="55" t="e">
        <f t="shared" si="133"/>
        <v>#VALUE!</v>
      </c>
      <c r="T568" s="55" t="e">
        <f t="shared" si="138"/>
        <v>#VALUE!</v>
      </c>
      <c r="U568" s="50" t="e">
        <f t="shared" si="134"/>
        <v>#VALUE!</v>
      </c>
      <c r="V568" s="50" t="e">
        <f t="shared" si="135"/>
        <v>#VALUE!</v>
      </c>
      <c r="W568" s="50" t="e">
        <f t="shared" si="136"/>
        <v>#VALUE!</v>
      </c>
    </row>
    <row r="569" spans="2:23" x14ac:dyDescent="0.25">
      <c r="B569" s="50" t="b">
        <f t="shared" si="139"/>
        <v>0</v>
      </c>
      <c r="C569" s="50" t="e">
        <f t="shared" si="140"/>
        <v>#VALUE!</v>
      </c>
      <c r="E569" s="56">
        <v>565</v>
      </c>
      <c r="G569" s="138"/>
      <c r="H569" s="135">
        <v>1</v>
      </c>
      <c r="I569" s="57" t="str">
        <f t="shared" si="137"/>
        <v/>
      </c>
      <c r="J569" s="58" t="e">
        <f t="shared" si="126"/>
        <v>#VALUE!</v>
      </c>
      <c r="K569" s="50" t="e">
        <f t="shared" si="127"/>
        <v>#VALUE!</v>
      </c>
      <c r="L569" s="50" t="e">
        <f t="shared" si="128"/>
        <v>#VALUE!</v>
      </c>
      <c r="M569" s="50" t="e">
        <f t="shared" si="128"/>
        <v>#VALUE!</v>
      </c>
      <c r="N569" s="50" t="e">
        <f t="shared" si="129"/>
        <v>#VALUE!</v>
      </c>
      <c r="O569" s="50" t="e">
        <f t="shared" si="130"/>
        <v>#VALUE!</v>
      </c>
      <c r="P569" s="50">
        <f t="shared" si="131"/>
        <v>0</v>
      </c>
      <c r="R569" s="55" t="e">
        <f t="shared" si="132"/>
        <v>#VALUE!</v>
      </c>
      <c r="S569" s="55" t="e">
        <f t="shared" si="133"/>
        <v>#VALUE!</v>
      </c>
      <c r="T569" s="55" t="e">
        <f t="shared" si="138"/>
        <v>#VALUE!</v>
      </c>
      <c r="U569" s="50" t="e">
        <f t="shared" si="134"/>
        <v>#VALUE!</v>
      </c>
      <c r="V569" s="50" t="e">
        <f t="shared" si="135"/>
        <v>#VALUE!</v>
      </c>
      <c r="W569" s="50" t="e">
        <f t="shared" si="136"/>
        <v>#VALUE!</v>
      </c>
    </row>
    <row r="570" spans="2:23" x14ac:dyDescent="0.25">
      <c r="B570" s="50" t="b">
        <f t="shared" si="139"/>
        <v>0</v>
      </c>
      <c r="C570" s="50" t="e">
        <f t="shared" si="140"/>
        <v>#VALUE!</v>
      </c>
      <c r="E570" s="56">
        <v>566</v>
      </c>
      <c r="G570" s="138"/>
      <c r="H570" s="135">
        <v>1</v>
      </c>
      <c r="I570" s="57" t="str">
        <f t="shared" si="137"/>
        <v/>
      </c>
      <c r="J570" s="58" t="e">
        <f t="shared" si="126"/>
        <v>#VALUE!</v>
      </c>
      <c r="K570" s="50" t="e">
        <f t="shared" si="127"/>
        <v>#VALUE!</v>
      </c>
      <c r="L570" s="50" t="e">
        <f t="shared" si="128"/>
        <v>#VALUE!</v>
      </c>
      <c r="M570" s="50" t="e">
        <f t="shared" si="128"/>
        <v>#VALUE!</v>
      </c>
      <c r="N570" s="50" t="e">
        <f t="shared" si="129"/>
        <v>#VALUE!</v>
      </c>
      <c r="O570" s="50" t="e">
        <f t="shared" si="130"/>
        <v>#VALUE!</v>
      </c>
      <c r="P570" s="50">
        <f t="shared" si="131"/>
        <v>0</v>
      </c>
      <c r="R570" s="55" t="e">
        <f t="shared" si="132"/>
        <v>#VALUE!</v>
      </c>
      <c r="S570" s="55" t="e">
        <f t="shared" si="133"/>
        <v>#VALUE!</v>
      </c>
      <c r="T570" s="55" t="e">
        <f t="shared" si="138"/>
        <v>#VALUE!</v>
      </c>
      <c r="U570" s="50" t="e">
        <f t="shared" si="134"/>
        <v>#VALUE!</v>
      </c>
      <c r="V570" s="50" t="e">
        <f t="shared" si="135"/>
        <v>#VALUE!</v>
      </c>
      <c r="W570" s="50" t="e">
        <f t="shared" si="136"/>
        <v>#VALUE!</v>
      </c>
    </row>
    <row r="571" spans="2:23" x14ac:dyDescent="0.25">
      <c r="B571" s="50" t="b">
        <f t="shared" si="139"/>
        <v>0</v>
      </c>
      <c r="C571" s="50" t="e">
        <f t="shared" si="140"/>
        <v>#VALUE!</v>
      </c>
      <c r="E571" s="56">
        <v>567</v>
      </c>
      <c r="G571" s="138"/>
      <c r="H571" s="135">
        <v>1</v>
      </c>
      <c r="I571" s="57" t="str">
        <f t="shared" si="137"/>
        <v/>
      </c>
      <c r="J571" s="58" t="e">
        <f t="shared" si="126"/>
        <v>#VALUE!</v>
      </c>
      <c r="K571" s="50" t="e">
        <f t="shared" si="127"/>
        <v>#VALUE!</v>
      </c>
      <c r="L571" s="50" t="e">
        <f t="shared" si="128"/>
        <v>#VALUE!</v>
      </c>
      <c r="M571" s="50" t="e">
        <f t="shared" si="128"/>
        <v>#VALUE!</v>
      </c>
      <c r="N571" s="50" t="e">
        <f t="shared" si="129"/>
        <v>#VALUE!</v>
      </c>
      <c r="O571" s="50" t="e">
        <f t="shared" si="130"/>
        <v>#VALUE!</v>
      </c>
      <c r="P571" s="50">
        <f t="shared" si="131"/>
        <v>0</v>
      </c>
      <c r="R571" s="55" t="e">
        <f t="shared" si="132"/>
        <v>#VALUE!</v>
      </c>
      <c r="S571" s="55" t="e">
        <f t="shared" si="133"/>
        <v>#VALUE!</v>
      </c>
      <c r="T571" s="55" t="e">
        <f t="shared" si="138"/>
        <v>#VALUE!</v>
      </c>
      <c r="U571" s="50" t="e">
        <f t="shared" si="134"/>
        <v>#VALUE!</v>
      </c>
      <c r="V571" s="50" t="e">
        <f t="shared" si="135"/>
        <v>#VALUE!</v>
      </c>
      <c r="W571" s="50" t="e">
        <f t="shared" si="136"/>
        <v>#VALUE!</v>
      </c>
    </row>
    <row r="572" spans="2:23" x14ac:dyDescent="0.25">
      <c r="B572" s="50" t="b">
        <f t="shared" si="139"/>
        <v>0</v>
      </c>
      <c r="C572" s="50" t="e">
        <f t="shared" si="140"/>
        <v>#VALUE!</v>
      </c>
      <c r="E572" s="56">
        <v>568</v>
      </c>
      <c r="G572" s="138"/>
      <c r="H572" s="135">
        <v>1</v>
      </c>
      <c r="I572" s="57" t="str">
        <f t="shared" si="137"/>
        <v/>
      </c>
      <c r="J572" s="58" t="e">
        <f t="shared" si="126"/>
        <v>#VALUE!</v>
      </c>
      <c r="K572" s="50" t="e">
        <f t="shared" si="127"/>
        <v>#VALUE!</v>
      </c>
      <c r="L572" s="50" t="e">
        <f t="shared" si="128"/>
        <v>#VALUE!</v>
      </c>
      <c r="M572" s="50" t="e">
        <f t="shared" si="128"/>
        <v>#VALUE!</v>
      </c>
      <c r="N572" s="50" t="e">
        <f t="shared" si="129"/>
        <v>#VALUE!</v>
      </c>
      <c r="O572" s="50" t="e">
        <f t="shared" si="130"/>
        <v>#VALUE!</v>
      </c>
      <c r="P572" s="50">
        <f t="shared" si="131"/>
        <v>0</v>
      </c>
      <c r="R572" s="55" t="e">
        <f t="shared" si="132"/>
        <v>#VALUE!</v>
      </c>
      <c r="S572" s="55" t="e">
        <f t="shared" si="133"/>
        <v>#VALUE!</v>
      </c>
      <c r="T572" s="55" t="e">
        <f t="shared" si="138"/>
        <v>#VALUE!</v>
      </c>
      <c r="U572" s="50" t="e">
        <f t="shared" si="134"/>
        <v>#VALUE!</v>
      </c>
      <c r="V572" s="50" t="e">
        <f t="shared" si="135"/>
        <v>#VALUE!</v>
      </c>
      <c r="W572" s="50" t="e">
        <f t="shared" si="136"/>
        <v>#VALUE!</v>
      </c>
    </row>
    <row r="573" spans="2:23" x14ac:dyDescent="0.25">
      <c r="B573" s="50" t="b">
        <f t="shared" si="139"/>
        <v>0</v>
      </c>
      <c r="C573" s="50" t="e">
        <f t="shared" si="140"/>
        <v>#VALUE!</v>
      </c>
      <c r="E573" s="56">
        <v>569</v>
      </c>
      <c r="G573" s="138"/>
      <c r="H573" s="135">
        <v>1</v>
      </c>
      <c r="I573" s="57" t="str">
        <f t="shared" si="137"/>
        <v/>
      </c>
      <c r="J573" s="58" t="e">
        <f t="shared" si="126"/>
        <v>#VALUE!</v>
      </c>
      <c r="K573" s="50" t="e">
        <f t="shared" si="127"/>
        <v>#VALUE!</v>
      </c>
      <c r="L573" s="50" t="e">
        <f t="shared" si="128"/>
        <v>#VALUE!</v>
      </c>
      <c r="M573" s="50" t="e">
        <f t="shared" si="128"/>
        <v>#VALUE!</v>
      </c>
      <c r="N573" s="50" t="e">
        <f t="shared" si="129"/>
        <v>#VALUE!</v>
      </c>
      <c r="O573" s="50" t="e">
        <f t="shared" si="130"/>
        <v>#VALUE!</v>
      </c>
      <c r="P573" s="50">
        <f t="shared" si="131"/>
        <v>0</v>
      </c>
      <c r="R573" s="55" t="e">
        <f t="shared" si="132"/>
        <v>#VALUE!</v>
      </c>
      <c r="S573" s="55" t="e">
        <f t="shared" si="133"/>
        <v>#VALUE!</v>
      </c>
      <c r="T573" s="55" t="e">
        <f t="shared" si="138"/>
        <v>#VALUE!</v>
      </c>
      <c r="U573" s="50" t="e">
        <f t="shared" si="134"/>
        <v>#VALUE!</v>
      </c>
      <c r="V573" s="50" t="e">
        <f t="shared" si="135"/>
        <v>#VALUE!</v>
      </c>
      <c r="W573" s="50" t="e">
        <f t="shared" si="136"/>
        <v>#VALUE!</v>
      </c>
    </row>
    <row r="574" spans="2:23" x14ac:dyDescent="0.25">
      <c r="B574" s="50" t="b">
        <f t="shared" si="139"/>
        <v>0</v>
      </c>
      <c r="C574" s="50" t="e">
        <f t="shared" si="140"/>
        <v>#VALUE!</v>
      </c>
      <c r="E574" s="56">
        <v>570</v>
      </c>
      <c r="G574" s="138"/>
      <c r="H574" s="135">
        <v>1</v>
      </c>
      <c r="I574" s="57" t="str">
        <f t="shared" si="137"/>
        <v/>
      </c>
      <c r="J574" s="58" t="e">
        <f t="shared" si="126"/>
        <v>#VALUE!</v>
      </c>
      <c r="K574" s="50" t="e">
        <f t="shared" si="127"/>
        <v>#VALUE!</v>
      </c>
      <c r="L574" s="50" t="e">
        <f t="shared" si="128"/>
        <v>#VALUE!</v>
      </c>
      <c r="M574" s="50" t="e">
        <f t="shared" si="128"/>
        <v>#VALUE!</v>
      </c>
      <c r="N574" s="50" t="e">
        <f t="shared" si="129"/>
        <v>#VALUE!</v>
      </c>
      <c r="O574" s="50" t="e">
        <f t="shared" si="130"/>
        <v>#VALUE!</v>
      </c>
      <c r="P574" s="50">
        <f t="shared" si="131"/>
        <v>0</v>
      </c>
      <c r="R574" s="55" t="e">
        <f t="shared" si="132"/>
        <v>#VALUE!</v>
      </c>
      <c r="S574" s="55" t="e">
        <f t="shared" si="133"/>
        <v>#VALUE!</v>
      </c>
      <c r="T574" s="55" t="e">
        <f t="shared" si="138"/>
        <v>#VALUE!</v>
      </c>
      <c r="U574" s="50" t="e">
        <f t="shared" si="134"/>
        <v>#VALUE!</v>
      </c>
      <c r="V574" s="50" t="e">
        <f t="shared" si="135"/>
        <v>#VALUE!</v>
      </c>
      <c r="W574" s="50" t="e">
        <f t="shared" si="136"/>
        <v>#VALUE!</v>
      </c>
    </row>
    <row r="575" spans="2:23" x14ac:dyDescent="0.25">
      <c r="B575" s="50" t="b">
        <f t="shared" si="139"/>
        <v>0</v>
      </c>
      <c r="C575" s="50" t="e">
        <f t="shared" si="140"/>
        <v>#VALUE!</v>
      </c>
      <c r="E575" s="56">
        <v>571</v>
      </c>
      <c r="G575" s="138"/>
      <c r="H575" s="135">
        <v>1</v>
      </c>
      <c r="I575" s="57" t="str">
        <f t="shared" si="137"/>
        <v/>
      </c>
      <c r="J575" s="58" t="e">
        <f t="shared" si="126"/>
        <v>#VALUE!</v>
      </c>
      <c r="K575" s="50" t="e">
        <f t="shared" si="127"/>
        <v>#VALUE!</v>
      </c>
      <c r="L575" s="50" t="e">
        <f t="shared" si="128"/>
        <v>#VALUE!</v>
      </c>
      <c r="M575" s="50" t="e">
        <f t="shared" si="128"/>
        <v>#VALUE!</v>
      </c>
      <c r="N575" s="50" t="e">
        <f t="shared" si="129"/>
        <v>#VALUE!</v>
      </c>
      <c r="O575" s="50" t="e">
        <f t="shared" si="130"/>
        <v>#VALUE!</v>
      </c>
      <c r="P575" s="50">
        <f t="shared" si="131"/>
        <v>0</v>
      </c>
      <c r="R575" s="55" t="e">
        <f t="shared" si="132"/>
        <v>#VALUE!</v>
      </c>
      <c r="S575" s="55" t="e">
        <f t="shared" si="133"/>
        <v>#VALUE!</v>
      </c>
      <c r="T575" s="55" t="e">
        <f t="shared" si="138"/>
        <v>#VALUE!</v>
      </c>
      <c r="U575" s="50" t="e">
        <f t="shared" si="134"/>
        <v>#VALUE!</v>
      </c>
      <c r="V575" s="50" t="e">
        <f t="shared" si="135"/>
        <v>#VALUE!</v>
      </c>
      <c r="W575" s="50" t="e">
        <f t="shared" si="136"/>
        <v>#VALUE!</v>
      </c>
    </row>
    <row r="576" spans="2:23" x14ac:dyDescent="0.25">
      <c r="B576" s="50" t="b">
        <f t="shared" si="139"/>
        <v>0</v>
      </c>
      <c r="C576" s="50" t="e">
        <f t="shared" si="140"/>
        <v>#VALUE!</v>
      </c>
      <c r="E576" s="56">
        <v>572</v>
      </c>
      <c r="G576" s="138"/>
      <c r="H576" s="135">
        <v>1</v>
      </c>
      <c r="I576" s="57" t="str">
        <f t="shared" si="137"/>
        <v/>
      </c>
      <c r="J576" s="58" t="e">
        <f t="shared" si="126"/>
        <v>#VALUE!</v>
      </c>
      <c r="K576" s="50" t="e">
        <f t="shared" si="127"/>
        <v>#VALUE!</v>
      </c>
      <c r="L576" s="50" t="e">
        <f t="shared" si="128"/>
        <v>#VALUE!</v>
      </c>
      <c r="M576" s="50" t="e">
        <f t="shared" si="128"/>
        <v>#VALUE!</v>
      </c>
      <c r="N576" s="50" t="e">
        <f t="shared" si="129"/>
        <v>#VALUE!</v>
      </c>
      <c r="O576" s="50" t="e">
        <f t="shared" si="130"/>
        <v>#VALUE!</v>
      </c>
      <c r="P576" s="50">
        <f t="shared" si="131"/>
        <v>0</v>
      </c>
      <c r="R576" s="55" t="e">
        <f t="shared" si="132"/>
        <v>#VALUE!</v>
      </c>
      <c r="S576" s="55" t="e">
        <f t="shared" si="133"/>
        <v>#VALUE!</v>
      </c>
      <c r="T576" s="55" t="e">
        <f t="shared" si="138"/>
        <v>#VALUE!</v>
      </c>
      <c r="U576" s="50" t="e">
        <f t="shared" si="134"/>
        <v>#VALUE!</v>
      </c>
      <c r="V576" s="50" t="e">
        <f t="shared" si="135"/>
        <v>#VALUE!</v>
      </c>
      <c r="W576" s="50" t="e">
        <f t="shared" si="136"/>
        <v>#VALUE!</v>
      </c>
    </row>
    <row r="577" spans="2:23" x14ac:dyDescent="0.25">
      <c r="B577" s="50" t="b">
        <f t="shared" si="139"/>
        <v>0</v>
      </c>
      <c r="C577" s="50" t="e">
        <f t="shared" si="140"/>
        <v>#VALUE!</v>
      </c>
      <c r="E577" s="56">
        <v>573</v>
      </c>
      <c r="G577" s="138"/>
      <c r="H577" s="135">
        <v>1</v>
      </c>
      <c r="I577" s="57" t="str">
        <f t="shared" si="137"/>
        <v/>
      </c>
      <c r="J577" s="58" t="e">
        <f t="shared" si="126"/>
        <v>#VALUE!</v>
      </c>
      <c r="K577" s="50" t="e">
        <f t="shared" si="127"/>
        <v>#VALUE!</v>
      </c>
      <c r="L577" s="50" t="e">
        <f t="shared" si="128"/>
        <v>#VALUE!</v>
      </c>
      <c r="M577" s="50" t="e">
        <f t="shared" si="128"/>
        <v>#VALUE!</v>
      </c>
      <c r="N577" s="50" t="e">
        <f t="shared" si="129"/>
        <v>#VALUE!</v>
      </c>
      <c r="O577" s="50" t="e">
        <f t="shared" si="130"/>
        <v>#VALUE!</v>
      </c>
      <c r="P577" s="50">
        <f t="shared" si="131"/>
        <v>0</v>
      </c>
      <c r="R577" s="55" t="e">
        <f t="shared" si="132"/>
        <v>#VALUE!</v>
      </c>
      <c r="S577" s="55" t="e">
        <f t="shared" si="133"/>
        <v>#VALUE!</v>
      </c>
      <c r="T577" s="55" t="e">
        <f t="shared" si="138"/>
        <v>#VALUE!</v>
      </c>
      <c r="U577" s="50" t="e">
        <f t="shared" si="134"/>
        <v>#VALUE!</v>
      </c>
      <c r="V577" s="50" t="e">
        <f t="shared" si="135"/>
        <v>#VALUE!</v>
      </c>
      <c r="W577" s="50" t="e">
        <f t="shared" si="136"/>
        <v>#VALUE!</v>
      </c>
    </row>
    <row r="578" spans="2:23" x14ac:dyDescent="0.25">
      <c r="B578" s="50" t="b">
        <f t="shared" si="139"/>
        <v>0</v>
      </c>
      <c r="C578" s="50" t="e">
        <f t="shared" si="140"/>
        <v>#VALUE!</v>
      </c>
      <c r="E578" s="56">
        <v>574</v>
      </c>
      <c r="G578" s="138"/>
      <c r="H578" s="135">
        <v>1</v>
      </c>
      <c r="I578" s="57" t="str">
        <f t="shared" si="137"/>
        <v/>
      </c>
      <c r="J578" s="58" t="e">
        <f t="shared" si="126"/>
        <v>#VALUE!</v>
      </c>
      <c r="K578" s="50" t="e">
        <f t="shared" si="127"/>
        <v>#VALUE!</v>
      </c>
      <c r="L578" s="50" t="e">
        <f t="shared" si="128"/>
        <v>#VALUE!</v>
      </c>
      <c r="M578" s="50" t="e">
        <f t="shared" si="128"/>
        <v>#VALUE!</v>
      </c>
      <c r="N578" s="50" t="e">
        <f t="shared" si="129"/>
        <v>#VALUE!</v>
      </c>
      <c r="O578" s="50" t="e">
        <f t="shared" si="130"/>
        <v>#VALUE!</v>
      </c>
      <c r="P578" s="50">
        <f t="shared" si="131"/>
        <v>0</v>
      </c>
      <c r="R578" s="55" t="e">
        <f t="shared" si="132"/>
        <v>#VALUE!</v>
      </c>
      <c r="S578" s="55" t="e">
        <f t="shared" si="133"/>
        <v>#VALUE!</v>
      </c>
      <c r="T578" s="55" t="e">
        <f t="shared" si="138"/>
        <v>#VALUE!</v>
      </c>
      <c r="U578" s="50" t="e">
        <f t="shared" si="134"/>
        <v>#VALUE!</v>
      </c>
      <c r="V578" s="50" t="e">
        <f t="shared" si="135"/>
        <v>#VALUE!</v>
      </c>
      <c r="W578" s="50" t="e">
        <f t="shared" si="136"/>
        <v>#VALUE!</v>
      </c>
    </row>
    <row r="579" spans="2:23" x14ac:dyDescent="0.25">
      <c r="B579" s="50" t="b">
        <f t="shared" si="139"/>
        <v>0</v>
      </c>
      <c r="C579" s="50" t="e">
        <f t="shared" si="140"/>
        <v>#VALUE!</v>
      </c>
      <c r="E579" s="56">
        <v>575</v>
      </c>
      <c r="G579" s="138"/>
      <c r="H579" s="135">
        <v>1</v>
      </c>
      <c r="I579" s="57" t="str">
        <f t="shared" si="137"/>
        <v/>
      </c>
      <c r="J579" s="58" t="e">
        <f t="shared" si="126"/>
        <v>#VALUE!</v>
      </c>
      <c r="K579" s="50" t="e">
        <f t="shared" si="127"/>
        <v>#VALUE!</v>
      </c>
      <c r="L579" s="50" t="e">
        <f t="shared" si="128"/>
        <v>#VALUE!</v>
      </c>
      <c r="M579" s="50" t="e">
        <f t="shared" si="128"/>
        <v>#VALUE!</v>
      </c>
      <c r="N579" s="50" t="e">
        <f t="shared" si="129"/>
        <v>#VALUE!</v>
      </c>
      <c r="O579" s="50" t="e">
        <f t="shared" si="130"/>
        <v>#VALUE!</v>
      </c>
      <c r="P579" s="50">
        <f t="shared" si="131"/>
        <v>0</v>
      </c>
      <c r="R579" s="55" t="e">
        <f t="shared" si="132"/>
        <v>#VALUE!</v>
      </c>
      <c r="S579" s="55" t="e">
        <f t="shared" si="133"/>
        <v>#VALUE!</v>
      </c>
      <c r="T579" s="55" t="e">
        <f t="shared" si="138"/>
        <v>#VALUE!</v>
      </c>
      <c r="U579" s="50" t="e">
        <f t="shared" si="134"/>
        <v>#VALUE!</v>
      </c>
      <c r="V579" s="50" t="e">
        <f t="shared" si="135"/>
        <v>#VALUE!</v>
      </c>
      <c r="W579" s="50" t="e">
        <f t="shared" si="136"/>
        <v>#VALUE!</v>
      </c>
    </row>
    <row r="580" spans="2:23" x14ac:dyDescent="0.25">
      <c r="B580" s="50" t="b">
        <f t="shared" si="139"/>
        <v>0</v>
      </c>
      <c r="C580" s="50" t="e">
        <f t="shared" si="140"/>
        <v>#VALUE!</v>
      </c>
      <c r="E580" s="56">
        <v>576</v>
      </c>
      <c r="G580" s="138"/>
      <c r="H580" s="135">
        <v>1</v>
      </c>
      <c r="I580" s="57" t="str">
        <f t="shared" si="137"/>
        <v/>
      </c>
      <c r="J580" s="58" t="e">
        <f t="shared" si="126"/>
        <v>#VALUE!</v>
      </c>
      <c r="K580" s="50" t="e">
        <f t="shared" si="127"/>
        <v>#VALUE!</v>
      </c>
      <c r="L580" s="50" t="e">
        <f t="shared" si="128"/>
        <v>#VALUE!</v>
      </c>
      <c r="M580" s="50" t="e">
        <f t="shared" si="128"/>
        <v>#VALUE!</v>
      </c>
      <c r="N580" s="50" t="e">
        <f t="shared" si="129"/>
        <v>#VALUE!</v>
      </c>
      <c r="O580" s="50" t="e">
        <f t="shared" si="130"/>
        <v>#VALUE!</v>
      </c>
      <c r="P580" s="50">
        <f t="shared" si="131"/>
        <v>0</v>
      </c>
      <c r="R580" s="55" t="e">
        <f t="shared" si="132"/>
        <v>#VALUE!</v>
      </c>
      <c r="S580" s="55" t="e">
        <f t="shared" si="133"/>
        <v>#VALUE!</v>
      </c>
      <c r="T580" s="55" t="e">
        <f t="shared" si="138"/>
        <v>#VALUE!</v>
      </c>
      <c r="U580" s="50" t="e">
        <f t="shared" si="134"/>
        <v>#VALUE!</v>
      </c>
      <c r="V580" s="50" t="e">
        <f t="shared" si="135"/>
        <v>#VALUE!</v>
      </c>
      <c r="W580" s="50" t="e">
        <f t="shared" si="136"/>
        <v>#VALUE!</v>
      </c>
    </row>
    <row r="581" spans="2:23" x14ac:dyDescent="0.25">
      <c r="B581" s="50" t="b">
        <f t="shared" si="139"/>
        <v>0</v>
      </c>
      <c r="C581" s="50" t="e">
        <f t="shared" si="140"/>
        <v>#VALUE!</v>
      </c>
      <c r="E581" s="56">
        <v>577</v>
      </c>
      <c r="G581" s="138"/>
      <c r="H581" s="135">
        <v>1</v>
      </c>
      <c r="I581" s="57" t="str">
        <f t="shared" si="137"/>
        <v/>
      </c>
      <c r="J581" s="58" t="e">
        <f t="shared" ref="J581:J644" si="141">RIGHT(I581,K581)</f>
        <v>#VALUE!</v>
      </c>
      <c r="K581" s="50" t="e">
        <f t="shared" ref="K581:K644" si="142">P581-N581</f>
        <v>#VALUE!</v>
      </c>
      <c r="L581" s="50" t="e">
        <f t="shared" ref="L581:M607" si="143">O581-N581</f>
        <v>#VALUE!</v>
      </c>
      <c r="M581" s="50" t="e">
        <f t="shared" si="143"/>
        <v>#VALUE!</v>
      </c>
      <c r="N581" s="50" t="e">
        <f t="shared" ref="N581:N644" si="144">SEARCH("-",I581,2)</f>
        <v>#VALUE!</v>
      </c>
      <c r="O581" s="50" t="e">
        <f t="shared" ref="O581:O644" si="145">SEARCH("-",I581,N581+1)</f>
        <v>#VALUE!</v>
      </c>
      <c r="P581" s="50">
        <f t="shared" ref="P581:P644" si="146">LEN(I581)</f>
        <v>0</v>
      </c>
      <c r="R581" s="55" t="e">
        <f t="shared" ref="R581:R644" si="147">LEFT(I581,N581-1)</f>
        <v>#VALUE!</v>
      </c>
      <c r="S581" s="55" t="e">
        <f t="shared" ref="S581:S644" si="148">LEFT(J581,L581-1)</f>
        <v>#VALUE!</v>
      </c>
      <c r="T581" s="55" t="e">
        <f t="shared" si="138"/>
        <v>#VALUE!</v>
      </c>
      <c r="U581" s="50" t="e">
        <f t="shared" ref="U581:U644" si="149">R581*1*$H581</f>
        <v>#VALUE!</v>
      </c>
      <c r="V581" s="50" t="e">
        <f t="shared" ref="V581:V644" si="150">S581*1*$H581</f>
        <v>#VALUE!</v>
      </c>
      <c r="W581" s="50" t="e">
        <f t="shared" ref="W581:W644" si="151">T581*1*$H581</f>
        <v>#VALUE!</v>
      </c>
    </row>
    <row r="582" spans="2:23" x14ac:dyDescent="0.25">
      <c r="B582" s="50" t="b">
        <f t="shared" si="139"/>
        <v>0</v>
      </c>
      <c r="C582" s="50" t="e">
        <f t="shared" si="140"/>
        <v>#VALUE!</v>
      </c>
      <c r="E582" s="56">
        <v>578</v>
      </c>
      <c r="G582" s="138"/>
      <c r="H582" s="135">
        <v>1</v>
      </c>
      <c r="I582" s="57" t="str">
        <f t="shared" ref="I582:I645" si="152">IF(G582="","",G582&amp;""&amp;"-0")</f>
        <v/>
      </c>
      <c r="J582" s="58" t="e">
        <f t="shared" si="141"/>
        <v>#VALUE!</v>
      </c>
      <c r="K582" s="50" t="e">
        <f t="shared" si="142"/>
        <v>#VALUE!</v>
      </c>
      <c r="L582" s="50" t="e">
        <f t="shared" si="143"/>
        <v>#VALUE!</v>
      </c>
      <c r="M582" s="50" t="e">
        <f t="shared" si="143"/>
        <v>#VALUE!</v>
      </c>
      <c r="N582" s="50" t="e">
        <f t="shared" si="144"/>
        <v>#VALUE!</v>
      </c>
      <c r="O582" s="50" t="e">
        <f t="shared" si="145"/>
        <v>#VALUE!</v>
      </c>
      <c r="P582" s="50">
        <f t="shared" si="146"/>
        <v>0</v>
      </c>
      <c r="R582" s="55" t="e">
        <f t="shared" si="147"/>
        <v>#VALUE!</v>
      </c>
      <c r="S582" s="55" t="e">
        <f t="shared" si="148"/>
        <v>#VALUE!</v>
      </c>
      <c r="T582" s="55" t="e">
        <f t="shared" ref="T582:T645" si="153">RIGHT(I582,M582)</f>
        <v>#VALUE!</v>
      </c>
      <c r="U582" s="50" t="e">
        <f t="shared" si="149"/>
        <v>#VALUE!</v>
      </c>
      <c r="V582" s="50" t="e">
        <f t="shared" si="150"/>
        <v>#VALUE!</v>
      </c>
      <c r="W582" s="50" t="e">
        <f t="shared" si="151"/>
        <v>#VALUE!</v>
      </c>
    </row>
    <row r="583" spans="2:23" x14ac:dyDescent="0.25">
      <c r="B583" s="50" t="b">
        <f t="shared" si="139"/>
        <v>0</v>
      </c>
      <c r="C583" s="50" t="e">
        <f t="shared" si="140"/>
        <v>#VALUE!</v>
      </c>
      <c r="E583" s="56">
        <v>579</v>
      </c>
      <c r="G583" s="138"/>
      <c r="H583" s="135">
        <v>1</v>
      </c>
      <c r="I583" s="57" t="str">
        <f t="shared" si="152"/>
        <v/>
      </c>
      <c r="J583" s="58" t="e">
        <f t="shared" si="141"/>
        <v>#VALUE!</v>
      </c>
      <c r="K583" s="50" t="e">
        <f t="shared" si="142"/>
        <v>#VALUE!</v>
      </c>
      <c r="L583" s="50" t="e">
        <f t="shared" si="143"/>
        <v>#VALUE!</v>
      </c>
      <c r="M583" s="50" t="e">
        <f t="shared" si="143"/>
        <v>#VALUE!</v>
      </c>
      <c r="N583" s="50" t="e">
        <f t="shared" si="144"/>
        <v>#VALUE!</v>
      </c>
      <c r="O583" s="50" t="e">
        <f t="shared" si="145"/>
        <v>#VALUE!</v>
      </c>
      <c r="P583" s="50">
        <f t="shared" si="146"/>
        <v>0</v>
      </c>
      <c r="R583" s="55" t="e">
        <f t="shared" si="147"/>
        <v>#VALUE!</v>
      </c>
      <c r="S583" s="55" t="e">
        <f t="shared" si="148"/>
        <v>#VALUE!</v>
      </c>
      <c r="T583" s="55" t="e">
        <f t="shared" si="153"/>
        <v>#VALUE!</v>
      </c>
      <c r="U583" s="50" t="e">
        <f t="shared" si="149"/>
        <v>#VALUE!</v>
      </c>
      <c r="V583" s="50" t="e">
        <f t="shared" si="150"/>
        <v>#VALUE!</v>
      </c>
      <c r="W583" s="50" t="e">
        <f t="shared" si="151"/>
        <v>#VALUE!</v>
      </c>
    </row>
    <row r="584" spans="2:23" x14ac:dyDescent="0.25">
      <c r="B584" s="50" t="b">
        <f t="shared" si="139"/>
        <v>0</v>
      </c>
      <c r="C584" s="50" t="e">
        <f t="shared" si="140"/>
        <v>#VALUE!</v>
      </c>
      <c r="E584" s="56">
        <v>580</v>
      </c>
      <c r="G584" s="138"/>
      <c r="H584" s="135">
        <v>1</v>
      </c>
      <c r="I584" s="57" t="str">
        <f t="shared" si="152"/>
        <v/>
      </c>
      <c r="J584" s="58" t="e">
        <f t="shared" si="141"/>
        <v>#VALUE!</v>
      </c>
      <c r="K584" s="50" t="e">
        <f t="shared" si="142"/>
        <v>#VALUE!</v>
      </c>
      <c r="L584" s="50" t="e">
        <f t="shared" si="143"/>
        <v>#VALUE!</v>
      </c>
      <c r="M584" s="50" t="e">
        <f t="shared" si="143"/>
        <v>#VALUE!</v>
      </c>
      <c r="N584" s="50" t="e">
        <f t="shared" si="144"/>
        <v>#VALUE!</v>
      </c>
      <c r="O584" s="50" t="e">
        <f t="shared" si="145"/>
        <v>#VALUE!</v>
      </c>
      <c r="P584" s="50">
        <f t="shared" si="146"/>
        <v>0</v>
      </c>
      <c r="R584" s="55" t="e">
        <f t="shared" si="147"/>
        <v>#VALUE!</v>
      </c>
      <c r="S584" s="55" t="e">
        <f t="shared" si="148"/>
        <v>#VALUE!</v>
      </c>
      <c r="T584" s="55" t="e">
        <f t="shared" si="153"/>
        <v>#VALUE!</v>
      </c>
      <c r="U584" s="50" t="e">
        <f t="shared" si="149"/>
        <v>#VALUE!</v>
      </c>
      <c r="V584" s="50" t="e">
        <f t="shared" si="150"/>
        <v>#VALUE!</v>
      </c>
      <c r="W584" s="50" t="e">
        <f t="shared" si="151"/>
        <v>#VALUE!</v>
      </c>
    </row>
    <row r="585" spans="2:23" x14ac:dyDescent="0.25">
      <c r="B585" s="50" t="b">
        <f t="shared" si="139"/>
        <v>0</v>
      </c>
      <c r="C585" s="50" t="e">
        <f t="shared" si="140"/>
        <v>#VALUE!</v>
      </c>
      <c r="E585" s="56">
        <v>581</v>
      </c>
      <c r="G585" s="138"/>
      <c r="H585" s="135">
        <v>1</v>
      </c>
      <c r="I585" s="57" t="str">
        <f t="shared" si="152"/>
        <v/>
      </c>
      <c r="J585" s="58" t="e">
        <f t="shared" si="141"/>
        <v>#VALUE!</v>
      </c>
      <c r="K585" s="50" t="e">
        <f t="shared" si="142"/>
        <v>#VALUE!</v>
      </c>
      <c r="L585" s="50" t="e">
        <f t="shared" si="143"/>
        <v>#VALUE!</v>
      </c>
      <c r="M585" s="50" t="e">
        <f t="shared" si="143"/>
        <v>#VALUE!</v>
      </c>
      <c r="N585" s="50" t="e">
        <f t="shared" si="144"/>
        <v>#VALUE!</v>
      </c>
      <c r="O585" s="50" t="e">
        <f t="shared" si="145"/>
        <v>#VALUE!</v>
      </c>
      <c r="P585" s="50">
        <f t="shared" si="146"/>
        <v>0</v>
      </c>
      <c r="R585" s="55" t="e">
        <f t="shared" si="147"/>
        <v>#VALUE!</v>
      </c>
      <c r="S585" s="55" t="e">
        <f t="shared" si="148"/>
        <v>#VALUE!</v>
      </c>
      <c r="T585" s="55" t="e">
        <f t="shared" si="153"/>
        <v>#VALUE!</v>
      </c>
      <c r="U585" s="50" t="e">
        <f t="shared" si="149"/>
        <v>#VALUE!</v>
      </c>
      <c r="V585" s="50" t="e">
        <f t="shared" si="150"/>
        <v>#VALUE!</v>
      </c>
      <c r="W585" s="50" t="e">
        <f t="shared" si="151"/>
        <v>#VALUE!</v>
      </c>
    </row>
    <row r="586" spans="2:23" x14ac:dyDescent="0.25">
      <c r="B586" s="50" t="b">
        <f t="shared" si="139"/>
        <v>0</v>
      </c>
      <c r="C586" s="50" t="e">
        <f t="shared" si="140"/>
        <v>#VALUE!</v>
      </c>
      <c r="E586" s="56">
        <v>582</v>
      </c>
      <c r="G586" s="138"/>
      <c r="H586" s="135">
        <v>1</v>
      </c>
      <c r="I586" s="57" t="str">
        <f t="shared" si="152"/>
        <v/>
      </c>
      <c r="J586" s="58" t="e">
        <f t="shared" si="141"/>
        <v>#VALUE!</v>
      </c>
      <c r="K586" s="50" t="e">
        <f t="shared" si="142"/>
        <v>#VALUE!</v>
      </c>
      <c r="L586" s="50" t="e">
        <f t="shared" si="143"/>
        <v>#VALUE!</v>
      </c>
      <c r="M586" s="50" t="e">
        <f t="shared" si="143"/>
        <v>#VALUE!</v>
      </c>
      <c r="N586" s="50" t="e">
        <f t="shared" si="144"/>
        <v>#VALUE!</v>
      </c>
      <c r="O586" s="50" t="e">
        <f t="shared" si="145"/>
        <v>#VALUE!</v>
      </c>
      <c r="P586" s="50">
        <f t="shared" si="146"/>
        <v>0</v>
      </c>
      <c r="R586" s="55" t="e">
        <f t="shared" si="147"/>
        <v>#VALUE!</v>
      </c>
      <c r="S586" s="55" t="e">
        <f t="shared" si="148"/>
        <v>#VALUE!</v>
      </c>
      <c r="T586" s="55" t="e">
        <f t="shared" si="153"/>
        <v>#VALUE!</v>
      </c>
      <c r="U586" s="50" t="e">
        <f t="shared" si="149"/>
        <v>#VALUE!</v>
      </c>
      <c r="V586" s="50" t="e">
        <f t="shared" si="150"/>
        <v>#VALUE!</v>
      </c>
      <c r="W586" s="50" t="e">
        <f t="shared" si="151"/>
        <v>#VALUE!</v>
      </c>
    </row>
    <row r="587" spans="2:23" x14ac:dyDescent="0.25">
      <c r="B587" s="50" t="b">
        <f t="shared" si="139"/>
        <v>0</v>
      </c>
      <c r="C587" s="50" t="e">
        <f t="shared" si="140"/>
        <v>#VALUE!</v>
      </c>
      <c r="E587" s="56">
        <v>583</v>
      </c>
      <c r="G587" s="138"/>
      <c r="H587" s="135">
        <v>1</v>
      </c>
      <c r="I587" s="57" t="str">
        <f t="shared" si="152"/>
        <v/>
      </c>
      <c r="J587" s="58" t="e">
        <f t="shared" si="141"/>
        <v>#VALUE!</v>
      </c>
      <c r="K587" s="50" t="e">
        <f t="shared" si="142"/>
        <v>#VALUE!</v>
      </c>
      <c r="L587" s="50" t="e">
        <f t="shared" si="143"/>
        <v>#VALUE!</v>
      </c>
      <c r="M587" s="50" t="e">
        <f t="shared" si="143"/>
        <v>#VALUE!</v>
      </c>
      <c r="N587" s="50" t="e">
        <f t="shared" si="144"/>
        <v>#VALUE!</v>
      </c>
      <c r="O587" s="50" t="e">
        <f t="shared" si="145"/>
        <v>#VALUE!</v>
      </c>
      <c r="P587" s="50">
        <f t="shared" si="146"/>
        <v>0</v>
      </c>
      <c r="R587" s="55" t="e">
        <f t="shared" si="147"/>
        <v>#VALUE!</v>
      </c>
      <c r="S587" s="55" t="e">
        <f t="shared" si="148"/>
        <v>#VALUE!</v>
      </c>
      <c r="T587" s="55" t="e">
        <f t="shared" si="153"/>
        <v>#VALUE!</v>
      </c>
      <c r="U587" s="50" t="e">
        <f t="shared" si="149"/>
        <v>#VALUE!</v>
      </c>
      <c r="V587" s="50" t="e">
        <f t="shared" si="150"/>
        <v>#VALUE!</v>
      </c>
      <c r="W587" s="50" t="e">
        <f t="shared" si="151"/>
        <v>#VALUE!</v>
      </c>
    </row>
    <row r="588" spans="2:23" x14ac:dyDescent="0.25">
      <c r="B588" s="50" t="b">
        <f t="shared" si="139"/>
        <v>0</v>
      </c>
      <c r="C588" s="50" t="e">
        <f t="shared" si="140"/>
        <v>#VALUE!</v>
      </c>
      <c r="E588" s="56">
        <v>584</v>
      </c>
      <c r="G588" s="138"/>
      <c r="H588" s="135">
        <v>1</v>
      </c>
      <c r="I588" s="57" t="str">
        <f t="shared" si="152"/>
        <v/>
      </c>
      <c r="J588" s="58" t="e">
        <f t="shared" si="141"/>
        <v>#VALUE!</v>
      </c>
      <c r="K588" s="50" t="e">
        <f t="shared" si="142"/>
        <v>#VALUE!</v>
      </c>
      <c r="L588" s="50" t="e">
        <f t="shared" si="143"/>
        <v>#VALUE!</v>
      </c>
      <c r="M588" s="50" t="e">
        <f t="shared" si="143"/>
        <v>#VALUE!</v>
      </c>
      <c r="N588" s="50" t="e">
        <f t="shared" si="144"/>
        <v>#VALUE!</v>
      </c>
      <c r="O588" s="50" t="e">
        <f t="shared" si="145"/>
        <v>#VALUE!</v>
      </c>
      <c r="P588" s="50">
        <f t="shared" si="146"/>
        <v>0</v>
      </c>
      <c r="R588" s="55" t="e">
        <f t="shared" si="147"/>
        <v>#VALUE!</v>
      </c>
      <c r="S588" s="55" t="e">
        <f t="shared" si="148"/>
        <v>#VALUE!</v>
      </c>
      <c r="T588" s="55" t="e">
        <f t="shared" si="153"/>
        <v>#VALUE!</v>
      </c>
      <c r="U588" s="50" t="e">
        <f t="shared" si="149"/>
        <v>#VALUE!</v>
      </c>
      <c r="V588" s="50" t="e">
        <f t="shared" si="150"/>
        <v>#VALUE!</v>
      </c>
      <c r="W588" s="50" t="e">
        <f t="shared" si="151"/>
        <v>#VALUE!</v>
      </c>
    </row>
    <row r="589" spans="2:23" x14ac:dyDescent="0.25">
      <c r="B589" s="50" t="b">
        <f t="shared" si="139"/>
        <v>0</v>
      </c>
      <c r="C589" s="50" t="e">
        <f t="shared" si="140"/>
        <v>#VALUE!</v>
      </c>
      <c r="E589" s="56">
        <v>585</v>
      </c>
      <c r="G589" s="138"/>
      <c r="H589" s="135">
        <v>1</v>
      </c>
      <c r="I589" s="57" t="str">
        <f t="shared" si="152"/>
        <v/>
      </c>
      <c r="J589" s="58" t="e">
        <f t="shared" si="141"/>
        <v>#VALUE!</v>
      </c>
      <c r="K589" s="50" t="e">
        <f t="shared" si="142"/>
        <v>#VALUE!</v>
      </c>
      <c r="L589" s="50" t="e">
        <f t="shared" si="143"/>
        <v>#VALUE!</v>
      </c>
      <c r="M589" s="50" t="e">
        <f t="shared" si="143"/>
        <v>#VALUE!</v>
      </c>
      <c r="N589" s="50" t="e">
        <f t="shared" si="144"/>
        <v>#VALUE!</v>
      </c>
      <c r="O589" s="50" t="e">
        <f t="shared" si="145"/>
        <v>#VALUE!</v>
      </c>
      <c r="P589" s="50">
        <f t="shared" si="146"/>
        <v>0</v>
      </c>
      <c r="R589" s="55" t="e">
        <f t="shared" si="147"/>
        <v>#VALUE!</v>
      </c>
      <c r="S589" s="55" t="e">
        <f t="shared" si="148"/>
        <v>#VALUE!</v>
      </c>
      <c r="T589" s="55" t="e">
        <f t="shared" si="153"/>
        <v>#VALUE!</v>
      </c>
      <c r="U589" s="50" t="e">
        <f t="shared" si="149"/>
        <v>#VALUE!</v>
      </c>
      <c r="V589" s="50" t="e">
        <f t="shared" si="150"/>
        <v>#VALUE!</v>
      </c>
      <c r="W589" s="50" t="e">
        <f t="shared" si="151"/>
        <v>#VALUE!</v>
      </c>
    </row>
    <row r="590" spans="2:23" x14ac:dyDescent="0.25">
      <c r="B590" s="50" t="b">
        <f t="shared" ref="B590:B653" si="154">ISNUMBER(C590)</f>
        <v>0</v>
      </c>
      <c r="C590" s="50" t="e">
        <f t="shared" si="140"/>
        <v>#VALUE!</v>
      </c>
      <c r="E590" s="56">
        <v>586</v>
      </c>
      <c r="G590" s="138"/>
      <c r="H590" s="135">
        <v>1</v>
      </c>
      <c r="I590" s="57" t="str">
        <f t="shared" si="152"/>
        <v/>
      </c>
      <c r="J590" s="58" t="e">
        <f t="shared" si="141"/>
        <v>#VALUE!</v>
      </c>
      <c r="K590" s="50" t="e">
        <f t="shared" si="142"/>
        <v>#VALUE!</v>
      </c>
      <c r="L590" s="50" t="e">
        <f t="shared" si="143"/>
        <v>#VALUE!</v>
      </c>
      <c r="M590" s="50" t="e">
        <f t="shared" si="143"/>
        <v>#VALUE!</v>
      </c>
      <c r="N590" s="50" t="e">
        <f t="shared" si="144"/>
        <v>#VALUE!</v>
      </c>
      <c r="O590" s="50" t="e">
        <f t="shared" si="145"/>
        <v>#VALUE!</v>
      </c>
      <c r="P590" s="50">
        <f t="shared" si="146"/>
        <v>0</v>
      </c>
      <c r="R590" s="55" t="e">
        <f t="shared" si="147"/>
        <v>#VALUE!</v>
      </c>
      <c r="S590" s="55" t="e">
        <f t="shared" si="148"/>
        <v>#VALUE!</v>
      </c>
      <c r="T590" s="55" t="e">
        <f t="shared" si="153"/>
        <v>#VALUE!</v>
      </c>
      <c r="U590" s="50" t="e">
        <f t="shared" si="149"/>
        <v>#VALUE!</v>
      </c>
      <c r="V590" s="50" t="e">
        <f t="shared" si="150"/>
        <v>#VALUE!</v>
      </c>
      <c r="W590" s="50" t="e">
        <f t="shared" si="151"/>
        <v>#VALUE!</v>
      </c>
    </row>
    <row r="591" spans="2:23" x14ac:dyDescent="0.25">
      <c r="B591" s="50" t="b">
        <f t="shared" si="154"/>
        <v>0</v>
      </c>
      <c r="C591" s="50" t="e">
        <f t="shared" si="140"/>
        <v>#VALUE!</v>
      </c>
      <c r="E591" s="56">
        <v>587</v>
      </c>
      <c r="G591" s="138"/>
      <c r="H591" s="135">
        <v>1</v>
      </c>
      <c r="I591" s="57" t="str">
        <f t="shared" si="152"/>
        <v/>
      </c>
      <c r="J591" s="58" t="e">
        <f t="shared" si="141"/>
        <v>#VALUE!</v>
      </c>
      <c r="K591" s="50" t="e">
        <f t="shared" si="142"/>
        <v>#VALUE!</v>
      </c>
      <c r="L591" s="50" t="e">
        <f t="shared" si="143"/>
        <v>#VALUE!</v>
      </c>
      <c r="M591" s="50" t="e">
        <f t="shared" si="143"/>
        <v>#VALUE!</v>
      </c>
      <c r="N591" s="50" t="e">
        <f t="shared" si="144"/>
        <v>#VALUE!</v>
      </c>
      <c r="O591" s="50" t="e">
        <f t="shared" si="145"/>
        <v>#VALUE!</v>
      </c>
      <c r="P591" s="50">
        <f t="shared" si="146"/>
        <v>0</v>
      </c>
      <c r="R591" s="55" t="e">
        <f t="shared" si="147"/>
        <v>#VALUE!</v>
      </c>
      <c r="S591" s="55" t="e">
        <f t="shared" si="148"/>
        <v>#VALUE!</v>
      </c>
      <c r="T591" s="55" t="e">
        <f t="shared" si="153"/>
        <v>#VALUE!</v>
      </c>
      <c r="U591" s="50" t="e">
        <f t="shared" si="149"/>
        <v>#VALUE!</v>
      </c>
      <c r="V591" s="50" t="e">
        <f t="shared" si="150"/>
        <v>#VALUE!</v>
      </c>
      <c r="W591" s="50" t="e">
        <f t="shared" si="151"/>
        <v>#VALUE!</v>
      </c>
    </row>
    <row r="592" spans="2:23" x14ac:dyDescent="0.25">
      <c r="B592" s="50" t="b">
        <f t="shared" si="154"/>
        <v>0</v>
      </c>
      <c r="C592" s="50" t="e">
        <f t="shared" si="140"/>
        <v>#VALUE!</v>
      </c>
      <c r="E592" s="56">
        <v>588</v>
      </c>
      <c r="G592" s="138"/>
      <c r="H592" s="135">
        <v>1</v>
      </c>
      <c r="I592" s="57" t="str">
        <f t="shared" si="152"/>
        <v/>
      </c>
      <c r="J592" s="58" t="e">
        <f t="shared" si="141"/>
        <v>#VALUE!</v>
      </c>
      <c r="K592" s="50" t="e">
        <f t="shared" si="142"/>
        <v>#VALUE!</v>
      </c>
      <c r="L592" s="50" t="e">
        <f t="shared" si="143"/>
        <v>#VALUE!</v>
      </c>
      <c r="M592" s="50" t="e">
        <f t="shared" si="143"/>
        <v>#VALUE!</v>
      </c>
      <c r="N592" s="50" t="e">
        <f t="shared" si="144"/>
        <v>#VALUE!</v>
      </c>
      <c r="O592" s="50" t="e">
        <f t="shared" si="145"/>
        <v>#VALUE!</v>
      </c>
      <c r="P592" s="50">
        <f t="shared" si="146"/>
        <v>0</v>
      </c>
      <c r="R592" s="55" t="e">
        <f t="shared" si="147"/>
        <v>#VALUE!</v>
      </c>
      <c r="S592" s="55" t="e">
        <f t="shared" si="148"/>
        <v>#VALUE!</v>
      </c>
      <c r="T592" s="55" t="e">
        <f t="shared" si="153"/>
        <v>#VALUE!</v>
      </c>
      <c r="U592" s="50" t="e">
        <f t="shared" si="149"/>
        <v>#VALUE!</v>
      </c>
      <c r="V592" s="50" t="e">
        <f t="shared" si="150"/>
        <v>#VALUE!</v>
      </c>
      <c r="W592" s="50" t="e">
        <f t="shared" si="151"/>
        <v>#VALUE!</v>
      </c>
    </row>
    <row r="593" spans="2:23" x14ac:dyDescent="0.25">
      <c r="B593" s="50" t="b">
        <f t="shared" si="154"/>
        <v>0</v>
      </c>
      <c r="C593" s="50" t="e">
        <f t="shared" si="140"/>
        <v>#VALUE!</v>
      </c>
      <c r="E593" s="56">
        <v>589</v>
      </c>
      <c r="G593" s="138"/>
      <c r="H593" s="135">
        <v>1</v>
      </c>
      <c r="I593" s="57" t="str">
        <f t="shared" si="152"/>
        <v/>
      </c>
      <c r="J593" s="58" t="e">
        <f t="shared" si="141"/>
        <v>#VALUE!</v>
      </c>
      <c r="K593" s="50" t="e">
        <f t="shared" si="142"/>
        <v>#VALUE!</v>
      </c>
      <c r="L593" s="50" t="e">
        <f t="shared" si="143"/>
        <v>#VALUE!</v>
      </c>
      <c r="M593" s="50" t="e">
        <f t="shared" si="143"/>
        <v>#VALUE!</v>
      </c>
      <c r="N593" s="50" t="e">
        <f t="shared" si="144"/>
        <v>#VALUE!</v>
      </c>
      <c r="O593" s="50" t="e">
        <f t="shared" si="145"/>
        <v>#VALUE!</v>
      </c>
      <c r="P593" s="50">
        <f t="shared" si="146"/>
        <v>0</v>
      </c>
      <c r="R593" s="55" t="e">
        <f t="shared" si="147"/>
        <v>#VALUE!</v>
      </c>
      <c r="S593" s="55" t="e">
        <f t="shared" si="148"/>
        <v>#VALUE!</v>
      </c>
      <c r="T593" s="55" t="e">
        <f t="shared" si="153"/>
        <v>#VALUE!</v>
      </c>
      <c r="U593" s="50" t="e">
        <f t="shared" si="149"/>
        <v>#VALUE!</v>
      </c>
      <c r="V593" s="50" t="e">
        <f t="shared" si="150"/>
        <v>#VALUE!</v>
      </c>
      <c r="W593" s="50" t="e">
        <f t="shared" si="151"/>
        <v>#VALUE!</v>
      </c>
    </row>
    <row r="594" spans="2:23" x14ac:dyDescent="0.25">
      <c r="B594" s="50" t="b">
        <f t="shared" si="154"/>
        <v>0</v>
      </c>
      <c r="C594" s="50" t="e">
        <f t="shared" si="140"/>
        <v>#VALUE!</v>
      </c>
      <c r="E594" s="56">
        <v>590</v>
      </c>
      <c r="G594" s="138"/>
      <c r="H594" s="135">
        <v>1</v>
      </c>
      <c r="I594" s="57" t="str">
        <f t="shared" si="152"/>
        <v/>
      </c>
      <c r="J594" s="58" t="e">
        <f t="shared" si="141"/>
        <v>#VALUE!</v>
      </c>
      <c r="K594" s="50" t="e">
        <f t="shared" si="142"/>
        <v>#VALUE!</v>
      </c>
      <c r="L594" s="50" t="e">
        <f t="shared" si="143"/>
        <v>#VALUE!</v>
      </c>
      <c r="M594" s="50" t="e">
        <f t="shared" si="143"/>
        <v>#VALUE!</v>
      </c>
      <c r="N594" s="50" t="e">
        <f t="shared" si="144"/>
        <v>#VALUE!</v>
      </c>
      <c r="O594" s="50" t="e">
        <f t="shared" si="145"/>
        <v>#VALUE!</v>
      </c>
      <c r="P594" s="50">
        <f t="shared" si="146"/>
        <v>0</v>
      </c>
      <c r="R594" s="55" t="e">
        <f t="shared" si="147"/>
        <v>#VALUE!</v>
      </c>
      <c r="S594" s="55" t="e">
        <f t="shared" si="148"/>
        <v>#VALUE!</v>
      </c>
      <c r="T594" s="55" t="e">
        <f t="shared" si="153"/>
        <v>#VALUE!</v>
      </c>
      <c r="U594" s="50" t="e">
        <f t="shared" si="149"/>
        <v>#VALUE!</v>
      </c>
      <c r="V594" s="50" t="e">
        <f t="shared" si="150"/>
        <v>#VALUE!</v>
      </c>
      <c r="W594" s="50" t="e">
        <f t="shared" si="151"/>
        <v>#VALUE!</v>
      </c>
    </row>
    <row r="595" spans="2:23" x14ac:dyDescent="0.25">
      <c r="B595" s="50" t="b">
        <f t="shared" si="154"/>
        <v>0</v>
      </c>
      <c r="C595" s="50" t="e">
        <f t="shared" si="140"/>
        <v>#VALUE!</v>
      </c>
      <c r="E595" s="56">
        <v>591</v>
      </c>
      <c r="G595" s="138"/>
      <c r="H595" s="135">
        <v>1</v>
      </c>
      <c r="I595" s="57" t="str">
        <f t="shared" si="152"/>
        <v/>
      </c>
      <c r="J595" s="58" t="e">
        <f t="shared" si="141"/>
        <v>#VALUE!</v>
      </c>
      <c r="K595" s="50" t="e">
        <f t="shared" si="142"/>
        <v>#VALUE!</v>
      </c>
      <c r="L595" s="50" t="e">
        <f t="shared" si="143"/>
        <v>#VALUE!</v>
      </c>
      <c r="M595" s="50" t="e">
        <f t="shared" si="143"/>
        <v>#VALUE!</v>
      </c>
      <c r="N595" s="50" t="e">
        <f t="shared" si="144"/>
        <v>#VALUE!</v>
      </c>
      <c r="O595" s="50" t="e">
        <f t="shared" si="145"/>
        <v>#VALUE!</v>
      </c>
      <c r="P595" s="50">
        <f t="shared" si="146"/>
        <v>0</v>
      </c>
      <c r="R595" s="55" t="e">
        <f t="shared" si="147"/>
        <v>#VALUE!</v>
      </c>
      <c r="S595" s="55" t="e">
        <f t="shared" si="148"/>
        <v>#VALUE!</v>
      </c>
      <c r="T595" s="55" t="e">
        <f t="shared" si="153"/>
        <v>#VALUE!</v>
      </c>
      <c r="U595" s="50" t="e">
        <f t="shared" si="149"/>
        <v>#VALUE!</v>
      </c>
      <c r="V595" s="50" t="e">
        <f t="shared" si="150"/>
        <v>#VALUE!</v>
      </c>
      <c r="W595" s="50" t="e">
        <f t="shared" si="151"/>
        <v>#VALUE!</v>
      </c>
    </row>
    <row r="596" spans="2:23" x14ac:dyDescent="0.25">
      <c r="B596" s="50" t="b">
        <f t="shared" si="154"/>
        <v>0</v>
      </c>
      <c r="C596" s="50" t="e">
        <f t="shared" si="140"/>
        <v>#VALUE!</v>
      </c>
      <c r="E596" s="56">
        <v>592</v>
      </c>
      <c r="G596" s="138"/>
      <c r="H596" s="135">
        <v>1</v>
      </c>
      <c r="I596" s="57" t="str">
        <f t="shared" si="152"/>
        <v/>
      </c>
      <c r="J596" s="58" t="e">
        <f t="shared" si="141"/>
        <v>#VALUE!</v>
      </c>
      <c r="K596" s="50" t="e">
        <f t="shared" si="142"/>
        <v>#VALUE!</v>
      </c>
      <c r="L596" s="50" t="e">
        <f t="shared" si="143"/>
        <v>#VALUE!</v>
      </c>
      <c r="M596" s="50" t="e">
        <f t="shared" si="143"/>
        <v>#VALUE!</v>
      </c>
      <c r="N596" s="50" t="e">
        <f t="shared" si="144"/>
        <v>#VALUE!</v>
      </c>
      <c r="O596" s="50" t="e">
        <f t="shared" si="145"/>
        <v>#VALUE!</v>
      </c>
      <c r="P596" s="50">
        <f t="shared" si="146"/>
        <v>0</v>
      </c>
      <c r="R596" s="55" t="e">
        <f t="shared" si="147"/>
        <v>#VALUE!</v>
      </c>
      <c r="S596" s="55" t="e">
        <f t="shared" si="148"/>
        <v>#VALUE!</v>
      </c>
      <c r="T596" s="55" t="e">
        <f t="shared" si="153"/>
        <v>#VALUE!</v>
      </c>
      <c r="U596" s="50" t="e">
        <f t="shared" si="149"/>
        <v>#VALUE!</v>
      </c>
      <c r="V596" s="50" t="e">
        <f t="shared" si="150"/>
        <v>#VALUE!</v>
      </c>
      <c r="W596" s="50" t="e">
        <f t="shared" si="151"/>
        <v>#VALUE!</v>
      </c>
    </row>
    <row r="597" spans="2:23" x14ac:dyDescent="0.25">
      <c r="B597" s="50" t="b">
        <f t="shared" si="154"/>
        <v>0</v>
      </c>
      <c r="C597" s="50" t="e">
        <f t="shared" si="140"/>
        <v>#VALUE!</v>
      </c>
      <c r="E597" s="56">
        <v>593</v>
      </c>
      <c r="G597" s="138"/>
      <c r="H597" s="135">
        <v>1</v>
      </c>
      <c r="I597" s="57" t="str">
        <f t="shared" si="152"/>
        <v/>
      </c>
      <c r="J597" s="58" t="e">
        <f t="shared" si="141"/>
        <v>#VALUE!</v>
      </c>
      <c r="K597" s="50" t="e">
        <f t="shared" si="142"/>
        <v>#VALUE!</v>
      </c>
      <c r="L597" s="50" t="e">
        <f t="shared" si="143"/>
        <v>#VALUE!</v>
      </c>
      <c r="M597" s="50" t="e">
        <f t="shared" si="143"/>
        <v>#VALUE!</v>
      </c>
      <c r="N597" s="50" t="e">
        <f t="shared" si="144"/>
        <v>#VALUE!</v>
      </c>
      <c r="O597" s="50" t="e">
        <f t="shared" si="145"/>
        <v>#VALUE!</v>
      </c>
      <c r="P597" s="50">
        <f t="shared" si="146"/>
        <v>0</v>
      </c>
      <c r="R597" s="55" t="e">
        <f t="shared" si="147"/>
        <v>#VALUE!</v>
      </c>
      <c r="S597" s="55" t="e">
        <f t="shared" si="148"/>
        <v>#VALUE!</v>
      </c>
      <c r="T597" s="55" t="e">
        <f t="shared" si="153"/>
        <v>#VALUE!</v>
      </c>
      <c r="U597" s="50" t="e">
        <f t="shared" si="149"/>
        <v>#VALUE!</v>
      </c>
      <c r="V597" s="50" t="e">
        <f t="shared" si="150"/>
        <v>#VALUE!</v>
      </c>
      <c r="W597" s="50" t="e">
        <f t="shared" si="151"/>
        <v>#VALUE!</v>
      </c>
    </row>
    <row r="598" spans="2:23" x14ac:dyDescent="0.25">
      <c r="B598" s="50" t="b">
        <f t="shared" si="154"/>
        <v>0</v>
      </c>
      <c r="C598" s="50" t="e">
        <f t="shared" si="140"/>
        <v>#VALUE!</v>
      </c>
      <c r="E598" s="56">
        <v>594</v>
      </c>
      <c r="G598" s="138"/>
      <c r="H598" s="135">
        <v>1</v>
      </c>
      <c r="I598" s="57" t="str">
        <f t="shared" si="152"/>
        <v/>
      </c>
      <c r="J598" s="58" t="e">
        <f t="shared" si="141"/>
        <v>#VALUE!</v>
      </c>
      <c r="K598" s="50" t="e">
        <f t="shared" si="142"/>
        <v>#VALUE!</v>
      </c>
      <c r="L598" s="50" t="e">
        <f t="shared" si="143"/>
        <v>#VALUE!</v>
      </c>
      <c r="M598" s="50" t="e">
        <f t="shared" si="143"/>
        <v>#VALUE!</v>
      </c>
      <c r="N598" s="50" t="e">
        <f t="shared" si="144"/>
        <v>#VALUE!</v>
      </c>
      <c r="O598" s="50" t="e">
        <f t="shared" si="145"/>
        <v>#VALUE!</v>
      </c>
      <c r="P598" s="50">
        <f t="shared" si="146"/>
        <v>0</v>
      </c>
      <c r="R598" s="55" t="e">
        <f t="shared" si="147"/>
        <v>#VALUE!</v>
      </c>
      <c r="S598" s="55" t="e">
        <f t="shared" si="148"/>
        <v>#VALUE!</v>
      </c>
      <c r="T598" s="55" t="e">
        <f t="shared" si="153"/>
        <v>#VALUE!</v>
      </c>
      <c r="U598" s="50" t="e">
        <f t="shared" si="149"/>
        <v>#VALUE!</v>
      </c>
      <c r="V598" s="50" t="e">
        <f t="shared" si="150"/>
        <v>#VALUE!</v>
      </c>
      <c r="W598" s="50" t="e">
        <f t="shared" si="151"/>
        <v>#VALUE!</v>
      </c>
    </row>
    <row r="599" spans="2:23" x14ac:dyDescent="0.25">
      <c r="B599" s="50" t="b">
        <f t="shared" si="154"/>
        <v>0</v>
      </c>
      <c r="C599" s="50" t="e">
        <f t="shared" si="140"/>
        <v>#VALUE!</v>
      </c>
      <c r="E599" s="56">
        <v>595</v>
      </c>
      <c r="G599" s="138"/>
      <c r="H599" s="135">
        <v>1</v>
      </c>
      <c r="I599" s="57" t="str">
        <f t="shared" si="152"/>
        <v/>
      </c>
      <c r="J599" s="58" t="e">
        <f t="shared" si="141"/>
        <v>#VALUE!</v>
      </c>
      <c r="K599" s="50" t="e">
        <f t="shared" si="142"/>
        <v>#VALUE!</v>
      </c>
      <c r="L599" s="50" t="e">
        <f t="shared" si="143"/>
        <v>#VALUE!</v>
      </c>
      <c r="M599" s="50" t="e">
        <f t="shared" si="143"/>
        <v>#VALUE!</v>
      </c>
      <c r="N599" s="50" t="e">
        <f t="shared" si="144"/>
        <v>#VALUE!</v>
      </c>
      <c r="O599" s="50" t="e">
        <f t="shared" si="145"/>
        <v>#VALUE!</v>
      </c>
      <c r="P599" s="50">
        <f t="shared" si="146"/>
        <v>0</v>
      </c>
      <c r="R599" s="55" t="e">
        <f t="shared" si="147"/>
        <v>#VALUE!</v>
      </c>
      <c r="S599" s="55" t="e">
        <f t="shared" si="148"/>
        <v>#VALUE!</v>
      </c>
      <c r="T599" s="55" t="e">
        <f t="shared" si="153"/>
        <v>#VALUE!</v>
      </c>
      <c r="U599" s="50" t="e">
        <f t="shared" si="149"/>
        <v>#VALUE!</v>
      </c>
      <c r="V599" s="50" t="e">
        <f t="shared" si="150"/>
        <v>#VALUE!</v>
      </c>
      <c r="W599" s="50" t="e">
        <f t="shared" si="151"/>
        <v>#VALUE!</v>
      </c>
    </row>
    <row r="600" spans="2:23" x14ac:dyDescent="0.25">
      <c r="B600" s="50" t="b">
        <f t="shared" si="154"/>
        <v>0</v>
      </c>
      <c r="C600" s="50" t="e">
        <f t="shared" si="140"/>
        <v>#VALUE!</v>
      </c>
      <c r="E600" s="56">
        <v>596</v>
      </c>
      <c r="G600" s="138"/>
      <c r="H600" s="135">
        <v>1</v>
      </c>
      <c r="I600" s="57" t="str">
        <f t="shared" si="152"/>
        <v/>
      </c>
      <c r="J600" s="58" t="e">
        <f t="shared" si="141"/>
        <v>#VALUE!</v>
      </c>
      <c r="K600" s="50" t="e">
        <f t="shared" si="142"/>
        <v>#VALUE!</v>
      </c>
      <c r="L600" s="50" t="e">
        <f t="shared" si="143"/>
        <v>#VALUE!</v>
      </c>
      <c r="M600" s="50" t="e">
        <f t="shared" si="143"/>
        <v>#VALUE!</v>
      </c>
      <c r="N600" s="50" t="e">
        <f t="shared" si="144"/>
        <v>#VALUE!</v>
      </c>
      <c r="O600" s="50" t="e">
        <f t="shared" si="145"/>
        <v>#VALUE!</v>
      </c>
      <c r="P600" s="50">
        <f t="shared" si="146"/>
        <v>0</v>
      </c>
      <c r="R600" s="55" t="e">
        <f t="shared" si="147"/>
        <v>#VALUE!</v>
      </c>
      <c r="S600" s="55" t="e">
        <f t="shared" si="148"/>
        <v>#VALUE!</v>
      </c>
      <c r="T600" s="55" t="e">
        <f t="shared" si="153"/>
        <v>#VALUE!</v>
      </c>
      <c r="U600" s="50" t="e">
        <f t="shared" si="149"/>
        <v>#VALUE!</v>
      </c>
      <c r="V600" s="50" t="e">
        <f t="shared" si="150"/>
        <v>#VALUE!</v>
      </c>
      <c r="W600" s="50" t="e">
        <f t="shared" si="151"/>
        <v>#VALUE!</v>
      </c>
    </row>
    <row r="601" spans="2:23" x14ac:dyDescent="0.25">
      <c r="B601" s="50" t="b">
        <f t="shared" si="154"/>
        <v>0</v>
      </c>
      <c r="C601" s="50" t="e">
        <f t="shared" si="140"/>
        <v>#VALUE!</v>
      </c>
      <c r="E601" s="56">
        <v>597</v>
      </c>
      <c r="G601" s="138"/>
      <c r="H601" s="135">
        <v>1</v>
      </c>
      <c r="I601" s="57" t="str">
        <f t="shared" si="152"/>
        <v/>
      </c>
      <c r="J601" s="58" t="e">
        <f t="shared" si="141"/>
        <v>#VALUE!</v>
      </c>
      <c r="K601" s="50" t="e">
        <f t="shared" si="142"/>
        <v>#VALUE!</v>
      </c>
      <c r="L601" s="50" t="e">
        <f t="shared" si="143"/>
        <v>#VALUE!</v>
      </c>
      <c r="M601" s="50" t="e">
        <f t="shared" si="143"/>
        <v>#VALUE!</v>
      </c>
      <c r="N601" s="50" t="e">
        <f t="shared" si="144"/>
        <v>#VALUE!</v>
      </c>
      <c r="O601" s="50" t="e">
        <f t="shared" si="145"/>
        <v>#VALUE!</v>
      </c>
      <c r="P601" s="50">
        <f t="shared" si="146"/>
        <v>0</v>
      </c>
      <c r="R601" s="55" t="e">
        <f t="shared" si="147"/>
        <v>#VALUE!</v>
      </c>
      <c r="S601" s="55" t="e">
        <f t="shared" si="148"/>
        <v>#VALUE!</v>
      </c>
      <c r="T601" s="55" t="e">
        <f t="shared" si="153"/>
        <v>#VALUE!</v>
      </c>
      <c r="U601" s="50" t="e">
        <f t="shared" si="149"/>
        <v>#VALUE!</v>
      </c>
      <c r="V601" s="50" t="e">
        <f t="shared" si="150"/>
        <v>#VALUE!</v>
      </c>
      <c r="W601" s="50" t="e">
        <f t="shared" si="151"/>
        <v>#VALUE!</v>
      </c>
    </row>
    <row r="602" spans="2:23" x14ac:dyDescent="0.25">
      <c r="B602" s="50" t="b">
        <f t="shared" si="154"/>
        <v>0</v>
      </c>
      <c r="C602" s="50" t="e">
        <f t="shared" si="140"/>
        <v>#VALUE!</v>
      </c>
      <c r="E602" s="56">
        <v>598</v>
      </c>
      <c r="G602" s="138"/>
      <c r="H602" s="135">
        <v>1</v>
      </c>
      <c r="I602" s="57" t="str">
        <f t="shared" si="152"/>
        <v/>
      </c>
      <c r="J602" s="58" t="e">
        <f t="shared" si="141"/>
        <v>#VALUE!</v>
      </c>
      <c r="K602" s="50" t="e">
        <f t="shared" si="142"/>
        <v>#VALUE!</v>
      </c>
      <c r="L602" s="50" t="e">
        <f t="shared" si="143"/>
        <v>#VALUE!</v>
      </c>
      <c r="M602" s="50" t="e">
        <f t="shared" si="143"/>
        <v>#VALUE!</v>
      </c>
      <c r="N602" s="50" t="e">
        <f t="shared" si="144"/>
        <v>#VALUE!</v>
      </c>
      <c r="O602" s="50" t="e">
        <f t="shared" si="145"/>
        <v>#VALUE!</v>
      </c>
      <c r="P602" s="50">
        <f t="shared" si="146"/>
        <v>0</v>
      </c>
      <c r="R602" s="55" t="e">
        <f t="shared" si="147"/>
        <v>#VALUE!</v>
      </c>
      <c r="S602" s="55" t="e">
        <f t="shared" si="148"/>
        <v>#VALUE!</v>
      </c>
      <c r="T602" s="55" t="e">
        <f t="shared" si="153"/>
        <v>#VALUE!</v>
      </c>
      <c r="U602" s="50" t="e">
        <f t="shared" si="149"/>
        <v>#VALUE!</v>
      </c>
      <c r="V602" s="50" t="e">
        <f t="shared" si="150"/>
        <v>#VALUE!</v>
      </c>
      <c r="W602" s="50" t="e">
        <f t="shared" si="151"/>
        <v>#VALUE!</v>
      </c>
    </row>
    <row r="603" spans="2:23" x14ac:dyDescent="0.25">
      <c r="B603" s="50" t="b">
        <f t="shared" si="154"/>
        <v>0</v>
      </c>
      <c r="C603" s="50" t="e">
        <f t="shared" si="140"/>
        <v>#VALUE!</v>
      </c>
      <c r="E603" s="56">
        <v>599</v>
      </c>
      <c r="G603" s="138"/>
      <c r="H603" s="135">
        <v>1</v>
      </c>
      <c r="I603" s="57" t="str">
        <f t="shared" si="152"/>
        <v/>
      </c>
      <c r="J603" s="58" t="e">
        <f t="shared" si="141"/>
        <v>#VALUE!</v>
      </c>
      <c r="K603" s="50" t="e">
        <f t="shared" si="142"/>
        <v>#VALUE!</v>
      </c>
      <c r="L603" s="50" t="e">
        <f t="shared" si="143"/>
        <v>#VALUE!</v>
      </c>
      <c r="M603" s="50" t="e">
        <f t="shared" si="143"/>
        <v>#VALUE!</v>
      </c>
      <c r="N603" s="50" t="e">
        <f t="shared" si="144"/>
        <v>#VALUE!</v>
      </c>
      <c r="O603" s="50" t="e">
        <f t="shared" si="145"/>
        <v>#VALUE!</v>
      </c>
      <c r="P603" s="50">
        <f t="shared" si="146"/>
        <v>0</v>
      </c>
      <c r="R603" s="55" t="e">
        <f t="shared" si="147"/>
        <v>#VALUE!</v>
      </c>
      <c r="S603" s="55" t="e">
        <f t="shared" si="148"/>
        <v>#VALUE!</v>
      </c>
      <c r="T603" s="55" t="e">
        <f t="shared" si="153"/>
        <v>#VALUE!</v>
      </c>
      <c r="U603" s="50" t="e">
        <f t="shared" si="149"/>
        <v>#VALUE!</v>
      </c>
      <c r="V603" s="50" t="e">
        <f t="shared" si="150"/>
        <v>#VALUE!</v>
      </c>
      <c r="W603" s="50" t="e">
        <f t="shared" si="151"/>
        <v>#VALUE!</v>
      </c>
    </row>
    <row r="604" spans="2:23" x14ac:dyDescent="0.25">
      <c r="B604" s="50" t="b">
        <f t="shared" si="154"/>
        <v>0</v>
      </c>
      <c r="C604" s="50" t="e">
        <f t="shared" si="140"/>
        <v>#VALUE!</v>
      </c>
      <c r="E604" s="56">
        <v>600</v>
      </c>
      <c r="G604" s="138"/>
      <c r="H604" s="135">
        <v>1</v>
      </c>
      <c r="I604" s="57" t="str">
        <f t="shared" si="152"/>
        <v/>
      </c>
      <c r="J604" s="58" t="e">
        <f t="shared" si="141"/>
        <v>#VALUE!</v>
      </c>
      <c r="K604" s="50" t="e">
        <f t="shared" si="142"/>
        <v>#VALUE!</v>
      </c>
      <c r="L604" s="50" t="e">
        <f t="shared" si="143"/>
        <v>#VALUE!</v>
      </c>
      <c r="M604" s="50" t="e">
        <f t="shared" si="143"/>
        <v>#VALUE!</v>
      </c>
      <c r="N604" s="50" t="e">
        <f t="shared" si="144"/>
        <v>#VALUE!</v>
      </c>
      <c r="O604" s="50" t="e">
        <f t="shared" si="145"/>
        <v>#VALUE!</v>
      </c>
      <c r="P604" s="50">
        <f t="shared" si="146"/>
        <v>0</v>
      </c>
      <c r="R604" s="55" t="e">
        <f t="shared" si="147"/>
        <v>#VALUE!</v>
      </c>
      <c r="S604" s="55" t="e">
        <f t="shared" si="148"/>
        <v>#VALUE!</v>
      </c>
      <c r="T604" s="55" t="e">
        <f t="shared" si="153"/>
        <v>#VALUE!</v>
      </c>
      <c r="U604" s="50" t="e">
        <f t="shared" si="149"/>
        <v>#VALUE!</v>
      </c>
      <c r="V604" s="50" t="e">
        <f t="shared" si="150"/>
        <v>#VALUE!</v>
      </c>
      <c r="W604" s="50" t="e">
        <f t="shared" si="151"/>
        <v>#VALUE!</v>
      </c>
    </row>
    <row r="605" spans="2:23" x14ac:dyDescent="0.25">
      <c r="B605" s="50" t="b">
        <f t="shared" si="154"/>
        <v>0</v>
      </c>
      <c r="C605" s="50" t="e">
        <f t="shared" si="140"/>
        <v>#VALUE!</v>
      </c>
      <c r="E605" s="56">
        <v>601</v>
      </c>
      <c r="G605" s="138"/>
      <c r="H605" s="135">
        <v>1</v>
      </c>
      <c r="I605" s="57" t="str">
        <f t="shared" si="152"/>
        <v/>
      </c>
      <c r="J605" s="58" t="e">
        <f t="shared" si="141"/>
        <v>#VALUE!</v>
      </c>
      <c r="K605" s="50" t="e">
        <f t="shared" si="142"/>
        <v>#VALUE!</v>
      </c>
      <c r="L605" s="50" t="e">
        <f t="shared" si="143"/>
        <v>#VALUE!</v>
      </c>
      <c r="M605" s="50" t="e">
        <f t="shared" si="143"/>
        <v>#VALUE!</v>
      </c>
      <c r="N605" s="50" t="e">
        <f t="shared" si="144"/>
        <v>#VALUE!</v>
      </c>
      <c r="O605" s="50" t="e">
        <f t="shared" si="145"/>
        <v>#VALUE!</v>
      </c>
      <c r="P605" s="50">
        <f t="shared" si="146"/>
        <v>0</v>
      </c>
      <c r="R605" s="55" t="e">
        <f t="shared" si="147"/>
        <v>#VALUE!</v>
      </c>
      <c r="S605" s="55" t="e">
        <f t="shared" si="148"/>
        <v>#VALUE!</v>
      </c>
      <c r="T605" s="55" t="e">
        <f t="shared" si="153"/>
        <v>#VALUE!</v>
      </c>
      <c r="U605" s="50" t="e">
        <f t="shared" si="149"/>
        <v>#VALUE!</v>
      </c>
      <c r="V605" s="50" t="e">
        <f t="shared" si="150"/>
        <v>#VALUE!</v>
      </c>
      <c r="W605" s="50" t="e">
        <f t="shared" si="151"/>
        <v>#VALUE!</v>
      </c>
    </row>
    <row r="606" spans="2:23" x14ac:dyDescent="0.25">
      <c r="B606" s="50" t="b">
        <f t="shared" si="154"/>
        <v>0</v>
      </c>
      <c r="C606" s="50" t="e">
        <f t="shared" si="140"/>
        <v>#VALUE!</v>
      </c>
      <c r="E606" s="56">
        <v>602</v>
      </c>
      <c r="G606" s="138"/>
      <c r="H606" s="135">
        <v>1</v>
      </c>
      <c r="I606" s="57" t="str">
        <f t="shared" si="152"/>
        <v/>
      </c>
      <c r="J606" s="58" t="e">
        <f t="shared" si="141"/>
        <v>#VALUE!</v>
      </c>
      <c r="K606" s="50" t="e">
        <f t="shared" si="142"/>
        <v>#VALUE!</v>
      </c>
      <c r="L606" s="50" t="e">
        <f t="shared" si="143"/>
        <v>#VALUE!</v>
      </c>
      <c r="M606" s="50" t="e">
        <f t="shared" si="143"/>
        <v>#VALUE!</v>
      </c>
      <c r="N606" s="50" t="e">
        <f t="shared" si="144"/>
        <v>#VALUE!</v>
      </c>
      <c r="O606" s="50" t="e">
        <f t="shared" si="145"/>
        <v>#VALUE!</v>
      </c>
      <c r="P606" s="50">
        <f t="shared" si="146"/>
        <v>0</v>
      </c>
      <c r="R606" s="55" t="e">
        <f t="shared" si="147"/>
        <v>#VALUE!</v>
      </c>
      <c r="S606" s="55" t="e">
        <f t="shared" si="148"/>
        <v>#VALUE!</v>
      </c>
      <c r="T606" s="55" t="e">
        <f t="shared" si="153"/>
        <v>#VALUE!</v>
      </c>
      <c r="U606" s="50" t="e">
        <f t="shared" si="149"/>
        <v>#VALUE!</v>
      </c>
      <c r="V606" s="50" t="e">
        <f t="shared" si="150"/>
        <v>#VALUE!</v>
      </c>
      <c r="W606" s="50" t="e">
        <f t="shared" si="151"/>
        <v>#VALUE!</v>
      </c>
    </row>
    <row r="607" spans="2:23" x14ac:dyDescent="0.25">
      <c r="B607" s="50" t="b">
        <f t="shared" si="154"/>
        <v>0</v>
      </c>
      <c r="C607" s="50" t="e">
        <f t="shared" si="140"/>
        <v>#VALUE!</v>
      </c>
      <c r="E607" s="56">
        <v>603</v>
      </c>
      <c r="G607" s="138"/>
      <c r="H607" s="135">
        <v>1</v>
      </c>
      <c r="I607" s="57" t="str">
        <f t="shared" si="152"/>
        <v/>
      </c>
      <c r="J607" s="58" t="e">
        <f t="shared" si="141"/>
        <v>#VALUE!</v>
      </c>
      <c r="K607" s="50" t="e">
        <f t="shared" si="142"/>
        <v>#VALUE!</v>
      </c>
      <c r="L607" s="50" t="e">
        <f t="shared" si="143"/>
        <v>#VALUE!</v>
      </c>
      <c r="M607" s="50" t="e">
        <f t="shared" si="143"/>
        <v>#VALUE!</v>
      </c>
      <c r="N607" s="50" t="e">
        <f t="shared" si="144"/>
        <v>#VALUE!</v>
      </c>
      <c r="O607" s="50" t="e">
        <f t="shared" si="145"/>
        <v>#VALUE!</v>
      </c>
      <c r="P607" s="50">
        <f t="shared" si="146"/>
        <v>0</v>
      </c>
      <c r="R607" s="55" t="e">
        <f t="shared" si="147"/>
        <v>#VALUE!</v>
      </c>
      <c r="S607" s="55" t="e">
        <f t="shared" si="148"/>
        <v>#VALUE!</v>
      </c>
      <c r="T607" s="55" t="e">
        <f t="shared" si="153"/>
        <v>#VALUE!</v>
      </c>
      <c r="U607" s="50" t="e">
        <f t="shared" si="149"/>
        <v>#VALUE!</v>
      </c>
      <c r="V607" s="50" t="e">
        <f t="shared" si="150"/>
        <v>#VALUE!</v>
      </c>
      <c r="W607" s="50" t="e">
        <f t="shared" si="151"/>
        <v>#VALUE!</v>
      </c>
    </row>
    <row r="608" spans="2:23" x14ac:dyDescent="0.25">
      <c r="B608" s="50" t="b">
        <f t="shared" si="154"/>
        <v>0</v>
      </c>
      <c r="C608" s="50" t="e">
        <f t="shared" si="140"/>
        <v>#VALUE!</v>
      </c>
      <c r="E608" s="56">
        <v>604</v>
      </c>
      <c r="G608" s="138"/>
      <c r="H608" s="135">
        <v>1</v>
      </c>
      <c r="I608" s="57" t="str">
        <f t="shared" si="152"/>
        <v/>
      </c>
      <c r="J608" s="58" t="e">
        <f t="shared" si="141"/>
        <v>#VALUE!</v>
      </c>
      <c r="K608" s="50" t="e">
        <f t="shared" si="142"/>
        <v>#VALUE!</v>
      </c>
      <c r="L608" s="50" t="e">
        <f t="shared" ref="L608:M671" si="155">O608-N608</f>
        <v>#VALUE!</v>
      </c>
      <c r="M608" s="50" t="e">
        <f t="shared" si="155"/>
        <v>#VALUE!</v>
      </c>
      <c r="N608" s="50" t="e">
        <f t="shared" si="144"/>
        <v>#VALUE!</v>
      </c>
      <c r="O608" s="50" t="e">
        <f t="shared" si="145"/>
        <v>#VALUE!</v>
      </c>
      <c r="P608" s="50">
        <f t="shared" si="146"/>
        <v>0</v>
      </c>
      <c r="R608" s="55" t="e">
        <f t="shared" si="147"/>
        <v>#VALUE!</v>
      </c>
      <c r="S608" s="55" t="e">
        <f t="shared" si="148"/>
        <v>#VALUE!</v>
      </c>
      <c r="T608" s="55" t="e">
        <f t="shared" si="153"/>
        <v>#VALUE!</v>
      </c>
      <c r="U608" s="50" t="e">
        <f t="shared" si="149"/>
        <v>#VALUE!</v>
      </c>
      <c r="V608" s="50" t="e">
        <f t="shared" si="150"/>
        <v>#VALUE!</v>
      </c>
      <c r="W608" s="50" t="e">
        <f t="shared" si="151"/>
        <v>#VALUE!</v>
      </c>
    </row>
    <row r="609" spans="2:23" x14ac:dyDescent="0.25">
      <c r="B609" s="50" t="b">
        <f t="shared" si="154"/>
        <v>0</v>
      </c>
      <c r="C609" s="50" t="e">
        <f t="shared" si="140"/>
        <v>#VALUE!</v>
      </c>
      <c r="E609" s="56">
        <v>605</v>
      </c>
      <c r="G609" s="138"/>
      <c r="H609" s="135">
        <v>1</v>
      </c>
      <c r="I609" s="57" t="str">
        <f t="shared" si="152"/>
        <v/>
      </c>
      <c r="J609" s="58" t="e">
        <f t="shared" si="141"/>
        <v>#VALUE!</v>
      </c>
      <c r="K609" s="50" t="e">
        <f t="shared" si="142"/>
        <v>#VALUE!</v>
      </c>
      <c r="L609" s="50" t="e">
        <f t="shared" si="155"/>
        <v>#VALUE!</v>
      </c>
      <c r="M609" s="50" t="e">
        <f t="shared" si="155"/>
        <v>#VALUE!</v>
      </c>
      <c r="N609" s="50" t="e">
        <f t="shared" si="144"/>
        <v>#VALUE!</v>
      </c>
      <c r="O609" s="50" t="e">
        <f t="shared" si="145"/>
        <v>#VALUE!</v>
      </c>
      <c r="P609" s="50">
        <f t="shared" si="146"/>
        <v>0</v>
      </c>
      <c r="R609" s="55" t="e">
        <f t="shared" si="147"/>
        <v>#VALUE!</v>
      </c>
      <c r="S609" s="55" t="e">
        <f t="shared" si="148"/>
        <v>#VALUE!</v>
      </c>
      <c r="T609" s="55" t="e">
        <f t="shared" si="153"/>
        <v>#VALUE!</v>
      </c>
      <c r="U609" s="50" t="e">
        <f t="shared" si="149"/>
        <v>#VALUE!</v>
      </c>
      <c r="V609" s="50" t="e">
        <f t="shared" si="150"/>
        <v>#VALUE!</v>
      </c>
      <c r="W609" s="50" t="e">
        <f t="shared" si="151"/>
        <v>#VALUE!</v>
      </c>
    </row>
    <row r="610" spans="2:23" x14ac:dyDescent="0.25">
      <c r="B610" s="50" t="b">
        <f t="shared" si="154"/>
        <v>0</v>
      </c>
      <c r="C610" s="50" t="e">
        <f t="shared" si="140"/>
        <v>#VALUE!</v>
      </c>
      <c r="E610" s="56">
        <v>606</v>
      </c>
      <c r="G610" s="138"/>
      <c r="H610" s="135">
        <v>1</v>
      </c>
      <c r="I610" s="57" t="str">
        <f t="shared" si="152"/>
        <v/>
      </c>
      <c r="J610" s="58" t="e">
        <f t="shared" si="141"/>
        <v>#VALUE!</v>
      </c>
      <c r="K610" s="50" t="e">
        <f t="shared" si="142"/>
        <v>#VALUE!</v>
      </c>
      <c r="L610" s="50" t="e">
        <f t="shared" si="155"/>
        <v>#VALUE!</v>
      </c>
      <c r="M610" s="50" t="e">
        <f t="shared" si="155"/>
        <v>#VALUE!</v>
      </c>
      <c r="N610" s="50" t="e">
        <f t="shared" si="144"/>
        <v>#VALUE!</v>
      </c>
      <c r="O610" s="50" t="e">
        <f t="shared" si="145"/>
        <v>#VALUE!</v>
      </c>
      <c r="P610" s="50">
        <f t="shared" si="146"/>
        <v>0</v>
      </c>
      <c r="R610" s="55" t="e">
        <f t="shared" si="147"/>
        <v>#VALUE!</v>
      </c>
      <c r="S610" s="55" t="e">
        <f t="shared" si="148"/>
        <v>#VALUE!</v>
      </c>
      <c r="T610" s="55" t="e">
        <f t="shared" si="153"/>
        <v>#VALUE!</v>
      </c>
      <c r="U610" s="50" t="e">
        <f t="shared" si="149"/>
        <v>#VALUE!</v>
      </c>
      <c r="V610" s="50" t="e">
        <f t="shared" si="150"/>
        <v>#VALUE!</v>
      </c>
      <c r="W610" s="50" t="e">
        <f t="shared" si="151"/>
        <v>#VALUE!</v>
      </c>
    </row>
    <row r="611" spans="2:23" x14ac:dyDescent="0.25">
      <c r="B611" s="50" t="b">
        <f t="shared" si="154"/>
        <v>0</v>
      </c>
      <c r="C611" s="50" t="e">
        <f t="shared" si="140"/>
        <v>#VALUE!</v>
      </c>
      <c r="E611" s="56">
        <v>607</v>
      </c>
      <c r="G611" s="138"/>
      <c r="H611" s="135">
        <v>1</v>
      </c>
      <c r="I611" s="57" t="str">
        <f t="shared" si="152"/>
        <v/>
      </c>
      <c r="J611" s="58" t="e">
        <f t="shared" si="141"/>
        <v>#VALUE!</v>
      </c>
      <c r="K611" s="50" t="e">
        <f t="shared" si="142"/>
        <v>#VALUE!</v>
      </c>
      <c r="L611" s="50" t="e">
        <f t="shared" si="155"/>
        <v>#VALUE!</v>
      </c>
      <c r="M611" s="50" t="e">
        <f t="shared" si="155"/>
        <v>#VALUE!</v>
      </c>
      <c r="N611" s="50" t="e">
        <f t="shared" si="144"/>
        <v>#VALUE!</v>
      </c>
      <c r="O611" s="50" t="e">
        <f t="shared" si="145"/>
        <v>#VALUE!</v>
      </c>
      <c r="P611" s="50">
        <f t="shared" si="146"/>
        <v>0</v>
      </c>
      <c r="R611" s="55" t="e">
        <f t="shared" si="147"/>
        <v>#VALUE!</v>
      </c>
      <c r="S611" s="55" t="e">
        <f t="shared" si="148"/>
        <v>#VALUE!</v>
      </c>
      <c r="T611" s="55" t="e">
        <f t="shared" si="153"/>
        <v>#VALUE!</v>
      </c>
      <c r="U611" s="50" t="e">
        <f t="shared" si="149"/>
        <v>#VALUE!</v>
      </c>
      <c r="V611" s="50" t="e">
        <f t="shared" si="150"/>
        <v>#VALUE!</v>
      </c>
      <c r="W611" s="50" t="e">
        <f t="shared" si="151"/>
        <v>#VALUE!</v>
      </c>
    </row>
    <row r="612" spans="2:23" x14ac:dyDescent="0.25">
      <c r="B612" s="50" t="b">
        <f t="shared" si="154"/>
        <v>0</v>
      </c>
      <c r="C612" s="50" t="e">
        <f t="shared" si="140"/>
        <v>#VALUE!</v>
      </c>
      <c r="E612" s="56">
        <v>608</v>
      </c>
      <c r="G612" s="138"/>
      <c r="H612" s="135">
        <v>1</v>
      </c>
      <c r="I612" s="57" t="str">
        <f t="shared" si="152"/>
        <v/>
      </c>
      <c r="J612" s="58" t="e">
        <f t="shared" si="141"/>
        <v>#VALUE!</v>
      </c>
      <c r="K612" s="50" t="e">
        <f t="shared" si="142"/>
        <v>#VALUE!</v>
      </c>
      <c r="L612" s="50" t="e">
        <f t="shared" si="155"/>
        <v>#VALUE!</v>
      </c>
      <c r="M612" s="50" t="e">
        <f t="shared" si="155"/>
        <v>#VALUE!</v>
      </c>
      <c r="N612" s="50" t="e">
        <f t="shared" si="144"/>
        <v>#VALUE!</v>
      </c>
      <c r="O612" s="50" t="e">
        <f t="shared" si="145"/>
        <v>#VALUE!</v>
      </c>
      <c r="P612" s="50">
        <f t="shared" si="146"/>
        <v>0</v>
      </c>
      <c r="R612" s="55" t="e">
        <f t="shared" si="147"/>
        <v>#VALUE!</v>
      </c>
      <c r="S612" s="55" t="e">
        <f t="shared" si="148"/>
        <v>#VALUE!</v>
      </c>
      <c r="T612" s="55" t="e">
        <f t="shared" si="153"/>
        <v>#VALUE!</v>
      </c>
      <c r="U612" s="50" t="e">
        <f t="shared" si="149"/>
        <v>#VALUE!</v>
      </c>
      <c r="V612" s="50" t="e">
        <f t="shared" si="150"/>
        <v>#VALUE!</v>
      </c>
      <c r="W612" s="50" t="e">
        <f t="shared" si="151"/>
        <v>#VALUE!</v>
      </c>
    </row>
    <row r="613" spans="2:23" x14ac:dyDescent="0.25">
      <c r="B613" s="50" t="b">
        <f t="shared" si="154"/>
        <v>0</v>
      </c>
      <c r="C613" s="50" t="e">
        <f t="shared" si="140"/>
        <v>#VALUE!</v>
      </c>
      <c r="E613" s="56">
        <v>609</v>
      </c>
      <c r="G613" s="138"/>
      <c r="H613" s="135">
        <v>1</v>
      </c>
      <c r="I613" s="57" t="str">
        <f t="shared" si="152"/>
        <v/>
      </c>
      <c r="J613" s="58" t="e">
        <f t="shared" si="141"/>
        <v>#VALUE!</v>
      </c>
      <c r="K613" s="50" t="e">
        <f t="shared" si="142"/>
        <v>#VALUE!</v>
      </c>
      <c r="L613" s="50" t="e">
        <f t="shared" si="155"/>
        <v>#VALUE!</v>
      </c>
      <c r="M613" s="50" t="e">
        <f t="shared" si="155"/>
        <v>#VALUE!</v>
      </c>
      <c r="N613" s="50" t="e">
        <f t="shared" si="144"/>
        <v>#VALUE!</v>
      </c>
      <c r="O613" s="50" t="e">
        <f t="shared" si="145"/>
        <v>#VALUE!</v>
      </c>
      <c r="P613" s="50">
        <f t="shared" si="146"/>
        <v>0</v>
      </c>
      <c r="R613" s="55" t="e">
        <f t="shared" si="147"/>
        <v>#VALUE!</v>
      </c>
      <c r="S613" s="55" t="e">
        <f t="shared" si="148"/>
        <v>#VALUE!</v>
      </c>
      <c r="T613" s="55" t="e">
        <f t="shared" si="153"/>
        <v>#VALUE!</v>
      </c>
      <c r="U613" s="50" t="e">
        <f t="shared" si="149"/>
        <v>#VALUE!</v>
      </c>
      <c r="V613" s="50" t="e">
        <f t="shared" si="150"/>
        <v>#VALUE!</v>
      </c>
      <c r="W613" s="50" t="e">
        <f t="shared" si="151"/>
        <v>#VALUE!</v>
      </c>
    </row>
    <row r="614" spans="2:23" x14ac:dyDescent="0.25">
      <c r="B614" s="50" t="b">
        <f t="shared" si="154"/>
        <v>0</v>
      </c>
      <c r="C614" s="50" t="e">
        <f t="shared" si="140"/>
        <v>#VALUE!</v>
      </c>
      <c r="E614" s="56">
        <v>610</v>
      </c>
      <c r="G614" s="138"/>
      <c r="H614" s="135">
        <v>1</v>
      </c>
      <c r="I614" s="57" t="str">
        <f t="shared" si="152"/>
        <v/>
      </c>
      <c r="J614" s="58" t="e">
        <f t="shared" si="141"/>
        <v>#VALUE!</v>
      </c>
      <c r="K614" s="50" t="e">
        <f t="shared" si="142"/>
        <v>#VALUE!</v>
      </c>
      <c r="L614" s="50" t="e">
        <f t="shared" si="155"/>
        <v>#VALUE!</v>
      </c>
      <c r="M614" s="50" t="e">
        <f t="shared" si="155"/>
        <v>#VALUE!</v>
      </c>
      <c r="N614" s="50" t="e">
        <f t="shared" si="144"/>
        <v>#VALUE!</v>
      </c>
      <c r="O614" s="50" t="e">
        <f t="shared" si="145"/>
        <v>#VALUE!</v>
      </c>
      <c r="P614" s="50">
        <f t="shared" si="146"/>
        <v>0</v>
      </c>
      <c r="R614" s="55" t="e">
        <f t="shared" si="147"/>
        <v>#VALUE!</v>
      </c>
      <c r="S614" s="55" t="e">
        <f t="shared" si="148"/>
        <v>#VALUE!</v>
      </c>
      <c r="T614" s="55" t="e">
        <f t="shared" si="153"/>
        <v>#VALUE!</v>
      </c>
      <c r="U614" s="50" t="e">
        <f t="shared" si="149"/>
        <v>#VALUE!</v>
      </c>
      <c r="V614" s="50" t="e">
        <f t="shared" si="150"/>
        <v>#VALUE!</v>
      </c>
      <c r="W614" s="50" t="e">
        <f t="shared" si="151"/>
        <v>#VALUE!</v>
      </c>
    </row>
    <row r="615" spans="2:23" x14ac:dyDescent="0.25">
      <c r="B615" s="50" t="b">
        <f t="shared" si="154"/>
        <v>0</v>
      </c>
      <c r="C615" s="50" t="e">
        <f t="shared" si="140"/>
        <v>#VALUE!</v>
      </c>
      <c r="E615" s="56">
        <v>611</v>
      </c>
      <c r="G615" s="138"/>
      <c r="H615" s="135">
        <v>1</v>
      </c>
      <c r="I615" s="57" t="str">
        <f t="shared" si="152"/>
        <v/>
      </c>
      <c r="J615" s="58" t="e">
        <f t="shared" si="141"/>
        <v>#VALUE!</v>
      </c>
      <c r="K615" s="50" t="e">
        <f t="shared" si="142"/>
        <v>#VALUE!</v>
      </c>
      <c r="L615" s="50" t="e">
        <f t="shared" si="155"/>
        <v>#VALUE!</v>
      </c>
      <c r="M615" s="50" t="e">
        <f t="shared" si="155"/>
        <v>#VALUE!</v>
      </c>
      <c r="N615" s="50" t="e">
        <f t="shared" si="144"/>
        <v>#VALUE!</v>
      </c>
      <c r="O615" s="50" t="e">
        <f t="shared" si="145"/>
        <v>#VALUE!</v>
      </c>
      <c r="P615" s="50">
        <f t="shared" si="146"/>
        <v>0</v>
      </c>
      <c r="R615" s="55" t="e">
        <f t="shared" si="147"/>
        <v>#VALUE!</v>
      </c>
      <c r="S615" s="55" t="e">
        <f t="shared" si="148"/>
        <v>#VALUE!</v>
      </c>
      <c r="T615" s="55" t="e">
        <f t="shared" si="153"/>
        <v>#VALUE!</v>
      </c>
      <c r="U615" s="50" t="e">
        <f t="shared" si="149"/>
        <v>#VALUE!</v>
      </c>
      <c r="V615" s="50" t="e">
        <f t="shared" si="150"/>
        <v>#VALUE!</v>
      </c>
      <c r="W615" s="50" t="e">
        <f t="shared" si="151"/>
        <v>#VALUE!</v>
      </c>
    </row>
    <row r="616" spans="2:23" x14ac:dyDescent="0.25">
      <c r="B616" s="50" t="b">
        <f t="shared" si="154"/>
        <v>0</v>
      </c>
      <c r="C616" s="50" t="e">
        <f t="shared" si="140"/>
        <v>#VALUE!</v>
      </c>
      <c r="E616" s="56">
        <v>612</v>
      </c>
      <c r="G616" s="138"/>
      <c r="H616" s="135">
        <v>1</v>
      </c>
      <c r="I616" s="57" t="str">
        <f t="shared" si="152"/>
        <v/>
      </c>
      <c r="J616" s="58" t="e">
        <f t="shared" si="141"/>
        <v>#VALUE!</v>
      </c>
      <c r="K616" s="50" t="e">
        <f t="shared" si="142"/>
        <v>#VALUE!</v>
      </c>
      <c r="L616" s="50" t="e">
        <f t="shared" si="155"/>
        <v>#VALUE!</v>
      </c>
      <c r="M616" s="50" t="e">
        <f t="shared" si="155"/>
        <v>#VALUE!</v>
      </c>
      <c r="N616" s="50" t="e">
        <f t="shared" si="144"/>
        <v>#VALUE!</v>
      </c>
      <c r="O616" s="50" t="e">
        <f t="shared" si="145"/>
        <v>#VALUE!</v>
      </c>
      <c r="P616" s="50">
        <f t="shared" si="146"/>
        <v>0</v>
      </c>
      <c r="R616" s="55" t="e">
        <f t="shared" si="147"/>
        <v>#VALUE!</v>
      </c>
      <c r="S616" s="55" t="e">
        <f t="shared" si="148"/>
        <v>#VALUE!</v>
      </c>
      <c r="T616" s="55" t="e">
        <f t="shared" si="153"/>
        <v>#VALUE!</v>
      </c>
      <c r="U616" s="50" t="e">
        <f t="shared" si="149"/>
        <v>#VALUE!</v>
      </c>
      <c r="V616" s="50" t="e">
        <f t="shared" si="150"/>
        <v>#VALUE!</v>
      </c>
      <c r="W616" s="50" t="e">
        <f t="shared" si="151"/>
        <v>#VALUE!</v>
      </c>
    </row>
    <row r="617" spans="2:23" x14ac:dyDescent="0.25">
      <c r="B617" s="50" t="b">
        <f t="shared" si="154"/>
        <v>0</v>
      </c>
      <c r="C617" s="50" t="e">
        <f t="shared" si="140"/>
        <v>#VALUE!</v>
      </c>
      <c r="E617" s="56">
        <v>613</v>
      </c>
      <c r="G617" s="138"/>
      <c r="H617" s="135">
        <v>1</v>
      </c>
      <c r="I617" s="57" t="str">
        <f t="shared" si="152"/>
        <v/>
      </c>
      <c r="J617" s="58" t="e">
        <f t="shared" si="141"/>
        <v>#VALUE!</v>
      </c>
      <c r="K617" s="50" t="e">
        <f t="shared" si="142"/>
        <v>#VALUE!</v>
      </c>
      <c r="L617" s="50" t="e">
        <f t="shared" si="155"/>
        <v>#VALUE!</v>
      </c>
      <c r="M617" s="50" t="e">
        <f t="shared" si="155"/>
        <v>#VALUE!</v>
      </c>
      <c r="N617" s="50" t="e">
        <f t="shared" si="144"/>
        <v>#VALUE!</v>
      </c>
      <c r="O617" s="50" t="e">
        <f t="shared" si="145"/>
        <v>#VALUE!</v>
      </c>
      <c r="P617" s="50">
        <f t="shared" si="146"/>
        <v>0</v>
      </c>
      <c r="R617" s="55" t="e">
        <f t="shared" si="147"/>
        <v>#VALUE!</v>
      </c>
      <c r="S617" s="55" t="e">
        <f t="shared" si="148"/>
        <v>#VALUE!</v>
      </c>
      <c r="T617" s="55" t="e">
        <f t="shared" si="153"/>
        <v>#VALUE!</v>
      </c>
      <c r="U617" s="50" t="e">
        <f t="shared" si="149"/>
        <v>#VALUE!</v>
      </c>
      <c r="V617" s="50" t="e">
        <f t="shared" si="150"/>
        <v>#VALUE!</v>
      </c>
      <c r="W617" s="50" t="e">
        <f t="shared" si="151"/>
        <v>#VALUE!</v>
      </c>
    </row>
    <row r="618" spans="2:23" x14ac:dyDescent="0.25">
      <c r="B618" s="50" t="b">
        <f t="shared" si="154"/>
        <v>0</v>
      </c>
      <c r="C618" s="50" t="e">
        <f t="shared" si="140"/>
        <v>#VALUE!</v>
      </c>
      <c r="E618" s="56">
        <v>614</v>
      </c>
      <c r="G618" s="138"/>
      <c r="H618" s="135">
        <v>1</v>
      </c>
      <c r="I618" s="57" t="str">
        <f t="shared" si="152"/>
        <v/>
      </c>
      <c r="J618" s="58" t="e">
        <f t="shared" si="141"/>
        <v>#VALUE!</v>
      </c>
      <c r="K618" s="50" t="e">
        <f t="shared" si="142"/>
        <v>#VALUE!</v>
      </c>
      <c r="L618" s="50" t="e">
        <f t="shared" si="155"/>
        <v>#VALUE!</v>
      </c>
      <c r="M618" s="50" t="e">
        <f t="shared" si="155"/>
        <v>#VALUE!</v>
      </c>
      <c r="N618" s="50" t="e">
        <f t="shared" si="144"/>
        <v>#VALUE!</v>
      </c>
      <c r="O618" s="50" t="e">
        <f t="shared" si="145"/>
        <v>#VALUE!</v>
      </c>
      <c r="P618" s="50">
        <f t="shared" si="146"/>
        <v>0</v>
      </c>
      <c r="R618" s="55" t="e">
        <f t="shared" si="147"/>
        <v>#VALUE!</v>
      </c>
      <c r="S618" s="55" t="e">
        <f t="shared" si="148"/>
        <v>#VALUE!</v>
      </c>
      <c r="T618" s="55" t="e">
        <f t="shared" si="153"/>
        <v>#VALUE!</v>
      </c>
      <c r="U618" s="50" t="e">
        <f t="shared" si="149"/>
        <v>#VALUE!</v>
      </c>
      <c r="V618" s="50" t="e">
        <f t="shared" si="150"/>
        <v>#VALUE!</v>
      </c>
      <c r="W618" s="50" t="e">
        <f t="shared" si="151"/>
        <v>#VALUE!</v>
      </c>
    </row>
    <row r="619" spans="2:23" x14ac:dyDescent="0.25">
      <c r="B619" s="50" t="b">
        <f t="shared" si="154"/>
        <v>0</v>
      </c>
      <c r="C619" s="50" t="e">
        <f t="shared" si="140"/>
        <v>#VALUE!</v>
      </c>
      <c r="E619" s="56">
        <v>615</v>
      </c>
      <c r="G619" s="138"/>
      <c r="H619" s="135">
        <v>1</v>
      </c>
      <c r="I619" s="57" t="str">
        <f t="shared" si="152"/>
        <v/>
      </c>
      <c r="J619" s="58" t="e">
        <f t="shared" si="141"/>
        <v>#VALUE!</v>
      </c>
      <c r="K619" s="50" t="e">
        <f t="shared" si="142"/>
        <v>#VALUE!</v>
      </c>
      <c r="L619" s="50" t="e">
        <f t="shared" si="155"/>
        <v>#VALUE!</v>
      </c>
      <c r="M619" s="50" t="e">
        <f t="shared" si="155"/>
        <v>#VALUE!</v>
      </c>
      <c r="N619" s="50" t="e">
        <f t="shared" si="144"/>
        <v>#VALUE!</v>
      </c>
      <c r="O619" s="50" t="e">
        <f t="shared" si="145"/>
        <v>#VALUE!</v>
      </c>
      <c r="P619" s="50">
        <f t="shared" si="146"/>
        <v>0</v>
      </c>
      <c r="R619" s="55" t="e">
        <f t="shared" si="147"/>
        <v>#VALUE!</v>
      </c>
      <c r="S619" s="55" t="e">
        <f t="shared" si="148"/>
        <v>#VALUE!</v>
      </c>
      <c r="T619" s="55" t="e">
        <f t="shared" si="153"/>
        <v>#VALUE!</v>
      </c>
      <c r="U619" s="50" t="e">
        <f t="shared" si="149"/>
        <v>#VALUE!</v>
      </c>
      <c r="V619" s="50" t="e">
        <f t="shared" si="150"/>
        <v>#VALUE!</v>
      </c>
      <c r="W619" s="50" t="e">
        <f t="shared" si="151"/>
        <v>#VALUE!</v>
      </c>
    </row>
    <row r="620" spans="2:23" x14ac:dyDescent="0.25">
      <c r="B620" s="50" t="b">
        <f t="shared" si="154"/>
        <v>0</v>
      </c>
      <c r="C620" s="50" t="e">
        <f t="shared" si="140"/>
        <v>#VALUE!</v>
      </c>
      <c r="E620" s="56">
        <v>616</v>
      </c>
      <c r="G620" s="138"/>
      <c r="H620" s="135">
        <v>1</v>
      </c>
      <c r="I620" s="57" t="str">
        <f t="shared" si="152"/>
        <v/>
      </c>
      <c r="J620" s="58" t="e">
        <f t="shared" si="141"/>
        <v>#VALUE!</v>
      </c>
      <c r="K620" s="50" t="e">
        <f t="shared" si="142"/>
        <v>#VALUE!</v>
      </c>
      <c r="L620" s="50" t="e">
        <f t="shared" si="155"/>
        <v>#VALUE!</v>
      </c>
      <c r="M620" s="50" t="e">
        <f t="shared" si="155"/>
        <v>#VALUE!</v>
      </c>
      <c r="N620" s="50" t="e">
        <f t="shared" si="144"/>
        <v>#VALUE!</v>
      </c>
      <c r="O620" s="50" t="e">
        <f t="shared" si="145"/>
        <v>#VALUE!</v>
      </c>
      <c r="P620" s="50">
        <f t="shared" si="146"/>
        <v>0</v>
      </c>
      <c r="R620" s="55" t="e">
        <f t="shared" si="147"/>
        <v>#VALUE!</v>
      </c>
      <c r="S620" s="55" t="e">
        <f t="shared" si="148"/>
        <v>#VALUE!</v>
      </c>
      <c r="T620" s="55" t="e">
        <f t="shared" si="153"/>
        <v>#VALUE!</v>
      </c>
      <c r="U620" s="50" t="e">
        <f t="shared" si="149"/>
        <v>#VALUE!</v>
      </c>
      <c r="V620" s="50" t="e">
        <f t="shared" si="150"/>
        <v>#VALUE!</v>
      </c>
      <c r="W620" s="50" t="e">
        <f t="shared" si="151"/>
        <v>#VALUE!</v>
      </c>
    </row>
    <row r="621" spans="2:23" x14ac:dyDescent="0.25">
      <c r="B621" s="50" t="b">
        <f t="shared" si="154"/>
        <v>0</v>
      </c>
      <c r="C621" s="50" t="e">
        <f t="shared" si="140"/>
        <v>#VALUE!</v>
      </c>
      <c r="E621" s="56">
        <v>617</v>
      </c>
      <c r="G621" s="138"/>
      <c r="H621" s="135">
        <v>1</v>
      </c>
      <c r="I621" s="57" t="str">
        <f t="shared" si="152"/>
        <v/>
      </c>
      <c r="J621" s="58" t="e">
        <f t="shared" si="141"/>
        <v>#VALUE!</v>
      </c>
      <c r="K621" s="50" t="e">
        <f t="shared" si="142"/>
        <v>#VALUE!</v>
      </c>
      <c r="L621" s="50" t="e">
        <f t="shared" si="155"/>
        <v>#VALUE!</v>
      </c>
      <c r="M621" s="50" t="e">
        <f t="shared" si="155"/>
        <v>#VALUE!</v>
      </c>
      <c r="N621" s="50" t="e">
        <f t="shared" si="144"/>
        <v>#VALUE!</v>
      </c>
      <c r="O621" s="50" t="e">
        <f t="shared" si="145"/>
        <v>#VALUE!</v>
      </c>
      <c r="P621" s="50">
        <f t="shared" si="146"/>
        <v>0</v>
      </c>
      <c r="R621" s="55" t="e">
        <f t="shared" si="147"/>
        <v>#VALUE!</v>
      </c>
      <c r="S621" s="55" t="e">
        <f t="shared" si="148"/>
        <v>#VALUE!</v>
      </c>
      <c r="T621" s="55" t="e">
        <f t="shared" si="153"/>
        <v>#VALUE!</v>
      </c>
      <c r="U621" s="50" t="e">
        <f t="shared" si="149"/>
        <v>#VALUE!</v>
      </c>
      <c r="V621" s="50" t="e">
        <f t="shared" si="150"/>
        <v>#VALUE!</v>
      </c>
      <c r="W621" s="50" t="e">
        <f t="shared" si="151"/>
        <v>#VALUE!</v>
      </c>
    </row>
    <row r="622" spans="2:23" x14ac:dyDescent="0.25">
      <c r="B622" s="50" t="b">
        <f t="shared" si="154"/>
        <v>0</v>
      </c>
      <c r="C622" s="50" t="e">
        <f t="shared" si="140"/>
        <v>#VALUE!</v>
      </c>
      <c r="E622" s="56">
        <v>618</v>
      </c>
      <c r="G622" s="138"/>
      <c r="H622" s="135">
        <v>1</v>
      </c>
      <c r="I622" s="57" t="str">
        <f t="shared" si="152"/>
        <v/>
      </c>
      <c r="J622" s="58" t="e">
        <f t="shared" si="141"/>
        <v>#VALUE!</v>
      </c>
      <c r="K622" s="50" t="e">
        <f t="shared" si="142"/>
        <v>#VALUE!</v>
      </c>
      <c r="L622" s="50" t="e">
        <f t="shared" si="155"/>
        <v>#VALUE!</v>
      </c>
      <c r="M622" s="50" t="e">
        <f t="shared" si="155"/>
        <v>#VALUE!</v>
      </c>
      <c r="N622" s="50" t="e">
        <f t="shared" si="144"/>
        <v>#VALUE!</v>
      </c>
      <c r="O622" s="50" t="e">
        <f t="shared" si="145"/>
        <v>#VALUE!</v>
      </c>
      <c r="P622" s="50">
        <f t="shared" si="146"/>
        <v>0</v>
      </c>
      <c r="R622" s="55" t="e">
        <f t="shared" si="147"/>
        <v>#VALUE!</v>
      </c>
      <c r="S622" s="55" t="e">
        <f t="shared" si="148"/>
        <v>#VALUE!</v>
      </c>
      <c r="T622" s="55" t="e">
        <f t="shared" si="153"/>
        <v>#VALUE!</v>
      </c>
      <c r="U622" s="50" t="e">
        <f t="shared" si="149"/>
        <v>#VALUE!</v>
      </c>
      <c r="V622" s="50" t="e">
        <f t="shared" si="150"/>
        <v>#VALUE!</v>
      </c>
      <c r="W622" s="50" t="e">
        <f t="shared" si="151"/>
        <v>#VALUE!</v>
      </c>
    </row>
    <row r="623" spans="2:23" x14ac:dyDescent="0.25">
      <c r="B623" s="50" t="b">
        <f t="shared" si="154"/>
        <v>0</v>
      </c>
      <c r="C623" s="50" t="e">
        <f t="shared" si="140"/>
        <v>#VALUE!</v>
      </c>
      <c r="E623" s="56">
        <v>619</v>
      </c>
      <c r="G623" s="138"/>
      <c r="H623" s="135">
        <v>1</v>
      </c>
      <c r="I623" s="57" t="str">
        <f t="shared" si="152"/>
        <v/>
      </c>
      <c r="J623" s="58" t="e">
        <f t="shared" si="141"/>
        <v>#VALUE!</v>
      </c>
      <c r="K623" s="50" t="e">
        <f t="shared" si="142"/>
        <v>#VALUE!</v>
      </c>
      <c r="L623" s="50" t="e">
        <f t="shared" si="155"/>
        <v>#VALUE!</v>
      </c>
      <c r="M623" s="50" t="e">
        <f t="shared" si="155"/>
        <v>#VALUE!</v>
      </c>
      <c r="N623" s="50" t="e">
        <f t="shared" si="144"/>
        <v>#VALUE!</v>
      </c>
      <c r="O623" s="50" t="e">
        <f t="shared" si="145"/>
        <v>#VALUE!</v>
      </c>
      <c r="P623" s="50">
        <f t="shared" si="146"/>
        <v>0</v>
      </c>
      <c r="R623" s="55" t="e">
        <f t="shared" si="147"/>
        <v>#VALUE!</v>
      </c>
      <c r="S623" s="55" t="e">
        <f t="shared" si="148"/>
        <v>#VALUE!</v>
      </c>
      <c r="T623" s="55" t="e">
        <f t="shared" si="153"/>
        <v>#VALUE!</v>
      </c>
      <c r="U623" s="50" t="e">
        <f t="shared" si="149"/>
        <v>#VALUE!</v>
      </c>
      <c r="V623" s="50" t="e">
        <f t="shared" si="150"/>
        <v>#VALUE!</v>
      </c>
      <c r="W623" s="50" t="e">
        <f t="shared" si="151"/>
        <v>#VALUE!</v>
      </c>
    </row>
    <row r="624" spans="2:23" x14ac:dyDescent="0.25">
      <c r="B624" s="50" t="b">
        <f t="shared" si="154"/>
        <v>0</v>
      </c>
      <c r="C624" s="50" t="e">
        <f t="shared" si="140"/>
        <v>#VALUE!</v>
      </c>
      <c r="E624" s="56">
        <v>620</v>
      </c>
      <c r="G624" s="138"/>
      <c r="H624" s="135">
        <v>1</v>
      </c>
      <c r="I624" s="57" t="str">
        <f t="shared" si="152"/>
        <v/>
      </c>
      <c r="J624" s="58" t="e">
        <f t="shared" si="141"/>
        <v>#VALUE!</v>
      </c>
      <c r="K624" s="50" t="e">
        <f t="shared" si="142"/>
        <v>#VALUE!</v>
      </c>
      <c r="L624" s="50" t="e">
        <f t="shared" si="155"/>
        <v>#VALUE!</v>
      </c>
      <c r="M624" s="50" t="e">
        <f t="shared" si="155"/>
        <v>#VALUE!</v>
      </c>
      <c r="N624" s="50" t="e">
        <f t="shared" si="144"/>
        <v>#VALUE!</v>
      </c>
      <c r="O624" s="50" t="e">
        <f t="shared" si="145"/>
        <v>#VALUE!</v>
      </c>
      <c r="P624" s="50">
        <f t="shared" si="146"/>
        <v>0</v>
      </c>
      <c r="R624" s="55" t="e">
        <f t="shared" si="147"/>
        <v>#VALUE!</v>
      </c>
      <c r="S624" s="55" t="e">
        <f t="shared" si="148"/>
        <v>#VALUE!</v>
      </c>
      <c r="T624" s="55" t="e">
        <f t="shared" si="153"/>
        <v>#VALUE!</v>
      </c>
      <c r="U624" s="50" t="e">
        <f t="shared" si="149"/>
        <v>#VALUE!</v>
      </c>
      <c r="V624" s="50" t="e">
        <f t="shared" si="150"/>
        <v>#VALUE!</v>
      </c>
      <c r="W624" s="50" t="e">
        <f t="shared" si="151"/>
        <v>#VALUE!</v>
      </c>
    </row>
    <row r="625" spans="2:23" x14ac:dyDescent="0.25">
      <c r="B625" s="50" t="b">
        <f t="shared" si="154"/>
        <v>0</v>
      </c>
      <c r="C625" s="50" t="e">
        <f t="shared" si="140"/>
        <v>#VALUE!</v>
      </c>
      <c r="E625" s="56">
        <v>621</v>
      </c>
      <c r="G625" s="138"/>
      <c r="H625" s="135">
        <v>1</v>
      </c>
      <c r="I625" s="57" t="str">
        <f t="shared" si="152"/>
        <v/>
      </c>
      <c r="J625" s="58" t="e">
        <f t="shared" si="141"/>
        <v>#VALUE!</v>
      </c>
      <c r="K625" s="50" t="e">
        <f t="shared" si="142"/>
        <v>#VALUE!</v>
      </c>
      <c r="L625" s="50" t="e">
        <f t="shared" si="155"/>
        <v>#VALUE!</v>
      </c>
      <c r="M625" s="50" t="e">
        <f t="shared" si="155"/>
        <v>#VALUE!</v>
      </c>
      <c r="N625" s="50" t="e">
        <f t="shared" si="144"/>
        <v>#VALUE!</v>
      </c>
      <c r="O625" s="50" t="e">
        <f t="shared" si="145"/>
        <v>#VALUE!</v>
      </c>
      <c r="P625" s="50">
        <f t="shared" si="146"/>
        <v>0</v>
      </c>
      <c r="R625" s="55" t="e">
        <f t="shared" si="147"/>
        <v>#VALUE!</v>
      </c>
      <c r="S625" s="55" t="e">
        <f t="shared" si="148"/>
        <v>#VALUE!</v>
      </c>
      <c r="T625" s="55" t="e">
        <f t="shared" si="153"/>
        <v>#VALUE!</v>
      </c>
      <c r="U625" s="50" t="e">
        <f t="shared" si="149"/>
        <v>#VALUE!</v>
      </c>
      <c r="V625" s="50" t="e">
        <f t="shared" si="150"/>
        <v>#VALUE!</v>
      </c>
      <c r="W625" s="50" t="e">
        <f t="shared" si="151"/>
        <v>#VALUE!</v>
      </c>
    </row>
    <row r="626" spans="2:23" x14ac:dyDescent="0.25">
      <c r="B626" s="50" t="b">
        <f t="shared" si="154"/>
        <v>0</v>
      </c>
      <c r="C626" s="50" t="e">
        <f t="shared" si="140"/>
        <v>#VALUE!</v>
      </c>
      <c r="E626" s="56">
        <v>622</v>
      </c>
      <c r="G626" s="138"/>
      <c r="H626" s="135">
        <v>1</v>
      </c>
      <c r="I626" s="57" t="str">
        <f t="shared" si="152"/>
        <v/>
      </c>
      <c r="J626" s="58" t="e">
        <f t="shared" si="141"/>
        <v>#VALUE!</v>
      </c>
      <c r="K626" s="50" t="e">
        <f t="shared" si="142"/>
        <v>#VALUE!</v>
      </c>
      <c r="L626" s="50" t="e">
        <f t="shared" si="155"/>
        <v>#VALUE!</v>
      </c>
      <c r="M626" s="50" t="e">
        <f t="shared" si="155"/>
        <v>#VALUE!</v>
      </c>
      <c r="N626" s="50" t="e">
        <f t="shared" si="144"/>
        <v>#VALUE!</v>
      </c>
      <c r="O626" s="50" t="e">
        <f t="shared" si="145"/>
        <v>#VALUE!</v>
      </c>
      <c r="P626" s="50">
        <f t="shared" si="146"/>
        <v>0</v>
      </c>
      <c r="R626" s="55" t="e">
        <f t="shared" si="147"/>
        <v>#VALUE!</v>
      </c>
      <c r="S626" s="55" t="e">
        <f t="shared" si="148"/>
        <v>#VALUE!</v>
      </c>
      <c r="T626" s="55" t="e">
        <f t="shared" si="153"/>
        <v>#VALUE!</v>
      </c>
      <c r="U626" s="50" t="e">
        <f t="shared" si="149"/>
        <v>#VALUE!</v>
      </c>
      <c r="V626" s="50" t="e">
        <f t="shared" si="150"/>
        <v>#VALUE!</v>
      </c>
      <c r="W626" s="50" t="e">
        <f t="shared" si="151"/>
        <v>#VALUE!</v>
      </c>
    </row>
    <row r="627" spans="2:23" x14ac:dyDescent="0.25">
      <c r="B627" s="50" t="b">
        <f t="shared" si="154"/>
        <v>0</v>
      </c>
      <c r="C627" s="50" t="e">
        <f t="shared" si="140"/>
        <v>#VALUE!</v>
      </c>
      <c r="E627" s="56">
        <v>623</v>
      </c>
      <c r="G627" s="138"/>
      <c r="H627" s="135">
        <v>1</v>
      </c>
      <c r="I627" s="57" t="str">
        <f t="shared" si="152"/>
        <v/>
      </c>
      <c r="J627" s="58" t="e">
        <f t="shared" si="141"/>
        <v>#VALUE!</v>
      </c>
      <c r="K627" s="50" t="e">
        <f t="shared" si="142"/>
        <v>#VALUE!</v>
      </c>
      <c r="L627" s="50" t="e">
        <f t="shared" si="155"/>
        <v>#VALUE!</v>
      </c>
      <c r="M627" s="50" t="e">
        <f t="shared" si="155"/>
        <v>#VALUE!</v>
      </c>
      <c r="N627" s="50" t="e">
        <f t="shared" si="144"/>
        <v>#VALUE!</v>
      </c>
      <c r="O627" s="50" t="e">
        <f t="shared" si="145"/>
        <v>#VALUE!</v>
      </c>
      <c r="P627" s="50">
        <f t="shared" si="146"/>
        <v>0</v>
      </c>
      <c r="R627" s="55" t="e">
        <f t="shared" si="147"/>
        <v>#VALUE!</v>
      </c>
      <c r="S627" s="55" t="e">
        <f t="shared" si="148"/>
        <v>#VALUE!</v>
      </c>
      <c r="T627" s="55" t="e">
        <f t="shared" si="153"/>
        <v>#VALUE!</v>
      </c>
      <c r="U627" s="50" t="e">
        <f t="shared" si="149"/>
        <v>#VALUE!</v>
      </c>
      <c r="V627" s="50" t="e">
        <f t="shared" si="150"/>
        <v>#VALUE!</v>
      </c>
      <c r="W627" s="50" t="e">
        <f t="shared" si="151"/>
        <v>#VALUE!</v>
      </c>
    </row>
    <row r="628" spans="2:23" x14ac:dyDescent="0.25">
      <c r="B628" s="50" t="b">
        <f t="shared" si="154"/>
        <v>0</v>
      </c>
      <c r="C628" s="50" t="e">
        <f t="shared" si="140"/>
        <v>#VALUE!</v>
      </c>
      <c r="E628" s="56">
        <v>624</v>
      </c>
      <c r="G628" s="138"/>
      <c r="H628" s="135">
        <v>1</v>
      </c>
      <c r="I628" s="57" t="str">
        <f t="shared" si="152"/>
        <v/>
      </c>
      <c r="J628" s="58" t="e">
        <f t="shared" si="141"/>
        <v>#VALUE!</v>
      </c>
      <c r="K628" s="50" t="e">
        <f t="shared" si="142"/>
        <v>#VALUE!</v>
      </c>
      <c r="L628" s="50" t="e">
        <f t="shared" si="155"/>
        <v>#VALUE!</v>
      </c>
      <c r="M628" s="50" t="e">
        <f t="shared" si="155"/>
        <v>#VALUE!</v>
      </c>
      <c r="N628" s="50" t="e">
        <f t="shared" si="144"/>
        <v>#VALUE!</v>
      </c>
      <c r="O628" s="50" t="e">
        <f t="shared" si="145"/>
        <v>#VALUE!</v>
      </c>
      <c r="P628" s="50">
        <f t="shared" si="146"/>
        <v>0</v>
      </c>
      <c r="R628" s="55" t="e">
        <f t="shared" si="147"/>
        <v>#VALUE!</v>
      </c>
      <c r="S628" s="55" t="e">
        <f t="shared" si="148"/>
        <v>#VALUE!</v>
      </c>
      <c r="T628" s="55" t="e">
        <f t="shared" si="153"/>
        <v>#VALUE!</v>
      </c>
      <c r="U628" s="50" t="e">
        <f t="shared" si="149"/>
        <v>#VALUE!</v>
      </c>
      <c r="V628" s="50" t="e">
        <f t="shared" si="150"/>
        <v>#VALUE!</v>
      </c>
      <c r="W628" s="50" t="e">
        <f t="shared" si="151"/>
        <v>#VALUE!</v>
      </c>
    </row>
    <row r="629" spans="2:23" x14ac:dyDescent="0.25">
      <c r="B629" s="50" t="b">
        <f t="shared" si="154"/>
        <v>0</v>
      </c>
      <c r="C629" s="50" t="e">
        <f t="shared" si="140"/>
        <v>#VALUE!</v>
      </c>
      <c r="E629" s="56">
        <v>625</v>
      </c>
      <c r="G629" s="138"/>
      <c r="H629" s="135">
        <v>1</v>
      </c>
      <c r="I629" s="57" t="str">
        <f t="shared" si="152"/>
        <v/>
      </c>
      <c r="J629" s="58" t="e">
        <f t="shared" si="141"/>
        <v>#VALUE!</v>
      </c>
      <c r="K629" s="50" t="e">
        <f t="shared" si="142"/>
        <v>#VALUE!</v>
      </c>
      <c r="L629" s="50" t="e">
        <f t="shared" si="155"/>
        <v>#VALUE!</v>
      </c>
      <c r="M629" s="50" t="e">
        <f t="shared" si="155"/>
        <v>#VALUE!</v>
      </c>
      <c r="N629" s="50" t="e">
        <f t="shared" si="144"/>
        <v>#VALUE!</v>
      </c>
      <c r="O629" s="50" t="e">
        <f t="shared" si="145"/>
        <v>#VALUE!</v>
      </c>
      <c r="P629" s="50">
        <f t="shared" si="146"/>
        <v>0</v>
      </c>
      <c r="R629" s="55" t="e">
        <f t="shared" si="147"/>
        <v>#VALUE!</v>
      </c>
      <c r="S629" s="55" t="e">
        <f t="shared" si="148"/>
        <v>#VALUE!</v>
      </c>
      <c r="T629" s="55" t="e">
        <f t="shared" si="153"/>
        <v>#VALUE!</v>
      </c>
      <c r="U629" s="50" t="e">
        <f t="shared" si="149"/>
        <v>#VALUE!</v>
      </c>
      <c r="V629" s="50" t="e">
        <f t="shared" si="150"/>
        <v>#VALUE!</v>
      </c>
      <c r="W629" s="50" t="e">
        <f t="shared" si="151"/>
        <v>#VALUE!</v>
      </c>
    </row>
    <row r="630" spans="2:23" x14ac:dyDescent="0.25">
      <c r="B630" s="50" t="b">
        <f t="shared" si="154"/>
        <v>0</v>
      </c>
      <c r="C630" s="50" t="e">
        <f t="shared" ref="C630:C693" si="156">SUM(U630:W630)</f>
        <v>#VALUE!</v>
      </c>
      <c r="E630" s="56">
        <v>626</v>
      </c>
      <c r="G630" s="138"/>
      <c r="H630" s="135">
        <v>1</v>
      </c>
      <c r="I630" s="57" t="str">
        <f t="shared" si="152"/>
        <v/>
      </c>
      <c r="J630" s="58" t="e">
        <f t="shared" si="141"/>
        <v>#VALUE!</v>
      </c>
      <c r="K630" s="50" t="e">
        <f t="shared" si="142"/>
        <v>#VALUE!</v>
      </c>
      <c r="L630" s="50" t="e">
        <f t="shared" si="155"/>
        <v>#VALUE!</v>
      </c>
      <c r="M630" s="50" t="e">
        <f t="shared" si="155"/>
        <v>#VALUE!</v>
      </c>
      <c r="N630" s="50" t="e">
        <f t="shared" si="144"/>
        <v>#VALUE!</v>
      </c>
      <c r="O630" s="50" t="e">
        <f t="shared" si="145"/>
        <v>#VALUE!</v>
      </c>
      <c r="P630" s="50">
        <f t="shared" si="146"/>
        <v>0</v>
      </c>
      <c r="R630" s="55" t="e">
        <f t="shared" si="147"/>
        <v>#VALUE!</v>
      </c>
      <c r="S630" s="55" t="e">
        <f t="shared" si="148"/>
        <v>#VALUE!</v>
      </c>
      <c r="T630" s="55" t="e">
        <f t="shared" si="153"/>
        <v>#VALUE!</v>
      </c>
      <c r="U630" s="50" t="e">
        <f t="shared" si="149"/>
        <v>#VALUE!</v>
      </c>
      <c r="V630" s="50" t="e">
        <f t="shared" si="150"/>
        <v>#VALUE!</v>
      </c>
      <c r="W630" s="50" t="e">
        <f t="shared" si="151"/>
        <v>#VALUE!</v>
      </c>
    </row>
    <row r="631" spans="2:23" x14ac:dyDescent="0.25">
      <c r="B631" s="50" t="b">
        <f t="shared" si="154"/>
        <v>0</v>
      </c>
      <c r="C631" s="50" t="e">
        <f t="shared" si="156"/>
        <v>#VALUE!</v>
      </c>
      <c r="E631" s="56">
        <v>627</v>
      </c>
      <c r="G631" s="138"/>
      <c r="H631" s="135">
        <v>1</v>
      </c>
      <c r="I631" s="57" t="str">
        <f t="shared" si="152"/>
        <v/>
      </c>
      <c r="J631" s="58" t="e">
        <f t="shared" si="141"/>
        <v>#VALUE!</v>
      </c>
      <c r="K631" s="50" t="e">
        <f t="shared" si="142"/>
        <v>#VALUE!</v>
      </c>
      <c r="L631" s="50" t="e">
        <f t="shared" si="155"/>
        <v>#VALUE!</v>
      </c>
      <c r="M631" s="50" t="e">
        <f t="shared" si="155"/>
        <v>#VALUE!</v>
      </c>
      <c r="N631" s="50" t="e">
        <f t="shared" si="144"/>
        <v>#VALUE!</v>
      </c>
      <c r="O631" s="50" t="e">
        <f t="shared" si="145"/>
        <v>#VALUE!</v>
      </c>
      <c r="P631" s="50">
        <f t="shared" si="146"/>
        <v>0</v>
      </c>
      <c r="R631" s="55" t="e">
        <f t="shared" si="147"/>
        <v>#VALUE!</v>
      </c>
      <c r="S631" s="55" t="e">
        <f t="shared" si="148"/>
        <v>#VALUE!</v>
      </c>
      <c r="T631" s="55" t="e">
        <f t="shared" si="153"/>
        <v>#VALUE!</v>
      </c>
      <c r="U631" s="50" t="e">
        <f t="shared" si="149"/>
        <v>#VALUE!</v>
      </c>
      <c r="V631" s="50" t="e">
        <f t="shared" si="150"/>
        <v>#VALUE!</v>
      </c>
      <c r="W631" s="50" t="e">
        <f t="shared" si="151"/>
        <v>#VALUE!</v>
      </c>
    </row>
    <row r="632" spans="2:23" x14ac:dyDescent="0.25">
      <c r="B632" s="50" t="b">
        <f t="shared" si="154"/>
        <v>0</v>
      </c>
      <c r="C632" s="50" t="e">
        <f t="shared" si="156"/>
        <v>#VALUE!</v>
      </c>
      <c r="E632" s="56">
        <v>628</v>
      </c>
      <c r="G632" s="138"/>
      <c r="H632" s="135">
        <v>1</v>
      </c>
      <c r="I632" s="57" t="str">
        <f t="shared" si="152"/>
        <v/>
      </c>
      <c r="J632" s="58" t="e">
        <f t="shared" si="141"/>
        <v>#VALUE!</v>
      </c>
      <c r="K632" s="50" t="e">
        <f t="shared" si="142"/>
        <v>#VALUE!</v>
      </c>
      <c r="L632" s="50" t="e">
        <f t="shared" si="155"/>
        <v>#VALUE!</v>
      </c>
      <c r="M632" s="50" t="e">
        <f t="shared" si="155"/>
        <v>#VALUE!</v>
      </c>
      <c r="N632" s="50" t="e">
        <f t="shared" si="144"/>
        <v>#VALUE!</v>
      </c>
      <c r="O632" s="50" t="e">
        <f t="shared" si="145"/>
        <v>#VALUE!</v>
      </c>
      <c r="P632" s="50">
        <f t="shared" si="146"/>
        <v>0</v>
      </c>
      <c r="R632" s="55" t="e">
        <f t="shared" si="147"/>
        <v>#VALUE!</v>
      </c>
      <c r="S632" s="55" t="e">
        <f t="shared" si="148"/>
        <v>#VALUE!</v>
      </c>
      <c r="T632" s="55" t="e">
        <f t="shared" si="153"/>
        <v>#VALUE!</v>
      </c>
      <c r="U632" s="50" t="e">
        <f t="shared" si="149"/>
        <v>#VALUE!</v>
      </c>
      <c r="V632" s="50" t="e">
        <f t="shared" si="150"/>
        <v>#VALUE!</v>
      </c>
      <c r="W632" s="50" t="e">
        <f t="shared" si="151"/>
        <v>#VALUE!</v>
      </c>
    </row>
    <row r="633" spans="2:23" x14ac:dyDescent="0.25">
      <c r="B633" s="50" t="b">
        <f t="shared" si="154"/>
        <v>0</v>
      </c>
      <c r="C633" s="50" t="e">
        <f t="shared" si="156"/>
        <v>#VALUE!</v>
      </c>
      <c r="E633" s="56">
        <v>629</v>
      </c>
      <c r="G633" s="138"/>
      <c r="H633" s="135">
        <v>1</v>
      </c>
      <c r="I633" s="57" t="str">
        <f t="shared" si="152"/>
        <v/>
      </c>
      <c r="J633" s="58" t="e">
        <f t="shared" si="141"/>
        <v>#VALUE!</v>
      </c>
      <c r="K633" s="50" t="e">
        <f t="shared" si="142"/>
        <v>#VALUE!</v>
      </c>
      <c r="L633" s="50" t="e">
        <f t="shared" si="155"/>
        <v>#VALUE!</v>
      </c>
      <c r="M633" s="50" t="e">
        <f t="shared" si="155"/>
        <v>#VALUE!</v>
      </c>
      <c r="N633" s="50" t="e">
        <f t="shared" si="144"/>
        <v>#VALUE!</v>
      </c>
      <c r="O633" s="50" t="e">
        <f t="shared" si="145"/>
        <v>#VALUE!</v>
      </c>
      <c r="P633" s="50">
        <f t="shared" si="146"/>
        <v>0</v>
      </c>
      <c r="R633" s="55" t="e">
        <f t="shared" si="147"/>
        <v>#VALUE!</v>
      </c>
      <c r="S633" s="55" t="e">
        <f t="shared" si="148"/>
        <v>#VALUE!</v>
      </c>
      <c r="T633" s="55" t="e">
        <f t="shared" si="153"/>
        <v>#VALUE!</v>
      </c>
      <c r="U633" s="50" t="e">
        <f t="shared" si="149"/>
        <v>#VALUE!</v>
      </c>
      <c r="V633" s="50" t="e">
        <f t="shared" si="150"/>
        <v>#VALUE!</v>
      </c>
      <c r="W633" s="50" t="e">
        <f t="shared" si="151"/>
        <v>#VALUE!</v>
      </c>
    </row>
    <row r="634" spans="2:23" x14ac:dyDescent="0.25">
      <c r="B634" s="50" t="b">
        <f t="shared" si="154"/>
        <v>0</v>
      </c>
      <c r="C634" s="50" t="e">
        <f t="shared" si="156"/>
        <v>#VALUE!</v>
      </c>
      <c r="E634" s="56">
        <v>630</v>
      </c>
      <c r="G634" s="138"/>
      <c r="H634" s="135">
        <v>1</v>
      </c>
      <c r="I634" s="57" t="str">
        <f t="shared" si="152"/>
        <v/>
      </c>
      <c r="J634" s="58" t="e">
        <f t="shared" si="141"/>
        <v>#VALUE!</v>
      </c>
      <c r="K634" s="50" t="e">
        <f t="shared" si="142"/>
        <v>#VALUE!</v>
      </c>
      <c r="L634" s="50" t="e">
        <f t="shared" si="155"/>
        <v>#VALUE!</v>
      </c>
      <c r="M634" s="50" t="e">
        <f t="shared" si="155"/>
        <v>#VALUE!</v>
      </c>
      <c r="N634" s="50" t="e">
        <f t="shared" si="144"/>
        <v>#VALUE!</v>
      </c>
      <c r="O634" s="50" t="e">
        <f t="shared" si="145"/>
        <v>#VALUE!</v>
      </c>
      <c r="P634" s="50">
        <f t="shared" si="146"/>
        <v>0</v>
      </c>
      <c r="R634" s="55" t="e">
        <f t="shared" si="147"/>
        <v>#VALUE!</v>
      </c>
      <c r="S634" s="55" t="e">
        <f t="shared" si="148"/>
        <v>#VALUE!</v>
      </c>
      <c r="T634" s="55" t="e">
        <f t="shared" si="153"/>
        <v>#VALUE!</v>
      </c>
      <c r="U634" s="50" t="e">
        <f t="shared" si="149"/>
        <v>#VALUE!</v>
      </c>
      <c r="V634" s="50" t="e">
        <f t="shared" si="150"/>
        <v>#VALUE!</v>
      </c>
      <c r="W634" s="50" t="e">
        <f t="shared" si="151"/>
        <v>#VALUE!</v>
      </c>
    </row>
    <row r="635" spans="2:23" x14ac:dyDescent="0.25">
      <c r="B635" s="50" t="b">
        <f t="shared" si="154"/>
        <v>0</v>
      </c>
      <c r="C635" s="50" t="e">
        <f t="shared" si="156"/>
        <v>#VALUE!</v>
      </c>
      <c r="E635" s="56">
        <v>631</v>
      </c>
      <c r="G635" s="138"/>
      <c r="H635" s="135">
        <v>1</v>
      </c>
      <c r="I635" s="57" t="str">
        <f t="shared" si="152"/>
        <v/>
      </c>
      <c r="J635" s="58" t="e">
        <f t="shared" si="141"/>
        <v>#VALUE!</v>
      </c>
      <c r="K635" s="50" t="e">
        <f t="shared" si="142"/>
        <v>#VALUE!</v>
      </c>
      <c r="L635" s="50" t="e">
        <f t="shared" si="155"/>
        <v>#VALUE!</v>
      </c>
      <c r="M635" s="50" t="e">
        <f t="shared" si="155"/>
        <v>#VALUE!</v>
      </c>
      <c r="N635" s="50" t="e">
        <f t="shared" si="144"/>
        <v>#VALUE!</v>
      </c>
      <c r="O635" s="50" t="e">
        <f t="shared" si="145"/>
        <v>#VALUE!</v>
      </c>
      <c r="P635" s="50">
        <f t="shared" si="146"/>
        <v>0</v>
      </c>
      <c r="R635" s="55" t="e">
        <f t="shared" si="147"/>
        <v>#VALUE!</v>
      </c>
      <c r="S635" s="55" t="e">
        <f t="shared" si="148"/>
        <v>#VALUE!</v>
      </c>
      <c r="T635" s="55" t="e">
        <f t="shared" si="153"/>
        <v>#VALUE!</v>
      </c>
      <c r="U635" s="50" t="e">
        <f t="shared" si="149"/>
        <v>#VALUE!</v>
      </c>
      <c r="V635" s="50" t="e">
        <f t="shared" si="150"/>
        <v>#VALUE!</v>
      </c>
      <c r="W635" s="50" t="e">
        <f t="shared" si="151"/>
        <v>#VALUE!</v>
      </c>
    </row>
    <row r="636" spans="2:23" x14ac:dyDescent="0.25">
      <c r="B636" s="50" t="b">
        <f t="shared" si="154"/>
        <v>0</v>
      </c>
      <c r="C636" s="50" t="e">
        <f t="shared" si="156"/>
        <v>#VALUE!</v>
      </c>
      <c r="E636" s="56">
        <v>632</v>
      </c>
      <c r="G636" s="138"/>
      <c r="H636" s="135">
        <v>1</v>
      </c>
      <c r="I636" s="57" t="str">
        <f t="shared" si="152"/>
        <v/>
      </c>
      <c r="J636" s="58" t="e">
        <f t="shared" si="141"/>
        <v>#VALUE!</v>
      </c>
      <c r="K636" s="50" t="e">
        <f t="shared" si="142"/>
        <v>#VALUE!</v>
      </c>
      <c r="L636" s="50" t="e">
        <f t="shared" si="155"/>
        <v>#VALUE!</v>
      </c>
      <c r="M636" s="50" t="e">
        <f t="shared" si="155"/>
        <v>#VALUE!</v>
      </c>
      <c r="N636" s="50" t="e">
        <f t="shared" si="144"/>
        <v>#VALUE!</v>
      </c>
      <c r="O636" s="50" t="e">
        <f t="shared" si="145"/>
        <v>#VALUE!</v>
      </c>
      <c r="P636" s="50">
        <f t="shared" si="146"/>
        <v>0</v>
      </c>
      <c r="R636" s="55" t="e">
        <f t="shared" si="147"/>
        <v>#VALUE!</v>
      </c>
      <c r="S636" s="55" t="e">
        <f t="shared" si="148"/>
        <v>#VALUE!</v>
      </c>
      <c r="T636" s="55" t="e">
        <f t="shared" si="153"/>
        <v>#VALUE!</v>
      </c>
      <c r="U636" s="50" t="e">
        <f t="shared" si="149"/>
        <v>#VALUE!</v>
      </c>
      <c r="V636" s="50" t="e">
        <f t="shared" si="150"/>
        <v>#VALUE!</v>
      </c>
      <c r="W636" s="50" t="e">
        <f t="shared" si="151"/>
        <v>#VALUE!</v>
      </c>
    </row>
    <row r="637" spans="2:23" x14ac:dyDescent="0.25">
      <c r="B637" s="50" t="b">
        <f t="shared" si="154"/>
        <v>0</v>
      </c>
      <c r="C637" s="50" t="e">
        <f t="shared" si="156"/>
        <v>#VALUE!</v>
      </c>
      <c r="E637" s="56">
        <v>633</v>
      </c>
      <c r="G637" s="138"/>
      <c r="H637" s="135">
        <v>1</v>
      </c>
      <c r="I637" s="57" t="str">
        <f t="shared" si="152"/>
        <v/>
      </c>
      <c r="J637" s="58" t="e">
        <f t="shared" si="141"/>
        <v>#VALUE!</v>
      </c>
      <c r="K637" s="50" t="e">
        <f t="shared" si="142"/>
        <v>#VALUE!</v>
      </c>
      <c r="L637" s="50" t="e">
        <f t="shared" si="155"/>
        <v>#VALUE!</v>
      </c>
      <c r="M637" s="50" t="e">
        <f t="shared" si="155"/>
        <v>#VALUE!</v>
      </c>
      <c r="N637" s="50" t="e">
        <f t="shared" si="144"/>
        <v>#VALUE!</v>
      </c>
      <c r="O637" s="50" t="e">
        <f t="shared" si="145"/>
        <v>#VALUE!</v>
      </c>
      <c r="P637" s="50">
        <f t="shared" si="146"/>
        <v>0</v>
      </c>
      <c r="R637" s="55" t="e">
        <f t="shared" si="147"/>
        <v>#VALUE!</v>
      </c>
      <c r="S637" s="55" t="e">
        <f t="shared" si="148"/>
        <v>#VALUE!</v>
      </c>
      <c r="T637" s="55" t="e">
        <f t="shared" si="153"/>
        <v>#VALUE!</v>
      </c>
      <c r="U637" s="50" t="e">
        <f t="shared" si="149"/>
        <v>#VALUE!</v>
      </c>
      <c r="V637" s="50" t="e">
        <f t="shared" si="150"/>
        <v>#VALUE!</v>
      </c>
      <c r="W637" s="50" t="e">
        <f t="shared" si="151"/>
        <v>#VALUE!</v>
      </c>
    </row>
    <row r="638" spans="2:23" x14ac:dyDescent="0.25">
      <c r="B638" s="50" t="b">
        <f t="shared" si="154"/>
        <v>0</v>
      </c>
      <c r="C638" s="50" t="e">
        <f t="shared" si="156"/>
        <v>#VALUE!</v>
      </c>
      <c r="E638" s="56">
        <v>634</v>
      </c>
      <c r="G638" s="138"/>
      <c r="H638" s="135">
        <v>1</v>
      </c>
      <c r="I638" s="57" t="str">
        <f t="shared" si="152"/>
        <v/>
      </c>
      <c r="J638" s="58" t="e">
        <f t="shared" si="141"/>
        <v>#VALUE!</v>
      </c>
      <c r="K638" s="50" t="e">
        <f t="shared" si="142"/>
        <v>#VALUE!</v>
      </c>
      <c r="L638" s="50" t="e">
        <f t="shared" si="155"/>
        <v>#VALUE!</v>
      </c>
      <c r="M638" s="50" t="e">
        <f t="shared" si="155"/>
        <v>#VALUE!</v>
      </c>
      <c r="N638" s="50" t="e">
        <f t="shared" si="144"/>
        <v>#VALUE!</v>
      </c>
      <c r="O638" s="50" t="e">
        <f t="shared" si="145"/>
        <v>#VALUE!</v>
      </c>
      <c r="P638" s="50">
        <f t="shared" si="146"/>
        <v>0</v>
      </c>
      <c r="R638" s="55" t="e">
        <f t="shared" si="147"/>
        <v>#VALUE!</v>
      </c>
      <c r="S638" s="55" t="e">
        <f t="shared" si="148"/>
        <v>#VALUE!</v>
      </c>
      <c r="T638" s="55" t="e">
        <f t="shared" si="153"/>
        <v>#VALUE!</v>
      </c>
      <c r="U638" s="50" t="e">
        <f t="shared" si="149"/>
        <v>#VALUE!</v>
      </c>
      <c r="V638" s="50" t="e">
        <f t="shared" si="150"/>
        <v>#VALUE!</v>
      </c>
      <c r="W638" s="50" t="e">
        <f t="shared" si="151"/>
        <v>#VALUE!</v>
      </c>
    </row>
    <row r="639" spans="2:23" x14ac:dyDescent="0.25">
      <c r="B639" s="50" t="b">
        <f t="shared" si="154"/>
        <v>0</v>
      </c>
      <c r="C639" s="50" t="e">
        <f t="shared" si="156"/>
        <v>#VALUE!</v>
      </c>
      <c r="E639" s="56">
        <v>635</v>
      </c>
      <c r="G639" s="138"/>
      <c r="H639" s="135">
        <v>1</v>
      </c>
      <c r="I639" s="57" t="str">
        <f t="shared" si="152"/>
        <v/>
      </c>
      <c r="J639" s="58" t="e">
        <f t="shared" si="141"/>
        <v>#VALUE!</v>
      </c>
      <c r="K639" s="50" t="e">
        <f t="shared" si="142"/>
        <v>#VALUE!</v>
      </c>
      <c r="L639" s="50" t="e">
        <f t="shared" si="155"/>
        <v>#VALUE!</v>
      </c>
      <c r="M639" s="50" t="e">
        <f t="shared" si="155"/>
        <v>#VALUE!</v>
      </c>
      <c r="N639" s="50" t="e">
        <f t="shared" si="144"/>
        <v>#VALUE!</v>
      </c>
      <c r="O639" s="50" t="e">
        <f t="shared" si="145"/>
        <v>#VALUE!</v>
      </c>
      <c r="P639" s="50">
        <f t="shared" si="146"/>
        <v>0</v>
      </c>
      <c r="R639" s="55" t="e">
        <f t="shared" si="147"/>
        <v>#VALUE!</v>
      </c>
      <c r="S639" s="55" t="e">
        <f t="shared" si="148"/>
        <v>#VALUE!</v>
      </c>
      <c r="T639" s="55" t="e">
        <f t="shared" si="153"/>
        <v>#VALUE!</v>
      </c>
      <c r="U639" s="50" t="e">
        <f t="shared" si="149"/>
        <v>#VALUE!</v>
      </c>
      <c r="V639" s="50" t="e">
        <f t="shared" si="150"/>
        <v>#VALUE!</v>
      </c>
      <c r="W639" s="50" t="e">
        <f t="shared" si="151"/>
        <v>#VALUE!</v>
      </c>
    </row>
    <row r="640" spans="2:23" x14ac:dyDescent="0.25">
      <c r="B640" s="50" t="b">
        <f t="shared" si="154"/>
        <v>0</v>
      </c>
      <c r="C640" s="50" t="e">
        <f t="shared" si="156"/>
        <v>#VALUE!</v>
      </c>
      <c r="E640" s="56">
        <v>636</v>
      </c>
      <c r="G640" s="138"/>
      <c r="H640" s="135">
        <v>1</v>
      </c>
      <c r="I640" s="57" t="str">
        <f t="shared" si="152"/>
        <v/>
      </c>
      <c r="J640" s="58" t="e">
        <f t="shared" si="141"/>
        <v>#VALUE!</v>
      </c>
      <c r="K640" s="50" t="e">
        <f t="shared" si="142"/>
        <v>#VALUE!</v>
      </c>
      <c r="L640" s="50" t="e">
        <f t="shared" si="155"/>
        <v>#VALUE!</v>
      </c>
      <c r="M640" s="50" t="e">
        <f t="shared" si="155"/>
        <v>#VALUE!</v>
      </c>
      <c r="N640" s="50" t="e">
        <f t="shared" si="144"/>
        <v>#VALUE!</v>
      </c>
      <c r="O640" s="50" t="e">
        <f t="shared" si="145"/>
        <v>#VALUE!</v>
      </c>
      <c r="P640" s="50">
        <f t="shared" si="146"/>
        <v>0</v>
      </c>
      <c r="R640" s="55" t="e">
        <f t="shared" si="147"/>
        <v>#VALUE!</v>
      </c>
      <c r="S640" s="55" t="e">
        <f t="shared" si="148"/>
        <v>#VALUE!</v>
      </c>
      <c r="T640" s="55" t="e">
        <f t="shared" si="153"/>
        <v>#VALUE!</v>
      </c>
      <c r="U640" s="50" t="e">
        <f t="shared" si="149"/>
        <v>#VALUE!</v>
      </c>
      <c r="V640" s="50" t="e">
        <f t="shared" si="150"/>
        <v>#VALUE!</v>
      </c>
      <c r="W640" s="50" t="e">
        <f t="shared" si="151"/>
        <v>#VALUE!</v>
      </c>
    </row>
    <row r="641" spans="2:23" x14ac:dyDescent="0.25">
      <c r="B641" s="50" t="b">
        <f t="shared" si="154"/>
        <v>0</v>
      </c>
      <c r="C641" s="50" t="e">
        <f t="shared" si="156"/>
        <v>#VALUE!</v>
      </c>
      <c r="E641" s="56">
        <v>637</v>
      </c>
      <c r="G641" s="138"/>
      <c r="H641" s="135">
        <v>1</v>
      </c>
      <c r="I641" s="57" t="str">
        <f t="shared" si="152"/>
        <v/>
      </c>
      <c r="J641" s="58" t="e">
        <f t="shared" si="141"/>
        <v>#VALUE!</v>
      </c>
      <c r="K641" s="50" t="e">
        <f t="shared" si="142"/>
        <v>#VALUE!</v>
      </c>
      <c r="L641" s="50" t="e">
        <f t="shared" si="155"/>
        <v>#VALUE!</v>
      </c>
      <c r="M641" s="50" t="e">
        <f t="shared" si="155"/>
        <v>#VALUE!</v>
      </c>
      <c r="N641" s="50" t="e">
        <f t="shared" si="144"/>
        <v>#VALUE!</v>
      </c>
      <c r="O641" s="50" t="e">
        <f t="shared" si="145"/>
        <v>#VALUE!</v>
      </c>
      <c r="P641" s="50">
        <f t="shared" si="146"/>
        <v>0</v>
      </c>
      <c r="R641" s="55" t="e">
        <f t="shared" si="147"/>
        <v>#VALUE!</v>
      </c>
      <c r="S641" s="55" t="e">
        <f t="shared" si="148"/>
        <v>#VALUE!</v>
      </c>
      <c r="T641" s="55" t="e">
        <f t="shared" si="153"/>
        <v>#VALUE!</v>
      </c>
      <c r="U641" s="50" t="e">
        <f t="shared" si="149"/>
        <v>#VALUE!</v>
      </c>
      <c r="V641" s="50" t="e">
        <f t="shared" si="150"/>
        <v>#VALUE!</v>
      </c>
      <c r="W641" s="50" t="e">
        <f t="shared" si="151"/>
        <v>#VALUE!</v>
      </c>
    </row>
    <row r="642" spans="2:23" x14ac:dyDescent="0.25">
      <c r="B642" s="50" t="b">
        <f t="shared" si="154"/>
        <v>0</v>
      </c>
      <c r="C642" s="50" t="e">
        <f t="shared" si="156"/>
        <v>#VALUE!</v>
      </c>
      <c r="E642" s="56">
        <v>638</v>
      </c>
      <c r="G642" s="138"/>
      <c r="H642" s="135">
        <v>1</v>
      </c>
      <c r="I642" s="57" t="str">
        <f t="shared" si="152"/>
        <v/>
      </c>
      <c r="J642" s="58" t="e">
        <f t="shared" si="141"/>
        <v>#VALUE!</v>
      </c>
      <c r="K642" s="50" t="e">
        <f t="shared" si="142"/>
        <v>#VALUE!</v>
      </c>
      <c r="L642" s="50" t="e">
        <f t="shared" si="155"/>
        <v>#VALUE!</v>
      </c>
      <c r="M642" s="50" t="e">
        <f t="shared" si="155"/>
        <v>#VALUE!</v>
      </c>
      <c r="N642" s="50" t="e">
        <f t="shared" si="144"/>
        <v>#VALUE!</v>
      </c>
      <c r="O642" s="50" t="e">
        <f t="shared" si="145"/>
        <v>#VALUE!</v>
      </c>
      <c r="P642" s="50">
        <f t="shared" si="146"/>
        <v>0</v>
      </c>
      <c r="R642" s="55" t="e">
        <f t="shared" si="147"/>
        <v>#VALUE!</v>
      </c>
      <c r="S642" s="55" t="e">
        <f t="shared" si="148"/>
        <v>#VALUE!</v>
      </c>
      <c r="T642" s="55" t="e">
        <f t="shared" si="153"/>
        <v>#VALUE!</v>
      </c>
      <c r="U642" s="50" t="e">
        <f t="shared" si="149"/>
        <v>#VALUE!</v>
      </c>
      <c r="V642" s="50" t="e">
        <f t="shared" si="150"/>
        <v>#VALUE!</v>
      </c>
      <c r="W642" s="50" t="e">
        <f t="shared" si="151"/>
        <v>#VALUE!</v>
      </c>
    </row>
    <row r="643" spans="2:23" x14ac:dyDescent="0.25">
      <c r="B643" s="50" t="b">
        <f t="shared" si="154"/>
        <v>0</v>
      </c>
      <c r="C643" s="50" t="e">
        <f t="shared" si="156"/>
        <v>#VALUE!</v>
      </c>
      <c r="E643" s="56">
        <v>639</v>
      </c>
      <c r="G643" s="138"/>
      <c r="H643" s="135">
        <v>1</v>
      </c>
      <c r="I643" s="57" t="str">
        <f t="shared" si="152"/>
        <v/>
      </c>
      <c r="J643" s="58" t="e">
        <f t="shared" si="141"/>
        <v>#VALUE!</v>
      </c>
      <c r="K643" s="50" t="e">
        <f t="shared" si="142"/>
        <v>#VALUE!</v>
      </c>
      <c r="L643" s="50" t="e">
        <f t="shared" si="155"/>
        <v>#VALUE!</v>
      </c>
      <c r="M643" s="50" t="e">
        <f t="shared" si="155"/>
        <v>#VALUE!</v>
      </c>
      <c r="N643" s="50" t="e">
        <f t="shared" si="144"/>
        <v>#VALUE!</v>
      </c>
      <c r="O643" s="50" t="e">
        <f t="shared" si="145"/>
        <v>#VALUE!</v>
      </c>
      <c r="P643" s="50">
        <f t="shared" si="146"/>
        <v>0</v>
      </c>
      <c r="R643" s="55" t="e">
        <f t="shared" si="147"/>
        <v>#VALUE!</v>
      </c>
      <c r="S643" s="55" t="e">
        <f t="shared" si="148"/>
        <v>#VALUE!</v>
      </c>
      <c r="T643" s="55" t="e">
        <f t="shared" si="153"/>
        <v>#VALUE!</v>
      </c>
      <c r="U643" s="50" t="e">
        <f t="shared" si="149"/>
        <v>#VALUE!</v>
      </c>
      <c r="V643" s="50" t="e">
        <f t="shared" si="150"/>
        <v>#VALUE!</v>
      </c>
      <c r="W643" s="50" t="e">
        <f t="shared" si="151"/>
        <v>#VALUE!</v>
      </c>
    </row>
    <row r="644" spans="2:23" x14ac:dyDescent="0.25">
      <c r="B644" s="50" t="b">
        <f t="shared" si="154"/>
        <v>0</v>
      </c>
      <c r="C644" s="50" t="e">
        <f t="shared" si="156"/>
        <v>#VALUE!</v>
      </c>
      <c r="E644" s="56">
        <v>640</v>
      </c>
      <c r="G644" s="138"/>
      <c r="H644" s="135">
        <v>1</v>
      </c>
      <c r="I644" s="57" t="str">
        <f t="shared" si="152"/>
        <v/>
      </c>
      <c r="J644" s="58" t="e">
        <f t="shared" si="141"/>
        <v>#VALUE!</v>
      </c>
      <c r="K644" s="50" t="e">
        <f t="shared" si="142"/>
        <v>#VALUE!</v>
      </c>
      <c r="L644" s="50" t="e">
        <f t="shared" si="155"/>
        <v>#VALUE!</v>
      </c>
      <c r="M644" s="50" t="e">
        <f t="shared" si="155"/>
        <v>#VALUE!</v>
      </c>
      <c r="N644" s="50" t="e">
        <f t="shared" si="144"/>
        <v>#VALUE!</v>
      </c>
      <c r="O644" s="50" t="e">
        <f t="shared" si="145"/>
        <v>#VALUE!</v>
      </c>
      <c r="P644" s="50">
        <f t="shared" si="146"/>
        <v>0</v>
      </c>
      <c r="R644" s="55" t="e">
        <f t="shared" si="147"/>
        <v>#VALUE!</v>
      </c>
      <c r="S644" s="55" t="e">
        <f t="shared" si="148"/>
        <v>#VALUE!</v>
      </c>
      <c r="T644" s="55" t="e">
        <f t="shared" si="153"/>
        <v>#VALUE!</v>
      </c>
      <c r="U644" s="50" t="e">
        <f t="shared" si="149"/>
        <v>#VALUE!</v>
      </c>
      <c r="V644" s="50" t="e">
        <f t="shared" si="150"/>
        <v>#VALUE!</v>
      </c>
      <c r="W644" s="50" t="e">
        <f t="shared" si="151"/>
        <v>#VALUE!</v>
      </c>
    </row>
    <row r="645" spans="2:23" x14ac:dyDescent="0.25">
      <c r="B645" s="50" t="b">
        <f t="shared" si="154"/>
        <v>0</v>
      </c>
      <c r="C645" s="50" t="e">
        <f t="shared" si="156"/>
        <v>#VALUE!</v>
      </c>
      <c r="E645" s="56">
        <v>641</v>
      </c>
      <c r="G645" s="138"/>
      <c r="H645" s="135">
        <v>1</v>
      </c>
      <c r="I645" s="57" t="str">
        <f t="shared" si="152"/>
        <v/>
      </c>
      <c r="J645" s="58" t="e">
        <f t="shared" ref="J645:J708" si="157">RIGHT(I645,K645)</f>
        <v>#VALUE!</v>
      </c>
      <c r="K645" s="50" t="e">
        <f t="shared" ref="K645:K708" si="158">P645-N645</f>
        <v>#VALUE!</v>
      </c>
      <c r="L645" s="50" t="e">
        <f t="shared" si="155"/>
        <v>#VALUE!</v>
      </c>
      <c r="M645" s="50" t="e">
        <f t="shared" si="155"/>
        <v>#VALUE!</v>
      </c>
      <c r="N645" s="50" t="e">
        <f t="shared" ref="N645:N708" si="159">SEARCH("-",I645,2)</f>
        <v>#VALUE!</v>
      </c>
      <c r="O645" s="50" t="e">
        <f t="shared" ref="O645:O708" si="160">SEARCH("-",I645,N645+1)</f>
        <v>#VALUE!</v>
      </c>
      <c r="P645" s="50">
        <f t="shared" ref="P645:P708" si="161">LEN(I645)</f>
        <v>0</v>
      </c>
      <c r="R645" s="55" t="e">
        <f t="shared" ref="R645:R708" si="162">LEFT(I645,N645-1)</f>
        <v>#VALUE!</v>
      </c>
      <c r="S645" s="55" t="e">
        <f t="shared" ref="S645:S708" si="163">LEFT(J645,L645-1)</f>
        <v>#VALUE!</v>
      </c>
      <c r="T645" s="55" t="e">
        <f t="shared" si="153"/>
        <v>#VALUE!</v>
      </c>
      <c r="U645" s="50" t="e">
        <f t="shared" ref="U645:U708" si="164">R645*1*$H645</f>
        <v>#VALUE!</v>
      </c>
      <c r="V645" s="50" t="e">
        <f t="shared" ref="V645:V708" si="165">S645*1*$H645</f>
        <v>#VALUE!</v>
      </c>
      <c r="W645" s="50" t="e">
        <f t="shared" ref="W645:W708" si="166">T645*1*$H645</f>
        <v>#VALUE!</v>
      </c>
    </row>
    <row r="646" spans="2:23" x14ac:dyDescent="0.25">
      <c r="B646" s="50" t="b">
        <f t="shared" si="154"/>
        <v>0</v>
      </c>
      <c r="C646" s="50" t="e">
        <f t="shared" si="156"/>
        <v>#VALUE!</v>
      </c>
      <c r="E646" s="56">
        <v>642</v>
      </c>
      <c r="G646" s="138"/>
      <c r="H646" s="135">
        <v>1</v>
      </c>
      <c r="I646" s="57" t="str">
        <f t="shared" ref="I646:I709" si="167">IF(G646="","",G646&amp;""&amp;"-0")</f>
        <v/>
      </c>
      <c r="J646" s="58" t="e">
        <f t="shared" si="157"/>
        <v>#VALUE!</v>
      </c>
      <c r="K646" s="50" t="e">
        <f t="shared" si="158"/>
        <v>#VALUE!</v>
      </c>
      <c r="L646" s="50" t="e">
        <f t="shared" si="155"/>
        <v>#VALUE!</v>
      </c>
      <c r="M646" s="50" t="e">
        <f t="shared" si="155"/>
        <v>#VALUE!</v>
      </c>
      <c r="N646" s="50" t="e">
        <f t="shared" si="159"/>
        <v>#VALUE!</v>
      </c>
      <c r="O646" s="50" t="e">
        <f t="shared" si="160"/>
        <v>#VALUE!</v>
      </c>
      <c r="P646" s="50">
        <f t="shared" si="161"/>
        <v>0</v>
      </c>
      <c r="R646" s="55" t="e">
        <f t="shared" si="162"/>
        <v>#VALUE!</v>
      </c>
      <c r="S646" s="55" t="e">
        <f t="shared" si="163"/>
        <v>#VALUE!</v>
      </c>
      <c r="T646" s="55" t="e">
        <f t="shared" ref="T646:T709" si="168">RIGHT(I646,M646)</f>
        <v>#VALUE!</v>
      </c>
      <c r="U646" s="50" t="e">
        <f t="shared" si="164"/>
        <v>#VALUE!</v>
      </c>
      <c r="V646" s="50" t="e">
        <f t="shared" si="165"/>
        <v>#VALUE!</v>
      </c>
      <c r="W646" s="50" t="e">
        <f t="shared" si="166"/>
        <v>#VALUE!</v>
      </c>
    </row>
    <row r="647" spans="2:23" x14ac:dyDescent="0.25">
      <c r="B647" s="50" t="b">
        <f t="shared" si="154"/>
        <v>0</v>
      </c>
      <c r="C647" s="50" t="e">
        <f t="shared" si="156"/>
        <v>#VALUE!</v>
      </c>
      <c r="E647" s="56">
        <v>643</v>
      </c>
      <c r="G647" s="138"/>
      <c r="H647" s="135">
        <v>1</v>
      </c>
      <c r="I647" s="57" t="str">
        <f t="shared" si="167"/>
        <v/>
      </c>
      <c r="J647" s="58" t="e">
        <f t="shared" si="157"/>
        <v>#VALUE!</v>
      </c>
      <c r="K647" s="50" t="e">
        <f t="shared" si="158"/>
        <v>#VALUE!</v>
      </c>
      <c r="L647" s="50" t="e">
        <f t="shared" si="155"/>
        <v>#VALUE!</v>
      </c>
      <c r="M647" s="50" t="e">
        <f t="shared" si="155"/>
        <v>#VALUE!</v>
      </c>
      <c r="N647" s="50" t="e">
        <f t="shared" si="159"/>
        <v>#VALUE!</v>
      </c>
      <c r="O647" s="50" t="e">
        <f t="shared" si="160"/>
        <v>#VALUE!</v>
      </c>
      <c r="P647" s="50">
        <f t="shared" si="161"/>
        <v>0</v>
      </c>
      <c r="R647" s="55" t="e">
        <f t="shared" si="162"/>
        <v>#VALUE!</v>
      </c>
      <c r="S647" s="55" t="e">
        <f t="shared" si="163"/>
        <v>#VALUE!</v>
      </c>
      <c r="T647" s="55" t="e">
        <f t="shared" si="168"/>
        <v>#VALUE!</v>
      </c>
      <c r="U647" s="50" t="e">
        <f t="shared" si="164"/>
        <v>#VALUE!</v>
      </c>
      <c r="V647" s="50" t="e">
        <f t="shared" si="165"/>
        <v>#VALUE!</v>
      </c>
      <c r="W647" s="50" t="e">
        <f t="shared" si="166"/>
        <v>#VALUE!</v>
      </c>
    </row>
    <row r="648" spans="2:23" x14ac:dyDescent="0.25">
      <c r="B648" s="50" t="b">
        <f t="shared" si="154"/>
        <v>0</v>
      </c>
      <c r="C648" s="50" t="e">
        <f t="shared" si="156"/>
        <v>#VALUE!</v>
      </c>
      <c r="E648" s="56">
        <v>644</v>
      </c>
      <c r="G648" s="138"/>
      <c r="H648" s="135">
        <v>1</v>
      </c>
      <c r="I648" s="57" t="str">
        <f t="shared" si="167"/>
        <v/>
      </c>
      <c r="J648" s="58" t="e">
        <f t="shared" si="157"/>
        <v>#VALUE!</v>
      </c>
      <c r="K648" s="50" t="e">
        <f t="shared" si="158"/>
        <v>#VALUE!</v>
      </c>
      <c r="L648" s="50" t="e">
        <f t="shared" si="155"/>
        <v>#VALUE!</v>
      </c>
      <c r="M648" s="50" t="e">
        <f t="shared" si="155"/>
        <v>#VALUE!</v>
      </c>
      <c r="N648" s="50" t="e">
        <f t="shared" si="159"/>
        <v>#VALUE!</v>
      </c>
      <c r="O648" s="50" t="e">
        <f t="shared" si="160"/>
        <v>#VALUE!</v>
      </c>
      <c r="P648" s="50">
        <f t="shared" si="161"/>
        <v>0</v>
      </c>
      <c r="R648" s="55" t="e">
        <f t="shared" si="162"/>
        <v>#VALUE!</v>
      </c>
      <c r="S648" s="55" t="e">
        <f t="shared" si="163"/>
        <v>#VALUE!</v>
      </c>
      <c r="T648" s="55" t="e">
        <f t="shared" si="168"/>
        <v>#VALUE!</v>
      </c>
      <c r="U648" s="50" t="e">
        <f t="shared" si="164"/>
        <v>#VALUE!</v>
      </c>
      <c r="V648" s="50" t="e">
        <f t="shared" si="165"/>
        <v>#VALUE!</v>
      </c>
      <c r="W648" s="50" t="e">
        <f t="shared" si="166"/>
        <v>#VALUE!</v>
      </c>
    </row>
    <row r="649" spans="2:23" x14ac:dyDescent="0.25">
      <c r="B649" s="50" t="b">
        <f t="shared" si="154"/>
        <v>0</v>
      </c>
      <c r="C649" s="50" t="e">
        <f t="shared" si="156"/>
        <v>#VALUE!</v>
      </c>
      <c r="E649" s="56">
        <v>645</v>
      </c>
      <c r="G649" s="138"/>
      <c r="H649" s="135">
        <v>1</v>
      </c>
      <c r="I649" s="57" t="str">
        <f t="shared" si="167"/>
        <v/>
      </c>
      <c r="J649" s="58" t="e">
        <f t="shared" si="157"/>
        <v>#VALUE!</v>
      </c>
      <c r="K649" s="50" t="e">
        <f t="shared" si="158"/>
        <v>#VALUE!</v>
      </c>
      <c r="L649" s="50" t="e">
        <f t="shared" si="155"/>
        <v>#VALUE!</v>
      </c>
      <c r="M649" s="50" t="e">
        <f t="shared" si="155"/>
        <v>#VALUE!</v>
      </c>
      <c r="N649" s="50" t="e">
        <f t="shared" si="159"/>
        <v>#VALUE!</v>
      </c>
      <c r="O649" s="50" t="e">
        <f t="shared" si="160"/>
        <v>#VALUE!</v>
      </c>
      <c r="P649" s="50">
        <f t="shared" si="161"/>
        <v>0</v>
      </c>
      <c r="R649" s="55" t="e">
        <f t="shared" si="162"/>
        <v>#VALUE!</v>
      </c>
      <c r="S649" s="55" t="e">
        <f t="shared" si="163"/>
        <v>#VALUE!</v>
      </c>
      <c r="T649" s="55" t="e">
        <f t="shared" si="168"/>
        <v>#VALUE!</v>
      </c>
      <c r="U649" s="50" t="e">
        <f t="shared" si="164"/>
        <v>#VALUE!</v>
      </c>
      <c r="V649" s="50" t="e">
        <f t="shared" si="165"/>
        <v>#VALUE!</v>
      </c>
      <c r="W649" s="50" t="e">
        <f t="shared" si="166"/>
        <v>#VALUE!</v>
      </c>
    </row>
    <row r="650" spans="2:23" x14ac:dyDescent="0.25">
      <c r="B650" s="50" t="b">
        <f t="shared" si="154"/>
        <v>0</v>
      </c>
      <c r="C650" s="50" t="e">
        <f t="shared" si="156"/>
        <v>#VALUE!</v>
      </c>
      <c r="E650" s="56">
        <v>646</v>
      </c>
      <c r="G650" s="138"/>
      <c r="H650" s="135">
        <v>1</v>
      </c>
      <c r="I650" s="57" t="str">
        <f t="shared" si="167"/>
        <v/>
      </c>
      <c r="J650" s="58" t="e">
        <f t="shared" si="157"/>
        <v>#VALUE!</v>
      </c>
      <c r="K650" s="50" t="e">
        <f t="shared" si="158"/>
        <v>#VALUE!</v>
      </c>
      <c r="L650" s="50" t="e">
        <f t="shared" si="155"/>
        <v>#VALUE!</v>
      </c>
      <c r="M650" s="50" t="e">
        <f t="shared" si="155"/>
        <v>#VALUE!</v>
      </c>
      <c r="N650" s="50" t="e">
        <f t="shared" si="159"/>
        <v>#VALUE!</v>
      </c>
      <c r="O650" s="50" t="e">
        <f t="shared" si="160"/>
        <v>#VALUE!</v>
      </c>
      <c r="P650" s="50">
        <f t="shared" si="161"/>
        <v>0</v>
      </c>
      <c r="R650" s="55" t="e">
        <f t="shared" si="162"/>
        <v>#VALUE!</v>
      </c>
      <c r="S650" s="55" t="e">
        <f t="shared" si="163"/>
        <v>#VALUE!</v>
      </c>
      <c r="T650" s="55" t="e">
        <f t="shared" si="168"/>
        <v>#VALUE!</v>
      </c>
      <c r="U650" s="50" t="e">
        <f t="shared" si="164"/>
        <v>#VALUE!</v>
      </c>
      <c r="V650" s="50" t="e">
        <f t="shared" si="165"/>
        <v>#VALUE!</v>
      </c>
      <c r="W650" s="50" t="e">
        <f t="shared" si="166"/>
        <v>#VALUE!</v>
      </c>
    </row>
    <row r="651" spans="2:23" x14ac:dyDescent="0.25">
      <c r="B651" s="50" t="b">
        <f t="shared" si="154"/>
        <v>0</v>
      </c>
      <c r="C651" s="50" t="e">
        <f t="shared" si="156"/>
        <v>#VALUE!</v>
      </c>
      <c r="E651" s="56">
        <v>647</v>
      </c>
      <c r="G651" s="138"/>
      <c r="H651" s="135">
        <v>1</v>
      </c>
      <c r="I651" s="57" t="str">
        <f t="shared" si="167"/>
        <v/>
      </c>
      <c r="J651" s="58" t="e">
        <f t="shared" si="157"/>
        <v>#VALUE!</v>
      </c>
      <c r="K651" s="50" t="e">
        <f t="shared" si="158"/>
        <v>#VALUE!</v>
      </c>
      <c r="L651" s="50" t="e">
        <f t="shared" si="155"/>
        <v>#VALUE!</v>
      </c>
      <c r="M651" s="50" t="e">
        <f t="shared" si="155"/>
        <v>#VALUE!</v>
      </c>
      <c r="N651" s="50" t="e">
        <f t="shared" si="159"/>
        <v>#VALUE!</v>
      </c>
      <c r="O651" s="50" t="e">
        <f t="shared" si="160"/>
        <v>#VALUE!</v>
      </c>
      <c r="P651" s="50">
        <f t="shared" si="161"/>
        <v>0</v>
      </c>
      <c r="R651" s="55" t="e">
        <f t="shared" si="162"/>
        <v>#VALUE!</v>
      </c>
      <c r="S651" s="55" t="e">
        <f t="shared" si="163"/>
        <v>#VALUE!</v>
      </c>
      <c r="T651" s="55" t="e">
        <f t="shared" si="168"/>
        <v>#VALUE!</v>
      </c>
      <c r="U651" s="50" t="e">
        <f t="shared" si="164"/>
        <v>#VALUE!</v>
      </c>
      <c r="V651" s="50" t="e">
        <f t="shared" si="165"/>
        <v>#VALUE!</v>
      </c>
      <c r="W651" s="50" t="e">
        <f t="shared" si="166"/>
        <v>#VALUE!</v>
      </c>
    </row>
    <row r="652" spans="2:23" x14ac:dyDescent="0.25">
      <c r="B652" s="50" t="b">
        <f t="shared" si="154"/>
        <v>0</v>
      </c>
      <c r="C652" s="50" t="e">
        <f t="shared" si="156"/>
        <v>#VALUE!</v>
      </c>
      <c r="E652" s="56">
        <v>648</v>
      </c>
      <c r="G652" s="138"/>
      <c r="H652" s="135">
        <v>1</v>
      </c>
      <c r="I652" s="57" t="str">
        <f t="shared" si="167"/>
        <v/>
      </c>
      <c r="J652" s="58" t="e">
        <f t="shared" si="157"/>
        <v>#VALUE!</v>
      </c>
      <c r="K652" s="50" t="e">
        <f t="shared" si="158"/>
        <v>#VALUE!</v>
      </c>
      <c r="L652" s="50" t="e">
        <f t="shared" si="155"/>
        <v>#VALUE!</v>
      </c>
      <c r="M652" s="50" t="e">
        <f t="shared" si="155"/>
        <v>#VALUE!</v>
      </c>
      <c r="N652" s="50" t="e">
        <f t="shared" si="159"/>
        <v>#VALUE!</v>
      </c>
      <c r="O652" s="50" t="e">
        <f t="shared" si="160"/>
        <v>#VALUE!</v>
      </c>
      <c r="P652" s="50">
        <f t="shared" si="161"/>
        <v>0</v>
      </c>
      <c r="R652" s="55" t="e">
        <f t="shared" si="162"/>
        <v>#VALUE!</v>
      </c>
      <c r="S652" s="55" t="e">
        <f t="shared" si="163"/>
        <v>#VALUE!</v>
      </c>
      <c r="T652" s="55" t="e">
        <f t="shared" si="168"/>
        <v>#VALUE!</v>
      </c>
      <c r="U652" s="50" t="e">
        <f t="shared" si="164"/>
        <v>#VALUE!</v>
      </c>
      <c r="V652" s="50" t="e">
        <f t="shared" si="165"/>
        <v>#VALUE!</v>
      </c>
      <c r="W652" s="50" t="e">
        <f t="shared" si="166"/>
        <v>#VALUE!</v>
      </c>
    </row>
    <row r="653" spans="2:23" x14ac:dyDescent="0.25">
      <c r="B653" s="50" t="b">
        <f t="shared" si="154"/>
        <v>0</v>
      </c>
      <c r="C653" s="50" t="e">
        <f t="shared" si="156"/>
        <v>#VALUE!</v>
      </c>
      <c r="E653" s="56">
        <v>649</v>
      </c>
      <c r="G653" s="138"/>
      <c r="H653" s="135">
        <v>1</v>
      </c>
      <c r="I653" s="57" t="str">
        <f t="shared" si="167"/>
        <v/>
      </c>
      <c r="J653" s="58" t="e">
        <f t="shared" si="157"/>
        <v>#VALUE!</v>
      </c>
      <c r="K653" s="50" t="e">
        <f t="shared" si="158"/>
        <v>#VALUE!</v>
      </c>
      <c r="L653" s="50" t="e">
        <f t="shared" si="155"/>
        <v>#VALUE!</v>
      </c>
      <c r="M653" s="50" t="e">
        <f t="shared" si="155"/>
        <v>#VALUE!</v>
      </c>
      <c r="N653" s="50" t="e">
        <f t="shared" si="159"/>
        <v>#VALUE!</v>
      </c>
      <c r="O653" s="50" t="e">
        <f t="shared" si="160"/>
        <v>#VALUE!</v>
      </c>
      <c r="P653" s="50">
        <f t="shared" si="161"/>
        <v>0</v>
      </c>
      <c r="R653" s="55" t="e">
        <f t="shared" si="162"/>
        <v>#VALUE!</v>
      </c>
      <c r="S653" s="55" t="e">
        <f t="shared" si="163"/>
        <v>#VALUE!</v>
      </c>
      <c r="T653" s="55" t="e">
        <f t="shared" si="168"/>
        <v>#VALUE!</v>
      </c>
      <c r="U653" s="50" t="e">
        <f t="shared" si="164"/>
        <v>#VALUE!</v>
      </c>
      <c r="V653" s="50" t="e">
        <f t="shared" si="165"/>
        <v>#VALUE!</v>
      </c>
      <c r="W653" s="50" t="e">
        <f t="shared" si="166"/>
        <v>#VALUE!</v>
      </c>
    </row>
    <row r="654" spans="2:23" x14ac:dyDescent="0.25">
      <c r="B654" s="50" t="b">
        <f t="shared" ref="B654:B717" si="169">ISNUMBER(C654)</f>
        <v>0</v>
      </c>
      <c r="C654" s="50" t="e">
        <f t="shared" si="156"/>
        <v>#VALUE!</v>
      </c>
      <c r="E654" s="56">
        <v>650</v>
      </c>
      <c r="G654" s="138"/>
      <c r="H654" s="135">
        <v>1</v>
      </c>
      <c r="I654" s="57" t="str">
        <f t="shared" si="167"/>
        <v/>
      </c>
      <c r="J654" s="58" t="e">
        <f t="shared" si="157"/>
        <v>#VALUE!</v>
      </c>
      <c r="K654" s="50" t="e">
        <f t="shared" si="158"/>
        <v>#VALUE!</v>
      </c>
      <c r="L654" s="50" t="e">
        <f t="shared" si="155"/>
        <v>#VALUE!</v>
      </c>
      <c r="M654" s="50" t="e">
        <f t="shared" si="155"/>
        <v>#VALUE!</v>
      </c>
      <c r="N654" s="50" t="e">
        <f t="shared" si="159"/>
        <v>#VALUE!</v>
      </c>
      <c r="O654" s="50" t="e">
        <f t="shared" si="160"/>
        <v>#VALUE!</v>
      </c>
      <c r="P654" s="50">
        <f t="shared" si="161"/>
        <v>0</v>
      </c>
      <c r="R654" s="55" t="e">
        <f t="shared" si="162"/>
        <v>#VALUE!</v>
      </c>
      <c r="S654" s="55" t="e">
        <f t="shared" si="163"/>
        <v>#VALUE!</v>
      </c>
      <c r="T654" s="55" t="e">
        <f t="shared" si="168"/>
        <v>#VALUE!</v>
      </c>
      <c r="U654" s="50" t="e">
        <f t="shared" si="164"/>
        <v>#VALUE!</v>
      </c>
      <c r="V654" s="50" t="e">
        <f t="shared" si="165"/>
        <v>#VALUE!</v>
      </c>
      <c r="W654" s="50" t="e">
        <f t="shared" si="166"/>
        <v>#VALUE!</v>
      </c>
    </row>
    <row r="655" spans="2:23" x14ac:dyDescent="0.25">
      <c r="B655" s="50" t="b">
        <f t="shared" si="169"/>
        <v>0</v>
      </c>
      <c r="C655" s="50" t="e">
        <f t="shared" si="156"/>
        <v>#VALUE!</v>
      </c>
      <c r="E655" s="56">
        <v>651</v>
      </c>
      <c r="G655" s="138"/>
      <c r="H655" s="135">
        <v>1</v>
      </c>
      <c r="I655" s="57" t="str">
        <f t="shared" si="167"/>
        <v/>
      </c>
      <c r="J655" s="58" t="e">
        <f t="shared" si="157"/>
        <v>#VALUE!</v>
      </c>
      <c r="K655" s="50" t="e">
        <f t="shared" si="158"/>
        <v>#VALUE!</v>
      </c>
      <c r="L655" s="50" t="e">
        <f t="shared" si="155"/>
        <v>#VALUE!</v>
      </c>
      <c r="M655" s="50" t="e">
        <f t="shared" si="155"/>
        <v>#VALUE!</v>
      </c>
      <c r="N655" s="50" t="e">
        <f t="shared" si="159"/>
        <v>#VALUE!</v>
      </c>
      <c r="O655" s="50" t="e">
        <f t="shared" si="160"/>
        <v>#VALUE!</v>
      </c>
      <c r="P655" s="50">
        <f t="shared" si="161"/>
        <v>0</v>
      </c>
      <c r="R655" s="55" t="e">
        <f t="shared" si="162"/>
        <v>#VALUE!</v>
      </c>
      <c r="S655" s="55" t="e">
        <f t="shared" si="163"/>
        <v>#VALUE!</v>
      </c>
      <c r="T655" s="55" t="e">
        <f t="shared" si="168"/>
        <v>#VALUE!</v>
      </c>
      <c r="U655" s="50" t="e">
        <f t="shared" si="164"/>
        <v>#VALUE!</v>
      </c>
      <c r="V655" s="50" t="e">
        <f t="shared" si="165"/>
        <v>#VALUE!</v>
      </c>
      <c r="W655" s="50" t="e">
        <f t="shared" si="166"/>
        <v>#VALUE!</v>
      </c>
    </row>
    <row r="656" spans="2:23" x14ac:dyDescent="0.25">
      <c r="B656" s="50" t="b">
        <f t="shared" si="169"/>
        <v>0</v>
      </c>
      <c r="C656" s="50" t="e">
        <f t="shared" si="156"/>
        <v>#VALUE!</v>
      </c>
      <c r="E656" s="56">
        <v>652</v>
      </c>
      <c r="G656" s="138"/>
      <c r="H656" s="135">
        <v>1</v>
      </c>
      <c r="I656" s="57" t="str">
        <f t="shared" si="167"/>
        <v/>
      </c>
      <c r="J656" s="58" t="e">
        <f t="shared" si="157"/>
        <v>#VALUE!</v>
      </c>
      <c r="K656" s="50" t="e">
        <f t="shared" si="158"/>
        <v>#VALUE!</v>
      </c>
      <c r="L656" s="50" t="e">
        <f t="shared" si="155"/>
        <v>#VALUE!</v>
      </c>
      <c r="M656" s="50" t="e">
        <f t="shared" si="155"/>
        <v>#VALUE!</v>
      </c>
      <c r="N656" s="50" t="e">
        <f t="shared" si="159"/>
        <v>#VALUE!</v>
      </c>
      <c r="O656" s="50" t="e">
        <f t="shared" si="160"/>
        <v>#VALUE!</v>
      </c>
      <c r="P656" s="50">
        <f t="shared" si="161"/>
        <v>0</v>
      </c>
      <c r="R656" s="55" t="e">
        <f t="shared" si="162"/>
        <v>#VALUE!</v>
      </c>
      <c r="S656" s="55" t="e">
        <f t="shared" si="163"/>
        <v>#VALUE!</v>
      </c>
      <c r="T656" s="55" t="e">
        <f t="shared" si="168"/>
        <v>#VALUE!</v>
      </c>
      <c r="U656" s="50" t="e">
        <f t="shared" si="164"/>
        <v>#VALUE!</v>
      </c>
      <c r="V656" s="50" t="e">
        <f t="shared" si="165"/>
        <v>#VALUE!</v>
      </c>
      <c r="W656" s="50" t="e">
        <f t="shared" si="166"/>
        <v>#VALUE!</v>
      </c>
    </row>
    <row r="657" spans="2:23" x14ac:dyDescent="0.25">
      <c r="B657" s="50" t="b">
        <f t="shared" si="169"/>
        <v>0</v>
      </c>
      <c r="C657" s="50" t="e">
        <f t="shared" si="156"/>
        <v>#VALUE!</v>
      </c>
      <c r="E657" s="56">
        <v>653</v>
      </c>
      <c r="G657" s="138"/>
      <c r="H657" s="135">
        <v>1</v>
      </c>
      <c r="I657" s="57" t="str">
        <f t="shared" si="167"/>
        <v/>
      </c>
      <c r="J657" s="58" t="e">
        <f t="shared" si="157"/>
        <v>#VALUE!</v>
      </c>
      <c r="K657" s="50" t="e">
        <f t="shared" si="158"/>
        <v>#VALUE!</v>
      </c>
      <c r="L657" s="50" t="e">
        <f t="shared" si="155"/>
        <v>#VALUE!</v>
      </c>
      <c r="M657" s="50" t="e">
        <f t="shared" si="155"/>
        <v>#VALUE!</v>
      </c>
      <c r="N657" s="50" t="e">
        <f t="shared" si="159"/>
        <v>#VALUE!</v>
      </c>
      <c r="O657" s="50" t="e">
        <f t="shared" si="160"/>
        <v>#VALUE!</v>
      </c>
      <c r="P657" s="50">
        <f t="shared" si="161"/>
        <v>0</v>
      </c>
      <c r="R657" s="55" t="e">
        <f t="shared" si="162"/>
        <v>#VALUE!</v>
      </c>
      <c r="S657" s="55" t="e">
        <f t="shared" si="163"/>
        <v>#VALUE!</v>
      </c>
      <c r="T657" s="55" t="e">
        <f t="shared" si="168"/>
        <v>#VALUE!</v>
      </c>
      <c r="U657" s="50" t="e">
        <f t="shared" si="164"/>
        <v>#VALUE!</v>
      </c>
      <c r="V657" s="50" t="e">
        <f t="shared" si="165"/>
        <v>#VALUE!</v>
      </c>
      <c r="W657" s="50" t="e">
        <f t="shared" si="166"/>
        <v>#VALUE!</v>
      </c>
    </row>
    <row r="658" spans="2:23" x14ac:dyDescent="0.25">
      <c r="B658" s="50" t="b">
        <f t="shared" si="169"/>
        <v>0</v>
      </c>
      <c r="C658" s="50" t="e">
        <f t="shared" si="156"/>
        <v>#VALUE!</v>
      </c>
      <c r="E658" s="56">
        <v>654</v>
      </c>
      <c r="G658" s="138"/>
      <c r="H658" s="135">
        <v>1</v>
      </c>
      <c r="I658" s="57" t="str">
        <f t="shared" si="167"/>
        <v/>
      </c>
      <c r="J658" s="58" t="e">
        <f t="shared" si="157"/>
        <v>#VALUE!</v>
      </c>
      <c r="K658" s="50" t="e">
        <f t="shared" si="158"/>
        <v>#VALUE!</v>
      </c>
      <c r="L658" s="50" t="e">
        <f t="shared" si="155"/>
        <v>#VALUE!</v>
      </c>
      <c r="M658" s="50" t="e">
        <f t="shared" si="155"/>
        <v>#VALUE!</v>
      </c>
      <c r="N658" s="50" t="e">
        <f t="shared" si="159"/>
        <v>#VALUE!</v>
      </c>
      <c r="O658" s="50" t="e">
        <f t="shared" si="160"/>
        <v>#VALUE!</v>
      </c>
      <c r="P658" s="50">
        <f t="shared" si="161"/>
        <v>0</v>
      </c>
      <c r="R658" s="55" t="e">
        <f t="shared" si="162"/>
        <v>#VALUE!</v>
      </c>
      <c r="S658" s="55" t="e">
        <f t="shared" si="163"/>
        <v>#VALUE!</v>
      </c>
      <c r="T658" s="55" t="e">
        <f t="shared" si="168"/>
        <v>#VALUE!</v>
      </c>
      <c r="U658" s="50" t="e">
        <f t="shared" si="164"/>
        <v>#VALUE!</v>
      </c>
      <c r="V658" s="50" t="e">
        <f t="shared" si="165"/>
        <v>#VALUE!</v>
      </c>
      <c r="W658" s="50" t="e">
        <f t="shared" si="166"/>
        <v>#VALUE!</v>
      </c>
    </row>
    <row r="659" spans="2:23" x14ac:dyDescent="0.25">
      <c r="B659" s="50" t="b">
        <f t="shared" si="169"/>
        <v>0</v>
      </c>
      <c r="C659" s="50" t="e">
        <f t="shared" si="156"/>
        <v>#VALUE!</v>
      </c>
      <c r="E659" s="56">
        <v>655</v>
      </c>
      <c r="G659" s="138"/>
      <c r="H659" s="135">
        <v>1</v>
      </c>
      <c r="I659" s="57" t="str">
        <f t="shared" si="167"/>
        <v/>
      </c>
      <c r="J659" s="58" t="e">
        <f t="shared" si="157"/>
        <v>#VALUE!</v>
      </c>
      <c r="K659" s="50" t="e">
        <f t="shared" si="158"/>
        <v>#VALUE!</v>
      </c>
      <c r="L659" s="50" t="e">
        <f t="shared" si="155"/>
        <v>#VALUE!</v>
      </c>
      <c r="M659" s="50" t="e">
        <f t="shared" si="155"/>
        <v>#VALUE!</v>
      </c>
      <c r="N659" s="50" t="e">
        <f t="shared" si="159"/>
        <v>#VALUE!</v>
      </c>
      <c r="O659" s="50" t="e">
        <f t="shared" si="160"/>
        <v>#VALUE!</v>
      </c>
      <c r="P659" s="50">
        <f t="shared" si="161"/>
        <v>0</v>
      </c>
      <c r="R659" s="55" t="e">
        <f t="shared" si="162"/>
        <v>#VALUE!</v>
      </c>
      <c r="S659" s="55" t="e">
        <f t="shared" si="163"/>
        <v>#VALUE!</v>
      </c>
      <c r="T659" s="55" t="e">
        <f t="shared" si="168"/>
        <v>#VALUE!</v>
      </c>
      <c r="U659" s="50" t="e">
        <f t="shared" si="164"/>
        <v>#VALUE!</v>
      </c>
      <c r="V659" s="50" t="e">
        <f t="shared" si="165"/>
        <v>#VALUE!</v>
      </c>
      <c r="W659" s="50" t="e">
        <f t="shared" si="166"/>
        <v>#VALUE!</v>
      </c>
    </row>
    <row r="660" spans="2:23" x14ac:dyDescent="0.25">
      <c r="B660" s="50" t="b">
        <f t="shared" si="169"/>
        <v>0</v>
      </c>
      <c r="C660" s="50" t="e">
        <f t="shared" si="156"/>
        <v>#VALUE!</v>
      </c>
      <c r="E660" s="56">
        <v>656</v>
      </c>
      <c r="G660" s="138"/>
      <c r="H660" s="135">
        <v>1</v>
      </c>
      <c r="I660" s="57" t="str">
        <f t="shared" si="167"/>
        <v/>
      </c>
      <c r="J660" s="58" t="e">
        <f t="shared" si="157"/>
        <v>#VALUE!</v>
      </c>
      <c r="K660" s="50" t="e">
        <f t="shared" si="158"/>
        <v>#VALUE!</v>
      </c>
      <c r="L660" s="50" t="e">
        <f t="shared" si="155"/>
        <v>#VALUE!</v>
      </c>
      <c r="M660" s="50" t="e">
        <f t="shared" si="155"/>
        <v>#VALUE!</v>
      </c>
      <c r="N660" s="50" t="e">
        <f t="shared" si="159"/>
        <v>#VALUE!</v>
      </c>
      <c r="O660" s="50" t="e">
        <f t="shared" si="160"/>
        <v>#VALUE!</v>
      </c>
      <c r="P660" s="50">
        <f t="shared" si="161"/>
        <v>0</v>
      </c>
      <c r="R660" s="55" t="e">
        <f t="shared" si="162"/>
        <v>#VALUE!</v>
      </c>
      <c r="S660" s="55" t="e">
        <f t="shared" si="163"/>
        <v>#VALUE!</v>
      </c>
      <c r="T660" s="55" t="e">
        <f t="shared" si="168"/>
        <v>#VALUE!</v>
      </c>
      <c r="U660" s="50" t="e">
        <f t="shared" si="164"/>
        <v>#VALUE!</v>
      </c>
      <c r="V660" s="50" t="e">
        <f t="shared" si="165"/>
        <v>#VALUE!</v>
      </c>
      <c r="W660" s="50" t="e">
        <f t="shared" si="166"/>
        <v>#VALUE!</v>
      </c>
    </row>
    <row r="661" spans="2:23" x14ac:dyDescent="0.25">
      <c r="B661" s="50" t="b">
        <f t="shared" si="169"/>
        <v>0</v>
      </c>
      <c r="C661" s="50" t="e">
        <f t="shared" si="156"/>
        <v>#VALUE!</v>
      </c>
      <c r="E661" s="56">
        <v>657</v>
      </c>
      <c r="G661" s="138"/>
      <c r="H661" s="135">
        <v>1</v>
      </c>
      <c r="I661" s="57" t="str">
        <f t="shared" si="167"/>
        <v/>
      </c>
      <c r="J661" s="58" t="e">
        <f t="shared" si="157"/>
        <v>#VALUE!</v>
      </c>
      <c r="K661" s="50" t="e">
        <f t="shared" si="158"/>
        <v>#VALUE!</v>
      </c>
      <c r="L661" s="50" t="e">
        <f t="shared" si="155"/>
        <v>#VALUE!</v>
      </c>
      <c r="M661" s="50" t="e">
        <f t="shared" si="155"/>
        <v>#VALUE!</v>
      </c>
      <c r="N661" s="50" t="e">
        <f t="shared" si="159"/>
        <v>#VALUE!</v>
      </c>
      <c r="O661" s="50" t="e">
        <f t="shared" si="160"/>
        <v>#VALUE!</v>
      </c>
      <c r="P661" s="50">
        <f t="shared" si="161"/>
        <v>0</v>
      </c>
      <c r="R661" s="55" t="e">
        <f t="shared" si="162"/>
        <v>#VALUE!</v>
      </c>
      <c r="S661" s="55" t="e">
        <f t="shared" si="163"/>
        <v>#VALUE!</v>
      </c>
      <c r="T661" s="55" t="e">
        <f t="shared" si="168"/>
        <v>#VALUE!</v>
      </c>
      <c r="U661" s="50" t="e">
        <f t="shared" si="164"/>
        <v>#VALUE!</v>
      </c>
      <c r="V661" s="50" t="e">
        <f t="shared" si="165"/>
        <v>#VALUE!</v>
      </c>
      <c r="W661" s="50" t="e">
        <f t="shared" si="166"/>
        <v>#VALUE!</v>
      </c>
    </row>
    <row r="662" spans="2:23" x14ac:dyDescent="0.25">
      <c r="B662" s="50" t="b">
        <f t="shared" si="169"/>
        <v>0</v>
      </c>
      <c r="C662" s="50" t="e">
        <f t="shared" si="156"/>
        <v>#VALUE!</v>
      </c>
      <c r="E662" s="56">
        <v>658</v>
      </c>
      <c r="G662" s="138"/>
      <c r="H662" s="135">
        <v>1</v>
      </c>
      <c r="I662" s="57" t="str">
        <f t="shared" si="167"/>
        <v/>
      </c>
      <c r="J662" s="58" t="e">
        <f t="shared" si="157"/>
        <v>#VALUE!</v>
      </c>
      <c r="K662" s="50" t="e">
        <f t="shared" si="158"/>
        <v>#VALUE!</v>
      </c>
      <c r="L662" s="50" t="e">
        <f t="shared" si="155"/>
        <v>#VALUE!</v>
      </c>
      <c r="M662" s="50" t="e">
        <f t="shared" si="155"/>
        <v>#VALUE!</v>
      </c>
      <c r="N662" s="50" t="e">
        <f t="shared" si="159"/>
        <v>#VALUE!</v>
      </c>
      <c r="O662" s="50" t="e">
        <f t="shared" si="160"/>
        <v>#VALUE!</v>
      </c>
      <c r="P662" s="50">
        <f t="shared" si="161"/>
        <v>0</v>
      </c>
      <c r="R662" s="55" t="e">
        <f t="shared" si="162"/>
        <v>#VALUE!</v>
      </c>
      <c r="S662" s="55" t="e">
        <f t="shared" si="163"/>
        <v>#VALUE!</v>
      </c>
      <c r="T662" s="55" t="e">
        <f t="shared" si="168"/>
        <v>#VALUE!</v>
      </c>
      <c r="U662" s="50" t="e">
        <f t="shared" si="164"/>
        <v>#VALUE!</v>
      </c>
      <c r="V662" s="50" t="e">
        <f t="shared" si="165"/>
        <v>#VALUE!</v>
      </c>
      <c r="W662" s="50" t="e">
        <f t="shared" si="166"/>
        <v>#VALUE!</v>
      </c>
    </row>
    <row r="663" spans="2:23" x14ac:dyDescent="0.25">
      <c r="B663" s="50" t="b">
        <f t="shared" si="169"/>
        <v>0</v>
      </c>
      <c r="C663" s="50" t="e">
        <f t="shared" si="156"/>
        <v>#VALUE!</v>
      </c>
      <c r="E663" s="56">
        <v>659</v>
      </c>
      <c r="G663" s="138"/>
      <c r="H663" s="135">
        <v>1</v>
      </c>
      <c r="I663" s="57" t="str">
        <f t="shared" si="167"/>
        <v/>
      </c>
      <c r="J663" s="58" t="e">
        <f t="shared" si="157"/>
        <v>#VALUE!</v>
      </c>
      <c r="K663" s="50" t="e">
        <f t="shared" si="158"/>
        <v>#VALUE!</v>
      </c>
      <c r="L663" s="50" t="e">
        <f t="shared" si="155"/>
        <v>#VALUE!</v>
      </c>
      <c r="M663" s="50" t="e">
        <f t="shared" si="155"/>
        <v>#VALUE!</v>
      </c>
      <c r="N663" s="50" t="e">
        <f t="shared" si="159"/>
        <v>#VALUE!</v>
      </c>
      <c r="O663" s="50" t="e">
        <f t="shared" si="160"/>
        <v>#VALUE!</v>
      </c>
      <c r="P663" s="50">
        <f t="shared" si="161"/>
        <v>0</v>
      </c>
      <c r="R663" s="55" t="e">
        <f t="shared" si="162"/>
        <v>#VALUE!</v>
      </c>
      <c r="S663" s="55" t="e">
        <f t="shared" si="163"/>
        <v>#VALUE!</v>
      </c>
      <c r="T663" s="55" t="e">
        <f t="shared" si="168"/>
        <v>#VALUE!</v>
      </c>
      <c r="U663" s="50" t="e">
        <f t="shared" si="164"/>
        <v>#VALUE!</v>
      </c>
      <c r="V663" s="50" t="e">
        <f t="shared" si="165"/>
        <v>#VALUE!</v>
      </c>
      <c r="W663" s="50" t="e">
        <f t="shared" si="166"/>
        <v>#VALUE!</v>
      </c>
    </row>
    <row r="664" spans="2:23" x14ac:dyDescent="0.25">
      <c r="B664" s="50" t="b">
        <f t="shared" si="169"/>
        <v>0</v>
      </c>
      <c r="C664" s="50" t="e">
        <f t="shared" si="156"/>
        <v>#VALUE!</v>
      </c>
      <c r="E664" s="56">
        <v>660</v>
      </c>
      <c r="G664" s="138"/>
      <c r="H664" s="135">
        <v>1</v>
      </c>
      <c r="I664" s="57" t="str">
        <f t="shared" si="167"/>
        <v/>
      </c>
      <c r="J664" s="58" t="e">
        <f t="shared" si="157"/>
        <v>#VALUE!</v>
      </c>
      <c r="K664" s="50" t="e">
        <f t="shared" si="158"/>
        <v>#VALUE!</v>
      </c>
      <c r="L664" s="50" t="e">
        <f t="shared" si="155"/>
        <v>#VALUE!</v>
      </c>
      <c r="M664" s="50" t="e">
        <f t="shared" si="155"/>
        <v>#VALUE!</v>
      </c>
      <c r="N664" s="50" t="e">
        <f t="shared" si="159"/>
        <v>#VALUE!</v>
      </c>
      <c r="O664" s="50" t="e">
        <f t="shared" si="160"/>
        <v>#VALUE!</v>
      </c>
      <c r="P664" s="50">
        <f t="shared" si="161"/>
        <v>0</v>
      </c>
      <c r="R664" s="55" t="e">
        <f t="shared" si="162"/>
        <v>#VALUE!</v>
      </c>
      <c r="S664" s="55" t="e">
        <f t="shared" si="163"/>
        <v>#VALUE!</v>
      </c>
      <c r="T664" s="55" t="e">
        <f t="shared" si="168"/>
        <v>#VALUE!</v>
      </c>
      <c r="U664" s="50" t="e">
        <f t="shared" si="164"/>
        <v>#VALUE!</v>
      </c>
      <c r="V664" s="50" t="e">
        <f t="shared" si="165"/>
        <v>#VALUE!</v>
      </c>
      <c r="W664" s="50" t="e">
        <f t="shared" si="166"/>
        <v>#VALUE!</v>
      </c>
    </row>
    <row r="665" spans="2:23" x14ac:dyDescent="0.25">
      <c r="B665" s="50" t="b">
        <f t="shared" si="169"/>
        <v>0</v>
      </c>
      <c r="C665" s="50" t="e">
        <f t="shared" si="156"/>
        <v>#VALUE!</v>
      </c>
      <c r="E665" s="56">
        <v>661</v>
      </c>
      <c r="G665" s="138"/>
      <c r="H665" s="135">
        <v>1</v>
      </c>
      <c r="I665" s="57" t="str">
        <f t="shared" si="167"/>
        <v/>
      </c>
      <c r="J665" s="58" t="e">
        <f t="shared" si="157"/>
        <v>#VALUE!</v>
      </c>
      <c r="K665" s="50" t="e">
        <f t="shared" si="158"/>
        <v>#VALUE!</v>
      </c>
      <c r="L665" s="50" t="e">
        <f t="shared" si="155"/>
        <v>#VALUE!</v>
      </c>
      <c r="M665" s="50" t="e">
        <f t="shared" si="155"/>
        <v>#VALUE!</v>
      </c>
      <c r="N665" s="50" t="e">
        <f t="shared" si="159"/>
        <v>#VALUE!</v>
      </c>
      <c r="O665" s="50" t="e">
        <f t="shared" si="160"/>
        <v>#VALUE!</v>
      </c>
      <c r="P665" s="50">
        <f t="shared" si="161"/>
        <v>0</v>
      </c>
      <c r="R665" s="55" t="e">
        <f t="shared" si="162"/>
        <v>#VALUE!</v>
      </c>
      <c r="S665" s="55" t="e">
        <f t="shared" si="163"/>
        <v>#VALUE!</v>
      </c>
      <c r="T665" s="55" t="e">
        <f t="shared" si="168"/>
        <v>#VALUE!</v>
      </c>
      <c r="U665" s="50" t="e">
        <f t="shared" si="164"/>
        <v>#VALUE!</v>
      </c>
      <c r="V665" s="50" t="e">
        <f t="shared" si="165"/>
        <v>#VALUE!</v>
      </c>
      <c r="W665" s="50" t="e">
        <f t="shared" si="166"/>
        <v>#VALUE!</v>
      </c>
    </row>
    <row r="666" spans="2:23" x14ac:dyDescent="0.25">
      <c r="B666" s="50" t="b">
        <f t="shared" si="169"/>
        <v>0</v>
      </c>
      <c r="C666" s="50" t="e">
        <f t="shared" si="156"/>
        <v>#VALUE!</v>
      </c>
      <c r="E666" s="56">
        <v>662</v>
      </c>
      <c r="G666" s="138"/>
      <c r="H666" s="135">
        <v>1</v>
      </c>
      <c r="I666" s="57" t="str">
        <f t="shared" si="167"/>
        <v/>
      </c>
      <c r="J666" s="58" t="e">
        <f t="shared" si="157"/>
        <v>#VALUE!</v>
      </c>
      <c r="K666" s="50" t="e">
        <f t="shared" si="158"/>
        <v>#VALUE!</v>
      </c>
      <c r="L666" s="50" t="e">
        <f t="shared" si="155"/>
        <v>#VALUE!</v>
      </c>
      <c r="M666" s="50" t="e">
        <f t="shared" si="155"/>
        <v>#VALUE!</v>
      </c>
      <c r="N666" s="50" t="e">
        <f t="shared" si="159"/>
        <v>#VALUE!</v>
      </c>
      <c r="O666" s="50" t="e">
        <f t="shared" si="160"/>
        <v>#VALUE!</v>
      </c>
      <c r="P666" s="50">
        <f t="shared" si="161"/>
        <v>0</v>
      </c>
      <c r="R666" s="55" t="e">
        <f t="shared" si="162"/>
        <v>#VALUE!</v>
      </c>
      <c r="S666" s="55" t="e">
        <f t="shared" si="163"/>
        <v>#VALUE!</v>
      </c>
      <c r="T666" s="55" t="e">
        <f t="shared" si="168"/>
        <v>#VALUE!</v>
      </c>
      <c r="U666" s="50" t="e">
        <f t="shared" si="164"/>
        <v>#VALUE!</v>
      </c>
      <c r="V666" s="50" t="e">
        <f t="shared" si="165"/>
        <v>#VALUE!</v>
      </c>
      <c r="W666" s="50" t="e">
        <f t="shared" si="166"/>
        <v>#VALUE!</v>
      </c>
    </row>
    <row r="667" spans="2:23" x14ac:dyDescent="0.25">
      <c r="B667" s="50" t="b">
        <f t="shared" si="169"/>
        <v>0</v>
      </c>
      <c r="C667" s="50" t="e">
        <f t="shared" si="156"/>
        <v>#VALUE!</v>
      </c>
      <c r="E667" s="56">
        <v>663</v>
      </c>
      <c r="G667" s="138"/>
      <c r="H667" s="135">
        <v>1</v>
      </c>
      <c r="I667" s="57" t="str">
        <f t="shared" si="167"/>
        <v/>
      </c>
      <c r="J667" s="58" t="e">
        <f t="shared" si="157"/>
        <v>#VALUE!</v>
      </c>
      <c r="K667" s="50" t="e">
        <f t="shared" si="158"/>
        <v>#VALUE!</v>
      </c>
      <c r="L667" s="50" t="e">
        <f t="shared" si="155"/>
        <v>#VALUE!</v>
      </c>
      <c r="M667" s="50" t="e">
        <f t="shared" si="155"/>
        <v>#VALUE!</v>
      </c>
      <c r="N667" s="50" t="e">
        <f t="shared" si="159"/>
        <v>#VALUE!</v>
      </c>
      <c r="O667" s="50" t="e">
        <f t="shared" si="160"/>
        <v>#VALUE!</v>
      </c>
      <c r="P667" s="50">
        <f t="shared" si="161"/>
        <v>0</v>
      </c>
      <c r="R667" s="55" t="e">
        <f t="shared" si="162"/>
        <v>#VALUE!</v>
      </c>
      <c r="S667" s="55" t="e">
        <f t="shared" si="163"/>
        <v>#VALUE!</v>
      </c>
      <c r="T667" s="55" t="e">
        <f t="shared" si="168"/>
        <v>#VALUE!</v>
      </c>
      <c r="U667" s="50" t="e">
        <f t="shared" si="164"/>
        <v>#VALUE!</v>
      </c>
      <c r="V667" s="50" t="e">
        <f t="shared" si="165"/>
        <v>#VALUE!</v>
      </c>
      <c r="W667" s="50" t="e">
        <f t="shared" si="166"/>
        <v>#VALUE!</v>
      </c>
    </row>
    <row r="668" spans="2:23" x14ac:dyDescent="0.25">
      <c r="B668" s="50" t="b">
        <f t="shared" si="169"/>
        <v>0</v>
      </c>
      <c r="C668" s="50" t="e">
        <f t="shared" si="156"/>
        <v>#VALUE!</v>
      </c>
      <c r="E668" s="56">
        <v>664</v>
      </c>
      <c r="G668" s="138"/>
      <c r="H668" s="135">
        <v>1</v>
      </c>
      <c r="I668" s="57" t="str">
        <f t="shared" si="167"/>
        <v/>
      </c>
      <c r="J668" s="58" t="e">
        <f t="shared" si="157"/>
        <v>#VALUE!</v>
      </c>
      <c r="K668" s="50" t="e">
        <f t="shared" si="158"/>
        <v>#VALUE!</v>
      </c>
      <c r="L668" s="50" t="e">
        <f t="shared" si="155"/>
        <v>#VALUE!</v>
      </c>
      <c r="M668" s="50" t="e">
        <f t="shared" si="155"/>
        <v>#VALUE!</v>
      </c>
      <c r="N668" s="50" t="e">
        <f t="shared" si="159"/>
        <v>#VALUE!</v>
      </c>
      <c r="O668" s="50" t="e">
        <f t="shared" si="160"/>
        <v>#VALUE!</v>
      </c>
      <c r="P668" s="50">
        <f t="shared" si="161"/>
        <v>0</v>
      </c>
      <c r="R668" s="55" t="e">
        <f t="shared" si="162"/>
        <v>#VALUE!</v>
      </c>
      <c r="S668" s="55" t="e">
        <f t="shared" si="163"/>
        <v>#VALUE!</v>
      </c>
      <c r="T668" s="55" t="e">
        <f t="shared" si="168"/>
        <v>#VALUE!</v>
      </c>
      <c r="U668" s="50" t="e">
        <f t="shared" si="164"/>
        <v>#VALUE!</v>
      </c>
      <c r="V668" s="50" t="e">
        <f t="shared" si="165"/>
        <v>#VALUE!</v>
      </c>
      <c r="W668" s="50" t="e">
        <f t="shared" si="166"/>
        <v>#VALUE!</v>
      </c>
    </row>
    <row r="669" spans="2:23" x14ac:dyDescent="0.25">
      <c r="B669" s="50" t="b">
        <f t="shared" si="169"/>
        <v>0</v>
      </c>
      <c r="C669" s="50" t="e">
        <f t="shared" si="156"/>
        <v>#VALUE!</v>
      </c>
      <c r="E669" s="56">
        <v>665</v>
      </c>
      <c r="G669" s="138"/>
      <c r="H669" s="135">
        <v>1</v>
      </c>
      <c r="I669" s="57" t="str">
        <f t="shared" si="167"/>
        <v/>
      </c>
      <c r="J669" s="58" t="e">
        <f t="shared" si="157"/>
        <v>#VALUE!</v>
      </c>
      <c r="K669" s="50" t="e">
        <f t="shared" si="158"/>
        <v>#VALUE!</v>
      </c>
      <c r="L669" s="50" t="e">
        <f t="shared" si="155"/>
        <v>#VALUE!</v>
      </c>
      <c r="M669" s="50" t="e">
        <f t="shared" si="155"/>
        <v>#VALUE!</v>
      </c>
      <c r="N669" s="50" t="e">
        <f t="shared" si="159"/>
        <v>#VALUE!</v>
      </c>
      <c r="O669" s="50" t="e">
        <f t="shared" si="160"/>
        <v>#VALUE!</v>
      </c>
      <c r="P669" s="50">
        <f t="shared" si="161"/>
        <v>0</v>
      </c>
      <c r="R669" s="55" t="e">
        <f t="shared" si="162"/>
        <v>#VALUE!</v>
      </c>
      <c r="S669" s="55" t="e">
        <f t="shared" si="163"/>
        <v>#VALUE!</v>
      </c>
      <c r="T669" s="55" t="e">
        <f t="shared" si="168"/>
        <v>#VALUE!</v>
      </c>
      <c r="U669" s="50" t="e">
        <f t="shared" si="164"/>
        <v>#VALUE!</v>
      </c>
      <c r="V669" s="50" t="e">
        <f t="shared" si="165"/>
        <v>#VALUE!</v>
      </c>
      <c r="W669" s="50" t="e">
        <f t="shared" si="166"/>
        <v>#VALUE!</v>
      </c>
    </row>
    <row r="670" spans="2:23" x14ac:dyDescent="0.25">
      <c r="B670" s="50" t="b">
        <f t="shared" si="169"/>
        <v>0</v>
      </c>
      <c r="C670" s="50" t="e">
        <f t="shared" si="156"/>
        <v>#VALUE!</v>
      </c>
      <c r="E670" s="56">
        <v>666</v>
      </c>
      <c r="G670" s="138"/>
      <c r="H670" s="135">
        <v>1</v>
      </c>
      <c r="I670" s="57" t="str">
        <f t="shared" si="167"/>
        <v/>
      </c>
      <c r="J670" s="58" t="e">
        <f t="shared" si="157"/>
        <v>#VALUE!</v>
      </c>
      <c r="K670" s="50" t="e">
        <f t="shared" si="158"/>
        <v>#VALUE!</v>
      </c>
      <c r="L670" s="50" t="e">
        <f t="shared" si="155"/>
        <v>#VALUE!</v>
      </c>
      <c r="M670" s="50" t="e">
        <f t="shared" si="155"/>
        <v>#VALUE!</v>
      </c>
      <c r="N670" s="50" t="e">
        <f t="shared" si="159"/>
        <v>#VALUE!</v>
      </c>
      <c r="O670" s="50" t="e">
        <f t="shared" si="160"/>
        <v>#VALUE!</v>
      </c>
      <c r="P670" s="50">
        <f t="shared" si="161"/>
        <v>0</v>
      </c>
      <c r="R670" s="55" t="e">
        <f t="shared" si="162"/>
        <v>#VALUE!</v>
      </c>
      <c r="S670" s="55" t="e">
        <f t="shared" si="163"/>
        <v>#VALUE!</v>
      </c>
      <c r="T670" s="55" t="e">
        <f t="shared" si="168"/>
        <v>#VALUE!</v>
      </c>
      <c r="U670" s="50" t="e">
        <f t="shared" si="164"/>
        <v>#VALUE!</v>
      </c>
      <c r="V670" s="50" t="e">
        <f t="shared" si="165"/>
        <v>#VALUE!</v>
      </c>
      <c r="W670" s="50" t="e">
        <f t="shared" si="166"/>
        <v>#VALUE!</v>
      </c>
    </row>
    <row r="671" spans="2:23" x14ac:dyDescent="0.25">
      <c r="B671" s="50" t="b">
        <f t="shared" si="169"/>
        <v>0</v>
      </c>
      <c r="C671" s="50" t="e">
        <f t="shared" si="156"/>
        <v>#VALUE!</v>
      </c>
      <c r="E671" s="56">
        <v>667</v>
      </c>
      <c r="G671" s="138"/>
      <c r="H671" s="135">
        <v>1</v>
      </c>
      <c r="I671" s="57" t="str">
        <f t="shared" si="167"/>
        <v/>
      </c>
      <c r="J671" s="58" t="e">
        <f t="shared" si="157"/>
        <v>#VALUE!</v>
      </c>
      <c r="K671" s="50" t="e">
        <f t="shared" si="158"/>
        <v>#VALUE!</v>
      </c>
      <c r="L671" s="50" t="e">
        <f t="shared" si="155"/>
        <v>#VALUE!</v>
      </c>
      <c r="M671" s="50" t="e">
        <f t="shared" si="155"/>
        <v>#VALUE!</v>
      </c>
      <c r="N671" s="50" t="e">
        <f t="shared" si="159"/>
        <v>#VALUE!</v>
      </c>
      <c r="O671" s="50" t="e">
        <f t="shared" si="160"/>
        <v>#VALUE!</v>
      </c>
      <c r="P671" s="50">
        <f t="shared" si="161"/>
        <v>0</v>
      </c>
      <c r="R671" s="55" t="e">
        <f t="shared" si="162"/>
        <v>#VALUE!</v>
      </c>
      <c r="S671" s="55" t="e">
        <f t="shared" si="163"/>
        <v>#VALUE!</v>
      </c>
      <c r="T671" s="55" t="e">
        <f t="shared" si="168"/>
        <v>#VALUE!</v>
      </c>
      <c r="U671" s="50" t="e">
        <f t="shared" si="164"/>
        <v>#VALUE!</v>
      </c>
      <c r="V671" s="50" t="e">
        <f t="shared" si="165"/>
        <v>#VALUE!</v>
      </c>
      <c r="W671" s="50" t="e">
        <f t="shared" si="166"/>
        <v>#VALUE!</v>
      </c>
    </row>
    <row r="672" spans="2:23" x14ac:dyDescent="0.25">
      <c r="B672" s="50" t="b">
        <f t="shared" si="169"/>
        <v>0</v>
      </c>
      <c r="C672" s="50" t="e">
        <f t="shared" si="156"/>
        <v>#VALUE!</v>
      </c>
      <c r="E672" s="56">
        <v>668</v>
      </c>
      <c r="G672" s="138"/>
      <c r="H672" s="135">
        <v>1</v>
      </c>
      <c r="I672" s="57" t="str">
        <f t="shared" si="167"/>
        <v/>
      </c>
      <c r="J672" s="58" t="e">
        <f t="shared" si="157"/>
        <v>#VALUE!</v>
      </c>
      <c r="K672" s="50" t="e">
        <f t="shared" si="158"/>
        <v>#VALUE!</v>
      </c>
      <c r="L672" s="50" t="e">
        <f t="shared" ref="L672:M735" si="170">O672-N672</f>
        <v>#VALUE!</v>
      </c>
      <c r="M672" s="50" t="e">
        <f t="shared" si="170"/>
        <v>#VALUE!</v>
      </c>
      <c r="N672" s="50" t="e">
        <f t="shared" si="159"/>
        <v>#VALUE!</v>
      </c>
      <c r="O672" s="50" t="e">
        <f t="shared" si="160"/>
        <v>#VALUE!</v>
      </c>
      <c r="P672" s="50">
        <f t="shared" si="161"/>
        <v>0</v>
      </c>
      <c r="R672" s="55" t="e">
        <f t="shared" si="162"/>
        <v>#VALUE!</v>
      </c>
      <c r="S672" s="55" t="e">
        <f t="shared" si="163"/>
        <v>#VALUE!</v>
      </c>
      <c r="T672" s="55" t="e">
        <f t="shared" si="168"/>
        <v>#VALUE!</v>
      </c>
      <c r="U672" s="50" t="e">
        <f t="shared" si="164"/>
        <v>#VALUE!</v>
      </c>
      <c r="V672" s="50" t="e">
        <f t="shared" si="165"/>
        <v>#VALUE!</v>
      </c>
      <c r="W672" s="50" t="e">
        <f t="shared" si="166"/>
        <v>#VALUE!</v>
      </c>
    </row>
    <row r="673" spans="2:23" x14ac:dyDescent="0.25">
      <c r="B673" s="50" t="b">
        <f t="shared" si="169"/>
        <v>0</v>
      </c>
      <c r="C673" s="50" t="e">
        <f t="shared" si="156"/>
        <v>#VALUE!</v>
      </c>
      <c r="E673" s="56">
        <v>669</v>
      </c>
      <c r="G673" s="138"/>
      <c r="H673" s="135">
        <v>1</v>
      </c>
      <c r="I673" s="57" t="str">
        <f t="shared" si="167"/>
        <v/>
      </c>
      <c r="J673" s="58" t="e">
        <f t="shared" si="157"/>
        <v>#VALUE!</v>
      </c>
      <c r="K673" s="50" t="e">
        <f t="shared" si="158"/>
        <v>#VALUE!</v>
      </c>
      <c r="L673" s="50" t="e">
        <f t="shared" si="170"/>
        <v>#VALUE!</v>
      </c>
      <c r="M673" s="50" t="e">
        <f t="shared" si="170"/>
        <v>#VALUE!</v>
      </c>
      <c r="N673" s="50" t="e">
        <f t="shared" si="159"/>
        <v>#VALUE!</v>
      </c>
      <c r="O673" s="50" t="e">
        <f t="shared" si="160"/>
        <v>#VALUE!</v>
      </c>
      <c r="P673" s="50">
        <f t="shared" si="161"/>
        <v>0</v>
      </c>
      <c r="R673" s="55" t="e">
        <f t="shared" si="162"/>
        <v>#VALUE!</v>
      </c>
      <c r="S673" s="55" t="e">
        <f t="shared" si="163"/>
        <v>#VALUE!</v>
      </c>
      <c r="T673" s="55" t="e">
        <f t="shared" si="168"/>
        <v>#VALUE!</v>
      </c>
      <c r="U673" s="50" t="e">
        <f t="shared" si="164"/>
        <v>#VALUE!</v>
      </c>
      <c r="V673" s="50" t="e">
        <f t="shared" si="165"/>
        <v>#VALUE!</v>
      </c>
      <c r="W673" s="50" t="e">
        <f t="shared" si="166"/>
        <v>#VALUE!</v>
      </c>
    </row>
    <row r="674" spans="2:23" x14ac:dyDescent="0.25">
      <c r="B674" s="50" t="b">
        <f t="shared" si="169"/>
        <v>0</v>
      </c>
      <c r="C674" s="50" t="e">
        <f t="shared" si="156"/>
        <v>#VALUE!</v>
      </c>
      <c r="E674" s="56">
        <v>670</v>
      </c>
      <c r="G674" s="138"/>
      <c r="H674" s="135">
        <v>1</v>
      </c>
      <c r="I674" s="57" t="str">
        <f t="shared" si="167"/>
        <v/>
      </c>
      <c r="J674" s="58" t="e">
        <f t="shared" si="157"/>
        <v>#VALUE!</v>
      </c>
      <c r="K674" s="50" t="e">
        <f t="shared" si="158"/>
        <v>#VALUE!</v>
      </c>
      <c r="L674" s="50" t="e">
        <f t="shared" si="170"/>
        <v>#VALUE!</v>
      </c>
      <c r="M674" s="50" t="e">
        <f t="shared" si="170"/>
        <v>#VALUE!</v>
      </c>
      <c r="N674" s="50" t="e">
        <f t="shared" si="159"/>
        <v>#VALUE!</v>
      </c>
      <c r="O674" s="50" t="e">
        <f t="shared" si="160"/>
        <v>#VALUE!</v>
      </c>
      <c r="P674" s="50">
        <f t="shared" si="161"/>
        <v>0</v>
      </c>
      <c r="R674" s="55" t="e">
        <f t="shared" si="162"/>
        <v>#VALUE!</v>
      </c>
      <c r="S674" s="55" t="e">
        <f t="shared" si="163"/>
        <v>#VALUE!</v>
      </c>
      <c r="T674" s="55" t="e">
        <f t="shared" si="168"/>
        <v>#VALUE!</v>
      </c>
      <c r="U674" s="50" t="e">
        <f t="shared" si="164"/>
        <v>#VALUE!</v>
      </c>
      <c r="V674" s="50" t="e">
        <f t="shared" si="165"/>
        <v>#VALUE!</v>
      </c>
      <c r="W674" s="50" t="e">
        <f t="shared" si="166"/>
        <v>#VALUE!</v>
      </c>
    </row>
    <row r="675" spans="2:23" x14ac:dyDescent="0.25">
      <c r="B675" s="50" t="b">
        <f t="shared" si="169"/>
        <v>0</v>
      </c>
      <c r="C675" s="50" t="e">
        <f t="shared" si="156"/>
        <v>#VALUE!</v>
      </c>
      <c r="E675" s="56">
        <v>671</v>
      </c>
      <c r="G675" s="138"/>
      <c r="H675" s="135">
        <v>1</v>
      </c>
      <c r="I675" s="57" t="str">
        <f t="shared" si="167"/>
        <v/>
      </c>
      <c r="J675" s="58" t="e">
        <f t="shared" si="157"/>
        <v>#VALUE!</v>
      </c>
      <c r="K675" s="50" t="e">
        <f t="shared" si="158"/>
        <v>#VALUE!</v>
      </c>
      <c r="L675" s="50" t="e">
        <f t="shared" si="170"/>
        <v>#VALUE!</v>
      </c>
      <c r="M675" s="50" t="e">
        <f t="shared" si="170"/>
        <v>#VALUE!</v>
      </c>
      <c r="N675" s="50" t="e">
        <f t="shared" si="159"/>
        <v>#VALUE!</v>
      </c>
      <c r="O675" s="50" t="e">
        <f t="shared" si="160"/>
        <v>#VALUE!</v>
      </c>
      <c r="P675" s="50">
        <f t="shared" si="161"/>
        <v>0</v>
      </c>
      <c r="R675" s="55" t="e">
        <f t="shared" si="162"/>
        <v>#VALUE!</v>
      </c>
      <c r="S675" s="55" t="e">
        <f t="shared" si="163"/>
        <v>#VALUE!</v>
      </c>
      <c r="T675" s="55" t="e">
        <f t="shared" si="168"/>
        <v>#VALUE!</v>
      </c>
      <c r="U675" s="50" t="e">
        <f t="shared" si="164"/>
        <v>#VALUE!</v>
      </c>
      <c r="V675" s="50" t="e">
        <f t="shared" si="165"/>
        <v>#VALUE!</v>
      </c>
      <c r="W675" s="50" t="e">
        <f t="shared" si="166"/>
        <v>#VALUE!</v>
      </c>
    </row>
    <row r="676" spans="2:23" x14ac:dyDescent="0.25">
      <c r="B676" s="50" t="b">
        <f t="shared" si="169"/>
        <v>0</v>
      </c>
      <c r="C676" s="50" t="e">
        <f t="shared" si="156"/>
        <v>#VALUE!</v>
      </c>
      <c r="E676" s="56">
        <v>672</v>
      </c>
      <c r="G676" s="138"/>
      <c r="H676" s="135">
        <v>1</v>
      </c>
      <c r="I676" s="57" t="str">
        <f t="shared" si="167"/>
        <v/>
      </c>
      <c r="J676" s="58" t="e">
        <f t="shared" si="157"/>
        <v>#VALUE!</v>
      </c>
      <c r="K676" s="50" t="e">
        <f t="shared" si="158"/>
        <v>#VALUE!</v>
      </c>
      <c r="L676" s="50" t="e">
        <f t="shared" si="170"/>
        <v>#VALUE!</v>
      </c>
      <c r="M676" s="50" t="e">
        <f t="shared" si="170"/>
        <v>#VALUE!</v>
      </c>
      <c r="N676" s="50" t="e">
        <f t="shared" si="159"/>
        <v>#VALUE!</v>
      </c>
      <c r="O676" s="50" t="e">
        <f t="shared" si="160"/>
        <v>#VALUE!</v>
      </c>
      <c r="P676" s="50">
        <f t="shared" si="161"/>
        <v>0</v>
      </c>
      <c r="R676" s="55" t="e">
        <f t="shared" si="162"/>
        <v>#VALUE!</v>
      </c>
      <c r="S676" s="55" t="e">
        <f t="shared" si="163"/>
        <v>#VALUE!</v>
      </c>
      <c r="T676" s="55" t="e">
        <f t="shared" si="168"/>
        <v>#VALUE!</v>
      </c>
      <c r="U676" s="50" t="e">
        <f t="shared" si="164"/>
        <v>#VALUE!</v>
      </c>
      <c r="V676" s="50" t="e">
        <f t="shared" si="165"/>
        <v>#VALUE!</v>
      </c>
      <c r="W676" s="50" t="e">
        <f t="shared" si="166"/>
        <v>#VALUE!</v>
      </c>
    </row>
    <row r="677" spans="2:23" x14ac:dyDescent="0.25">
      <c r="B677" s="50" t="b">
        <f t="shared" si="169"/>
        <v>0</v>
      </c>
      <c r="C677" s="50" t="e">
        <f t="shared" si="156"/>
        <v>#VALUE!</v>
      </c>
      <c r="E677" s="56">
        <v>673</v>
      </c>
      <c r="G677" s="138"/>
      <c r="H677" s="135">
        <v>1</v>
      </c>
      <c r="I677" s="57" t="str">
        <f t="shared" si="167"/>
        <v/>
      </c>
      <c r="J677" s="58" t="e">
        <f t="shared" si="157"/>
        <v>#VALUE!</v>
      </c>
      <c r="K677" s="50" t="e">
        <f t="shared" si="158"/>
        <v>#VALUE!</v>
      </c>
      <c r="L677" s="50" t="e">
        <f t="shared" si="170"/>
        <v>#VALUE!</v>
      </c>
      <c r="M677" s="50" t="e">
        <f t="shared" si="170"/>
        <v>#VALUE!</v>
      </c>
      <c r="N677" s="50" t="e">
        <f t="shared" si="159"/>
        <v>#VALUE!</v>
      </c>
      <c r="O677" s="50" t="e">
        <f t="shared" si="160"/>
        <v>#VALUE!</v>
      </c>
      <c r="P677" s="50">
        <f t="shared" si="161"/>
        <v>0</v>
      </c>
      <c r="R677" s="55" t="e">
        <f t="shared" si="162"/>
        <v>#VALUE!</v>
      </c>
      <c r="S677" s="55" t="e">
        <f t="shared" si="163"/>
        <v>#VALUE!</v>
      </c>
      <c r="T677" s="55" t="e">
        <f t="shared" si="168"/>
        <v>#VALUE!</v>
      </c>
      <c r="U677" s="50" t="e">
        <f t="shared" si="164"/>
        <v>#VALUE!</v>
      </c>
      <c r="V677" s="50" t="e">
        <f t="shared" si="165"/>
        <v>#VALUE!</v>
      </c>
      <c r="W677" s="50" t="e">
        <f t="shared" si="166"/>
        <v>#VALUE!</v>
      </c>
    </row>
    <row r="678" spans="2:23" x14ac:dyDescent="0.25">
      <c r="B678" s="50" t="b">
        <f t="shared" si="169"/>
        <v>0</v>
      </c>
      <c r="C678" s="50" t="e">
        <f t="shared" si="156"/>
        <v>#VALUE!</v>
      </c>
      <c r="E678" s="56">
        <v>674</v>
      </c>
      <c r="G678" s="138"/>
      <c r="H678" s="135">
        <v>1</v>
      </c>
      <c r="I678" s="57" t="str">
        <f t="shared" si="167"/>
        <v/>
      </c>
      <c r="J678" s="58" t="e">
        <f t="shared" si="157"/>
        <v>#VALUE!</v>
      </c>
      <c r="K678" s="50" t="e">
        <f t="shared" si="158"/>
        <v>#VALUE!</v>
      </c>
      <c r="L678" s="50" t="e">
        <f t="shared" si="170"/>
        <v>#VALUE!</v>
      </c>
      <c r="M678" s="50" t="e">
        <f t="shared" si="170"/>
        <v>#VALUE!</v>
      </c>
      <c r="N678" s="50" t="e">
        <f t="shared" si="159"/>
        <v>#VALUE!</v>
      </c>
      <c r="O678" s="50" t="e">
        <f t="shared" si="160"/>
        <v>#VALUE!</v>
      </c>
      <c r="P678" s="50">
        <f t="shared" si="161"/>
        <v>0</v>
      </c>
      <c r="R678" s="55" t="e">
        <f t="shared" si="162"/>
        <v>#VALUE!</v>
      </c>
      <c r="S678" s="55" t="e">
        <f t="shared" si="163"/>
        <v>#VALUE!</v>
      </c>
      <c r="T678" s="55" t="e">
        <f t="shared" si="168"/>
        <v>#VALUE!</v>
      </c>
      <c r="U678" s="50" t="e">
        <f t="shared" si="164"/>
        <v>#VALUE!</v>
      </c>
      <c r="V678" s="50" t="e">
        <f t="shared" si="165"/>
        <v>#VALUE!</v>
      </c>
      <c r="W678" s="50" t="e">
        <f t="shared" si="166"/>
        <v>#VALUE!</v>
      </c>
    </row>
    <row r="679" spans="2:23" x14ac:dyDescent="0.25">
      <c r="B679" s="50" t="b">
        <f t="shared" si="169"/>
        <v>0</v>
      </c>
      <c r="C679" s="50" t="e">
        <f t="shared" si="156"/>
        <v>#VALUE!</v>
      </c>
      <c r="E679" s="56">
        <v>675</v>
      </c>
      <c r="G679" s="138"/>
      <c r="H679" s="135">
        <v>1</v>
      </c>
      <c r="I679" s="57" t="str">
        <f t="shared" si="167"/>
        <v/>
      </c>
      <c r="J679" s="58" t="e">
        <f t="shared" si="157"/>
        <v>#VALUE!</v>
      </c>
      <c r="K679" s="50" t="e">
        <f t="shared" si="158"/>
        <v>#VALUE!</v>
      </c>
      <c r="L679" s="50" t="e">
        <f t="shared" si="170"/>
        <v>#VALUE!</v>
      </c>
      <c r="M679" s="50" t="e">
        <f t="shared" si="170"/>
        <v>#VALUE!</v>
      </c>
      <c r="N679" s="50" t="e">
        <f t="shared" si="159"/>
        <v>#VALUE!</v>
      </c>
      <c r="O679" s="50" t="e">
        <f t="shared" si="160"/>
        <v>#VALUE!</v>
      </c>
      <c r="P679" s="50">
        <f t="shared" si="161"/>
        <v>0</v>
      </c>
      <c r="R679" s="55" t="e">
        <f t="shared" si="162"/>
        <v>#VALUE!</v>
      </c>
      <c r="S679" s="55" t="e">
        <f t="shared" si="163"/>
        <v>#VALUE!</v>
      </c>
      <c r="T679" s="55" t="e">
        <f t="shared" si="168"/>
        <v>#VALUE!</v>
      </c>
      <c r="U679" s="50" t="e">
        <f t="shared" si="164"/>
        <v>#VALUE!</v>
      </c>
      <c r="V679" s="50" t="e">
        <f t="shared" si="165"/>
        <v>#VALUE!</v>
      </c>
      <c r="W679" s="50" t="e">
        <f t="shared" si="166"/>
        <v>#VALUE!</v>
      </c>
    </row>
    <row r="680" spans="2:23" x14ac:dyDescent="0.25">
      <c r="B680" s="50" t="b">
        <f t="shared" si="169"/>
        <v>0</v>
      </c>
      <c r="C680" s="50" t="e">
        <f t="shared" si="156"/>
        <v>#VALUE!</v>
      </c>
      <c r="E680" s="56">
        <v>676</v>
      </c>
      <c r="G680" s="138"/>
      <c r="H680" s="135">
        <v>1</v>
      </c>
      <c r="I680" s="57" t="str">
        <f t="shared" si="167"/>
        <v/>
      </c>
      <c r="J680" s="58" t="e">
        <f t="shared" si="157"/>
        <v>#VALUE!</v>
      </c>
      <c r="K680" s="50" t="e">
        <f t="shared" si="158"/>
        <v>#VALUE!</v>
      </c>
      <c r="L680" s="50" t="e">
        <f t="shared" si="170"/>
        <v>#VALUE!</v>
      </c>
      <c r="M680" s="50" t="e">
        <f t="shared" si="170"/>
        <v>#VALUE!</v>
      </c>
      <c r="N680" s="50" t="e">
        <f t="shared" si="159"/>
        <v>#VALUE!</v>
      </c>
      <c r="O680" s="50" t="e">
        <f t="shared" si="160"/>
        <v>#VALUE!</v>
      </c>
      <c r="P680" s="50">
        <f t="shared" si="161"/>
        <v>0</v>
      </c>
      <c r="R680" s="55" t="e">
        <f t="shared" si="162"/>
        <v>#VALUE!</v>
      </c>
      <c r="S680" s="55" t="e">
        <f t="shared" si="163"/>
        <v>#VALUE!</v>
      </c>
      <c r="T680" s="55" t="e">
        <f t="shared" si="168"/>
        <v>#VALUE!</v>
      </c>
      <c r="U680" s="50" t="e">
        <f t="shared" si="164"/>
        <v>#VALUE!</v>
      </c>
      <c r="V680" s="50" t="e">
        <f t="shared" si="165"/>
        <v>#VALUE!</v>
      </c>
      <c r="W680" s="50" t="e">
        <f t="shared" si="166"/>
        <v>#VALUE!</v>
      </c>
    </row>
    <row r="681" spans="2:23" x14ac:dyDescent="0.25">
      <c r="B681" s="50" t="b">
        <f t="shared" si="169"/>
        <v>0</v>
      </c>
      <c r="C681" s="50" t="e">
        <f t="shared" si="156"/>
        <v>#VALUE!</v>
      </c>
      <c r="E681" s="56">
        <v>677</v>
      </c>
      <c r="G681" s="138"/>
      <c r="H681" s="135">
        <v>1</v>
      </c>
      <c r="I681" s="57" t="str">
        <f t="shared" si="167"/>
        <v/>
      </c>
      <c r="J681" s="58" t="e">
        <f t="shared" si="157"/>
        <v>#VALUE!</v>
      </c>
      <c r="K681" s="50" t="e">
        <f t="shared" si="158"/>
        <v>#VALUE!</v>
      </c>
      <c r="L681" s="50" t="e">
        <f t="shared" si="170"/>
        <v>#VALUE!</v>
      </c>
      <c r="M681" s="50" t="e">
        <f t="shared" si="170"/>
        <v>#VALUE!</v>
      </c>
      <c r="N681" s="50" t="e">
        <f t="shared" si="159"/>
        <v>#VALUE!</v>
      </c>
      <c r="O681" s="50" t="e">
        <f t="shared" si="160"/>
        <v>#VALUE!</v>
      </c>
      <c r="P681" s="50">
        <f t="shared" si="161"/>
        <v>0</v>
      </c>
      <c r="R681" s="55" t="e">
        <f t="shared" si="162"/>
        <v>#VALUE!</v>
      </c>
      <c r="S681" s="55" t="e">
        <f t="shared" si="163"/>
        <v>#VALUE!</v>
      </c>
      <c r="T681" s="55" t="e">
        <f t="shared" si="168"/>
        <v>#VALUE!</v>
      </c>
      <c r="U681" s="50" t="e">
        <f t="shared" si="164"/>
        <v>#VALUE!</v>
      </c>
      <c r="V681" s="50" t="e">
        <f t="shared" si="165"/>
        <v>#VALUE!</v>
      </c>
      <c r="W681" s="50" t="e">
        <f t="shared" si="166"/>
        <v>#VALUE!</v>
      </c>
    </row>
    <row r="682" spans="2:23" x14ac:dyDescent="0.25">
      <c r="B682" s="50" t="b">
        <f t="shared" si="169"/>
        <v>0</v>
      </c>
      <c r="C682" s="50" t="e">
        <f t="shared" si="156"/>
        <v>#VALUE!</v>
      </c>
      <c r="E682" s="56">
        <v>678</v>
      </c>
      <c r="G682" s="138"/>
      <c r="H682" s="135">
        <v>1</v>
      </c>
      <c r="I682" s="57" t="str">
        <f t="shared" si="167"/>
        <v/>
      </c>
      <c r="J682" s="58" t="e">
        <f t="shared" si="157"/>
        <v>#VALUE!</v>
      </c>
      <c r="K682" s="50" t="e">
        <f t="shared" si="158"/>
        <v>#VALUE!</v>
      </c>
      <c r="L682" s="50" t="e">
        <f t="shared" si="170"/>
        <v>#VALUE!</v>
      </c>
      <c r="M682" s="50" t="e">
        <f t="shared" si="170"/>
        <v>#VALUE!</v>
      </c>
      <c r="N682" s="50" t="e">
        <f t="shared" si="159"/>
        <v>#VALUE!</v>
      </c>
      <c r="O682" s="50" t="e">
        <f t="shared" si="160"/>
        <v>#VALUE!</v>
      </c>
      <c r="P682" s="50">
        <f t="shared" si="161"/>
        <v>0</v>
      </c>
      <c r="R682" s="55" t="e">
        <f t="shared" si="162"/>
        <v>#VALUE!</v>
      </c>
      <c r="S682" s="55" t="e">
        <f t="shared" si="163"/>
        <v>#VALUE!</v>
      </c>
      <c r="T682" s="55" t="e">
        <f t="shared" si="168"/>
        <v>#VALUE!</v>
      </c>
      <c r="U682" s="50" t="e">
        <f t="shared" si="164"/>
        <v>#VALUE!</v>
      </c>
      <c r="V682" s="50" t="e">
        <f t="shared" si="165"/>
        <v>#VALUE!</v>
      </c>
      <c r="W682" s="50" t="e">
        <f t="shared" si="166"/>
        <v>#VALUE!</v>
      </c>
    </row>
    <row r="683" spans="2:23" x14ac:dyDescent="0.25">
      <c r="B683" s="50" t="b">
        <f t="shared" si="169"/>
        <v>0</v>
      </c>
      <c r="C683" s="50" t="e">
        <f t="shared" si="156"/>
        <v>#VALUE!</v>
      </c>
      <c r="E683" s="56">
        <v>679</v>
      </c>
      <c r="G683" s="138"/>
      <c r="H683" s="135">
        <v>1</v>
      </c>
      <c r="I683" s="57" t="str">
        <f t="shared" si="167"/>
        <v/>
      </c>
      <c r="J683" s="58" t="e">
        <f t="shared" si="157"/>
        <v>#VALUE!</v>
      </c>
      <c r="K683" s="50" t="e">
        <f t="shared" si="158"/>
        <v>#VALUE!</v>
      </c>
      <c r="L683" s="50" t="e">
        <f t="shared" si="170"/>
        <v>#VALUE!</v>
      </c>
      <c r="M683" s="50" t="e">
        <f t="shared" si="170"/>
        <v>#VALUE!</v>
      </c>
      <c r="N683" s="50" t="e">
        <f t="shared" si="159"/>
        <v>#VALUE!</v>
      </c>
      <c r="O683" s="50" t="e">
        <f t="shared" si="160"/>
        <v>#VALUE!</v>
      </c>
      <c r="P683" s="50">
        <f t="shared" si="161"/>
        <v>0</v>
      </c>
      <c r="R683" s="55" t="e">
        <f t="shared" si="162"/>
        <v>#VALUE!</v>
      </c>
      <c r="S683" s="55" t="e">
        <f t="shared" si="163"/>
        <v>#VALUE!</v>
      </c>
      <c r="T683" s="55" t="e">
        <f t="shared" si="168"/>
        <v>#VALUE!</v>
      </c>
      <c r="U683" s="50" t="e">
        <f t="shared" si="164"/>
        <v>#VALUE!</v>
      </c>
      <c r="V683" s="50" t="e">
        <f t="shared" si="165"/>
        <v>#VALUE!</v>
      </c>
      <c r="W683" s="50" t="e">
        <f t="shared" si="166"/>
        <v>#VALUE!</v>
      </c>
    </row>
    <row r="684" spans="2:23" x14ac:dyDescent="0.25">
      <c r="B684" s="50" t="b">
        <f t="shared" si="169"/>
        <v>0</v>
      </c>
      <c r="C684" s="50" t="e">
        <f t="shared" si="156"/>
        <v>#VALUE!</v>
      </c>
      <c r="E684" s="56">
        <v>680</v>
      </c>
      <c r="G684" s="138"/>
      <c r="H684" s="135">
        <v>1</v>
      </c>
      <c r="I684" s="57" t="str">
        <f t="shared" si="167"/>
        <v/>
      </c>
      <c r="J684" s="58" t="e">
        <f t="shared" si="157"/>
        <v>#VALUE!</v>
      </c>
      <c r="K684" s="50" t="e">
        <f t="shared" si="158"/>
        <v>#VALUE!</v>
      </c>
      <c r="L684" s="50" t="e">
        <f t="shared" si="170"/>
        <v>#VALUE!</v>
      </c>
      <c r="M684" s="50" t="e">
        <f t="shared" si="170"/>
        <v>#VALUE!</v>
      </c>
      <c r="N684" s="50" t="e">
        <f t="shared" si="159"/>
        <v>#VALUE!</v>
      </c>
      <c r="O684" s="50" t="e">
        <f t="shared" si="160"/>
        <v>#VALUE!</v>
      </c>
      <c r="P684" s="50">
        <f t="shared" si="161"/>
        <v>0</v>
      </c>
      <c r="R684" s="55" t="e">
        <f t="shared" si="162"/>
        <v>#VALUE!</v>
      </c>
      <c r="S684" s="55" t="e">
        <f t="shared" si="163"/>
        <v>#VALUE!</v>
      </c>
      <c r="T684" s="55" t="e">
        <f t="shared" si="168"/>
        <v>#VALUE!</v>
      </c>
      <c r="U684" s="50" t="e">
        <f t="shared" si="164"/>
        <v>#VALUE!</v>
      </c>
      <c r="V684" s="50" t="e">
        <f t="shared" si="165"/>
        <v>#VALUE!</v>
      </c>
      <c r="W684" s="50" t="e">
        <f t="shared" si="166"/>
        <v>#VALUE!</v>
      </c>
    </row>
    <row r="685" spans="2:23" x14ac:dyDescent="0.25">
      <c r="B685" s="50" t="b">
        <f t="shared" si="169"/>
        <v>0</v>
      </c>
      <c r="C685" s="50" t="e">
        <f t="shared" si="156"/>
        <v>#VALUE!</v>
      </c>
      <c r="E685" s="56">
        <v>681</v>
      </c>
      <c r="G685" s="138"/>
      <c r="H685" s="135">
        <v>1</v>
      </c>
      <c r="I685" s="57" t="str">
        <f t="shared" si="167"/>
        <v/>
      </c>
      <c r="J685" s="58" t="e">
        <f t="shared" si="157"/>
        <v>#VALUE!</v>
      </c>
      <c r="K685" s="50" t="e">
        <f t="shared" si="158"/>
        <v>#VALUE!</v>
      </c>
      <c r="L685" s="50" t="e">
        <f t="shared" si="170"/>
        <v>#VALUE!</v>
      </c>
      <c r="M685" s="50" t="e">
        <f t="shared" si="170"/>
        <v>#VALUE!</v>
      </c>
      <c r="N685" s="50" t="e">
        <f t="shared" si="159"/>
        <v>#VALUE!</v>
      </c>
      <c r="O685" s="50" t="e">
        <f t="shared" si="160"/>
        <v>#VALUE!</v>
      </c>
      <c r="P685" s="50">
        <f t="shared" si="161"/>
        <v>0</v>
      </c>
      <c r="R685" s="55" t="e">
        <f t="shared" si="162"/>
        <v>#VALUE!</v>
      </c>
      <c r="S685" s="55" t="e">
        <f t="shared" si="163"/>
        <v>#VALUE!</v>
      </c>
      <c r="T685" s="55" t="e">
        <f t="shared" si="168"/>
        <v>#VALUE!</v>
      </c>
      <c r="U685" s="50" t="e">
        <f t="shared" si="164"/>
        <v>#VALUE!</v>
      </c>
      <c r="V685" s="50" t="e">
        <f t="shared" si="165"/>
        <v>#VALUE!</v>
      </c>
      <c r="W685" s="50" t="e">
        <f t="shared" si="166"/>
        <v>#VALUE!</v>
      </c>
    </row>
    <row r="686" spans="2:23" x14ac:dyDescent="0.25">
      <c r="B686" s="50" t="b">
        <f t="shared" si="169"/>
        <v>0</v>
      </c>
      <c r="C686" s="50" t="e">
        <f t="shared" si="156"/>
        <v>#VALUE!</v>
      </c>
      <c r="E686" s="56">
        <v>682</v>
      </c>
      <c r="G686" s="138"/>
      <c r="H686" s="135">
        <v>1</v>
      </c>
      <c r="I686" s="57" t="str">
        <f t="shared" si="167"/>
        <v/>
      </c>
      <c r="J686" s="58" t="e">
        <f t="shared" si="157"/>
        <v>#VALUE!</v>
      </c>
      <c r="K686" s="50" t="e">
        <f t="shared" si="158"/>
        <v>#VALUE!</v>
      </c>
      <c r="L686" s="50" t="e">
        <f t="shared" si="170"/>
        <v>#VALUE!</v>
      </c>
      <c r="M686" s="50" t="e">
        <f t="shared" si="170"/>
        <v>#VALUE!</v>
      </c>
      <c r="N686" s="50" t="e">
        <f t="shared" si="159"/>
        <v>#VALUE!</v>
      </c>
      <c r="O686" s="50" t="e">
        <f t="shared" si="160"/>
        <v>#VALUE!</v>
      </c>
      <c r="P686" s="50">
        <f t="shared" si="161"/>
        <v>0</v>
      </c>
      <c r="R686" s="55" t="e">
        <f t="shared" si="162"/>
        <v>#VALUE!</v>
      </c>
      <c r="S686" s="55" t="e">
        <f t="shared" si="163"/>
        <v>#VALUE!</v>
      </c>
      <c r="T686" s="55" t="e">
        <f t="shared" si="168"/>
        <v>#VALUE!</v>
      </c>
      <c r="U686" s="50" t="e">
        <f t="shared" si="164"/>
        <v>#VALUE!</v>
      </c>
      <c r="V686" s="50" t="e">
        <f t="shared" si="165"/>
        <v>#VALUE!</v>
      </c>
      <c r="W686" s="50" t="e">
        <f t="shared" si="166"/>
        <v>#VALUE!</v>
      </c>
    </row>
    <row r="687" spans="2:23" x14ac:dyDescent="0.25">
      <c r="B687" s="50" t="b">
        <f t="shared" si="169"/>
        <v>0</v>
      </c>
      <c r="C687" s="50" t="e">
        <f t="shared" si="156"/>
        <v>#VALUE!</v>
      </c>
      <c r="E687" s="56">
        <v>683</v>
      </c>
      <c r="G687" s="138"/>
      <c r="H687" s="135">
        <v>1</v>
      </c>
      <c r="I687" s="57" t="str">
        <f t="shared" si="167"/>
        <v/>
      </c>
      <c r="J687" s="58" t="e">
        <f t="shared" si="157"/>
        <v>#VALUE!</v>
      </c>
      <c r="K687" s="50" t="e">
        <f t="shared" si="158"/>
        <v>#VALUE!</v>
      </c>
      <c r="L687" s="50" t="e">
        <f t="shared" si="170"/>
        <v>#VALUE!</v>
      </c>
      <c r="M687" s="50" t="e">
        <f t="shared" si="170"/>
        <v>#VALUE!</v>
      </c>
      <c r="N687" s="50" t="e">
        <f t="shared" si="159"/>
        <v>#VALUE!</v>
      </c>
      <c r="O687" s="50" t="e">
        <f t="shared" si="160"/>
        <v>#VALUE!</v>
      </c>
      <c r="P687" s="50">
        <f t="shared" si="161"/>
        <v>0</v>
      </c>
      <c r="R687" s="55" t="e">
        <f t="shared" si="162"/>
        <v>#VALUE!</v>
      </c>
      <c r="S687" s="55" t="e">
        <f t="shared" si="163"/>
        <v>#VALUE!</v>
      </c>
      <c r="T687" s="55" t="e">
        <f t="shared" si="168"/>
        <v>#VALUE!</v>
      </c>
      <c r="U687" s="50" t="e">
        <f t="shared" si="164"/>
        <v>#VALUE!</v>
      </c>
      <c r="V687" s="50" t="e">
        <f t="shared" si="165"/>
        <v>#VALUE!</v>
      </c>
      <c r="W687" s="50" t="e">
        <f t="shared" si="166"/>
        <v>#VALUE!</v>
      </c>
    </row>
    <row r="688" spans="2:23" x14ac:dyDescent="0.25">
      <c r="B688" s="50" t="b">
        <f t="shared" si="169"/>
        <v>0</v>
      </c>
      <c r="C688" s="50" t="e">
        <f t="shared" si="156"/>
        <v>#VALUE!</v>
      </c>
      <c r="E688" s="56">
        <v>684</v>
      </c>
      <c r="G688" s="138"/>
      <c r="H688" s="135">
        <v>1</v>
      </c>
      <c r="I688" s="57" t="str">
        <f t="shared" si="167"/>
        <v/>
      </c>
      <c r="J688" s="58" t="e">
        <f t="shared" si="157"/>
        <v>#VALUE!</v>
      </c>
      <c r="K688" s="50" t="e">
        <f t="shared" si="158"/>
        <v>#VALUE!</v>
      </c>
      <c r="L688" s="50" t="e">
        <f t="shared" si="170"/>
        <v>#VALUE!</v>
      </c>
      <c r="M688" s="50" t="e">
        <f t="shared" si="170"/>
        <v>#VALUE!</v>
      </c>
      <c r="N688" s="50" t="e">
        <f t="shared" si="159"/>
        <v>#VALUE!</v>
      </c>
      <c r="O688" s="50" t="e">
        <f t="shared" si="160"/>
        <v>#VALUE!</v>
      </c>
      <c r="P688" s="50">
        <f t="shared" si="161"/>
        <v>0</v>
      </c>
      <c r="R688" s="55" t="e">
        <f t="shared" si="162"/>
        <v>#VALUE!</v>
      </c>
      <c r="S688" s="55" t="e">
        <f t="shared" si="163"/>
        <v>#VALUE!</v>
      </c>
      <c r="T688" s="55" t="e">
        <f t="shared" si="168"/>
        <v>#VALUE!</v>
      </c>
      <c r="U688" s="50" t="e">
        <f t="shared" si="164"/>
        <v>#VALUE!</v>
      </c>
      <c r="V688" s="50" t="e">
        <f t="shared" si="165"/>
        <v>#VALUE!</v>
      </c>
      <c r="W688" s="50" t="e">
        <f t="shared" si="166"/>
        <v>#VALUE!</v>
      </c>
    </row>
    <row r="689" spans="2:23" x14ac:dyDescent="0.25">
      <c r="B689" s="50" t="b">
        <f t="shared" si="169"/>
        <v>0</v>
      </c>
      <c r="C689" s="50" t="e">
        <f t="shared" si="156"/>
        <v>#VALUE!</v>
      </c>
      <c r="E689" s="56">
        <v>685</v>
      </c>
      <c r="G689" s="138"/>
      <c r="H689" s="135">
        <v>1</v>
      </c>
      <c r="I689" s="57" t="str">
        <f t="shared" si="167"/>
        <v/>
      </c>
      <c r="J689" s="58" t="e">
        <f t="shared" si="157"/>
        <v>#VALUE!</v>
      </c>
      <c r="K689" s="50" t="e">
        <f t="shared" si="158"/>
        <v>#VALUE!</v>
      </c>
      <c r="L689" s="50" t="e">
        <f t="shared" si="170"/>
        <v>#VALUE!</v>
      </c>
      <c r="M689" s="50" t="e">
        <f t="shared" si="170"/>
        <v>#VALUE!</v>
      </c>
      <c r="N689" s="50" t="e">
        <f t="shared" si="159"/>
        <v>#VALUE!</v>
      </c>
      <c r="O689" s="50" t="e">
        <f t="shared" si="160"/>
        <v>#VALUE!</v>
      </c>
      <c r="P689" s="50">
        <f t="shared" si="161"/>
        <v>0</v>
      </c>
      <c r="R689" s="55" t="e">
        <f t="shared" si="162"/>
        <v>#VALUE!</v>
      </c>
      <c r="S689" s="55" t="e">
        <f t="shared" si="163"/>
        <v>#VALUE!</v>
      </c>
      <c r="T689" s="55" t="e">
        <f t="shared" si="168"/>
        <v>#VALUE!</v>
      </c>
      <c r="U689" s="50" t="e">
        <f t="shared" si="164"/>
        <v>#VALUE!</v>
      </c>
      <c r="V689" s="50" t="e">
        <f t="shared" si="165"/>
        <v>#VALUE!</v>
      </c>
      <c r="W689" s="50" t="e">
        <f t="shared" si="166"/>
        <v>#VALUE!</v>
      </c>
    </row>
    <row r="690" spans="2:23" x14ac:dyDescent="0.25">
      <c r="B690" s="50" t="b">
        <f t="shared" si="169"/>
        <v>0</v>
      </c>
      <c r="C690" s="50" t="e">
        <f t="shared" si="156"/>
        <v>#VALUE!</v>
      </c>
      <c r="E690" s="56">
        <v>686</v>
      </c>
      <c r="G690" s="138"/>
      <c r="H690" s="135">
        <v>1</v>
      </c>
      <c r="I690" s="57" t="str">
        <f t="shared" si="167"/>
        <v/>
      </c>
      <c r="J690" s="58" t="e">
        <f t="shared" si="157"/>
        <v>#VALUE!</v>
      </c>
      <c r="K690" s="50" t="e">
        <f t="shared" si="158"/>
        <v>#VALUE!</v>
      </c>
      <c r="L690" s="50" t="e">
        <f t="shared" si="170"/>
        <v>#VALUE!</v>
      </c>
      <c r="M690" s="50" t="e">
        <f t="shared" si="170"/>
        <v>#VALUE!</v>
      </c>
      <c r="N690" s="50" t="e">
        <f t="shared" si="159"/>
        <v>#VALUE!</v>
      </c>
      <c r="O690" s="50" t="e">
        <f t="shared" si="160"/>
        <v>#VALUE!</v>
      </c>
      <c r="P690" s="50">
        <f t="shared" si="161"/>
        <v>0</v>
      </c>
      <c r="R690" s="55" t="e">
        <f t="shared" si="162"/>
        <v>#VALUE!</v>
      </c>
      <c r="S690" s="55" t="e">
        <f t="shared" si="163"/>
        <v>#VALUE!</v>
      </c>
      <c r="T690" s="55" t="e">
        <f t="shared" si="168"/>
        <v>#VALUE!</v>
      </c>
      <c r="U690" s="50" t="e">
        <f t="shared" si="164"/>
        <v>#VALUE!</v>
      </c>
      <c r="V690" s="50" t="e">
        <f t="shared" si="165"/>
        <v>#VALUE!</v>
      </c>
      <c r="W690" s="50" t="e">
        <f t="shared" si="166"/>
        <v>#VALUE!</v>
      </c>
    </row>
    <row r="691" spans="2:23" x14ac:dyDescent="0.25">
      <c r="B691" s="50" t="b">
        <f t="shared" si="169"/>
        <v>0</v>
      </c>
      <c r="C691" s="50" t="e">
        <f t="shared" si="156"/>
        <v>#VALUE!</v>
      </c>
      <c r="E691" s="56">
        <v>687</v>
      </c>
      <c r="G691" s="138"/>
      <c r="H691" s="135">
        <v>1</v>
      </c>
      <c r="I691" s="57" t="str">
        <f t="shared" si="167"/>
        <v/>
      </c>
      <c r="J691" s="58" t="e">
        <f t="shared" si="157"/>
        <v>#VALUE!</v>
      </c>
      <c r="K691" s="50" t="e">
        <f t="shared" si="158"/>
        <v>#VALUE!</v>
      </c>
      <c r="L691" s="50" t="e">
        <f t="shared" si="170"/>
        <v>#VALUE!</v>
      </c>
      <c r="M691" s="50" t="e">
        <f t="shared" si="170"/>
        <v>#VALUE!</v>
      </c>
      <c r="N691" s="50" t="e">
        <f t="shared" si="159"/>
        <v>#VALUE!</v>
      </c>
      <c r="O691" s="50" t="e">
        <f t="shared" si="160"/>
        <v>#VALUE!</v>
      </c>
      <c r="P691" s="50">
        <f t="shared" si="161"/>
        <v>0</v>
      </c>
      <c r="R691" s="55" t="e">
        <f t="shared" si="162"/>
        <v>#VALUE!</v>
      </c>
      <c r="S691" s="55" t="e">
        <f t="shared" si="163"/>
        <v>#VALUE!</v>
      </c>
      <c r="T691" s="55" t="e">
        <f t="shared" si="168"/>
        <v>#VALUE!</v>
      </c>
      <c r="U691" s="50" t="e">
        <f t="shared" si="164"/>
        <v>#VALUE!</v>
      </c>
      <c r="V691" s="50" t="e">
        <f t="shared" si="165"/>
        <v>#VALUE!</v>
      </c>
      <c r="W691" s="50" t="e">
        <f t="shared" si="166"/>
        <v>#VALUE!</v>
      </c>
    </row>
    <row r="692" spans="2:23" x14ac:dyDescent="0.25">
      <c r="B692" s="50" t="b">
        <f t="shared" si="169"/>
        <v>0</v>
      </c>
      <c r="C692" s="50" t="e">
        <f t="shared" si="156"/>
        <v>#VALUE!</v>
      </c>
      <c r="E692" s="56">
        <v>688</v>
      </c>
      <c r="G692" s="138"/>
      <c r="H692" s="135">
        <v>1</v>
      </c>
      <c r="I692" s="57" t="str">
        <f t="shared" si="167"/>
        <v/>
      </c>
      <c r="J692" s="58" t="e">
        <f t="shared" si="157"/>
        <v>#VALUE!</v>
      </c>
      <c r="K692" s="50" t="e">
        <f t="shared" si="158"/>
        <v>#VALUE!</v>
      </c>
      <c r="L692" s="50" t="e">
        <f t="shared" si="170"/>
        <v>#VALUE!</v>
      </c>
      <c r="M692" s="50" t="e">
        <f t="shared" si="170"/>
        <v>#VALUE!</v>
      </c>
      <c r="N692" s="50" t="e">
        <f t="shared" si="159"/>
        <v>#VALUE!</v>
      </c>
      <c r="O692" s="50" t="e">
        <f t="shared" si="160"/>
        <v>#VALUE!</v>
      </c>
      <c r="P692" s="50">
        <f t="shared" si="161"/>
        <v>0</v>
      </c>
      <c r="R692" s="55" t="e">
        <f t="shared" si="162"/>
        <v>#VALUE!</v>
      </c>
      <c r="S692" s="55" t="e">
        <f t="shared" si="163"/>
        <v>#VALUE!</v>
      </c>
      <c r="T692" s="55" t="e">
        <f t="shared" si="168"/>
        <v>#VALUE!</v>
      </c>
      <c r="U692" s="50" t="e">
        <f t="shared" si="164"/>
        <v>#VALUE!</v>
      </c>
      <c r="V692" s="50" t="e">
        <f t="shared" si="165"/>
        <v>#VALUE!</v>
      </c>
      <c r="W692" s="50" t="e">
        <f t="shared" si="166"/>
        <v>#VALUE!</v>
      </c>
    </row>
    <row r="693" spans="2:23" x14ac:dyDescent="0.25">
      <c r="B693" s="50" t="b">
        <f t="shared" si="169"/>
        <v>0</v>
      </c>
      <c r="C693" s="50" t="e">
        <f t="shared" si="156"/>
        <v>#VALUE!</v>
      </c>
      <c r="E693" s="56">
        <v>689</v>
      </c>
      <c r="G693" s="138"/>
      <c r="H693" s="135">
        <v>1</v>
      </c>
      <c r="I693" s="57" t="str">
        <f t="shared" si="167"/>
        <v/>
      </c>
      <c r="J693" s="58" t="e">
        <f t="shared" si="157"/>
        <v>#VALUE!</v>
      </c>
      <c r="K693" s="50" t="e">
        <f t="shared" si="158"/>
        <v>#VALUE!</v>
      </c>
      <c r="L693" s="50" t="e">
        <f t="shared" si="170"/>
        <v>#VALUE!</v>
      </c>
      <c r="M693" s="50" t="e">
        <f t="shared" si="170"/>
        <v>#VALUE!</v>
      </c>
      <c r="N693" s="50" t="e">
        <f t="shared" si="159"/>
        <v>#VALUE!</v>
      </c>
      <c r="O693" s="50" t="e">
        <f t="shared" si="160"/>
        <v>#VALUE!</v>
      </c>
      <c r="P693" s="50">
        <f t="shared" si="161"/>
        <v>0</v>
      </c>
      <c r="R693" s="55" t="e">
        <f t="shared" si="162"/>
        <v>#VALUE!</v>
      </c>
      <c r="S693" s="55" t="e">
        <f t="shared" si="163"/>
        <v>#VALUE!</v>
      </c>
      <c r="T693" s="55" t="e">
        <f t="shared" si="168"/>
        <v>#VALUE!</v>
      </c>
      <c r="U693" s="50" t="e">
        <f t="shared" si="164"/>
        <v>#VALUE!</v>
      </c>
      <c r="V693" s="50" t="e">
        <f t="shared" si="165"/>
        <v>#VALUE!</v>
      </c>
      <c r="W693" s="50" t="e">
        <f t="shared" si="166"/>
        <v>#VALUE!</v>
      </c>
    </row>
    <row r="694" spans="2:23" x14ac:dyDescent="0.25">
      <c r="B694" s="50" t="b">
        <f t="shared" si="169"/>
        <v>0</v>
      </c>
      <c r="C694" s="50" t="e">
        <f t="shared" ref="C694:C757" si="171">SUM(U694:W694)</f>
        <v>#VALUE!</v>
      </c>
      <c r="E694" s="56">
        <v>690</v>
      </c>
      <c r="G694" s="138"/>
      <c r="H694" s="135">
        <v>1</v>
      </c>
      <c r="I694" s="57" t="str">
        <f t="shared" si="167"/>
        <v/>
      </c>
      <c r="J694" s="58" t="e">
        <f t="shared" si="157"/>
        <v>#VALUE!</v>
      </c>
      <c r="K694" s="50" t="e">
        <f t="shared" si="158"/>
        <v>#VALUE!</v>
      </c>
      <c r="L694" s="50" t="e">
        <f t="shared" si="170"/>
        <v>#VALUE!</v>
      </c>
      <c r="M694" s="50" t="e">
        <f t="shared" si="170"/>
        <v>#VALUE!</v>
      </c>
      <c r="N694" s="50" t="e">
        <f t="shared" si="159"/>
        <v>#VALUE!</v>
      </c>
      <c r="O694" s="50" t="e">
        <f t="shared" si="160"/>
        <v>#VALUE!</v>
      </c>
      <c r="P694" s="50">
        <f t="shared" si="161"/>
        <v>0</v>
      </c>
      <c r="R694" s="55" t="e">
        <f t="shared" si="162"/>
        <v>#VALUE!</v>
      </c>
      <c r="S694" s="55" t="e">
        <f t="shared" si="163"/>
        <v>#VALUE!</v>
      </c>
      <c r="T694" s="55" t="e">
        <f t="shared" si="168"/>
        <v>#VALUE!</v>
      </c>
      <c r="U694" s="50" t="e">
        <f t="shared" si="164"/>
        <v>#VALUE!</v>
      </c>
      <c r="V694" s="50" t="e">
        <f t="shared" si="165"/>
        <v>#VALUE!</v>
      </c>
      <c r="W694" s="50" t="e">
        <f t="shared" si="166"/>
        <v>#VALUE!</v>
      </c>
    </row>
    <row r="695" spans="2:23" x14ac:dyDescent="0.25">
      <c r="B695" s="50" t="b">
        <f t="shared" si="169"/>
        <v>0</v>
      </c>
      <c r="C695" s="50" t="e">
        <f t="shared" si="171"/>
        <v>#VALUE!</v>
      </c>
      <c r="E695" s="56">
        <v>691</v>
      </c>
      <c r="G695" s="138"/>
      <c r="H695" s="135">
        <v>1</v>
      </c>
      <c r="I695" s="57" t="str">
        <f t="shared" si="167"/>
        <v/>
      </c>
      <c r="J695" s="58" t="e">
        <f t="shared" si="157"/>
        <v>#VALUE!</v>
      </c>
      <c r="K695" s="50" t="e">
        <f t="shared" si="158"/>
        <v>#VALUE!</v>
      </c>
      <c r="L695" s="50" t="e">
        <f t="shared" si="170"/>
        <v>#VALUE!</v>
      </c>
      <c r="M695" s="50" t="e">
        <f t="shared" si="170"/>
        <v>#VALUE!</v>
      </c>
      <c r="N695" s="50" t="e">
        <f t="shared" si="159"/>
        <v>#VALUE!</v>
      </c>
      <c r="O695" s="50" t="e">
        <f t="shared" si="160"/>
        <v>#VALUE!</v>
      </c>
      <c r="P695" s="50">
        <f t="shared" si="161"/>
        <v>0</v>
      </c>
      <c r="R695" s="55" t="e">
        <f t="shared" si="162"/>
        <v>#VALUE!</v>
      </c>
      <c r="S695" s="55" t="e">
        <f t="shared" si="163"/>
        <v>#VALUE!</v>
      </c>
      <c r="T695" s="55" t="e">
        <f t="shared" si="168"/>
        <v>#VALUE!</v>
      </c>
      <c r="U695" s="50" t="e">
        <f t="shared" si="164"/>
        <v>#VALUE!</v>
      </c>
      <c r="V695" s="50" t="e">
        <f t="shared" si="165"/>
        <v>#VALUE!</v>
      </c>
      <c r="W695" s="50" t="e">
        <f t="shared" si="166"/>
        <v>#VALUE!</v>
      </c>
    </row>
    <row r="696" spans="2:23" x14ac:dyDescent="0.25">
      <c r="B696" s="50" t="b">
        <f t="shared" si="169"/>
        <v>0</v>
      </c>
      <c r="C696" s="50" t="e">
        <f t="shared" si="171"/>
        <v>#VALUE!</v>
      </c>
      <c r="E696" s="56">
        <v>692</v>
      </c>
      <c r="G696" s="138"/>
      <c r="H696" s="135">
        <v>1</v>
      </c>
      <c r="I696" s="57" t="str">
        <f t="shared" si="167"/>
        <v/>
      </c>
      <c r="J696" s="58" t="e">
        <f t="shared" si="157"/>
        <v>#VALUE!</v>
      </c>
      <c r="K696" s="50" t="e">
        <f t="shared" si="158"/>
        <v>#VALUE!</v>
      </c>
      <c r="L696" s="50" t="e">
        <f t="shared" si="170"/>
        <v>#VALUE!</v>
      </c>
      <c r="M696" s="50" t="e">
        <f t="shared" si="170"/>
        <v>#VALUE!</v>
      </c>
      <c r="N696" s="50" t="e">
        <f t="shared" si="159"/>
        <v>#VALUE!</v>
      </c>
      <c r="O696" s="50" t="e">
        <f t="shared" si="160"/>
        <v>#VALUE!</v>
      </c>
      <c r="P696" s="50">
        <f t="shared" si="161"/>
        <v>0</v>
      </c>
      <c r="R696" s="55" t="e">
        <f t="shared" si="162"/>
        <v>#VALUE!</v>
      </c>
      <c r="S696" s="55" t="e">
        <f t="shared" si="163"/>
        <v>#VALUE!</v>
      </c>
      <c r="T696" s="55" t="e">
        <f t="shared" si="168"/>
        <v>#VALUE!</v>
      </c>
      <c r="U696" s="50" t="e">
        <f t="shared" si="164"/>
        <v>#VALUE!</v>
      </c>
      <c r="V696" s="50" t="e">
        <f t="shared" si="165"/>
        <v>#VALUE!</v>
      </c>
      <c r="W696" s="50" t="e">
        <f t="shared" si="166"/>
        <v>#VALUE!</v>
      </c>
    </row>
    <row r="697" spans="2:23" x14ac:dyDescent="0.25">
      <c r="B697" s="50" t="b">
        <f t="shared" si="169"/>
        <v>0</v>
      </c>
      <c r="C697" s="50" t="e">
        <f t="shared" si="171"/>
        <v>#VALUE!</v>
      </c>
      <c r="E697" s="56">
        <v>693</v>
      </c>
      <c r="G697" s="138"/>
      <c r="H697" s="135">
        <v>1</v>
      </c>
      <c r="I697" s="57" t="str">
        <f t="shared" si="167"/>
        <v/>
      </c>
      <c r="J697" s="58" t="e">
        <f t="shared" si="157"/>
        <v>#VALUE!</v>
      </c>
      <c r="K697" s="50" t="e">
        <f t="shared" si="158"/>
        <v>#VALUE!</v>
      </c>
      <c r="L697" s="50" t="e">
        <f t="shared" si="170"/>
        <v>#VALUE!</v>
      </c>
      <c r="M697" s="50" t="e">
        <f t="shared" si="170"/>
        <v>#VALUE!</v>
      </c>
      <c r="N697" s="50" t="e">
        <f t="shared" si="159"/>
        <v>#VALUE!</v>
      </c>
      <c r="O697" s="50" t="e">
        <f t="shared" si="160"/>
        <v>#VALUE!</v>
      </c>
      <c r="P697" s="50">
        <f t="shared" si="161"/>
        <v>0</v>
      </c>
      <c r="R697" s="55" t="e">
        <f t="shared" si="162"/>
        <v>#VALUE!</v>
      </c>
      <c r="S697" s="55" t="e">
        <f t="shared" si="163"/>
        <v>#VALUE!</v>
      </c>
      <c r="T697" s="55" t="e">
        <f t="shared" si="168"/>
        <v>#VALUE!</v>
      </c>
      <c r="U697" s="50" t="e">
        <f t="shared" si="164"/>
        <v>#VALUE!</v>
      </c>
      <c r="V697" s="50" t="e">
        <f t="shared" si="165"/>
        <v>#VALUE!</v>
      </c>
      <c r="W697" s="50" t="e">
        <f t="shared" si="166"/>
        <v>#VALUE!</v>
      </c>
    </row>
    <row r="698" spans="2:23" x14ac:dyDescent="0.25">
      <c r="B698" s="50" t="b">
        <f t="shared" si="169"/>
        <v>0</v>
      </c>
      <c r="C698" s="50" t="e">
        <f t="shared" si="171"/>
        <v>#VALUE!</v>
      </c>
      <c r="E698" s="56">
        <v>694</v>
      </c>
      <c r="G698" s="138"/>
      <c r="H698" s="135">
        <v>1</v>
      </c>
      <c r="I698" s="57" t="str">
        <f t="shared" si="167"/>
        <v/>
      </c>
      <c r="J698" s="58" t="e">
        <f t="shared" si="157"/>
        <v>#VALUE!</v>
      </c>
      <c r="K698" s="50" t="e">
        <f t="shared" si="158"/>
        <v>#VALUE!</v>
      </c>
      <c r="L698" s="50" t="e">
        <f t="shared" si="170"/>
        <v>#VALUE!</v>
      </c>
      <c r="M698" s="50" t="e">
        <f t="shared" si="170"/>
        <v>#VALUE!</v>
      </c>
      <c r="N698" s="50" t="e">
        <f t="shared" si="159"/>
        <v>#VALUE!</v>
      </c>
      <c r="O698" s="50" t="e">
        <f t="shared" si="160"/>
        <v>#VALUE!</v>
      </c>
      <c r="P698" s="50">
        <f t="shared" si="161"/>
        <v>0</v>
      </c>
      <c r="R698" s="55" t="e">
        <f t="shared" si="162"/>
        <v>#VALUE!</v>
      </c>
      <c r="S698" s="55" t="e">
        <f t="shared" si="163"/>
        <v>#VALUE!</v>
      </c>
      <c r="T698" s="55" t="e">
        <f t="shared" si="168"/>
        <v>#VALUE!</v>
      </c>
      <c r="U698" s="50" t="e">
        <f t="shared" si="164"/>
        <v>#VALUE!</v>
      </c>
      <c r="V698" s="50" t="e">
        <f t="shared" si="165"/>
        <v>#VALUE!</v>
      </c>
      <c r="W698" s="50" t="e">
        <f t="shared" si="166"/>
        <v>#VALUE!</v>
      </c>
    </row>
    <row r="699" spans="2:23" x14ac:dyDescent="0.25">
      <c r="B699" s="50" t="b">
        <f t="shared" si="169"/>
        <v>0</v>
      </c>
      <c r="C699" s="50" t="e">
        <f t="shared" si="171"/>
        <v>#VALUE!</v>
      </c>
      <c r="E699" s="56">
        <v>695</v>
      </c>
      <c r="G699" s="138"/>
      <c r="H699" s="135">
        <v>1</v>
      </c>
      <c r="I699" s="57" t="str">
        <f t="shared" si="167"/>
        <v/>
      </c>
      <c r="J699" s="58" t="e">
        <f t="shared" si="157"/>
        <v>#VALUE!</v>
      </c>
      <c r="K699" s="50" t="e">
        <f t="shared" si="158"/>
        <v>#VALUE!</v>
      </c>
      <c r="L699" s="50" t="e">
        <f t="shared" si="170"/>
        <v>#VALUE!</v>
      </c>
      <c r="M699" s="50" t="e">
        <f t="shared" si="170"/>
        <v>#VALUE!</v>
      </c>
      <c r="N699" s="50" t="e">
        <f t="shared" si="159"/>
        <v>#VALUE!</v>
      </c>
      <c r="O699" s="50" t="e">
        <f t="shared" si="160"/>
        <v>#VALUE!</v>
      </c>
      <c r="P699" s="50">
        <f t="shared" si="161"/>
        <v>0</v>
      </c>
      <c r="R699" s="55" t="e">
        <f t="shared" si="162"/>
        <v>#VALUE!</v>
      </c>
      <c r="S699" s="55" t="e">
        <f t="shared" si="163"/>
        <v>#VALUE!</v>
      </c>
      <c r="T699" s="55" t="e">
        <f t="shared" si="168"/>
        <v>#VALUE!</v>
      </c>
      <c r="U699" s="50" t="e">
        <f t="shared" si="164"/>
        <v>#VALUE!</v>
      </c>
      <c r="V699" s="50" t="e">
        <f t="shared" si="165"/>
        <v>#VALUE!</v>
      </c>
      <c r="W699" s="50" t="e">
        <f t="shared" si="166"/>
        <v>#VALUE!</v>
      </c>
    </row>
    <row r="700" spans="2:23" x14ac:dyDescent="0.25">
      <c r="B700" s="50" t="b">
        <f t="shared" si="169"/>
        <v>0</v>
      </c>
      <c r="C700" s="50" t="e">
        <f t="shared" si="171"/>
        <v>#VALUE!</v>
      </c>
      <c r="E700" s="56">
        <v>696</v>
      </c>
      <c r="G700" s="138"/>
      <c r="H700" s="135">
        <v>1</v>
      </c>
      <c r="I700" s="57" t="str">
        <f t="shared" si="167"/>
        <v/>
      </c>
      <c r="J700" s="58" t="e">
        <f t="shared" si="157"/>
        <v>#VALUE!</v>
      </c>
      <c r="K700" s="50" t="e">
        <f t="shared" si="158"/>
        <v>#VALUE!</v>
      </c>
      <c r="L700" s="50" t="e">
        <f t="shared" si="170"/>
        <v>#VALUE!</v>
      </c>
      <c r="M700" s="50" t="e">
        <f t="shared" si="170"/>
        <v>#VALUE!</v>
      </c>
      <c r="N700" s="50" t="e">
        <f t="shared" si="159"/>
        <v>#VALUE!</v>
      </c>
      <c r="O700" s="50" t="e">
        <f t="shared" si="160"/>
        <v>#VALUE!</v>
      </c>
      <c r="P700" s="50">
        <f t="shared" si="161"/>
        <v>0</v>
      </c>
      <c r="R700" s="55" t="e">
        <f t="shared" si="162"/>
        <v>#VALUE!</v>
      </c>
      <c r="S700" s="55" t="e">
        <f t="shared" si="163"/>
        <v>#VALUE!</v>
      </c>
      <c r="T700" s="55" t="e">
        <f t="shared" si="168"/>
        <v>#VALUE!</v>
      </c>
      <c r="U700" s="50" t="e">
        <f t="shared" si="164"/>
        <v>#VALUE!</v>
      </c>
      <c r="V700" s="50" t="e">
        <f t="shared" si="165"/>
        <v>#VALUE!</v>
      </c>
      <c r="W700" s="50" t="e">
        <f t="shared" si="166"/>
        <v>#VALUE!</v>
      </c>
    </row>
    <row r="701" spans="2:23" x14ac:dyDescent="0.25">
      <c r="B701" s="50" t="b">
        <f t="shared" si="169"/>
        <v>0</v>
      </c>
      <c r="C701" s="50" t="e">
        <f t="shared" si="171"/>
        <v>#VALUE!</v>
      </c>
      <c r="E701" s="56">
        <v>697</v>
      </c>
      <c r="G701" s="138"/>
      <c r="H701" s="135">
        <v>1</v>
      </c>
      <c r="I701" s="57" t="str">
        <f t="shared" si="167"/>
        <v/>
      </c>
      <c r="J701" s="58" t="e">
        <f t="shared" si="157"/>
        <v>#VALUE!</v>
      </c>
      <c r="K701" s="50" t="e">
        <f t="shared" si="158"/>
        <v>#VALUE!</v>
      </c>
      <c r="L701" s="50" t="e">
        <f t="shared" si="170"/>
        <v>#VALUE!</v>
      </c>
      <c r="M701" s="50" t="e">
        <f t="shared" si="170"/>
        <v>#VALUE!</v>
      </c>
      <c r="N701" s="50" t="e">
        <f t="shared" si="159"/>
        <v>#VALUE!</v>
      </c>
      <c r="O701" s="50" t="e">
        <f t="shared" si="160"/>
        <v>#VALUE!</v>
      </c>
      <c r="P701" s="50">
        <f t="shared" si="161"/>
        <v>0</v>
      </c>
      <c r="R701" s="55" t="e">
        <f t="shared" si="162"/>
        <v>#VALUE!</v>
      </c>
      <c r="S701" s="55" t="e">
        <f t="shared" si="163"/>
        <v>#VALUE!</v>
      </c>
      <c r="T701" s="55" t="e">
        <f t="shared" si="168"/>
        <v>#VALUE!</v>
      </c>
      <c r="U701" s="50" t="e">
        <f t="shared" si="164"/>
        <v>#VALUE!</v>
      </c>
      <c r="V701" s="50" t="e">
        <f t="shared" si="165"/>
        <v>#VALUE!</v>
      </c>
      <c r="W701" s="50" t="e">
        <f t="shared" si="166"/>
        <v>#VALUE!</v>
      </c>
    </row>
    <row r="702" spans="2:23" x14ac:dyDescent="0.25">
      <c r="B702" s="50" t="b">
        <f t="shared" si="169"/>
        <v>0</v>
      </c>
      <c r="C702" s="50" t="e">
        <f t="shared" si="171"/>
        <v>#VALUE!</v>
      </c>
      <c r="E702" s="56">
        <v>698</v>
      </c>
      <c r="G702" s="138"/>
      <c r="H702" s="135">
        <v>1</v>
      </c>
      <c r="I702" s="57" t="str">
        <f t="shared" si="167"/>
        <v/>
      </c>
      <c r="J702" s="58" t="e">
        <f t="shared" si="157"/>
        <v>#VALUE!</v>
      </c>
      <c r="K702" s="50" t="e">
        <f t="shared" si="158"/>
        <v>#VALUE!</v>
      </c>
      <c r="L702" s="50" t="e">
        <f t="shared" si="170"/>
        <v>#VALUE!</v>
      </c>
      <c r="M702" s="50" t="e">
        <f t="shared" si="170"/>
        <v>#VALUE!</v>
      </c>
      <c r="N702" s="50" t="e">
        <f t="shared" si="159"/>
        <v>#VALUE!</v>
      </c>
      <c r="O702" s="50" t="e">
        <f t="shared" si="160"/>
        <v>#VALUE!</v>
      </c>
      <c r="P702" s="50">
        <f t="shared" si="161"/>
        <v>0</v>
      </c>
      <c r="R702" s="55" t="e">
        <f t="shared" si="162"/>
        <v>#VALUE!</v>
      </c>
      <c r="S702" s="55" t="e">
        <f t="shared" si="163"/>
        <v>#VALUE!</v>
      </c>
      <c r="T702" s="55" t="e">
        <f t="shared" si="168"/>
        <v>#VALUE!</v>
      </c>
      <c r="U702" s="50" t="e">
        <f t="shared" si="164"/>
        <v>#VALUE!</v>
      </c>
      <c r="V702" s="50" t="e">
        <f t="shared" si="165"/>
        <v>#VALUE!</v>
      </c>
      <c r="W702" s="50" t="e">
        <f t="shared" si="166"/>
        <v>#VALUE!</v>
      </c>
    </row>
    <row r="703" spans="2:23" x14ac:dyDescent="0.25">
      <c r="B703" s="50" t="b">
        <f t="shared" si="169"/>
        <v>0</v>
      </c>
      <c r="C703" s="50" t="e">
        <f t="shared" si="171"/>
        <v>#VALUE!</v>
      </c>
      <c r="E703" s="56">
        <v>699</v>
      </c>
      <c r="G703" s="138"/>
      <c r="H703" s="135">
        <v>1</v>
      </c>
      <c r="I703" s="57" t="str">
        <f t="shared" si="167"/>
        <v/>
      </c>
      <c r="J703" s="58" t="e">
        <f t="shared" si="157"/>
        <v>#VALUE!</v>
      </c>
      <c r="K703" s="50" t="e">
        <f t="shared" si="158"/>
        <v>#VALUE!</v>
      </c>
      <c r="L703" s="50" t="e">
        <f t="shared" si="170"/>
        <v>#VALUE!</v>
      </c>
      <c r="M703" s="50" t="e">
        <f t="shared" si="170"/>
        <v>#VALUE!</v>
      </c>
      <c r="N703" s="50" t="e">
        <f t="shared" si="159"/>
        <v>#VALUE!</v>
      </c>
      <c r="O703" s="50" t="e">
        <f t="shared" si="160"/>
        <v>#VALUE!</v>
      </c>
      <c r="P703" s="50">
        <f t="shared" si="161"/>
        <v>0</v>
      </c>
      <c r="R703" s="55" t="e">
        <f t="shared" si="162"/>
        <v>#VALUE!</v>
      </c>
      <c r="S703" s="55" t="e">
        <f t="shared" si="163"/>
        <v>#VALUE!</v>
      </c>
      <c r="T703" s="55" t="e">
        <f t="shared" si="168"/>
        <v>#VALUE!</v>
      </c>
      <c r="U703" s="50" t="e">
        <f t="shared" si="164"/>
        <v>#VALUE!</v>
      </c>
      <c r="V703" s="50" t="e">
        <f t="shared" si="165"/>
        <v>#VALUE!</v>
      </c>
      <c r="W703" s="50" t="e">
        <f t="shared" si="166"/>
        <v>#VALUE!</v>
      </c>
    </row>
    <row r="704" spans="2:23" x14ac:dyDescent="0.25">
      <c r="B704" s="50" t="b">
        <f t="shared" si="169"/>
        <v>0</v>
      </c>
      <c r="C704" s="50" t="e">
        <f t="shared" si="171"/>
        <v>#VALUE!</v>
      </c>
      <c r="E704" s="56">
        <v>700</v>
      </c>
      <c r="G704" s="138"/>
      <c r="H704" s="135">
        <v>1</v>
      </c>
      <c r="I704" s="57" t="str">
        <f t="shared" si="167"/>
        <v/>
      </c>
      <c r="J704" s="58" t="e">
        <f t="shared" si="157"/>
        <v>#VALUE!</v>
      </c>
      <c r="K704" s="50" t="e">
        <f t="shared" si="158"/>
        <v>#VALUE!</v>
      </c>
      <c r="L704" s="50" t="e">
        <f t="shared" si="170"/>
        <v>#VALUE!</v>
      </c>
      <c r="M704" s="50" t="e">
        <f t="shared" si="170"/>
        <v>#VALUE!</v>
      </c>
      <c r="N704" s="50" t="e">
        <f t="shared" si="159"/>
        <v>#VALUE!</v>
      </c>
      <c r="O704" s="50" t="e">
        <f t="shared" si="160"/>
        <v>#VALUE!</v>
      </c>
      <c r="P704" s="50">
        <f t="shared" si="161"/>
        <v>0</v>
      </c>
      <c r="R704" s="55" t="e">
        <f t="shared" si="162"/>
        <v>#VALUE!</v>
      </c>
      <c r="S704" s="55" t="e">
        <f t="shared" si="163"/>
        <v>#VALUE!</v>
      </c>
      <c r="T704" s="55" t="e">
        <f t="shared" si="168"/>
        <v>#VALUE!</v>
      </c>
      <c r="U704" s="50" t="e">
        <f t="shared" si="164"/>
        <v>#VALUE!</v>
      </c>
      <c r="V704" s="50" t="e">
        <f t="shared" si="165"/>
        <v>#VALUE!</v>
      </c>
      <c r="W704" s="50" t="e">
        <f t="shared" si="166"/>
        <v>#VALUE!</v>
      </c>
    </row>
    <row r="705" spans="2:23" x14ac:dyDescent="0.25">
      <c r="B705" s="50" t="b">
        <f t="shared" si="169"/>
        <v>0</v>
      </c>
      <c r="C705" s="50" t="e">
        <f t="shared" si="171"/>
        <v>#VALUE!</v>
      </c>
      <c r="E705" s="56">
        <v>701</v>
      </c>
      <c r="G705" s="138"/>
      <c r="H705" s="135">
        <v>1</v>
      </c>
      <c r="I705" s="57" t="str">
        <f t="shared" si="167"/>
        <v/>
      </c>
      <c r="J705" s="58" t="e">
        <f t="shared" si="157"/>
        <v>#VALUE!</v>
      </c>
      <c r="K705" s="50" t="e">
        <f t="shared" si="158"/>
        <v>#VALUE!</v>
      </c>
      <c r="L705" s="50" t="e">
        <f t="shared" si="170"/>
        <v>#VALUE!</v>
      </c>
      <c r="M705" s="50" t="e">
        <f t="shared" si="170"/>
        <v>#VALUE!</v>
      </c>
      <c r="N705" s="50" t="e">
        <f t="shared" si="159"/>
        <v>#VALUE!</v>
      </c>
      <c r="O705" s="50" t="e">
        <f t="shared" si="160"/>
        <v>#VALUE!</v>
      </c>
      <c r="P705" s="50">
        <f t="shared" si="161"/>
        <v>0</v>
      </c>
      <c r="R705" s="55" t="e">
        <f t="shared" si="162"/>
        <v>#VALUE!</v>
      </c>
      <c r="S705" s="55" t="e">
        <f t="shared" si="163"/>
        <v>#VALUE!</v>
      </c>
      <c r="T705" s="55" t="e">
        <f t="shared" si="168"/>
        <v>#VALUE!</v>
      </c>
      <c r="U705" s="50" t="e">
        <f t="shared" si="164"/>
        <v>#VALUE!</v>
      </c>
      <c r="V705" s="50" t="e">
        <f t="shared" si="165"/>
        <v>#VALUE!</v>
      </c>
      <c r="W705" s="50" t="e">
        <f t="shared" si="166"/>
        <v>#VALUE!</v>
      </c>
    </row>
    <row r="706" spans="2:23" x14ac:dyDescent="0.25">
      <c r="B706" s="50" t="b">
        <f t="shared" si="169"/>
        <v>0</v>
      </c>
      <c r="C706" s="50" t="e">
        <f t="shared" si="171"/>
        <v>#VALUE!</v>
      </c>
      <c r="E706" s="56">
        <v>702</v>
      </c>
      <c r="G706" s="138"/>
      <c r="H706" s="135">
        <v>1</v>
      </c>
      <c r="I706" s="57" t="str">
        <f t="shared" si="167"/>
        <v/>
      </c>
      <c r="J706" s="58" t="e">
        <f t="shared" si="157"/>
        <v>#VALUE!</v>
      </c>
      <c r="K706" s="50" t="e">
        <f t="shared" si="158"/>
        <v>#VALUE!</v>
      </c>
      <c r="L706" s="50" t="e">
        <f t="shared" si="170"/>
        <v>#VALUE!</v>
      </c>
      <c r="M706" s="50" t="e">
        <f t="shared" si="170"/>
        <v>#VALUE!</v>
      </c>
      <c r="N706" s="50" t="e">
        <f t="shared" si="159"/>
        <v>#VALUE!</v>
      </c>
      <c r="O706" s="50" t="e">
        <f t="shared" si="160"/>
        <v>#VALUE!</v>
      </c>
      <c r="P706" s="50">
        <f t="shared" si="161"/>
        <v>0</v>
      </c>
      <c r="R706" s="55" t="e">
        <f t="shared" si="162"/>
        <v>#VALUE!</v>
      </c>
      <c r="S706" s="55" t="e">
        <f t="shared" si="163"/>
        <v>#VALUE!</v>
      </c>
      <c r="T706" s="55" t="e">
        <f t="shared" si="168"/>
        <v>#VALUE!</v>
      </c>
      <c r="U706" s="50" t="e">
        <f t="shared" si="164"/>
        <v>#VALUE!</v>
      </c>
      <c r="V706" s="50" t="e">
        <f t="shared" si="165"/>
        <v>#VALUE!</v>
      </c>
      <c r="W706" s="50" t="e">
        <f t="shared" si="166"/>
        <v>#VALUE!</v>
      </c>
    </row>
    <row r="707" spans="2:23" x14ac:dyDescent="0.25">
      <c r="B707" s="50" t="b">
        <f t="shared" si="169"/>
        <v>0</v>
      </c>
      <c r="C707" s="50" t="e">
        <f t="shared" si="171"/>
        <v>#VALUE!</v>
      </c>
      <c r="E707" s="56">
        <v>703</v>
      </c>
      <c r="G707" s="138"/>
      <c r="H707" s="135">
        <v>1</v>
      </c>
      <c r="I707" s="57" t="str">
        <f t="shared" si="167"/>
        <v/>
      </c>
      <c r="J707" s="58" t="e">
        <f t="shared" si="157"/>
        <v>#VALUE!</v>
      </c>
      <c r="K707" s="50" t="e">
        <f t="shared" si="158"/>
        <v>#VALUE!</v>
      </c>
      <c r="L707" s="50" t="e">
        <f t="shared" si="170"/>
        <v>#VALUE!</v>
      </c>
      <c r="M707" s="50" t="e">
        <f t="shared" si="170"/>
        <v>#VALUE!</v>
      </c>
      <c r="N707" s="50" t="e">
        <f t="shared" si="159"/>
        <v>#VALUE!</v>
      </c>
      <c r="O707" s="50" t="e">
        <f t="shared" si="160"/>
        <v>#VALUE!</v>
      </c>
      <c r="P707" s="50">
        <f t="shared" si="161"/>
        <v>0</v>
      </c>
      <c r="R707" s="55" t="e">
        <f t="shared" si="162"/>
        <v>#VALUE!</v>
      </c>
      <c r="S707" s="55" t="e">
        <f t="shared" si="163"/>
        <v>#VALUE!</v>
      </c>
      <c r="T707" s="55" t="e">
        <f t="shared" si="168"/>
        <v>#VALUE!</v>
      </c>
      <c r="U707" s="50" t="e">
        <f t="shared" si="164"/>
        <v>#VALUE!</v>
      </c>
      <c r="V707" s="50" t="e">
        <f t="shared" si="165"/>
        <v>#VALUE!</v>
      </c>
      <c r="W707" s="50" t="e">
        <f t="shared" si="166"/>
        <v>#VALUE!</v>
      </c>
    </row>
    <row r="708" spans="2:23" x14ac:dyDescent="0.25">
      <c r="B708" s="50" t="b">
        <f t="shared" si="169"/>
        <v>0</v>
      </c>
      <c r="C708" s="50" t="e">
        <f t="shared" si="171"/>
        <v>#VALUE!</v>
      </c>
      <c r="E708" s="56">
        <v>704</v>
      </c>
      <c r="G708" s="138"/>
      <c r="H708" s="135">
        <v>1</v>
      </c>
      <c r="I708" s="57" t="str">
        <f t="shared" si="167"/>
        <v/>
      </c>
      <c r="J708" s="58" t="e">
        <f t="shared" si="157"/>
        <v>#VALUE!</v>
      </c>
      <c r="K708" s="50" t="e">
        <f t="shared" si="158"/>
        <v>#VALUE!</v>
      </c>
      <c r="L708" s="50" t="e">
        <f t="shared" si="170"/>
        <v>#VALUE!</v>
      </c>
      <c r="M708" s="50" t="e">
        <f t="shared" si="170"/>
        <v>#VALUE!</v>
      </c>
      <c r="N708" s="50" t="e">
        <f t="shared" si="159"/>
        <v>#VALUE!</v>
      </c>
      <c r="O708" s="50" t="e">
        <f t="shared" si="160"/>
        <v>#VALUE!</v>
      </c>
      <c r="P708" s="50">
        <f t="shared" si="161"/>
        <v>0</v>
      </c>
      <c r="R708" s="55" t="e">
        <f t="shared" si="162"/>
        <v>#VALUE!</v>
      </c>
      <c r="S708" s="55" t="e">
        <f t="shared" si="163"/>
        <v>#VALUE!</v>
      </c>
      <c r="T708" s="55" t="e">
        <f t="shared" si="168"/>
        <v>#VALUE!</v>
      </c>
      <c r="U708" s="50" t="e">
        <f t="shared" si="164"/>
        <v>#VALUE!</v>
      </c>
      <c r="V708" s="50" t="e">
        <f t="shared" si="165"/>
        <v>#VALUE!</v>
      </c>
      <c r="W708" s="50" t="e">
        <f t="shared" si="166"/>
        <v>#VALUE!</v>
      </c>
    </row>
    <row r="709" spans="2:23" x14ac:dyDescent="0.25">
      <c r="B709" s="50" t="b">
        <f t="shared" si="169"/>
        <v>0</v>
      </c>
      <c r="C709" s="50" t="e">
        <f t="shared" si="171"/>
        <v>#VALUE!</v>
      </c>
      <c r="E709" s="56">
        <v>705</v>
      </c>
      <c r="G709" s="138"/>
      <c r="H709" s="135">
        <v>1</v>
      </c>
      <c r="I709" s="57" t="str">
        <f t="shared" si="167"/>
        <v/>
      </c>
      <c r="J709" s="58" t="e">
        <f t="shared" ref="J709:J772" si="172">RIGHT(I709,K709)</f>
        <v>#VALUE!</v>
      </c>
      <c r="K709" s="50" t="e">
        <f t="shared" ref="K709:K772" si="173">P709-N709</f>
        <v>#VALUE!</v>
      </c>
      <c r="L709" s="50" t="e">
        <f t="shared" si="170"/>
        <v>#VALUE!</v>
      </c>
      <c r="M709" s="50" t="e">
        <f t="shared" si="170"/>
        <v>#VALUE!</v>
      </c>
      <c r="N709" s="50" t="e">
        <f t="shared" ref="N709:N772" si="174">SEARCH("-",I709,2)</f>
        <v>#VALUE!</v>
      </c>
      <c r="O709" s="50" t="e">
        <f t="shared" ref="O709:O772" si="175">SEARCH("-",I709,N709+1)</f>
        <v>#VALUE!</v>
      </c>
      <c r="P709" s="50">
        <f t="shared" ref="P709:P772" si="176">LEN(I709)</f>
        <v>0</v>
      </c>
      <c r="R709" s="55" t="e">
        <f t="shared" ref="R709:R772" si="177">LEFT(I709,N709-1)</f>
        <v>#VALUE!</v>
      </c>
      <c r="S709" s="55" t="e">
        <f t="shared" ref="S709:S772" si="178">LEFT(J709,L709-1)</f>
        <v>#VALUE!</v>
      </c>
      <c r="T709" s="55" t="e">
        <f t="shared" si="168"/>
        <v>#VALUE!</v>
      </c>
      <c r="U709" s="50" t="e">
        <f t="shared" ref="U709:U772" si="179">R709*1*$H709</f>
        <v>#VALUE!</v>
      </c>
      <c r="V709" s="50" t="e">
        <f t="shared" ref="V709:V772" si="180">S709*1*$H709</f>
        <v>#VALUE!</v>
      </c>
      <c r="W709" s="50" t="e">
        <f t="shared" ref="W709:W772" si="181">T709*1*$H709</f>
        <v>#VALUE!</v>
      </c>
    </row>
    <row r="710" spans="2:23" x14ac:dyDescent="0.25">
      <c r="B710" s="50" t="b">
        <f t="shared" si="169"/>
        <v>0</v>
      </c>
      <c r="C710" s="50" t="e">
        <f t="shared" si="171"/>
        <v>#VALUE!</v>
      </c>
      <c r="E710" s="56">
        <v>706</v>
      </c>
      <c r="G710" s="138"/>
      <c r="H710" s="135">
        <v>1</v>
      </c>
      <c r="I710" s="57" t="str">
        <f t="shared" ref="I710:I773" si="182">IF(G710="","",G710&amp;""&amp;"-0")</f>
        <v/>
      </c>
      <c r="J710" s="58" t="e">
        <f t="shared" si="172"/>
        <v>#VALUE!</v>
      </c>
      <c r="K710" s="50" t="e">
        <f t="shared" si="173"/>
        <v>#VALUE!</v>
      </c>
      <c r="L710" s="50" t="e">
        <f t="shared" si="170"/>
        <v>#VALUE!</v>
      </c>
      <c r="M710" s="50" t="e">
        <f t="shared" si="170"/>
        <v>#VALUE!</v>
      </c>
      <c r="N710" s="50" t="e">
        <f t="shared" si="174"/>
        <v>#VALUE!</v>
      </c>
      <c r="O710" s="50" t="e">
        <f t="shared" si="175"/>
        <v>#VALUE!</v>
      </c>
      <c r="P710" s="50">
        <f t="shared" si="176"/>
        <v>0</v>
      </c>
      <c r="R710" s="55" t="e">
        <f t="shared" si="177"/>
        <v>#VALUE!</v>
      </c>
      <c r="S710" s="55" t="e">
        <f t="shared" si="178"/>
        <v>#VALUE!</v>
      </c>
      <c r="T710" s="55" t="e">
        <f t="shared" ref="T710:T773" si="183">RIGHT(I710,M710)</f>
        <v>#VALUE!</v>
      </c>
      <c r="U710" s="50" t="e">
        <f t="shared" si="179"/>
        <v>#VALUE!</v>
      </c>
      <c r="V710" s="50" t="e">
        <f t="shared" si="180"/>
        <v>#VALUE!</v>
      </c>
      <c r="W710" s="50" t="e">
        <f t="shared" si="181"/>
        <v>#VALUE!</v>
      </c>
    </row>
    <row r="711" spans="2:23" x14ac:dyDescent="0.25">
      <c r="B711" s="50" t="b">
        <f t="shared" si="169"/>
        <v>0</v>
      </c>
      <c r="C711" s="50" t="e">
        <f t="shared" si="171"/>
        <v>#VALUE!</v>
      </c>
      <c r="E711" s="56">
        <v>707</v>
      </c>
      <c r="G711" s="138"/>
      <c r="H711" s="135">
        <v>1</v>
      </c>
      <c r="I711" s="57" t="str">
        <f t="shared" si="182"/>
        <v/>
      </c>
      <c r="J711" s="58" t="e">
        <f t="shared" si="172"/>
        <v>#VALUE!</v>
      </c>
      <c r="K711" s="50" t="e">
        <f t="shared" si="173"/>
        <v>#VALUE!</v>
      </c>
      <c r="L711" s="50" t="e">
        <f t="shared" si="170"/>
        <v>#VALUE!</v>
      </c>
      <c r="M711" s="50" t="e">
        <f t="shared" si="170"/>
        <v>#VALUE!</v>
      </c>
      <c r="N711" s="50" t="e">
        <f t="shared" si="174"/>
        <v>#VALUE!</v>
      </c>
      <c r="O711" s="50" t="e">
        <f t="shared" si="175"/>
        <v>#VALUE!</v>
      </c>
      <c r="P711" s="50">
        <f t="shared" si="176"/>
        <v>0</v>
      </c>
      <c r="R711" s="55" t="e">
        <f t="shared" si="177"/>
        <v>#VALUE!</v>
      </c>
      <c r="S711" s="55" t="e">
        <f t="shared" si="178"/>
        <v>#VALUE!</v>
      </c>
      <c r="T711" s="55" t="e">
        <f t="shared" si="183"/>
        <v>#VALUE!</v>
      </c>
      <c r="U711" s="50" t="e">
        <f t="shared" si="179"/>
        <v>#VALUE!</v>
      </c>
      <c r="V711" s="50" t="e">
        <f t="shared" si="180"/>
        <v>#VALUE!</v>
      </c>
      <c r="W711" s="50" t="e">
        <f t="shared" si="181"/>
        <v>#VALUE!</v>
      </c>
    </row>
    <row r="712" spans="2:23" x14ac:dyDescent="0.25">
      <c r="B712" s="50" t="b">
        <f t="shared" si="169"/>
        <v>0</v>
      </c>
      <c r="C712" s="50" t="e">
        <f t="shared" si="171"/>
        <v>#VALUE!</v>
      </c>
      <c r="E712" s="56">
        <v>708</v>
      </c>
      <c r="G712" s="138"/>
      <c r="H712" s="135">
        <v>1</v>
      </c>
      <c r="I712" s="57" t="str">
        <f t="shared" si="182"/>
        <v/>
      </c>
      <c r="J712" s="58" t="e">
        <f t="shared" si="172"/>
        <v>#VALUE!</v>
      </c>
      <c r="K712" s="50" t="e">
        <f t="shared" si="173"/>
        <v>#VALUE!</v>
      </c>
      <c r="L712" s="50" t="e">
        <f t="shared" si="170"/>
        <v>#VALUE!</v>
      </c>
      <c r="M712" s="50" t="e">
        <f t="shared" si="170"/>
        <v>#VALUE!</v>
      </c>
      <c r="N712" s="50" t="e">
        <f t="shared" si="174"/>
        <v>#VALUE!</v>
      </c>
      <c r="O712" s="50" t="e">
        <f t="shared" si="175"/>
        <v>#VALUE!</v>
      </c>
      <c r="P712" s="50">
        <f t="shared" si="176"/>
        <v>0</v>
      </c>
      <c r="R712" s="55" t="e">
        <f t="shared" si="177"/>
        <v>#VALUE!</v>
      </c>
      <c r="S712" s="55" t="e">
        <f t="shared" si="178"/>
        <v>#VALUE!</v>
      </c>
      <c r="T712" s="55" t="e">
        <f t="shared" si="183"/>
        <v>#VALUE!</v>
      </c>
      <c r="U712" s="50" t="e">
        <f t="shared" si="179"/>
        <v>#VALUE!</v>
      </c>
      <c r="V712" s="50" t="e">
        <f t="shared" si="180"/>
        <v>#VALUE!</v>
      </c>
      <c r="W712" s="50" t="e">
        <f t="shared" si="181"/>
        <v>#VALUE!</v>
      </c>
    </row>
    <row r="713" spans="2:23" x14ac:dyDescent="0.25">
      <c r="B713" s="50" t="b">
        <f t="shared" si="169"/>
        <v>0</v>
      </c>
      <c r="C713" s="50" t="e">
        <f t="shared" si="171"/>
        <v>#VALUE!</v>
      </c>
      <c r="E713" s="56">
        <v>709</v>
      </c>
      <c r="G713" s="138"/>
      <c r="H713" s="135">
        <v>1</v>
      </c>
      <c r="I713" s="57" t="str">
        <f t="shared" si="182"/>
        <v/>
      </c>
      <c r="J713" s="58" t="e">
        <f t="shared" si="172"/>
        <v>#VALUE!</v>
      </c>
      <c r="K713" s="50" t="e">
        <f t="shared" si="173"/>
        <v>#VALUE!</v>
      </c>
      <c r="L713" s="50" t="e">
        <f t="shared" si="170"/>
        <v>#VALUE!</v>
      </c>
      <c r="M713" s="50" t="e">
        <f t="shared" si="170"/>
        <v>#VALUE!</v>
      </c>
      <c r="N713" s="50" t="e">
        <f t="shared" si="174"/>
        <v>#VALUE!</v>
      </c>
      <c r="O713" s="50" t="e">
        <f t="shared" si="175"/>
        <v>#VALUE!</v>
      </c>
      <c r="P713" s="50">
        <f t="shared" si="176"/>
        <v>0</v>
      </c>
      <c r="R713" s="55" t="e">
        <f t="shared" si="177"/>
        <v>#VALUE!</v>
      </c>
      <c r="S713" s="55" t="e">
        <f t="shared" si="178"/>
        <v>#VALUE!</v>
      </c>
      <c r="T713" s="55" t="e">
        <f t="shared" si="183"/>
        <v>#VALUE!</v>
      </c>
      <c r="U713" s="50" t="e">
        <f t="shared" si="179"/>
        <v>#VALUE!</v>
      </c>
      <c r="V713" s="50" t="e">
        <f t="shared" si="180"/>
        <v>#VALUE!</v>
      </c>
      <c r="W713" s="50" t="e">
        <f t="shared" si="181"/>
        <v>#VALUE!</v>
      </c>
    </row>
    <row r="714" spans="2:23" x14ac:dyDescent="0.25">
      <c r="B714" s="50" t="b">
        <f t="shared" si="169"/>
        <v>0</v>
      </c>
      <c r="C714" s="50" t="e">
        <f t="shared" si="171"/>
        <v>#VALUE!</v>
      </c>
      <c r="E714" s="56">
        <v>710</v>
      </c>
      <c r="G714" s="138"/>
      <c r="H714" s="135">
        <v>1</v>
      </c>
      <c r="I714" s="57" t="str">
        <f t="shared" si="182"/>
        <v/>
      </c>
      <c r="J714" s="58" t="e">
        <f t="shared" si="172"/>
        <v>#VALUE!</v>
      </c>
      <c r="K714" s="50" t="e">
        <f t="shared" si="173"/>
        <v>#VALUE!</v>
      </c>
      <c r="L714" s="50" t="e">
        <f t="shared" si="170"/>
        <v>#VALUE!</v>
      </c>
      <c r="M714" s="50" t="e">
        <f t="shared" si="170"/>
        <v>#VALUE!</v>
      </c>
      <c r="N714" s="50" t="e">
        <f t="shared" si="174"/>
        <v>#VALUE!</v>
      </c>
      <c r="O714" s="50" t="e">
        <f t="shared" si="175"/>
        <v>#VALUE!</v>
      </c>
      <c r="P714" s="50">
        <f t="shared" si="176"/>
        <v>0</v>
      </c>
      <c r="R714" s="55" t="e">
        <f t="shared" si="177"/>
        <v>#VALUE!</v>
      </c>
      <c r="S714" s="55" t="e">
        <f t="shared" si="178"/>
        <v>#VALUE!</v>
      </c>
      <c r="T714" s="55" t="e">
        <f t="shared" si="183"/>
        <v>#VALUE!</v>
      </c>
      <c r="U714" s="50" t="e">
        <f t="shared" si="179"/>
        <v>#VALUE!</v>
      </c>
      <c r="V714" s="50" t="e">
        <f t="shared" si="180"/>
        <v>#VALUE!</v>
      </c>
      <c r="W714" s="50" t="e">
        <f t="shared" si="181"/>
        <v>#VALUE!</v>
      </c>
    </row>
    <row r="715" spans="2:23" x14ac:dyDescent="0.25">
      <c r="B715" s="50" t="b">
        <f t="shared" si="169"/>
        <v>0</v>
      </c>
      <c r="C715" s="50" t="e">
        <f t="shared" si="171"/>
        <v>#VALUE!</v>
      </c>
      <c r="E715" s="56">
        <v>711</v>
      </c>
      <c r="G715" s="138"/>
      <c r="H715" s="135">
        <v>1</v>
      </c>
      <c r="I715" s="57" t="str">
        <f t="shared" si="182"/>
        <v/>
      </c>
      <c r="J715" s="58" t="e">
        <f t="shared" si="172"/>
        <v>#VALUE!</v>
      </c>
      <c r="K715" s="50" t="e">
        <f t="shared" si="173"/>
        <v>#VALUE!</v>
      </c>
      <c r="L715" s="50" t="e">
        <f t="shared" si="170"/>
        <v>#VALUE!</v>
      </c>
      <c r="M715" s="50" t="e">
        <f t="shared" si="170"/>
        <v>#VALUE!</v>
      </c>
      <c r="N715" s="50" t="e">
        <f t="shared" si="174"/>
        <v>#VALUE!</v>
      </c>
      <c r="O715" s="50" t="e">
        <f t="shared" si="175"/>
        <v>#VALUE!</v>
      </c>
      <c r="P715" s="50">
        <f t="shared" si="176"/>
        <v>0</v>
      </c>
      <c r="R715" s="55" t="e">
        <f t="shared" si="177"/>
        <v>#VALUE!</v>
      </c>
      <c r="S715" s="55" t="e">
        <f t="shared" si="178"/>
        <v>#VALUE!</v>
      </c>
      <c r="T715" s="55" t="e">
        <f t="shared" si="183"/>
        <v>#VALUE!</v>
      </c>
      <c r="U715" s="50" t="e">
        <f t="shared" si="179"/>
        <v>#VALUE!</v>
      </c>
      <c r="V715" s="50" t="e">
        <f t="shared" si="180"/>
        <v>#VALUE!</v>
      </c>
      <c r="W715" s="50" t="e">
        <f t="shared" si="181"/>
        <v>#VALUE!</v>
      </c>
    </row>
    <row r="716" spans="2:23" x14ac:dyDescent="0.25">
      <c r="B716" s="50" t="b">
        <f t="shared" si="169"/>
        <v>0</v>
      </c>
      <c r="C716" s="50" t="e">
        <f t="shared" si="171"/>
        <v>#VALUE!</v>
      </c>
      <c r="E716" s="56">
        <v>712</v>
      </c>
      <c r="G716" s="138"/>
      <c r="H716" s="135">
        <v>1</v>
      </c>
      <c r="I716" s="57" t="str">
        <f t="shared" si="182"/>
        <v/>
      </c>
      <c r="J716" s="58" t="e">
        <f t="shared" si="172"/>
        <v>#VALUE!</v>
      </c>
      <c r="K716" s="50" t="e">
        <f t="shared" si="173"/>
        <v>#VALUE!</v>
      </c>
      <c r="L716" s="50" t="e">
        <f t="shared" si="170"/>
        <v>#VALUE!</v>
      </c>
      <c r="M716" s="50" t="e">
        <f t="shared" si="170"/>
        <v>#VALUE!</v>
      </c>
      <c r="N716" s="50" t="e">
        <f t="shared" si="174"/>
        <v>#VALUE!</v>
      </c>
      <c r="O716" s="50" t="e">
        <f t="shared" si="175"/>
        <v>#VALUE!</v>
      </c>
      <c r="P716" s="50">
        <f t="shared" si="176"/>
        <v>0</v>
      </c>
      <c r="R716" s="55" t="e">
        <f t="shared" si="177"/>
        <v>#VALUE!</v>
      </c>
      <c r="S716" s="55" t="e">
        <f t="shared" si="178"/>
        <v>#VALUE!</v>
      </c>
      <c r="T716" s="55" t="e">
        <f t="shared" si="183"/>
        <v>#VALUE!</v>
      </c>
      <c r="U716" s="50" t="e">
        <f t="shared" si="179"/>
        <v>#VALUE!</v>
      </c>
      <c r="V716" s="50" t="e">
        <f t="shared" si="180"/>
        <v>#VALUE!</v>
      </c>
      <c r="W716" s="50" t="e">
        <f t="shared" si="181"/>
        <v>#VALUE!</v>
      </c>
    </row>
    <row r="717" spans="2:23" x14ac:dyDescent="0.25">
      <c r="B717" s="50" t="b">
        <f t="shared" si="169"/>
        <v>0</v>
      </c>
      <c r="C717" s="50" t="e">
        <f t="shared" si="171"/>
        <v>#VALUE!</v>
      </c>
      <c r="E717" s="56">
        <v>713</v>
      </c>
      <c r="G717" s="138"/>
      <c r="H717" s="135">
        <v>1</v>
      </c>
      <c r="I717" s="57" t="str">
        <f t="shared" si="182"/>
        <v/>
      </c>
      <c r="J717" s="58" t="e">
        <f t="shared" si="172"/>
        <v>#VALUE!</v>
      </c>
      <c r="K717" s="50" t="e">
        <f t="shared" si="173"/>
        <v>#VALUE!</v>
      </c>
      <c r="L717" s="50" t="e">
        <f t="shared" si="170"/>
        <v>#VALUE!</v>
      </c>
      <c r="M717" s="50" t="e">
        <f t="shared" si="170"/>
        <v>#VALUE!</v>
      </c>
      <c r="N717" s="50" t="e">
        <f t="shared" si="174"/>
        <v>#VALUE!</v>
      </c>
      <c r="O717" s="50" t="e">
        <f t="shared" si="175"/>
        <v>#VALUE!</v>
      </c>
      <c r="P717" s="50">
        <f t="shared" si="176"/>
        <v>0</v>
      </c>
      <c r="R717" s="55" t="e">
        <f t="shared" si="177"/>
        <v>#VALUE!</v>
      </c>
      <c r="S717" s="55" t="e">
        <f t="shared" si="178"/>
        <v>#VALUE!</v>
      </c>
      <c r="T717" s="55" t="e">
        <f t="shared" si="183"/>
        <v>#VALUE!</v>
      </c>
      <c r="U717" s="50" t="e">
        <f t="shared" si="179"/>
        <v>#VALUE!</v>
      </c>
      <c r="V717" s="50" t="e">
        <f t="shared" si="180"/>
        <v>#VALUE!</v>
      </c>
      <c r="W717" s="50" t="e">
        <f t="shared" si="181"/>
        <v>#VALUE!</v>
      </c>
    </row>
    <row r="718" spans="2:23" x14ac:dyDescent="0.25">
      <c r="B718" s="50" t="b">
        <f t="shared" ref="B718:B781" si="184">ISNUMBER(C718)</f>
        <v>0</v>
      </c>
      <c r="C718" s="50" t="e">
        <f t="shared" si="171"/>
        <v>#VALUE!</v>
      </c>
      <c r="E718" s="56">
        <v>714</v>
      </c>
      <c r="G718" s="138"/>
      <c r="H718" s="135">
        <v>1</v>
      </c>
      <c r="I718" s="57" t="str">
        <f t="shared" si="182"/>
        <v/>
      </c>
      <c r="J718" s="58" t="e">
        <f t="shared" si="172"/>
        <v>#VALUE!</v>
      </c>
      <c r="K718" s="50" t="e">
        <f t="shared" si="173"/>
        <v>#VALUE!</v>
      </c>
      <c r="L718" s="50" t="e">
        <f t="shared" si="170"/>
        <v>#VALUE!</v>
      </c>
      <c r="M718" s="50" t="e">
        <f t="shared" si="170"/>
        <v>#VALUE!</v>
      </c>
      <c r="N718" s="50" t="e">
        <f t="shared" si="174"/>
        <v>#VALUE!</v>
      </c>
      <c r="O718" s="50" t="e">
        <f t="shared" si="175"/>
        <v>#VALUE!</v>
      </c>
      <c r="P718" s="50">
        <f t="shared" si="176"/>
        <v>0</v>
      </c>
      <c r="R718" s="55" t="e">
        <f t="shared" si="177"/>
        <v>#VALUE!</v>
      </c>
      <c r="S718" s="55" t="e">
        <f t="shared" si="178"/>
        <v>#VALUE!</v>
      </c>
      <c r="T718" s="55" t="e">
        <f t="shared" si="183"/>
        <v>#VALUE!</v>
      </c>
      <c r="U718" s="50" t="e">
        <f t="shared" si="179"/>
        <v>#VALUE!</v>
      </c>
      <c r="V718" s="50" t="e">
        <f t="shared" si="180"/>
        <v>#VALUE!</v>
      </c>
      <c r="W718" s="50" t="e">
        <f t="shared" si="181"/>
        <v>#VALUE!</v>
      </c>
    </row>
    <row r="719" spans="2:23" x14ac:dyDescent="0.25">
      <c r="B719" s="50" t="b">
        <f t="shared" si="184"/>
        <v>0</v>
      </c>
      <c r="C719" s="50" t="e">
        <f t="shared" si="171"/>
        <v>#VALUE!</v>
      </c>
      <c r="E719" s="56">
        <v>715</v>
      </c>
      <c r="G719" s="138"/>
      <c r="H719" s="135">
        <v>1</v>
      </c>
      <c r="I719" s="57" t="str">
        <f t="shared" si="182"/>
        <v/>
      </c>
      <c r="J719" s="58" t="e">
        <f t="shared" si="172"/>
        <v>#VALUE!</v>
      </c>
      <c r="K719" s="50" t="e">
        <f t="shared" si="173"/>
        <v>#VALUE!</v>
      </c>
      <c r="L719" s="50" t="e">
        <f t="shared" si="170"/>
        <v>#VALUE!</v>
      </c>
      <c r="M719" s="50" t="e">
        <f t="shared" si="170"/>
        <v>#VALUE!</v>
      </c>
      <c r="N719" s="50" t="e">
        <f t="shared" si="174"/>
        <v>#VALUE!</v>
      </c>
      <c r="O719" s="50" t="e">
        <f t="shared" si="175"/>
        <v>#VALUE!</v>
      </c>
      <c r="P719" s="50">
        <f t="shared" si="176"/>
        <v>0</v>
      </c>
      <c r="R719" s="55" t="e">
        <f t="shared" si="177"/>
        <v>#VALUE!</v>
      </c>
      <c r="S719" s="55" t="e">
        <f t="shared" si="178"/>
        <v>#VALUE!</v>
      </c>
      <c r="T719" s="55" t="e">
        <f t="shared" si="183"/>
        <v>#VALUE!</v>
      </c>
      <c r="U719" s="50" t="e">
        <f t="shared" si="179"/>
        <v>#VALUE!</v>
      </c>
      <c r="V719" s="50" t="e">
        <f t="shared" si="180"/>
        <v>#VALUE!</v>
      </c>
      <c r="W719" s="50" t="e">
        <f t="shared" si="181"/>
        <v>#VALUE!</v>
      </c>
    </row>
    <row r="720" spans="2:23" x14ac:dyDescent="0.25">
      <c r="B720" s="50" t="b">
        <f t="shared" si="184"/>
        <v>0</v>
      </c>
      <c r="C720" s="50" t="e">
        <f t="shared" si="171"/>
        <v>#VALUE!</v>
      </c>
      <c r="E720" s="56">
        <v>716</v>
      </c>
      <c r="G720" s="138"/>
      <c r="H720" s="135">
        <v>1</v>
      </c>
      <c r="I720" s="57" t="str">
        <f t="shared" si="182"/>
        <v/>
      </c>
      <c r="J720" s="58" t="e">
        <f t="shared" si="172"/>
        <v>#VALUE!</v>
      </c>
      <c r="K720" s="50" t="e">
        <f t="shared" si="173"/>
        <v>#VALUE!</v>
      </c>
      <c r="L720" s="50" t="e">
        <f t="shared" si="170"/>
        <v>#VALUE!</v>
      </c>
      <c r="M720" s="50" t="e">
        <f t="shared" si="170"/>
        <v>#VALUE!</v>
      </c>
      <c r="N720" s="50" t="e">
        <f t="shared" si="174"/>
        <v>#VALUE!</v>
      </c>
      <c r="O720" s="50" t="e">
        <f t="shared" si="175"/>
        <v>#VALUE!</v>
      </c>
      <c r="P720" s="50">
        <f t="shared" si="176"/>
        <v>0</v>
      </c>
      <c r="R720" s="55" t="e">
        <f t="shared" si="177"/>
        <v>#VALUE!</v>
      </c>
      <c r="S720" s="55" t="e">
        <f t="shared" si="178"/>
        <v>#VALUE!</v>
      </c>
      <c r="T720" s="55" t="e">
        <f t="shared" si="183"/>
        <v>#VALUE!</v>
      </c>
      <c r="U720" s="50" t="e">
        <f t="shared" si="179"/>
        <v>#VALUE!</v>
      </c>
      <c r="V720" s="50" t="e">
        <f t="shared" si="180"/>
        <v>#VALUE!</v>
      </c>
      <c r="W720" s="50" t="e">
        <f t="shared" si="181"/>
        <v>#VALUE!</v>
      </c>
    </row>
    <row r="721" spans="2:23" x14ac:dyDescent="0.25">
      <c r="B721" s="50" t="b">
        <f t="shared" si="184"/>
        <v>0</v>
      </c>
      <c r="C721" s="50" t="e">
        <f t="shared" si="171"/>
        <v>#VALUE!</v>
      </c>
      <c r="E721" s="56">
        <v>717</v>
      </c>
      <c r="G721" s="138"/>
      <c r="H721" s="135">
        <v>1</v>
      </c>
      <c r="I721" s="57" t="str">
        <f t="shared" si="182"/>
        <v/>
      </c>
      <c r="J721" s="58" t="e">
        <f t="shared" si="172"/>
        <v>#VALUE!</v>
      </c>
      <c r="K721" s="50" t="e">
        <f t="shared" si="173"/>
        <v>#VALUE!</v>
      </c>
      <c r="L721" s="50" t="e">
        <f t="shared" si="170"/>
        <v>#VALUE!</v>
      </c>
      <c r="M721" s="50" t="e">
        <f t="shared" si="170"/>
        <v>#VALUE!</v>
      </c>
      <c r="N721" s="50" t="e">
        <f t="shared" si="174"/>
        <v>#VALUE!</v>
      </c>
      <c r="O721" s="50" t="e">
        <f t="shared" si="175"/>
        <v>#VALUE!</v>
      </c>
      <c r="P721" s="50">
        <f t="shared" si="176"/>
        <v>0</v>
      </c>
      <c r="R721" s="55" t="e">
        <f t="shared" si="177"/>
        <v>#VALUE!</v>
      </c>
      <c r="S721" s="55" t="e">
        <f t="shared" si="178"/>
        <v>#VALUE!</v>
      </c>
      <c r="T721" s="55" t="e">
        <f t="shared" si="183"/>
        <v>#VALUE!</v>
      </c>
      <c r="U721" s="50" t="e">
        <f t="shared" si="179"/>
        <v>#VALUE!</v>
      </c>
      <c r="V721" s="50" t="e">
        <f t="shared" si="180"/>
        <v>#VALUE!</v>
      </c>
      <c r="W721" s="50" t="e">
        <f t="shared" si="181"/>
        <v>#VALUE!</v>
      </c>
    </row>
    <row r="722" spans="2:23" x14ac:dyDescent="0.25">
      <c r="B722" s="50" t="b">
        <f t="shared" si="184"/>
        <v>0</v>
      </c>
      <c r="C722" s="50" t="e">
        <f t="shared" si="171"/>
        <v>#VALUE!</v>
      </c>
      <c r="E722" s="56">
        <v>718</v>
      </c>
      <c r="G722" s="138"/>
      <c r="H722" s="135">
        <v>1</v>
      </c>
      <c r="I722" s="57" t="str">
        <f t="shared" si="182"/>
        <v/>
      </c>
      <c r="J722" s="58" t="e">
        <f t="shared" si="172"/>
        <v>#VALUE!</v>
      </c>
      <c r="K722" s="50" t="e">
        <f t="shared" si="173"/>
        <v>#VALUE!</v>
      </c>
      <c r="L722" s="50" t="e">
        <f t="shared" si="170"/>
        <v>#VALUE!</v>
      </c>
      <c r="M722" s="50" t="e">
        <f t="shared" si="170"/>
        <v>#VALUE!</v>
      </c>
      <c r="N722" s="50" t="e">
        <f t="shared" si="174"/>
        <v>#VALUE!</v>
      </c>
      <c r="O722" s="50" t="e">
        <f t="shared" si="175"/>
        <v>#VALUE!</v>
      </c>
      <c r="P722" s="50">
        <f t="shared" si="176"/>
        <v>0</v>
      </c>
      <c r="R722" s="55" t="e">
        <f t="shared" si="177"/>
        <v>#VALUE!</v>
      </c>
      <c r="S722" s="55" t="e">
        <f t="shared" si="178"/>
        <v>#VALUE!</v>
      </c>
      <c r="T722" s="55" t="e">
        <f t="shared" si="183"/>
        <v>#VALUE!</v>
      </c>
      <c r="U722" s="50" t="e">
        <f t="shared" si="179"/>
        <v>#VALUE!</v>
      </c>
      <c r="V722" s="50" t="e">
        <f t="shared" si="180"/>
        <v>#VALUE!</v>
      </c>
      <c r="W722" s="50" t="e">
        <f t="shared" si="181"/>
        <v>#VALUE!</v>
      </c>
    </row>
    <row r="723" spans="2:23" x14ac:dyDescent="0.25">
      <c r="B723" s="50" t="b">
        <f t="shared" si="184"/>
        <v>0</v>
      </c>
      <c r="C723" s="50" t="e">
        <f t="shared" si="171"/>
        <v>#VALUE!</v>
      </c>
      <c r="E723" s="56">
        <v>719</v>
      </c>
      <c r="G723" s="138"/>
      <c r="H723" s="135">
        <v>1</v>
      </c>
      <c r="I723" s="57" t="str">
        <f t="shared" si="182"/>
        <v/>
      </c>
      <c r="J723" s="58" t="e">
        <f t="shared" si="172"/>
        <v>#VALUE!</v>
      </c>
      <c r="K723" s="50" t="e">
        <f t="shared" si="173"/>
        <v>#VALUE!</v>
      </c>
      <c r="L723" s="50" t="e">
        <f t="shared" si="170"/>
        <v>#VALUE!</v>
      </c>
      <c r="M723" s="50" t="e">
        <f t="shared" si="170"/>
        <v>#VALUE!</v>
      </c>
      <c r="N723" s="50" t="e">
        <f t="shared" si="174"/>
        <v>#VALUE!</v>
      </c>
      <c r="O723" s="50" t="e">
        <f t="shared" si="175"/>
        <v>#VALUE!</v>
      </c>
      <c r="P723" s="50">
        <f t="shared" si="176"/>
        <v>0</v>
      </c>
      <c r="R723" s="55" t="e">
        <f t="shared" si="177"/>
        <v>#VALUE!</v>
      </c>
      <c r="S723" s="55" t="e">
        <f t="shared" si="178"/>
        <v>#VALUE!</v>
      </c>
      <c r="T723" s="55" t="e">
        <f t="shared" si="183"/>
        <v>#VALUE!</v>
      </c>
      <c r="U723" s="50" t="e">
        <f t="shared" si="179"/>
        <v>#VALUE!</v>
      </c>
      <c r="V723" s="50" t="e">
        <f t="shared" si="180"/>
        <v>#VALUE!</v>
      </c>
      <c r="W723" s="50" t="e">
        <f t="shared" si="181"/>
        <v>#VALUE!</v>
      </c>
    </row>
    <row r="724" spans="2:23" x14ac:dyDescent="0.25">
      <c r="B724" s="50" t="b">
        <f t="shared" si="184"/>
        <v>0</v>
      </c>
      <c r="C724" s="50" t="e">
        <f t="shared" si="171"/>
        <v>#VALUE!</v>
      </c>
      <c r="E724" s="56">
        <v>720</v>
      </c>
      <c r="G724" s="138"/>
      <c r="H724" s="135">
        <v>1</v>
      </c>
      <c r="I724" s="57" t="str">
        <f t="shared" si="182"/>
        <v/>
      </c>
      <c r="J724" s="58" t="e">
        <f t="shared" si="172"/>
        <v>#VALUE!</v>
      </c>
      <c r="K724" s="50" t="e">
        <f t="shared" si="173"/>
        <v>#VALUE!</v>
      </c>
      <c r="L724" s="50" t="e">
        <f t="shared" si="170"/>
        <v>#VALUE!</v>
      </c>
      <c r="M724" s="50" t="e">
        <f t="shared" si="170"/>
        <v>#VALUE!</v>
      </c>
      <c r="N724" s="50" t="e">
        <f t="shared" si="174"/>
        <v>#VALUE!</v>
      </c>
      <c r="O724" s="50" t="e">
        <f t="shared" si="175"/>
        <v>#VALUE!</v>
      </c>
      <c r="P724" s="50">
        <f t="shared" si="176"/>
        <v>0</v>
      </c>
      <c r="R724" s="55" t="e">
        <f t="shared" si="177"/>
        <v>#VALUE!</v>
      </c>
      <c r="S724" s="55" t="e">
        <f t="shared" si="178"/>
        <v>#VALUE!</v>
      </c>
      <c r="T724" s="55" t="e">
        <f t="shared" si="183"/>
        <v>#VALUE!</v>
      </c>
      <c r="U724" s="50" t="e">
        <f t="shared" si="179"/>
        <v>#VALUE!</v>
      </c>
      <c r="V724" s="50" t="e">
        <f t="shared" si="180"/>
        <v>#VALUE!</v>
      </c>
      <c r="W724" s="50" t="e">
        <f t="shared" si="181"/>
        <v>#VALUE!</v>
      </c>
    </row>
    <row r="725" spans="2:23" x14ac:dyDescent="0.25">
      <c r="B725" s="50" t="b">
        <f t="shared" si="184"/>
        <v>0</v>
      </c>
      <c r="C725" s="50" t="e">
        <f t="shared" si="171"/>
        <v>#VALUE!</v>
      </c>
      <c r="E725" s="56">
        <v>721</v>
      </c>
      <c r="G725" s="138"/>
      <c r="H725" s="135">
        <v>1</v>
      </c>
      <c r="I725" s="57" t="str">
        <f t="shared" si="182"/>
        <v/>
      </c>
      <c r="J725" s="58" t="e">
        <f t="shared" si="172"/>
        <v>#VALUE!</v>
      </c>
      <c r="K725" s="50" t="e">
        <f t="shared" si="173"/>
        <v>#VALUE!</v>
      </c>
      <c r="L725" s="50" t="e">
        <f t="shared" si="170"/>
        <v>#VALUE!</v>
      </c>
      <c r="M725" s="50" t="e">
        <f t="shared" si="170"/>
        <v>#VALUE!</v>
      </c>
      <c r="N725" s="50" t="e">
        <f t="shared" si="174"/>
        <v>#VALUE!</v>
      </c>
      <c r="O725" s="50" t="e">
        <f t="shared" si="175"/>
        <v>#VALUE!</v>
      </c>
      <c r="P725" s="50">
        <f t="shared" si="176"/>
        <v>0</v>
      </c>
      <c r="R725" s="55" t="e">
        <f t="shared" si="177"/>
        <v>#VALUE!</v>
      </c>
      <c r="S725" s="55" t="e">
        <f t="shared" si="178"/>
        <v>#VALUE!</v>
      </c>
      <c r="T725" s="55" t="e">
        <f t="shared" si="183"/>
        <v>#VALUE!</v>
      </c>
      <c r="U725" s="50" t="e">
        <f t="shared" si="179"/>
        <v>#VALUE!</v>
      </c>
      <c r="V725" s="50" t="e">
        <f t="shared" si="180"/>
        <v>#VALUE!</v>
      </c>
      <c r="W725" s="50" t="e">
        <f t="shared" si="181"/>
        <v>#VALUE!</v>
      </c>
    </row>
    <row r="726" spans="2:23" x14ac:dyDescent="0.25">
      <c r="B726" s="50" t="b">
        <f t="shared" si="184"/>
        <v>0</v>
      </c>
      <c r="C726" s="50" t="e">
        <f t="shared" si="171"/>
        <v>#VALUE!</v>
      </c>
      <c r="E726" s="56">
        <v>722</v>
      </c>
      <c r="G726" s="138"/>
      <c r="H726" s="135">
        <v>1</v>
      </c>
      <c r="I726" s="57" t="str">
        <f t="shared" si="182"/>
        <v/>
      </c>
      <c r="J726" s="58" t="e">
        <f t="shared" si="172"/>
        <v>#VALUE!</v>
      </c>
      <c r="K726" s="50" t="e">
        <f t="shared" si="173"/>
        <v>#VALUE!</v>
      </c>
      <c r="L726" s="50" t="e">
        <f t="shared" si="170"/>
        <v>#VALUE!</v>
      </c>
      <c r="M726" s="50" t="e">
        <f t="shared" si="170"/>
        <v>#VALUE!</v>
      </c>
      <c r="N726" s="50" t="e">
        <f t="shared" si="174"/>
        <v>#VALUE!</v>
      </c>
      <c r="O726" s="50" t="e">
        <f t="shared" si="175"/>
        <v>#VALUE!</v>
      </c>
      <c r="P726" s="50">
        <f t="shared" si="176"/>
        <v>0</v>
      </c>
      <c r="R726" s="55" t="e">
        <f t="shared" si="177"/>
        <v>#VALUE!</v>
      </c>
      <c r="S726" s="55" t="e">
        <f t="shared" si="178"/>
        <v>#VALUE!</v>
      </c>
      <c r="T726" s="55" t="e">
        <f t="shared" si="183"/>
        <v>#VALUE!</v>
      </c>
      <c r="U726" s="50" t="e">
        <f t="shared" si="179"/>
        <v>#VALUE!</v>
      </c>
      <c r="V726" s="50" t="e">
        <f t="shared" si="180"/>
        <v>#VALUE!</v>
      </c>
      <c r="W726" s="50" t="e">
        <f t="shared" si="181"/>
        <v>#VALUE!</v>
      </c>
    </row>
    <row r="727" spans="2:23" x14ac:dyDescent="0.25">
      <c r="B727" s="50" t="b">
        <f t="shared" si="184"/>
        <v>0</v>
      </c>
      <c r="C727" s="50" t="e">
        <f t="shared" si="171"/>
        <v>#VALUE!</v>
      </c>
      <c r="E727" s="56">
        <v>723</v>
      </c>
      <c r="G727" s="138"/>
      <c r="H727" s="135">
        <v>1</v>
      </c>
      <c r="I727" s="57" t="str">
        <f t="shared" si="182"/>
        <v/>
      </c>
      <c r="J727" s="58" t="e">
        <f t="shared" si="172"/>
        <v>#VALUE!</v>
      </c>
      <c r="K727" s="50" t="e">
        <f t="shared" si="173"/>
        <v>#VALUE!</v>
      </c>
      <c r="L727" s="50" t="e">
        <f t="shared" si="170"/>
        <v>#VALUE!</v>
      </c>
      <c r="M727" s="50" t="e">
        <f t="shared" si="170"/>
        <v>#VALUE!</v>
      </c>
      <c r="N727" s="50" t="e">
        <f t="shared" si="174"/>
        <v>#VALUE!</v>
      </c>
      <c r="O727" s="50" t="e">
        <f t="shared" si="175"/>
        <v>#VALUE!</v>
      </c>
      <c r="P727" s="50">
        <f t="shared" si="176"/>
        <v>0</v>
      </c>
      <c r="R727" s="55" t="e">
        <f t="shared" si="177"/>
        <v>#VALUE!</v>
      </c>
      <c r="S727" s="55" t="e">
        <f t="shared" si="178"/>
        <v>#VALUE!</v>
      </c>
      <c r="T727" s="55" t="e">
        <f t="shared" si="183"/>
        <v>#VALUE!</v>
      </c>
      <c r="U727" s="50" t="e">
        <f t="shared" si="179"/>
        <v>#VALUE!</v>
      </c>
      <c r="V727" s="50" t="e">
        <f t="shared" si="180"/>
        <v>#VALUE!</v>
      </c>
      <c r="W727" s="50" t="e">
        <f t="shared" si="181"/>
        <v>#VALUE!</v>
      </c>
    </row>
    <row r="728" spans="2:23" x14ac:dyDescent="0.25">
      <c r="B728" s="50" t="b">
        <f t="shared" si="184"/>
        <v>0</v>
      </c>
      <c r="C728" s="50" t="e">
        <f t="shared" si="171"/>
        <v>#VALUE!</v>
      </c>
      <c r="E728" s="56">
        <v>724</v>
      </c>
      <c r="G728" s="138"/>
      <c r="H728" s="135">
        <v>1</v>
      </c>
      <c r="I728" s="57" t="str">
        <f t="shared" si="182"/>
        <v/>
      </c>
      <c r="J728" s="58" t="e">
        <f t="shared" si="172"/>
        <v>#VALUE!</v>
      </c>
      <c r="K728" s="50" t="e">
        <f t="shared" si="173"/>
        <v>#VALUE!</v>
      </c>
      <c r="L728" s="50" t="e">
        <f t="shared" si="170"/>
        <v>#VALUE!</v>
      </c>
      <c r="M728" s="50" t="e">
        <f t="shared" si="170"/>
        <v>#VALUE!</v>
      </c>
      <c r="N728" s="50" t="e">
        <f t="shared" si="174"/>
        <v>#VALUE!</v>
      </c>
      <c r="O728" s="50" t="e">
        <f t="shared" si="175"/>
        <v>#VALUE!</v>
      </c>
      <c r="P728" s="50">
        <f t="shared" si="176"/>
        <v>0</v>
      </c>
      <c r="R728" s="55" t="e">
        <f t="shared" si="177"/>
        <v>#VALUE!</v>
      </c>
      <c r="S728" s="55" t="e">
        <f t="shared" si="178"/>
        <v>#VALUE!</v>
      </c>
      <c r="T728" s="55" t="e">
        <f t="shared" si="183"/>
        <v>#VALUE!</v>
      </c>
      <c r="U728" s="50" t="e">
        <f t="shared" si="179"/>
        <v>#VALUE!</v>
      </c>
      <c r="V728" s="50" t="e">
        <f t="shared" si="180"/>
        <v>#VALUE!</v>
      </c>
      <c r="W728" s="50" t="e">
        <f t="shared" si="181"/>
        <v>#VALUE!</v>
      </c>
    </row>
    <row r="729" spans="2:23" x14ac:dyDescent="0.25">
      <c r="B729" s="50" t="b">
        <f t="shared" si="184"/>
        <v>0</v>
      </c>
      <c r="C729" s="50" t="e">
        <f t="shared" si="171"/>
        <v>#VALUE!</v>
      </c>
      <c r="E729" s="56">
        <v>725</v>
      </c>
      <c r="G729" s="138"/>
      <c r="H729" s="135">
        <v>1</v>
      </c>
      <c r="I729" s="57" t="str">
        <f t="shared" si="182"/>
        <v/>
      </c>
      <c r="J729" s="58" t="e">
        <f t="shared" si="172"/>
        <v>#VALUE!</v>
      </c>
      <c r="K729" s="50" t="e">
        <f t="shared" si="173"/>
        <v>#VALUE!</v>
      </c>
      <c r="L729" s="50" t="e">
        <f t="shared" si="170"/>
        <v>#VALUE!</v>
      </c>
      <c r="M729" s="50" t="e">
        <f t="shared" si="170"/>
        <v>#VALUE!</v>
      </c>
      <c r="N729" s="50" t="e">
        <f t="shared" si="174"/>
        <v>#VALUE!</v>
      </c>
      <c r="O729" s="50" t="e">
        <f t="shared" si="175"/>
        <v>#VALUE!</v>
      </c>
      <c r="P729" s="50">
        <f t="shared" si="176"/>
        <v>0</v>
      </c>
      <c r="R729" s="55" t="e">
        <f t="shared" si="177"/>
        <v>#VALUE!</v>
      </c>
      <c r="S729" s="55" t="e">
        <f t="shared" si="178"/>
        <v>#VALUE!</v>
      </c>
      <c r="T729" s="55" t="e">
        <f t="shared" si="183"/>
        <v>#VALUE!</v>
      </c>
      <c r="U729" s="50" t="e">
        <f t="shared" si="179"/>
        <v>#VALUE!</v>
      </c>
      <c r="V729" s="50" t="e">
        <f t="shared" si="180"/>
        <v>#VALUE!</v>
      </c>
      <c r="W729" s="50" t="e">
        <f t="shared" si="181"/>
        <v>#VALUE!</v>
      </c>
    </row>
    <row r="730" spans="2:23" x14ac:dyDescent="0.25">
      <c r="B730" s="50" t="b">
        <f t="shared" si="184"/>
        <v>0</v>
      </c>
      <c r="C730" s="50" t="e">
        <f t="shared" si="171"/>
        <v>#VALUE!</v>
      </c>
      <c r="E730" s="56">
        <v>726</v>
      </c>
      <c r="G730" s="138"/>
      <c r="H730" s="135">
        <v>1</v>
      </c>
      <c r="I730" s="57" t="str">
        <f t="shared" si="182"/>
        <v/>
      </c>
      <c r="J730" s="58" t="e">
        <f t="shared" si="172"/>
        <v>#VALUE!</v>
      </c>
      <c r="K730" s="50" t="e">
        <f t="shared" si="173"/>
        <v>#VALUE!</v>
      </c>
      <c r="L730" s="50" t="e">
        <f t="shared" si="170"/>
        <v>#VALUE!</v>
      </c>
      <c r="M730" s="50" t="e">
        <f t="shared" si="170"/>
        <v>#VALUE!</v>
      </c>
      <c r="N730" s="50" t="e">
        <f t="shared" si="174"/>
        <v>#VALUE!</v>
      </c>
      <c r="O730" s="50" t="e">
        <f t="shared" si="175"/>
        <v>#VALUE!</v>
      </c>
      <c r="P730" s="50">
        <f t="shared" si="176"/>
        <v>0</v>
      </c>
      <c r="R730" s="55" t="e">
        <f t="shared" si="177"/>
        <v>#VALUE!</v>
      </c>
      <c r="S730" s="55" t="e">
        <f t="shared" si="178"/>
        <v>#VALUE!</v>
      </c>
      <c r="T730" s="55" t="e">
        <f t="shared" si="183"/>
        <v>#VALUE!</v>
      </c>
      <c r="U730" s="50" t="e">
        <f t="shared" si="179"/>
        <v>#VALUE!</v>
      </c>
      <c r="V730" s="50" t="e">
        <f t="shared" si="180"/>
        <v>#VALUE!</v>
      </c>
      <c r="W730" s="50" t="e">
        <f t="shared" si="181"/>
        <v>#VALUE!</v>
      </c>
    </row>
    <row r="731" spans="2:23" x14ac:dyDescent="0.25">
      <c r="B731" s="50" t="b">
        <f t="shared" si="184"/>
        <v>0</v>
      </c>
      <c r="C731" s="50" t="e">
        <f t="shared" si="171"/>
        <v>#VALUE!</v>
      </c>
      <c r="E731" s="56">
        <v>727</v>
      </c>
      <c r="G731" s="138"/>
      <c r="H731" s="135">
        <v>1</v>
      </c>
      <c r="I731" s="57" t="str">
        <f t="shared" si="182"/>
        <v/>
      </c>
      <c r="J731" s="58" t="e">
        <f t="shared" si="172"/>
        <v>#VALUE!</v>
      </c>
      <c r="K731" s="50" t="e">
        <f t="shared" si="173"/>
        <v>#VALUE!</v>
      </c>
      <c r="L731" s="50" t="e">
        <f t="shared" si="170"/>
        <v>#VALUE!</v>
      </c>
      <c r="M731" s="50" t="e">
        <f t="shared" si="170"/>
        <v>#VALUE!</v>
      </c>
      <c r="N731" s="50" t="e">
        <f t="shared" si="174"/>
        <v>#VALUE!</v>
      </c>
      <c r="O731" s="50" t="e">
        <f t="shared" si="175"/>
        <v>#VALUE!</v>
      </c>
      <c r="P731" s="50">
        <f t="shared" si="176"/>
        <v>0</v>
      </c>
      <c r="R731" s="55" t="e">
        <f t="shared" si="177"/>
        <v>#VALUE!</v>
      </c>
      <c r="S731" s="55" t="e">
        <f t="shared" si="178"/>
        <v>#VALUE!</v>
      </c>
      <c r="T731" s="55" t="e">
        <f t="shared" si="183"/>
        <v>#VALUE!</v>
      </c>
      <c r="U731" s="50" t="e">
        <f t="shared" si="179"/>
        <v>#VALUE!</v>
      </c>
      <c r="V731" s="50" t="e">
        <f t="shared" si="180"/>
        <v>#VALUE!</v>
      </c>
      <c r="W731" s="50" t="e">
        <f t="shared" si="181"/>
        <v>#VALUE!</v>
      </c>
    </row>
    <row r="732" spans="2:23" x14ac:dyDescent="0.25">
      <c r="B732" s="50" t="b">
        <f t="shared" si="184"/>
        <v>0</v>
      </c>
      <c r="C732" s="50" t="e">
        <f t="shared" si="171"/>
        <v>#VALUE!</v>
      </c>
      <c r="E732" s="56">
        <v>728</v>
      </c>
      <c r="G732" s="138"/>
      <c r="H732" s="135">
        <v>1</v>
      </c>
      <c r="I732" s="57" t="str">
        <f t="shared" si="182"/>
        <v/>
      </c>
      <c r="J732" s="58" t="e">
        <f t="shared" si="172"/>
        <v>#VALUE!</v>
      </c>
      <c r="K732" s="50" t="e">
        <f t="shared" si="173"/>
        <v>#VALUE!</v>
      </c>
      <c r="L732" s="50" t="e">
        <f t="shared" si="170"/>
        <v>#VALUE!</v>
      </c>
      <c r="M732" s="50" t="e">
        <f t="shared" si="170"/>
        <v>#VALUE!</v>
      </c>
      <c r="N732" s="50" t="e">
        <f t="shared" si="174"/>
        <v>#VALUE!</v>
      </c>
      <c r="O732" s="50" t="e">
        <f t="shared" si="175"/>
        <v>#VALUE!</v>
      </c>
      <c r="P732" s="50">
        <f t="shared" si="176"/>
        <v>0</v>
      </c>
      <c r="R732" s="55" t="e">
        <f t="shared" si="177"/>
        <v>#VALUE!</v>
      </c>
      <c r="S732" s="55" t="e">
        <f t="shared" si="178"/>
        <v>#VALUE!</v>
      </c>
      <c r="T732" s="55" t="e">
        <f t="shared" si="183"/>
        <v>#VALUE!</v>
      </c>
      <c r="U732" s="50" t="e">
        <f t="shared" si="179"/>
        <v>#VALUE!</v>
      </c>
      <c r="V732" s="50" t="e">
        <f t="shared" si="180"/>
        <v>#VALUE!</v>
      </c>
      <c r="W732" s="50" t="e">
        <f t="shared" si="181"/>
        <v>#VALUE!</v>
      </c>
    </row>
    <row r="733" spans="2:23" x14ac:dyDescent="0.25">
      <c r="B733" s="50" t="b">
        <f t="shared" si="184"/>
        <v>0</v>
      </c>
      <c r="C733" s="50" t="e">
        <f t="shared" si="171"/>
        <v>#VALUE!</v>
      </c>
      <c r="E733" s="56">
        <v>729</v>
      </c>
      <c r="G733" s="138"/>
      <c r="H733" s="135">
        <v>1</v>
      </c>
      <c r="I733" s="57" t="str">
        <f t="shared" si="182"/>
        <v/>
      </c>
      <c r="J733" s="58" t="e">
        <f t="shared" si="172"/>
        <v>#VALUE!</v>
      </c>
      <c r="K733" s="50" t="e">
        <f t="shared" si="173"/>
        <v>#VALUE!</v>
      </c>
      <c r="L733" s="50" t="e">
        <f t="shared" si="170"/>
        <v>#VALUE!</v>
      </c>
      <c r="M733" s="50" t="e">
        <f t="shared" si="170"/>
        <v>#VALUE!</v>
      </c>
      <c r="N733" s="50" t="e">
        <f t="shared" si="174"/>
        <v>#VALUE!</v>
      </c>
      <c r="O733" s="50" t="e">
        <f t="shared" si="175"/>
        <v>#VALUE!</v>
      </c>
      <c r="P733" s="50">
        <f t="shared" si="176"/>
        <v>0</v>
      </c>
      <c r="R733" s="55" t="e">
        <f t="shared" si="177"/>
        <v>#VALUE!</v>
      </c>
      <c r="S733" s="55" t="e">
        <f t="shared" si="178"/>
        <v>#VALUE!</v>
      </c>
      <c r="T733" s="55" t="e">
        <f t="shared" si="183"/>
        <v>#VALUE!</v>
      </c>
      <c r="U733" s="50" t="e">
        <f t="shared" si="179"/>
        <v>#VALUE!</v>
      </c>
      <c r="V733" s="50" t="e">
        <f t="shared" si="180"/>
        <v>#VALUE!</v>
      </c>
      <c r="W733" s="50" t="e">
        <f t="shared" si="181"/>
        <v>#VALUE!</v>
      </c>
    </row>
    <row r="734" spans="2:23" x14ac:dyDescent="0.25">
      <c r="B734" s="50" t="b">
        <f t="shared" si="184"/>
        <v>0</v>
      </c>
      <c r="C734" s="50" t="e">
        <f t="shared" si="171"/>
        <v>#VALUE!</v>
      </c>
      <c r="E734" s="56">
        <v>730</v>
      </c>
      <c r="G734" s="138"/>
      <c r="H734" s="135">
        <v>1</v>
      </c>
      <c r="I734" s="57" t="str">
        <f t="shared" si="182"/>
        <v/>
      </c>
      <c r="J734" s="58" t="e">
        <f t="shared" si="172"/>
        <v>#VALUE!</v>
      </c>
      <c r="K734" s="50" t="e">
        <f t="shared" si="173"/>
        <v>#VALUE!</v>
      </c>
      <c r="L734" s="50" t="e">
        <f t="shared" si="170"/>
        <v>#VALUE!</v>
      </c>
      <c r="M734" s="50" t="e">
        <f t="shared" si="170"/>
        <v>#VALUE!</v>
      </c>
      <c r="N734" s="50" t="e">
        <f t="shared" si="174"/>
        <v>#VALUE!</v>
      </c>
      <c r="O734" s="50" t="e">
        <f t="shared" si="175"/>
        <v>#VALUE!</v>
      </c>
      <c r="P734" s="50">
        <f t="shared" si="176"/>
        <v>0</v>
      </c>
      <c r="R734" s="55" t="e">
        <f t="shared" si="177"/>
        <v>#VALUE!</v>
      </c>
      <c r="S734" s="55" t="e">
        <f t="shared" si="178"/>
        <v>#VALUE!</v>
      </c>
      <c r="T734" s="55" t="e">
        <f t="shared" si="183"/>
        <v>#VALUE!</v>
      </c>
      <c r="U734" s="50" t="e">
        <f t="shared" si="179"/>
        <v>#VALUE!</v>
      </c>
      <c r="V734" s="50" t="e">
        <f t="shared" si="180"/>
        <v>#VALUE!</v>
      </c>
      <c r="W734" s="50" t="e">
        <f t="shared" si="181"/>
        <v>#VALUE!</v>
      </c>
    </row>
    <row r="735" spans="2:23" x14ac:dyDescent="0.25">
      <c r="B735" s="50" t="b">
        <f t="shared" si="184"/>
        <v>0</v>
      </c>
      <c r="C735" s="50" t="e">
        <f t="shared" si="171"/>
        <v>#VALUE!</v>
      </c>
      <c r="E735" s="56">
        <v>731</v>
      </c>
      <c r="G735" s="138"/>
      <c r="H735" s="135">
        <v>1</v>
      </c>
      <c r="I735" s="57" t="str">
        <f t="shared" si="182"/>
        <v/>
      </c>
      <c r="J735" s="58" t="e">
        <f t="shared" si="172"/>
        <v>#VALUE!</v>
      </c>
      <c r="K735" s="50" t="e">
        <f t="shared" si="173"/>
        <v>#VALUE!</v>
      </c>
      <c r="L735" s="50" t="e">
        <f t="shared" si="170"/>
        <v>#VALUE!</v>
      </c>
      <c r="M735" s="50" t="e">
        <f t="shared" si="170"/>
        <v>#VALUE!</v>
      </c>
      <c r="N735" s="50" t="e">
        <f t="shared" si="174"/>
        <v>#VALUE!</v>
      </c>
      <c r="O735" s="50" t="e">
        <f t="shared" si="175"/>
        <v>#VALUE!</v>
      </c>
      <c r="P735" s="50">
        <f t="shared" si="176"/>
        <v>0</v>
      </c>
      <c r="R735" s="55" t="e">
        <f t="shared" si="177"/>
        <v>#VALUE!</v>
      </c>
      <c r="S735" s="55" t="e">
        <f t="shared" si="178"/>
        <v>#VALUE!</v>
      </c>
      <c r="T735" s="55" t="e">
        <f t="shared" si="183"/>
        <v>#VALUE!</v>
      </c>
      <c r="U735" s="50" t="e">
        <f t="shared" si="179"/>
        <v>#VALUE!</v>
      </c>
      <c r="V735" s="50" t="e">
        <f t="shared" si="180"/>
        <v>#VALUE!</v>
      </c>
      <c r="W735" s="50" t="e">
        <f t="shared" si="181"/>
        <v>#VALUE!</v>
      </c>
    </row>
    <row r="736" spans="2:23" x14ac:dyDescent="0.25">
      <c r="B736" s="50" t="b">
        <f t="shared" si="184"/>
        <v>0</v>
      </c>
      <c r="C736" s="50" t="e">
        <f t="shared" si="171"/>
        <v>#VALUE!</v>
      </c>
      <c r="E736" s="56">
        <v>732</v>
      </c>
      <c r="G736" s="138"/>
      <c r="H736" s="135">
        <v>1</v>
      </c>
      <c r="I736" s="57" t="str">
        <f t="shared" si="182"/>
        <v/>
      </c>
      <c r="J736" s="58" t="e">
        <f t="shared" si="172"/>
        <v>#VALUE!</v>
      </c>
      <c r="K736" s="50" t="e">
        <f t="shared" si="173"/>
        <v>#VALUE!</v>
      </c>
      <c r="L736" s="50" t="e">
        <f t="shared" ref="L736:M799" si="185">O736-N736</f>
        <v>#VALUE!</v>
      </c>
      <c r="M736" s="50" t="e">
        <f t="shared" si="185"/>
        <v>#VALUE!</v>
      </c>
      <c r="N736" s="50" t="e">
        <f t="shared" si="174"/>
        <v>#VALUE!</v>
      </c>
      <c r="O736" s="50" t="e">
        <f t="shared" si="175"/>
        <v>#VALUE!</v>
      </c>
      <c r="P736" s="50">
        <f t="shared" si="176"/>
        <v>0</v>
      </c>
      <c r="R736" s="55" t="e">
        <f t="shared" si="177"/>
        <v>#VALUE!</v>
      </c>
      <c r="S736" s="55" t="e">
        <f t="shared" si="178"/>
        <v>#VALUE!</v>
      </c>
      <c r="T736" s="55" t="e">
        <f t="shared" si="183"/>
        <v>#VALUE!</v>
      </c>
      <c r="U736" s="50" t="e">
        <f t="shared" si="179"/>
        <v>#VALUE!</v>
      </c>
      <c r="V736" s="50" t="e">
        <f t="shared" si="180"/>
        <v>#VALUE!</v>
      </c>
      <c r="W736" s="50" t="e">
        <f t="shared" si="181"/>
        <v>#VALUE!</v>
      </c>
    </row>
    <row r="737" spans="2:23" x14ac:dyDescent="0.25">
      <c r="B737" s="50" t="b">
        <f t="shared" si="184"/>
        <v>0</v>
      </c>
      <c r="C737" s="50" t="e">
        <f t="shared" si="171"/>
        <v>#VALUE!</v>
      </c>
      <c r="E737" s="56">
        <v>733</v>
      </c>
      <c r="G737" s="138"/>
      <c r="H737" s="135">
        <v>1</v>
      </c>
      <c r="I737" s="57" t="str">
        <f t="shared" si="182"/>
        <v/>
      </c>
      <c r="J737" s="58" t="e">
        <f t="shared" si="172"/>
        <v>#VALUE!</v>
      </c>
      <c r="K737" s="50" t="e">
        <f t="shared" si="173"/>
        <v>#VALUE!</v>
      </c>
      <c r="L737" s="50" t="e">
        <f t="shared" si="185"/>
        <v>#VALUE!</v>
      </c>
      <c r="M737" s="50" t="e">
        <f t="shared" si="185"/>
        <v>#VALUE!</v>
      </c>
      <c r="N737" s="50" t="e">
        <f t="shared" si="174"/>
        <v>#VALUE!</v>
      </c>
      <c r="O737" s="50" t="e">
        <f t="shared" si="175"/>
        <v>#VALUE!</v>
      </c>
      <c r="P737" s="50">
        <f t="shared" si="176"/>
        <v>0</v>
      </c>
      <c r="R737" s="55" t="e">
        <f t="shared" si="177"/>
        <v>#VALUE!</v>
      </c>
      <c r="S737" s="55" t="e">
        <f t="shared" si="178"/>
        <v>#VALUE!</v>
      </c>
      <c r="T737" s="55" t="e">
        <f t="shared" si="183"/>
        <v>#VALUE!</v>
      </c>
      <c r="U737" s="50" t="e">
        <f t="shared" si="179"/>
        <v>#VALUE!</v>
      </c>
      <c r="V737" s="50" t="e">
        <f t="shared" si="180"/>
        <v>#VALUE!</v>
      </c>
      <c r="W737" s="50" t="e">
        <f t="shared" si="181"/>
        <v>#VALUE!</v>
      </c>
    </row>
    <row r="738" spans="2:23" x14ac:dyDescent="0.25">
      <c r="B738" s="50" t="b">
        <f t="shared" si="184"/>
        <v>0</v>
      </c>
      <c r="C738" s="50" t="e">
        <f t="shared" si="171"/>
        <v>#VALUE!</v>
      </c>
      <c r="E738" s="56">
        <v>734</v>
      </c>
      <c r="G738" s="138"/>
      <c r="H738" s="135">
        <v>1</v>
      </c>
      <c r="I738" s="57" t="str">
        <f t="shared" si="182"/>
        <v/>
      </c>
      <c r="J738" s="58" t="e">
        <f t="shared" si="172"/>
        <v>#VALUE!</v>
      </c>
      <c r="K738" s="50" t="e">
        <f t="shared" si="173"/>
        <v>#VALUE!</v>
      </c>
      <c r="L738" s="50" t="e">
        <f t="shared" si="185"/>
        <v>#VALUE!</v>
      </c>
      <c r="M738" s="50" t="e">
        <f t="shared" si="185"/>
        <v>#VALUE!</v>
      </c>
      <c r="N738" s="50" t="e">
        <f t="shared" si="174"/>
        <v>#VALUE!</v>
      </c>
      <c r="O738" s="50" t="e">
        <f t="shared" si="175"/>
        <v>#VALUE!</v>
      </c>
      <c r="P738" s="50">
        <f t="shared" si="176"/>
        <v>0</v>
      </c>
      <c r="R738" s="55" t="e">
        <f t="shared" si="177"/>
        <v>#VALUE!</v>
      </c>
      <c r="S738" s="55" t="e">
        <f t="shared" si="178"/>
        <v>#VALUE!</v>
      </c>
      <c r="T738" s="55" t="e">
        <f t="shared" si="183"/>
        <v>#VALUE!</v>
      </c>
      <c r="U738" s="50" t="e">
        <f t="shared" si="179"/>
        <v>#VALUE!</v>
      </c>
      <c r="V738" s="50" t="e">
        <f t="shared" si="180"/>
        <v>#VALUE!</v>
      </c>
      <c r="W738" s="50" t="e">
        <f t="shared" si="181"/>
        <v>#VALUE!</v>
      </c>
    </row>
    <row r="739" spans="2:23" x14ac:dyDescent="0.25">
      <c r="B739" s="50" t="b">
        <f t="shared" si="184"/>
        <v>0</v>
      </c>
      <c r="C739" s="50" t="e">
        <f t="shared" si="171"/>
        <v>#VALUE!</v>
      </c>
      <c r="E739" s="56">
        <v>735</v>
      </c>
      <c r="G739" s="138"/>
      <c r="H739" s="135">
        <v>1</v>
      </c>
      <c r="I739" s="57" t="str">
        <f t="shared" si="182"/>
        <v/>
      </c>
      <c r="J739" s="58" t="e">
        <f t="shared" si="172"/>
        <v>#VALUE!</v>
      </c>
      <c r="K739" s="50" t="e">
        <f t="shared" si="173"/>
        <v>#VALUE!</v>
      </c>
      <c r="L739" s="50" t="e">
        <f t="shared" si="185"/>
        <v>#VALUE!</v>
      </c>
      <c r="M739" s="50" t="e">
        <f t="shared" si="185"/>
        <v>#VALUE!</v>
      </c>
      <c r="N739" s="50" t="e">
        <f t="shared" si="174"/>
        <v>#VALUE!</v>
      </c>
      <c r="O739" s="50" t="e">
        <f t="shared" si="175"/>
        <v>#VALUE!</v>
      </c>
      <c r="P739" s="50">
        <f t="shared" si="176"/>
        <v>0</v>
      </c>
      <c r="R739" s="55" t="e">
        <f t="shared" si="177"/>
        <v>#VALUE!</v>
      </c>
      <c r="S739" s="55" t="e">
        <f t="shared" si="178"/>
        <v>#VALUE!</v>
      </c>
      <c r="T739" s="55" t="e">
        <f t="shared" si="183"/>
        <v>#VALUE!</v>
      </c>
      <c r="U739" s="50" t="e">
        <f t="shared" si="179"/>
        <v>#VALUE!</v>
      </c>
      <c r="V739" s="50" t="e">
        <f t="shared" si="180"/>
        <v>#VALUE!</v>
      </c>
      <c r="W739" s="50" t="e">
        <f t="shared" si="181"/>
        <v>#VALUE!</v>
      </c>
    </row>
    <row r="740" spans="2:23" x14ac:dyDescent="0.25">
      <c r="B740" s="50" t="b">
        <f t="shared" si="184"/>
        <v>0</v>
      </c>
      <c r="C740" s="50" t="e">
        <f t="shared" si="171"/>
        <v>#VALUE!</v>
      </c>
      <c r="E740" s="56">
        <v>736</v>
      </c>
      <c r="G740" s="138"/>
      <c r="H740" s="135">
        <v>1</v>
      </c>
      <c r="I740" s="57" t="str">
        <f t="shared" si="182"/>
        <v/>
      </c>
      <c r="J740" s="58" t="e">
        <f t="shared" si="172"/>
        <v>#VALUE!</v>
      </c>
      <c r="K740" s="50" t="e">
        <f t="shared" si="173"/>
        <v>#VALUE!</v>
      </c>
      <c r="L740" s="50" t="e">
        <f t="shared" si="185"/>
        <v>#VALUE!</v>
      </c>
      <c r="M740" s="50" t="e">
        <f t="shared" si="185"/>
        <v>#VALUE!</v>
      </c>
      <c r="N740" s="50" t="e">
        <f t="shared" si="174"/>
        <v>#VALUE!</v>
      </c>
      <c r="O740" s="50" t="e">
        <f t="shared" si="175"/>
        <v>#VALUE!</v>
      </c>
      <c r="P740" s="50">
        <f t="shared" si="176"/>
        <v>0</v>
      </c>
      <c r="R740" s="55" t="e">
        <f t="shared" si="177"/>
        <v>#VALUE!</v>
      </c>
      <c r="S740" s="55" t="e">
        <f t="shared" si="178"/>
        <v>#VALUE!</v>
      </c>
      <c r="T740" s="55" t="e">
        <f t="shared" si="183"/>
        <v>#VALUE!</v>
      </c>
      <c r="U740" s="50" t="e">
        <f t="shared" si="179"/>
        <v>#VALUE!</v>
      </c>
      <c r="V740" s="50" t="e">
        <f t="shared" si="180"/>
        <v>#VALUE!</v>
      </c>
      <c r="W740" s="50" t="e">
        <f t="shared" si="181"/>
        <v>#VALUE!</v>
      </c>
    </row>
    <row r="741" spans="2:23" x14ac:dyDescent="0.25">
      <c r="B741" s="50" t="b">
        <f t="shared" si="184"/>
        <v>0</v>
      </c>
      <c r="C741" s="50" t="e">
        <f t="shared" si="171"/>
        <v>#VALUE!</v>
      </c>
      <c r="E741" s="56">
        <v>737</v>
      </c>
      <c r="G741" s="138"/>
      <c r="H741" s="135">
        <v>1</v>
      </c>
      <c r="I741" s="57" t="str">
        <f t="shared" si="182"/>
        <v/>
      </c>
      <c r="J741" s="58" t="e">
        <f t="shared" si="172"/>
        <v>#VALUE!</v>
      </c>
      <c r="K741" s="50" t="e">
        <f t="shared" si="173"/>
        <v>#VALUE!</v>
      </c>
      <c r="L741" s="50" t="e">
        <f t="shared" si="185"/>
        <v>#VALUE!</v>
      </c>
      <c r="M741" s="50" t="e">
        <f t="shared" si="185"/>
        <v>#VALUE!</v>
      </c>
      <c r="N741" s="50" t="e">
        <f t="shared" si="174"/>
        <v>#VALUE!</v>
      </c>
      <c r="O741" s="50" t="e">
        <f t="shared" si="175"/>
        <v>#VALUE!</v>
      </c>
      <c r="P741" s="50">
        <f t="shared" si="176"/>
        <v>0</v>
      </c>
      <c r="R741" s="55" t="e">
        <f t="shared" si="177"/>
        <v>#VALUE!</v>
      </c>
      <c r="S741" s="55" t="e">
        <f t="shared" si="178"/>
        <v>#VALUE!</v>
      </c>
      <c r="T741" s="55" t="e">
        <f t="shared" si="183"/>
        <v>#VALUE!</v>
      </c>
      <c r="U741" s="50" t="e">
        <f t="shared" si="179"/>
        <v>#VALUE!</v>
      </c>
      <c r="V741" s="50" t="e">
        <f t="shared" si="180"/>
        <v>#VALUE!</v>
      </c>
      <c r="W741" s="50" t="e">
        <f t="shared" si="181"/>
        <v>#VALUE!</v>
      </c>
    </row>
    <row r="742" spans="2:23" x14ac:dyDescent="0.25">
      <c r="B742" s="50" t="b">
        <f t="shared" si="184"/>
        <v>0</v>
      </c>
      <c r="C742" s="50" t="e">
        <f t="shared" si="171"/>
        <v>#VALUE!</v>
      </c>
      <c r="E742" s="56">
        <v>738</v>
      </c>
      <c r="G742" s="138"/>
      <c r="H742" s="135">
        <v>1</v>
      </c>
      <c r="I742" s="57" t="str">
        <f t="shared" si="182"/>
        <v/>
      </c>
      <c r="J742" s="58" t="e">
        <f t="shared" si="172"/>
        <v>#VALUE!</v>
      </c>
      <c r="K742" s="50" t="e">
        <f t="shared" si="173"/>
        <v>#VALUE!</v>
      </c>
      <c r="L742" s="50" t="e">
        <f t="shared" si="185"/>
        <v>#VALUE!</v>
      </c>
      <c r="M742" s="50" t="e">
        <f t="shared" si="185"/>
        <v>#VALUE!</v>
      </c>
      <c r="N742" s="50" t="e">
        <f t="shared" si="174"/>
        <v>#VALUE!</v>
      </c>
      <c r="O742" s="50" t="e">
        <f t="shared" si="175"/>
        <v>#VALUE!</v>
      </c>
      <c r="P742" s="50">
        <f t="shared" si="176"/>
        <v>0</v>
      </c>
      <c r="R742" s="55" t="e">
        <f t="shared" si="177"/>
        <v>#VALUE!</v>
      </c>
      <c r="S742" s="55" t="e">
        <f t="shared" si="178"/>
        <v>#VALUE!</v>
      </c>
      <c r="T742" s="55" t="e">
        <f t="shared" si="183"/>
        <v>#VALUE!</v>
      </c>
      <c r="U742" s="50" t="e">
        <f t="shared" si="179"/>
        <v>#VALUE!</v>
      </c>
      <c r="V742" s="50" t="e">
        <f t="shared" si="180"/>
        <v>#VALUE!</v>
      </c>
      <c r="W742" s="50" t="e">
        <f t="shared" si="181"/>
        <v>#VALUE!</v>
      </c>
    </row>
    <row r="743" spans="2:23" x14ac:dyDescent="0.25">
      <c r="B743" s="50" t="b">
        <f t="shared" si="184"/>
        <v>0</v>
      </c>
      <c r="C743" s="50" t="e">
        <f t="shared" si="171"/>
        <v>#VALUE!</v>
      </c>
      <c r="E743" s="56">
        <v>739</v>
      </c>
      <c r="G743" s="138"/>
      <c r="H743" s="135">
        <v>1</v>
      </c>
      <c r="I743" s="57" t="str">
        <f t="shared" si="182"/>
        <v/>
      </c>
      <c r="J743" s="58" t="e">
        <f t="shared" si="172"/>
        <v>#VALUE!</v>
      </c>
      <c r="K743" s="50" t="e">
        <f t="shared" si="173"/>
        <v>#VALUE!</v>
      </c>
      <c r="L743" s="50" t="e">
        <f t="shared" si="185"/>
        <v>#VALUE!</v>
      </c>
      <c r="M743" s="50" t="e">
        <f t="shared" si="185"/>
        <v>#VALUE!</v>
      </c>
      <c r="N743" s="50" t="e">
        <f t="shared" si="174"/>
        <v>#VALUE!</v>
      </c>
      <c r="O743" s="50" t="e">
        <f t="shared" si="175"/>
        <v>#VALUE!</v>
      </c>
      <c r="P743" s="50">
        <f t="shared" si="176"/>
        <v>0</v>
      </c>
      <c r="R743" s="55" t="e">
        <f t="shared" si="177"/>
        <v>#VALUE!</v>
      </c>
      <c r="S743" s="55" t="e">
        <f t="shared" si="178"/>
        <v>#VALUE!</v>
      </c>
      <c r="T743" s="55" t="e">
        <f t="shared" si="183"/>
        <v>#VALUE!</v>
      </c>
      <c r="U743" s="50" t="e">
        <f t="shared" si="179"/>
        <v>#VALUE!</v>
      </c>
      <c r="V743" s="50" t="e">
        <f t="shared" si="180"/>
        <v>#VALUE!</v>
      </c>
      <c r="W743" s="50" t="e">
        <f t="shared" si="181"/>
        <v>#VALUE!</v>
      </c>
    </row>
    <row r="744" spans="2:23" x14ac:dyDescent="0.25">
      <c r="B744" s="50" t="b">
        <f t="shared" si="184"/>
        <v>0</v>
      </c>
      <c r="C744" s="50" t="e">
        <f t="shared" si="171"/>
        <v>#VALUE!</v>
      </c>
      <c r="E744" s="56">
        <v>740</v>
      </c>
      <c r="G744" s="138"/>
      <c r="H744" s="135">
        <v>1</v>
      </c>
      <c r="I744" s="57" t="str">
        <f t="shared" si="182"/>
        <v/>
      </c>
      <c r="J744" s="58" t="e">
        <f t="shared" si="172"/>
        <v>#VALUE!</v>
      </c>
      <c r="K744" s="50" t="e">
        <f t="shared" si="173"/>
        <v>#VALUE!</v>
      </c>
      <c r="L744" s="50" t="e">
        <f t="shared" si="185"/>
        <v>#VALUE!</v>
      </c>
      <c r="M744" s="50" t="e">
        <f t="shared" si="185"/>
        <v>#VALUE!</v>
      </c>
      <c r="N744" s="50" t="e">
        <f t="shared" si="174"/>
        <v>#VALUE!</v>
      </c>
      <c r="O744" s="50" t="e">
        <f t="shared" si="175"/>
        <v>#VALUE!</v>
      </c>
      <c r="P744" s="50">
        <f t="shared" si="176"/>
        <v>0</v>
      </c>
      <c r="R744" s="55" t="e">
        <f t="shared" si="177"/>
        <v>#VALUE!</v>
      </c>
      <c r="S744" s="55" t="e">
        <f t="shared" si="178"/>
        <v>#VALUE!</v>
      </c>
      <c r="T744" s="55" t="e">
        <f t="shared" si="183"/>
        <v>#VALUE!</v>
      </c>
      <c r="U744" s="50" t="e">
        <f t="shared" si="179"/>
        <v>#VALUE!</v>
      </c>
      <c r="V744" s="50" t="e">
        <f t="shared" si="180"/>
        <v>#VALUE!</v>
      </c>
      <c r="W744" s="50" t="e">
        <f t="shared" si="181"/>
        <v>#VALUE!</v>
      </c>
    </row>
    <row r="745" spans="2:23" x14ac:dyDescent="0.25">
      <c r="B745" s="50" t="b">
        <f t="shared" si="184"/>
        <v>0</v>
      </c>
      <c r="C745" s="50" t="e">
        <f t="shared" si="171"/>
        <v>#VALUE!</v>
      </c>
      <c r="E745" s="56">
        <v>741</v>
      </c>
      <c r="G745" s="138"/>
      <c r="H745" s="135">
        <v>1</v>
      </c>
      <c r="I745" s="57" t="str">
        <f t="shared" si="182"/>
        <v/>
      </c>
      <c r="J745" s="58" t="e">
        <f t="shared" si="172"/>
        <v>#VALUE!</v>
      </c>
      <c r="K745" s="50" t="e">
        <f t="shared" si="173"/>
        <v>#VALUE!</v>
      </c>
      <c r="L745" s="50" t="e">
        <f t="shared" si="185"/>
        <v>#VALUE!</v>
      </c>
      <c r="M745" s="50" t="e">
        <f t="shared" si="185"/>
        <v>#VALUE!</v>
      </c>
      <c r="N745" s="50" t="e">
        <f t="shared" si="174"/>
        <v>#VALUE!</v>
      </c>
      <c r="O745" s="50" t="e">
        <f t="shared" si="175"/>
        <v>#VALUE!</v>
      </c>
      <c r="P745" s="50">
        <f t="shared" si="176"/>
        <v>0</v>
      </c>
      <c r="R745" s="55" t="e">
        <f t="shared" si="177"/>
        <v>#VALUE!</v>
      </c>
      <c r="S745" s="55" t="e">
        <f t="shared" si="178"/>
        <v>#VALUE!</v>
      </c>
      <c r="T745" s="55" t="e">
        <f t="shared" si="183"/>
        <v>#VALUE!</v>
      </c>
      <c r="U745" s="50" t="e">
        <f t="shared" si="179"/>
        <v>#VALUE!</v>
      </c>
      <c r="V745" s="50" t="e">
        <f t="shared" si="180"/>
        <v>#VALUE!</v>
      </c>
      <c r="W745" s="50" t="e">
        <f t="shared" si="181"/>
        <v>#VALUE!</v>
      </c>
    </row>
    <row r="746" spans="2:23" x14ac:dyDescent="0.25">
      <c r="B746" s="50" t="b">
        <f t="shared" si="184"/>
        <v>0</v>
      </c>
      <c r="C746" s="50" t="e">
        <f t="shared" si="171"/>
        <v>#VALUE!</v>
      </c>
      <c r="E746" s="56">
        <v>742</v>
      </c>
      <c r="G746" s="138"/>
      <c r="H746" s="135">
        <v>1</v>
      </c>
      <c r="I746" s="57" t="str">
        <f t="shared" si="182"/>
        <v/>
      </c>
      <c r="J746" s="58" t="e">
        <f t="shared" si="172"/>
        <v>#VALUE!</v>
      </c>
      <c r="K746" s="50" t="e">
        <f t="shared" si="173"/>
        <v>#VALUE!</v>
      </c>
      <c r="L746" s="50" t="e">
        <f t="shared" si="185"/>
        <v>#VALUE!</v>
      </c>
      <c r="M746" s="50" t="e">
        <f t="shared" si="185"/>
        <v>#VALUE!</v>
      </c>
      <c r="N746" s="50" t="e">
        <f t="shared" si="174"/>
        <v>#VALUE!</v>
      </c>
      <c r="O746" s="50" t="e">
        <f t="shared" si="175"/>
        <v>#VALUE!</v>
      </c>
      <c r="P746" s="50">
        <f t="shared" si="176"/>
        <v>0</v>
      </c>
      <c r="R746" s="55" t="e">
        <f t="shared" si="177"/>
        <v>#VALUE!</v>
      </c>
      <c r="S746" s="55" t="e">
        <f t="shared" si="178"/>
        <v>#VALUE!</v>
      </c>
      <c r="T746" s="55" t="e">
        <f t="shared" si="183"/>
        <v>#VALUE!</v>
      </c>
      <c r="U746" s="50" t="e">
        <f t="shared" si="179"/>
        <v>#VALUE!</v>
      </c>
      <c r="V746" s="50" t="e">
        <f t="shared" si="180"/>
        <v>#VALUE!</v>
      </c>
      <c r="W746" s="50" t="e">
        <f t="shared" si="181"/>
        <v>#VALUE!</v>
      </c>
    </row>
    <row r="747" spans="2:23" x14ac:dyDescent="0.25">
      <c r="B747" s="50" t="b">
        <f t="shared" si="184"/>
        <v>0</v>
      </c>
      <c r="C747" s="50" t="e">
        <f t="shared" si="171"/>
        <v>#VALUE!</v>
      </c>
      <c r="E747" s="56">
        <v>743</v>
      </c>
      <c r="G747" s="138"/>
      <c r="H747" s="135">
        <v>1</v>
      </c>
      <c r="I747" s="57" t="str">
        <f t="shared" si="182"/>
        <v/>
      </c>
      <c r="J747" s="58" t="e">
        <f t="shared" si="172"/>
        <v>#VALUE!</v>
      </c>
      <c r="K747" s="50" t="e">
        <f t="shared" si="173"/>
        <v>#VALUE!</v>
      </c>
      <c r="L747" s="50" t="e">
        <f t="shared" si="185"/>
        <v>#VALUE!</v>
      </c>
      <c r="M747" s="50" t="e">
        <f t="shared" si="185"/>
        <v>#VALUE!</v>
      </c>
      <c r="N747" s="50" t="e">
        <f t="shared" si="174"/>
        <v>#VALUE!</v>
      </c>
      <c r="O747" s="50" t="e">
        <f t="shared" si="175"/>
        <v>#VALUE!</v>
      </c>
      <c r="P747" s="50">
        <f t="shared" si="176"/>
        <v>0</v>
      </c>
      <c r="R747" s="55" t="e">
        <f t="shared" si="177"/>
        <v>#VALUE!</v>
      </c>
      <c r="S747" s="55" t="e">
        <f t="shared" si="178"/>
        <v>#VALUE!</v>
      </c>
      <c r="T747" s="55" t="e">
        <f t="shared" si="183"/>
        <v>#VALUE!</v>
      </c>
      <c r="U747" s="50" t="e">
        <f t="shared" si="179"/>
        <v>#VALUE!</v>
      </c>
      <c r="V747" s="50" t="e">
        <f t="shared" si="180"/>
        <v>#VALUE!</v>
      </c>
      <c r="W747" s="50" t="e">
        <f t="shared" si="181"/>
        <v>#VALUE!</v>
      </c>
    </row>
    <row r="748" spans="2:23" x14ac:dyDescent="0.25">
      <c r="B748" s="50" t="b">
        <f t="shared" si="184"/>
        <v>0</v>
      </c>
      <c r="C748" s="50" t="e">
        <f t="shared" si="171"/>
        <v>#VALUE!</v>
      </c>
      <c r="E748" s="56">
        <v>744</v>
      </c>
      <c r="G748" s="138"/>
      <c r="H748" s="135">
        <v>1</v>
      </c>
      <c r="I748" s="57" t="str">
        <f t="shared" si="182"/>
        <v/>
      </c>
      <c r="J748" s="58" t="e">
        <f t="shared" si="172"/>
        <v>#VALUE!</v>
      </c>
      <c r="K748" s="50" t="e">
        <f t="shared" si="173"/>
        <v>#VALUE!</v>
      </c>
      <c r="L748" s="50" t="e">
        <f t="shared" si="185"/>
        <v>#VALUE!</v>
      </c>
      <c r="M748" s="50" t="e">
        <f t="shared" si="185"/>
        <v>#VALUE!</v>
      </c>
      <c r="N748" s="50" t="e">
        <f t="shared" si="174"/>
        <v>#VALUE!</v>
      </c>
      <c r="O748" s="50" t="e">
        <f t="shared" si="175"/>
        <v>#VALUE!</v>
      </c>
      <c r="P748" s="50">
        <f t="shared" si="176"/>
        <v>0</v>
      </c>
      <c r="R748" s="55" t="e">
        <f t="shared" si="177"/>
        <v>#VALUE!</v>
      </c>
      <c r="S748" s="55" t="e">
        <f t="shared" si="178"/>
        <v>#VALUE!</v>
      </c>
      <c r="T748" s="55" t="e">
        <f t="shared" si="183"/>
        <v>#VALUE!</v>
      </c>
      <c r="U748" s="50" t="e">
        <f t="shared" si="179"/>
        <v>#VALUE!</v>
      </c>
      <c r="V748" s="50" t="e">
        <f t="shared" si="180"/>
        <v>#VALUE!</v>
      </c>
      <c r="W748" s="50" t="e">
        <f t="shared" si="181"/>
        <v>#VALUE!</v>
      </c>
    </row>
    <row r="749" spans="2:23" x14ac:dyDescent="0.25">
      <c r="B749" s="50" t="b">
        <f t="shared" si="184"/>
        <v>0</v>
      </c>
      <c r="C749" s="50" t="e">
        <f t="shared" si="171"/>
        <v>#VALUE!</v>
      </c>
      <c r="E749" s="56">
        <v>745</v>
      </c>
      <c r="G749" s="138"/>
      <c r="H749" s="135">
        <v>1</v>
      </c>
      <c r="I749" s="57" t="str">
        <f t="shared" si="182"/>
        <v/>
      </c>
      <c r="J749" s="58" t="e">
        <f t="shared" si="172"/>
        <v>#VALUE!</v>
      </c>
      <c r="K749" s="50" t="e">
        <f t="shared" si="173"/>
        <v>#VALUE!</v>
      </c>
      <c r="L749" s="50" t="e">
        <f t="shared" si="185"/>
        <v>#VALUE!</v>
      </c>
      <c r="M749" s="50" t="e">
        <f t="shared" si="185"/>
        <v>#VALUE!</v>
      </c>
      <c r="N749" s="50" t="e">
        <f t="shared" si="174"/>
        <v>#VALUE!</v>
      </c>
      <c r="O749" s="50" t="e">
        <f t="shared" si="175"/>
        <v>#VALUE!</v>
      </c>
      <c r="P749" s="50">
        <f t="shared" si="176"/>
        <v>0</v>
      </c>
      <c r="R749" s="55" t="e">
        <f t="shared" si="177"/>
        <v>#VALUE!</v>
      </c>
      <c r="S749" s="55" t="e">
        <f t="shared" si="178"/>
        <v>#VALUE!</v>
      </c>
      <c r="T749" s="55" t="e">
        <f t="shared" si="183"/>
        <v>#VALUE!</v>
      </c>
      <c r="U749" s="50" t="e">
        <f t="shared" si="179"/>
        <v>#VALUE!</v>
      </c>
      <c r="V749" s="50" t="e">
        <f t="shared" si="180"/>
        <v>#VALUE!</v>
      </c>
      <c r="W749" s="50" t="e">
        <f t="shared" si="181"/>
        <v>#VALUE!</v>
      </c>
    </row>
    <row r="750" spans="2:23" x14ac:dyDescent="0.25">
      <c r="B750" s="50" t="b">
        <f t="shared" si="184"/>
        <v>0</v>
      </c>
      <c r="C750" s="50" t="e">
        <f t="shared" si="171"/>
        <v>#VALUE!</v>
      </c>
      <c r="E750" s="56">
        <v>746</v>
      </c>
      <c r="G750" s="138"/>
      <c r="H750" s="135">
        <v>1</v>
      </c>
      <c r="I750" s="57" t="str">
        <f t="shared" si="182"/>
        <v/>
      </c>
      <c r="J750" s="58" t="e">
        <f t="shared" si="172"/>
        <v>#VALUE!</v>
      </c>
      <c r="K750" s="50" t="e">
        <f t="shared" si="173"/>
        <v>#VALUE!</v>
      </c>
      <c r="L750" s="50" t="e">
        <f t="shared" si="185"/>
        <v>#VALUE!</v>
      </c>
      <c r="M750" s="50" t="e">
        <f t="shared" si="185"/>
        <v>#VALUE!</v>
      </c>
      <c r="N750" s="50" t="e">
        <f t="shared" si="174"/>
        <v>#VALUE!</v>
      </c>
      <c r="O750" s="50" t="e">
        <f t="shared" si="175"/>
        <v>#VALUE!</v>
      </c>
      <c r="P750" s="50">
        <f t="shared" si="176"/>
        <v>0</v>
      </c>
      <c r="R750" s="55" t="e">
        <f t="shared" si="177"/>
        <v>#VALUE!</v>
      </c>
      <c r="S750" s="55" t="e">
        <f t="shared" si="178"/>
        <v>#VALUE!</v>
      </c>
      <c r="T750" s="55" t="e">
        <f t="shared" si="183"/>
        <v>#VALUE!</v>
      </c>
      <c r="U750" s="50" t="e">
        <f t="shared" si="179"/>
        <v>#VALUE!</v>
      </c>
      <c r="V750" s="50" t="e">
        <f t="shared" si="180"/>
        <v>#VALUE!</v>
      </c>
      <c r="W750" s="50" t="e">
        <f t="shared" si="181"/>
        <v>#VALUE!</v>
      </c>
    </row>
    <row r="751" spans="2:23" x14ac:dyDescent="0.25">
      <c r="B751" s="50" t="b">
        <f t="shared" si="184"/>
        <v>0</v>
      </c>
      <c r="C751" s="50" t="e">
        <f t="shared" si="171"/>
        <v>#VALUE!</v>
      </c>
      <c r="E751" s="56">
        <v>747</v>
      </c>
      <c r="G751" s="138"/>
      <c r="H751" s="135">
        <v>1</v>
      </c>
      <c r="I751" s="57" t="str">
        <f t="shared" si="182"/>
        <v/>
      </c>
      <c r="J751" s="58" t="e">
        <f t="shared" si="172"/>
        <v>#VALUE!</v>
      </c>
      <c r="K751" s="50" t="e">
        <f t="shared" si="173"/>
        <v>#VALUE!</v>
      </c>
      <c r="L751" s="50" t="e">
        <f t="shared" si="185"/>
        <v>#VALUE!</v>
      </c>
      <c r="M751" s="50" t="e">
        <f t="shared" si="185"/>
        <v>#VALUE!</v>
      </c>
      <c r="N751" s="50" t="e">
        <f t="shared" si="174"/>
        <v>#VALUE!</v>
      </c>
      <c r="O751" s="50" t="e">
        <f t="shared" si="175"/>
        <v>#VALUE!</v>
      </c>
      <c r="P751" s="50">
        <f t="shared" si="176"/>
        <v>0</v>
      </c>
      <c r="R751" s="55" t="e">
        <f t="shared" si="177"/>
        <v>#VALUE!</v>
      </c>
      <c r="S751" s="55" t="e">
        <f t="shared" si="178"/>
        <v>#VALUE!</v>
      </c>
      <c r="T751" s="55" t="e">
        <f t="shared" si="183"/>
        <v>#VALUE!</v>
      </c>
      <c r="U751" s="50" t="e">
        <f t="shared" si="179"/>
        <v>#VALUE!</v>
      </c>
      <c r="V751" s="50" t="e">
        <f t="shared" si="180"/>
        <v>#VALUE!</v>
      </c>
      <c r="W751" s="50" t="e">
        <f t="shared" si="181"/>
        <v>#VALUE!</v>
      </c>
    </row>
    <row r="752" spans="2:23" x14ac:dyDescent="0.25">
      <c r="B752" s="50" t="b">
        <f t="shared" si="184"/>
        <v>0</v>
      </c>
      <c r="C752" s="50" t="e">
        <f t="shared" si="171"/>
        <v>#VALUE!</v>
      </c>
      <c r="E752" s="56">
        <v>748</v>
      </c>
      <c r="G752" s="138"/>
      <c r="H752" s="135">
        <v>1</v>
      </c>
      <c r="I752" s="57" t="str">
        <f t="shared" si="182"/>
        <v/>
      </c>
      <c r="J752" s="58" t="e">
        <f t="shared" si="172"/>
        <v>#VALUE!</v>
      </c>
      <c r="K752" s="50" t="e">
        <f t="shared" si="173"/>
        <v>#VALUE!</v>
      </c>
      <c r="L752" s="50" t="e">
        <f t="shared" si="185"/>
        <v>#VALUE!</v>
      </c>
      <c r="M752" s="50" t="e">
        <f t="shared" si="185"/>
        <v>#VALUE!</v>
      </c>
      <c r="N752" s="50" t="e">
        <f t="shared" si="174"/>
        <v>#VALUE!</v>
      </c>
      <c r="O752" s="50" t="e">
        <f t="shared" si="175"/>
        <v>#VALUE!</v>
      </c>
      <c r="P752" s="50">
        <f t="shared" si="176"/>
        <v>0</v>
      </c>
      <c r="R752" s="55" t="e">
        <f t="shared" si="177"/>
        <v>#VALUE!</v>
      </c>
      <c r="S752" s="55" t="e">
        <f t="shared" si="178"/>
        <v>#VALUE!</v>
      </c>
      <c r="T752" s="55" t="e">
        <f t="shared" si="183"/>
        <v>#VALUE!</v>
      </c>
      <c r="U752" s="50" t="e">
        <f t="shared" si="179"/>
        <v>#VALUE!</v>
      </c>
      <c r="V752" s="50" t="e">
        <f t="shared" si="180"/>
        <v>#VALUE!</v>
      </c>
      <c r="W752" s="50" t="e">
        <f t="shared" si="181"/>
        <v>#VALUE!</v>
      </c>
    </row>
    <row r="753" spans="2:23" x14ac:dyDescent="0.25">
      <c r="B753" s="50" t="b">
        <f t="shared" si="184"/>
        <v>0</v>
      </c>
      <c r="C753" s="50" t="e">
        <f t="shared" si="171"/>
        <v>#VALUE!</v>
      </c>
      <c r="E753" s="56">
        <v>749</v>
      </c>
      <c r="G753" s="138"/>
      <c r="H753" s="135">
        <v>1</v>
      </c>
      <c r="I753" s="57" t="str">
        <f t="shared" si="182"/>
        <v/>
      </c>
      <c r="J753" s="58" t="e">
        <f t="shared" si="172"/>
        <v>#VALUE!</v>
      </c>
      <c r="K753" s="50" t="e">
        <f t="shared" si="173"/>
        <v>#VALUE!</v>
      </c>
      <c r="L753" s="50" t="e">
        <f t="shared" si="185"/>
        <v>#VALUE!</v>
      </c>
      <c r="M753" s="50" t="e">
        <f t="shared" si="185"/>
        <v>#VALUE!</v>
      </c>
      <c r="N753" s="50" t="e">
        <f t="shared" si="174"/>
        <v>#VALUE!</v>
      </c>
      <c r="O753" s="50" t="e">
        <f t="shared" si="175"/>
        <v>#VALUE!</v>
      </c>
      <c r="P753" s="50">
        <f t="shared" si="176"/>
        <v>0</v>
      </c>
      <c r="R753" s="55" t="e">
        <f t="shared" si="177"/>
        <v>#VALUE!</v>
      </c>
      <c r="S753" s="55" t="e">
        <f t="shared" si="178"/>
        <v>#VALUE!</v>
      </c>
      <c r="T753" s="55" t="e">
        <f t="shared" si="183"/>
        <v>#VALUE!</v>
      </c>
      <c r="U753" s="50" t="e">
        <f t="shared" si="179"/>
        <v>#VALUE!</v>
      </c>
      <c r="V753" s="50" t="e">
        <f t="shared" si="180"/>
        <v>#VALUE!</v>
      </c>
      <c r="W753" s="50" t="e">
        <f t="shared" si="181"/>
        <v>#VALUE!</v>
      </c>
    </row>
    <row r="754" spans="2:23" x14ac:dyDescent="0.25">
      <c r="B754" s="50" t="b">
        <f t="shared" si="184"/>
        <v>0</v>
      </c>
      <c r="C754" s="50" t="e">
        <f t="shared" si="171"/>
        <v>#VALUE!</v>
      </c>
      <c r="E754" s="56">
        <v>750</v>
      </c>
      <c r="G754" s="138"/>
      <c r="H754" s="135">
        <v>1</v>
      </c>
      <c r="I754" s="57" t="str">
        <f t="shared" si="182"/>
        <v/>
      </c>
      <c r="J754" s="58" t="e">
        <f t="shared" si="172"/>
        <v>#VALUE!</v>
      </c>
      <c r="K754" s="50" t="e">
        <f t="shared" si="173"/>
        <v>#VALUE!</v>
      </c>
      <c r="L754" s="50" t="e">
        <f t="shared" si="185"/>
        <v>#VALUE!</v>
      </c>
      <c r="M754" s="50" t="e">
        <f t="shared" si="185"/>
        <v>#VALUE!</v>
      </c>
      <c r="N754" s="50" t="e">
        <f t="shared" si="174"/>
        <v>#VALUE!</v>
      </c>
      <c r="O754" s="50" t="e">
        <f t="shared" si="175"/>
        <v>#VALUE!</v>
      </c>
      <c r="P754" s="50">
        <f t="shared" si="176"/>
        <v>0</v>
      </c>
      <c r="R754" s="55" t="e">
        <f t="shared" si="177"/>
        <v>#VALUE!</v>
      </c>
      <c r="S754" s="55" t="e">
        <f t="shared" si="178"/>
        <v>#VALUE!</v>
      </c>
      <c r="T754" s="55" t="e">
        <f t="shared" si="183"/>
        <v>#VALUE!</v>
      </c>
      <c r="U754" s="50" t="e">
        <f t="shared" si="179"/>
        <v>#VALUE!</v>
      </c>
      <c r="V754" s="50" t="e">
        <f t="shared" si="180"/>
        <v>#VALUE!</v>
      </c>
      <c r="W754" s="50" t="e">
        <f t="shared" si="181"/>
        <v>#VALUE!</v>
      </c>
    </row>
    <row r="755" spans="2:23" x14ac:dyDescent="0.25">
      <c r="B755" s="50" t="b">
        <f t="shared" si="184"/>
        <v>0</v>
      </c>
      <c r="C755" s="50" t="e">
        <f t="shared" si="171"/>
        <v>#VALUE!</v>
      </c>
      <c r="E755" s="56">
        <v>751</v>
      </c>
      <c r="G755" s="138"/>
      <c r="H755" s="135">
        <v>1</v>
      </c>
      <c r="I755" s="57" t="str">
        <f t="shared" si="182"/>
        <v/>
      </c>
      <c r="J755" s="58" t="e">
        <f t="shared" si="172"/>
        <v>#VALUE!</v>
      </c>
      <c r="K755" s="50" t="e">
        <f t="shared" si="173"/>
        <v>#VALUE!</v>
      </c>
      <c r="L755" s="50" t="e">
        <f t="shared" si="185"/>
        <v>#VALUE!</v>
      </c>
      <c r="M755" s="50" t="e">
        <f t="shared" si="185"/>
        <v>#VALUE!</v>
      </c>
      <c r="N755" s="50" t="e">
        <f t="shared" si="174"/>
        <v>#VALUE!</v>
      </c>
      <c r="O755" s="50" t="e">
        <f t="shared" si="175"/>
        <v>#VALUE!</v>
      </c>
      <c r="P755" s="50">
        <f t="shared" si="176"/>
        <v>0</v>
      </c>
      <c r="R755" s="55" t="e">
        <f t="shared" si="177"/>
        <v>#VALUE!</v>
      </c>
      <c r="S755" s="55" t="e">
        <f t="shared" si="178"/>
        <v>#VALUE!</v>
      </c>
      <c r="T755" s="55" t="e">
        <f t="shared" si="183"/>
        <v>#VALUE!</v>
      </c>
      <c r="U755" s="50" t="e">
        <f t="shared" si="179"/>
        <v>#VALUE!</v>
      </c>
      <c r="V755" s="50" t="e">
        <f t="shared" si="180"/>
        <v>#VALUE!</v>
      </c>
      <c r="W755" s="50" t="e">
        <f t="shared" si="181"/>
        <v>#VALUE!</v>
      </c>
    </row>
    <row r="756" spans="2:23" x14ac:dyDescent="0.25">
      <c r="B756" s="50" t="b">
        <f t="shared" si="184"/>
        <v>0</v>
      </c>
      <c r="C756" s="50" t="e">
        <f t="shared" si="171"/>
        <v>#VALUE!</v>
      </c>
      <c r="E756" s="56">
        <v>752</v>
      </c>
      <c r="G756" s="138"/>
      <c r="H756" s="135">
        <v>1</v>
      </c>
      <c r="I756" s="57" t="str">
        <f t="shared" si="182"/>
        <v/>
      </c>
      <c r="J756" s="58" t="e">
        <f t="shared" si="172"/>
        <v>#VALUE!</v>
      </c>
      <c r="K756" s="50" t="e">
        <f t="shared" si="173"/>
        <v>#VALUE!</v>
      </c>
      <c r="L756" s="50" t="e">
        <f t="shared" si="185"/>
        <v>#VALUE!</v>
      </c>
      <c r="M756" s="50" t="e">
        <f t="shared" si="185"/>
        <v>#VALUE!</v>
      </c>
      <c r="N756" s="50" t="e">
        <f t="shared" si="174"/>
        <v>#VALUE!</v>
      </c>
      <c r="O756" s="50" t="e">
        <f t="shared" si="175"/>
        <v>#VALUE!</v>
      </c>
      <c r="P756" s="50">
        <f t="shared" si="176"/>
        <v>0</v>
      </c>
      <c r="R756" s="55" t="e">
        <f t="shared" si="177"/>
        <v>#VALUE!</v>
      </c>
      <c r="S756" s="55" t="e">
        <f t="shared" si="178"/>
        <v>#VALUE!</v>
      </c>
      <c r="T756" s="55" t="e">
        <f t="shared" si="183"/>
        <v>#VALUE!</v>
      </c>
      <c r="U756" s="50" t="e">
        <f t="shared" si="179"/>
        <v>#VALUE!</v>
      </c>
      <c r="V756" s="50" t="e">
        <f t="shared" si="180"/>
        <v>#VALUE!</v>
      </c>
      <c r="W756" s="50" t="e">
        <f t="shared" si="181"/>
        <v>#VALUE!</v>
      </c>
    </row>
    <row r="757" spans="2:23" x14ac:dyDescent="0.25">
      <c r="B757" s="50" t="b">
        <f t="shared" si="184"/>
        <v>0</v>
      </c>
      <c r="C757" s="50" t="e">
        <f t="shared" si="171"/>
        <v>#VALUE!</v>
      </c>
      <c r="E757" s="56">
        <v>753</v>
      </c>
      <c r="G757" s="138"/>
      <c r="H757" s="135">
        <v>1</v>
      </c>
      <c r="I757" s="57" t="str">
        <f t="shared" si="182"/>
        <v/>
      </c>
      <c r="J757" s="58" t="e">
        <f t="shared" si="172"/>
        <v>#VALUE!</v>
      </c>
      <c r="K757" s="50" t="e">
        <f t="shared" si="173"/>
        <v>#VALUE!</v>
      </c>
      <c r="L757" s="50" t="e">
        <f t="shared" si="185"/>
        <v>#VALUE!</v>
      </c>
      <c r="M757" s="50" t="e">
        <f t="shared" si="185"/>
        <v>#VALUE!</v>
      </c>
      <c r="N757" s="50" t="e">
        <f t="shared" si="174"/>
        <v>#VALUE!</v>
      </c>
      <c r="O757" s="50" t="e">
        <f t="shared" si="175"/>
        <v>#VALUE!</v>
      </c>
      <c r="P757" s="50">
        <f t="shared" si="176"/>
        <v>0</v>
      </c>
      <c r="R757" s="55" t="e">
        <f t="shared" si="177"/>
        <v>#VALUE!</v>
      </c>
      <c r="S757" s="55" t="e">
        <f t="shared" si="178"/>
        <v>#VALUE!</v>
      </c>
      <c r="T757" s="55" t="e">
        <f t="shared" si="183"/>
        <v>#VALUE!</v>
      </c>
      <c r="U757" s="50" t="e">
        <f t="shared" si="179"/>
        <v>#VALUE!</v>
      </c>
      <c r="V757" s="50" t="e">
        <f t="shared" si="180"/>
        <v>#VALUE!</v>
      </c>
      <c r="W757" s="50" t="e">
        <f t="shared" si="181"/>
        <v>#VALUE!</v>
      </c>
    </row>
    <row r="758" spans="2:23" x14ac:dyDescent="0.25">
      <c r="B758" s="50" t="b">
        <f t="shared" si="184"/>
        <v>0</v>
      </c>
      <c r="C758" s="50" t="e">
        <f t="shared" ref="C758:C821" si="186">SUM(U758:W758)</f>
        <v>#VALUE!</v>
      </c>
      <c r="E758" s="56">
        <v>754</v>
      </c>
      <c r="G758" s="138"/>
      <c r="H758" s="135">
        <v>1</v>
      </c>
      <c r="I758" s="57" t="str">
        <f t="shared" si="182"/>
        <v/>
      </c>
      <c r="J758" s="58" t="e">
        <f t="shared" si="172"/>
        <v>#VALUE!</v>
      </c>
      <c r="K758" s="50" t="e">
        <f t="shared" si="173"/>
        <v>#VALUE!</v>
      </c>
      <c r="L758" s="50" t="e">
        <f t="shared" si="185"/>
        <v>#VALUE!</v>
      </c>
      <c r="M758" s="50" t="e">
        <f t="shared" si="185"/>
        <v>#VALUE!</v>
      </c>
      <c r="N758" s="50" t="e">
        <f t="shared" si="174"/>
        <v>#VALUE!</v>
      </c>
      <c r="O758" s="50" t="e">
        <f t="shared" si="175"/>
        <v>#VALUE!</v>
      </c>
      <c r="P758" s="50">
        <f t="shared" si="176"/>
        <v>0</v>
      </c>
      <c r="R758" s="55" t="e">
        <f t="shared" si="177"/>
        <v>#VALUE!</v>
      </c>
      <c r="S758" s="55" t="e">
        <f t="shared" si="178"/>
        <v>#VALUE!</v>
      </c>
      <c r="T758" s="55" t="e">
        <f t="shared" si="183"/>
        <v>#VALUE!</v>
      </c>
      <c r="U758" s="50" t="e">
        <f t="shared" si="179"/>
        <v>#VALUE!</v>
      </c>
      <c r="V758" s="50" t="e">
        <f t="shared" si="180"/>
        <v>#VALUE!</v>
      </c>
      <c r="W758" s="50" t="e">
        <f t="shared" si="181"/>
        <v>#VALUE!</v>
      </c>
    </row>
    <row r="759" spans="2:23" x14ac:dyDescent="0.25">
      <c r="B759" s="50" t="b">
        <f t="shared" si="184"/>
        <v>0</v>
      </c>
      <c r="C759" s="50" t="e">
        <f t="shared" si="186"/>
        <v>#VALUE!</v>
      </c>
      <c r="E759" s="56">
        <v>755</v>
      </c>
      <c r="G759" s="138"/>
      <c r="H759" s="135">
        <v>1</v>
      </c>
      <c r="I759" s="57" t="str">
        <f t="shared" si="182"/>
        <v/>
      </c>
      <c r="J759" s="58" t="e">
        <f t="shared" si="172"/>
        <v>#VALUE!</v>
      </c>
      <c r="K759" s="50" t="e">
        <f t="shared" si="173"/>
        <v>#VALUE!</v>
      </c>
      <c r="L759" s="50" t="e">
        <f t="shared" si="185"/>
        <v>#VALUE!</v>
      </c>
      <c r="M759" s="50" t="e">
        <f t="shared" si="185"/>
        <v>#VALUE!</v>
      </c>
      <c r="N759" s="50" t="e">
        <f t="shared" si="174"/>
        <v>#VALUE!</v>
      </c>
      <c r="O759" s="50" t="e">
        <f t="shared" si="175"/>
        <v>#VALUE!</v>
      </c>
      <c r="P759" s="50">
        <f t="shared" si="176"/>
        <v>0</v>
      </c>
      <c r="R759" s="55" t="e">
        <f t="shared" si="177"/>
        <v>#VALUE!</v>
      </c>
      <c r="S759" s="55" t="e">
        <f t="shared" si="178"/>
        <v>#VALUE!</v>
      </c>
      <c r="T759" s="55" t="e">
        <f t="shared" si="183"/>
        <v>#VALUE!</v>
      </c>
      <c r="U759" s="50" t="e">
        <f t="shared" si="179"/>
        <v>#VALUE!</v>
      </c>
      <c r="V759" s="50" t="e">
        <f t="shared" si="180"/>
        <v>#VALUE!</v>
      </c>
      <c r="W759" s="50" t="e">
        <f t="shared" si="181"/>
        <v>#VALUE!</v>
      </c>
    </row>
    <row r="760" spans="2:23" x14ac:dyDescent="0.25">
      <c r="B760" s="50" t="b">
        <f t="shared" si="184"/>
        <v>0</v>
      </c>
      <c r="C760" s="50" t="e">
        <f t="shared" si="186"/>
        <v>#VALUE!</v>
      </c>
      <c r="E760" s="56">
        <v>756</v>
      </c>
      <c r="G760" s="138"/>
      <c r="H760" s="135">
        <v>1</v>
      </c>
      <c r="I760" s="57" t="str">
        <f t="shared" si="182"/>
        <v/>
      </c>
      <c r="J760" s="58" t="e">
        <f t="shared" si="172"/>
        <v>#VALUE!</v>
      </c>
      <c r="K760" s="50" t="e">
        <f t="shared" si="173"/>
        <v>#VALUE!</v>
      </c>
      <c r="L760" s="50" t="e">
        <f t="shared" si="185"/>
        <v>#VALUE!</v>
      </c>
      <c r="M760" s="50" t="e">
        <f t="shared" si="185"/>
        <v>#VALUE!</v>
      </c>
      <c r="N760" s="50" t="e">
        <f t="shared" si="174"/>
        <v>#VALUE!</v>
      </c>
      <c r="O760" s="50" t="e">
        <f t="shared" si="175"/>
        <v>#VALUE!</v>
      </c>
      <c r="P760" s="50">
        <f t="shared" si="176"/>
        <v>0</v>
      </c>
      <c r="R760" s="55" t="e">
        <f t="shared" si="177"/>
        <v>#VALUE!</v>
      </c>
      <c r="S760" s="55" t="e">
        <f t="shared" si="178"/>
        <v>#VALUE!</v>
      </c>
      <c r="T760" s="55" t="e">
        <f t="shared" si="183"/>
        <v>#VALUE!</v>
      </c>
      <c r="U760" s="50" t="e">
        <f t="shared" si="179"/>
        <v>#VALUE!</v>
      </c>
      <c r="V760" s="50" t="e">
        <f t="shared" si="180"/>
        <v>#VALUE!</v>
      </c>
      <c r="W760" s="50" t="e">
        <f t="shared" si="181"/>
        <v>#VALUE!</v>
      </c>
    </row>
    <row r="761" spans="2:23" x14ac:dyDescent="0.25">
      <c r="B761" s="50" t="b">
        <f t="shared" si="184"/>
        <v>0</v>
      </c>
      <c r="C761" s="50" t="e">
        <f t="shared" si="186"/>
        <v>#VALUE!</v>
      </c>
      <c r="E761" s="56">
        <v>757</v>
      </c>
      <c r="G761" s="138"/>
      <c r="H761" s="135">
        <v>1</v>
      </c>
      <c r="I761" s="57" t="str">
        <f t="shared" si="182"/>
        <v/>
      </c>
      <c r="J761" s="58" t="e">
        <f t="shared" si="172"/>
        <v>#VALUE!</v>
      </c>
      <c r="K761" s="50" t="e">
        <f t="shared" si="173"/>
        <v>#VALUE!</v>
      </c>
      <c r="L761" s="50" t="e">
        <f t="shared" si="185"/>
        <v>#VALUE!</v>
      </c>
      <c r="M761" s="50" t="e">
        <f t="shared" si="185"/>
        <v>#VALUE!</v>
      </c>
      <c r="N761" s="50" t="e">
        <f t="shared" si="174"/>
        <v>#VALUE!</v>
      </c>
      <c r="O761" s="50" t="e">
        <f t="shared" si="175"/>
        <v>#VALUE!</v>
      </c>
      <c r="P761" s="50">
        <f t="shared" si="176"/>
        <v>0</v>
      </c>
      <c r="R761" s="55" t="e">
        <f t="shared" si="177"/>
        <v>#VALUE!</v>
      </c>
      <c r="S761" s="55" t="e">
        <f t="shared" si="178"/>
        <v>#VALUE!</v>
      </c>
      <c r="T761" s="55" t="e">
        <f t="shared" si="183"/>
        <v>#VALUE!</v>
      </c>
      <c r="U761" s="50" t="e">
        <f t="shared" si="179"/>
        <v>#VALUE!</v>
      </c>
      <c r="V761" s="50" t="e">
        <f t="shared" si="180"/>
        <v>#VALUE!</v>
      </c>
      <c r="W761" s="50" t="e">
        <f t="shared" si="181"/>
        <v>#VALUE!</v>
      </c>
    </row>
    <row r="762" spans="2:23" x14ac:dyDescent="0.25">
      <c r="B762" s="50" t="b">
        <f t="shared" si="184"/>
        <v>0</v>
      </c>
      <c r="C762" s="50" t="e">
        <f t="shared" si="186"/>
        <v>#VALUE!</v>
      </c>
      <c r="E762" s="56">
        <v>758</v>
      </c>
      <c r="G762" s="138"/>
      <c r="H762" s="135">
        <v>1</v>
      </c>
      <c r="I762" s="57" t="str">
        <f t="shared" si="182"/>
        <v/>
      </c>
      <c r="J762" s="58" t="e">
        <f t="shared" si="172"/>
        <v>#VALUE!</v>
      </c>
      <c r="K762" s="50" t="e">
        <f t="shared" si="173"/>
        <v>#VALUE!</v>
      </c>
      <c r="L762" s="50" t="e">
        <f t="shared" si="185"/>
        <v>#VALUE!</v>
      </c>
      <c r="M762" s="50" t="e">
        <f t="shared" si="185"/>
        <v>#VALUE!</v>
      </c>
      <c r="N762" s="50" t="e">
        <f t="shared" si="174"/>
        <v>#VALUE!</v>
      </c>
      <c r="O762" s="50" t="e">
        <f t="shared" si="175"/>
        <v>#VALUE!</v>
      </c>
      <c r="P762" s="50">
        <f t="shared" si="176"/>
        <v>0</v>
      </c>
      <c r="R762" s="55" t="e">
        <f t="shared" si="177"/>
        <v>#VALUE!</v>
      </c>
      <c r="S762" s="55" t="e">
        <f t="shared" si="178"/>
        <v>#VALUE!</v>
      </c>
      <c r="T762" s="55" t="e">
        <f t="shared" si="183"/>
        <v>#VALUE!</v>
      </c>
      <c r="U762" s="50" t="e">
        <f t="shared" si="179"/>
        <v>#VALUE!</v>
      </c>
      <c r="V762" s="50" t="e">
        <f t="shared" si="180"/>
        <v>#VALUE!</v>
      </c>
      <c r="W762" s="50" t="e">
        <f t="shared" si="181"/>
        <v>#VALUE!</v>
      </c>
    </row>
    <row r="763" spans="2:23" x14ac:dyDescent="0.25">
      <c r="B763" s="50" t="b">
        <f t="shared" si="184"/>
        <v>0</v>
      </c>
      <c r="C763" s="50" t="e">
        <f t="shared" si="186"/>
        <v>#VALUE!</v>
      </c>
      <c r="E763" s="56">
        <v>759</v>
      </c>
      <c r="G763" s="138"/>
      <c r="H763" s="135">
        <v>1</v>
      </c>
      <c r="I763" s="57" t="str">
        <f t="shared" si="182"/>
        <v/>
      </c>
      <c r="J763" s="58" t="e">
        <f t="shared" si="172"/>
        <v>#VALUE!</v>
      </c>
      <c r="K763" s="50" t="e">
        <f t="shared" si="173"/>
        <v>#VALUE!</v>
      </c>
      <c r="L763" s="50" t="e">
        <f t="shared" si="185"/>
        <v>#VALUE!</v>
      </c>
      <c r="M763" s="50" t="e">
        <f t="shared" si="185"/>
        <v>#VALUE!</v>
      </c>
      <c r="N763" s="50" t="e">
        <f t="shared" si="174"/>
        <v>#VALUE!</v>
      </c>
      <c r="O763" s="50" t="e">
        <f t="shared" si="175"/>
        <v>#VALUE!</v>
      </c>
      <c r="P763" s="50">
        <f t="shared" si="176"/>
        <v>0</v>
      </c>
      <c r="R763" s="55" t="e">
        <f t="shared" si="177"/>
        <v>#VALUE!</v>
      </c>
      <c r="S763" s="55" t="e">
        <f t="shared" si="178"/>
        <v>#VALUE!</v>
      </c>
      <c r="T763" s="55" t="e">
        <f t="shared" si="183"/>
        <v>#VALUE!</v>
      </c>
      <c r="U763" s="50" t="e">
        <f t="shared" si="179"/>
        <v>#VALUE!</v>
      </c>
      <c r="V763" s="50" t="e">
        <f t="shared" si="180"/>
        <v>#VALUE!</v>
      </c>
      <c r="W763" s="50" t="e">
        <f t="shared" si="181"/>
        <v>#VALUE!</v>
      </c>
    </row>
    <row r="764" spans="2:23" x14ac:dyDescent="0.25">
      <c r="B764" s="50" t="b">
        <f t="shared" si="184"/>
        <v>0</v>
      </c>
      <c r="C764" s="50" t="e">
        <f t="shared" si="186"/>
        <v>#VALUE!</v>
      </c>
      <c r="E764" s="56">
        <v>760</v>
      </c>
      <c r="G764" s="138"/>
      <c r="H764" s="135">
        <v>1</v>
      </c>
      <c r="I764" s="57" t="str">
        <f t="shared" si="182"/>
        <v/>
      </c>
      <c r="J764" s="58" t="e">
        <f t="shared" si="172"/>
        <v>#VALUE!</v>
      </c>
      <c r="K764" s="50" t="e">
        <f t="shared" si="173"/>
        <v>#VALUE!</v>
      </c>
      <c r="L764" s="50" t="e">
        <f t="shared" si="185"/>
        <v>#VALUE!</v>
      </c>
      <c r="M764" s="50" t="e">
        <f t="shared" si="185"/>
        <v>#VALUE!</v>
      </c>
      <c r="N764" s="50" t="e">
        <f t="shared" si="174"/>
        <v>#VALUE!</v>
      </c>
      <c r="O764" s="50" t="e">
        <f t="shared" si="175"/>
        <v>#VALUE!</v>
      </c>
      <c r="P764" s="50">
        <f t="shared" si="176"/>
        <v>0</v>
      </c>
      <c r="R764" s="55" t="e">
        <f t="shared" si="177"/>
        <v>#VALUE!</v>
      </c>
      <c r="S764" s="55" t="e">
        <f t="shared" si="178"/>
        <v>#VALUE!</v>
      </c>
      <c r="T764" s="55" t="e">
        <f t="shared" si="183"/>
        <v>#VALUE!</v>
      </c>
      <c r="U764" s="50" t="e">
        <f t="shared" si="179"/>
        <v>#VALUE!</v>
      </c>
      <c r="V764" s="50" t="e">
        <f t="shared" si="180"/>
        <v>#VALUE!</v>
      </c>
      <c r="W764" s="50" t="e">
        <f t="shared" si="181"/>
        <v>#VALUE!</v>
      </c>
    </row>
    <row r="765" spans="2:23" x14ac:dyDescent="0.25">
      <c r="B765" s="50" t="b">
        <f t="shared" si="184"/>
        <v>0</v>
      </c>
      <c r="C765" s="50" t="e">
        <f t="shared" si="186"/>
        <v>#VALUE!</v>
      </c>
      <c r="E765" s="56">
        <v>761</v>
      </c>
      <c r="G765" s="138"/>
      <c r="H765" s="135">
        <v>1</v>
      </c>
      <c r="I765" s="57" t="str">
        <f t="shared" si="182"/>
        <v/>
      </c>
      <c r="J765" s="58" t="e">
        <f t="shared" si="172"/>
        <v>#VALUE!</v>
      </c>
      <c r="K765" s="50" t="e">
        <f t="shared" si="173"/>
        <v>#VALUE!</v>
      </c>
      <c r="L765" s="50" t="e">
        <f t="shared" si="185"/>
        <v>#VALUE!</v>
      </c>
      <c r="M765" s="50" t="e">
        <f t="shared" si="185"/>
        <v>#VALUE!</v>
      </c>
      <c r="N765" s="50" t="e">
        <f t="shared" si="174"/>
        <v>#VALUE!</v>
      </c>
      <c r="O765" s="50" t="e">
        <f t="shared" si="175"/>
        <v>#VALUE!</v>
      </c>
      <c r="P765" s="50">
        <f t="shared" si="176"/>
        <v>0</v>
      </c>
      <c r="R765" s="55" t="e">
        <f t="shared" si="177"/>
        <v>#VALUE!</v>
      </c>
      <c r="S765" s="55" t="e">
        <f t="shared" si="178"/>
        <v>#VALUE!</v>
      </c>
      <c r="T765" s="55" t="e">
        <f t="shared" si="183"/>
        <v>#VALUE!</v>
      </c>
      <c r="U765" s="50" t="e">
        <f t="shared" si="179"/>
        <v>#VALUE!</v>
      </c>
      <c r="V765" s="50" t="e">
        <f t="shared" si="180"/>
        <v>#VALUE!</v>
      </c>
      <c r="W765" s="50" t="e">
        <f t="shared" si="181"/>
        <v>#VALUE!</v>
      </c>
    </row>
    <row r="766" spans="2:23" x14ac:dyDescent="0.25">
      <c r="B766" s="50" t="b">
        <f t="shared" si="184"/>
        <v>0</v>
      </c>
      <c r="C766" s="50" t="e">
        <f t="shared" si="186"/>
        <v>#VALUE!</v>
      </c>
      <c r="E766" s="56">
        <v>762</v>
      </c>
      <c r="G766" s="138"/>
      <c r="H766" s="135">
        <v>1</v>
      </c>
      <c r="I766" s="57" t="str">
        <f t="shared" si="182"/>
        <v/>
      </c>
      <c r="J766" s="58" t="e">
        <f t="shared" si="172"/>
        <v>#VALUE!</v>
      </c>
      <c r="K766" s="50" t="e">
        <f t="shared" si="173"/>
        <v>#VALUE!</v>
      </c>
      <c r="L766" s="50" t="e">
        <f t="shared" si="185"/>
        <v>#VALUE!</v>
      </c>
      <c r="M766" s="50" t="e">
        <f t="shared" si="185"/>
        <v>#VALUE!</v>
      </c>
      <c r="N766" s="50" t="e">
        <f t="shared" si="174"/>
        <v>#VALUE!</v>
      </c>
      <c r="O766" s="50" t="e">
        <f t="shared" si="175"/>
        <v>#VALUE!</v>
      </c>
      <c r="P766" s="50">
        <f t="shared" si="176"/>
        <v>0</v>
      </c>
      <c r="R766" s="55" t="e">
        <f t="shared" si="177"/>
        <v>#VALUE!</v>
      </c>
      <c r="S766" s="55" t="e">
        <f t="shared" si="178"/>
        <v>#VALUE!</v>
      </c>
      <c r="T766" s="55" t="e">
        <f t="shared" si="183"/>
        <v>#VALUE!</v>
      </c>
      <c r="U766" s="50" t="e">
        <f t="shared" si="179"/>
        <v>#VALUE!</v>
      </c>
      <c r="V766" s="50" t="e">
        <f t="shared" si="180"/>
        <v>#VALUE!</v>
      </c>
      <c r="W766" s="50" t="e">
        <f t="shared" si="181"/>
        <v>#VALUE!</v>
      </c>
    </row>
    <row r="767" spans="2:23" x14ac:dyDescent="0.25">
      <c r="B767" s="50" t="b">
        <f t="shared" si="184"/>
        <v>0</v>
      </c>
      <c r="C767" s="50" t="e">
        <f t="shared" si="186"/>
        <v>#VALUE!</v>
      </c>
      <c r="E767" s="56">
        <v>763</v>
      </c>
      <c r="G767" s="138"/>
      <c r="H767" s="135">
        <v>1</v>
      </c>
      <c r="I767" s="57" t="str">
        <f t="shared" si="182"/>
        <v/>
      </c>
      <c r="J767" s="58" t="e">
        <f t="shared" si="172"/>
        <v>#VALUE!</v>
      </c>
      <c r="K767" s="50" t="e">
        <f t="shared" si="173"/>
        <v>#VALUE!</v>
      </c>
      <c r="L767" s="50" t="e">
        <f t="shared" si="185"/>
        <v>#VALUE!</v>
      </c>
      <c r="M767" s="50" t="e">
        <f t="shared" si="185"/>
        <v>#VALUE!</v>
      </c>
      <c r="N767" s="50" t="e">
        <f t="shared" si="174"/>
        <v>#VALUE!</v>
      </c>
      <c r="O767" s="50" t="e">
        <f t="shared" si="175"/>
        <v>#VALUE!</v>
      </c>
      <c r="P767" s="50">
        <f t="shared" si="176"/>
        <v>0</v>
      </c>
      <c r="R767" s="55" t="e">
        <f t="shared" si="177"/>
        <v>#VALUE!</v>
      </c>
      <c r="S767" s="55" t="e">
        <f t="shared" si="178"/>
        <v>#VALUE!</v>
      </c>
      <c r="T767" s="55" t="e">
        <f t="shared" si="183"/>
        <v>#VALUE!</v>
      </c>
      <c r="U767" s="50" t="e">
        <f t="shared" si="179"/>
        <v>#VALUE!</v>
      </c>
      <c r="V767" s="50" t="e">
        <f t="shared" si="180"/>
        <v>#VALUE!</v>
      </c>
      <c r="W767" s="50" t="e">
        <f t="shared" si="181"/>
        <v>#VALUE!</v>
      </c>
    </row>
    <row r="768" spans="2:23" x14ac:dyDescent="0.25">
      <c r="B768" s="50" t="b">
        <f t="shared" si="184"/>
        <v>0</v>
      </c>
      <c r="C768" s="50" t="e">
        <f t="shared" si="186"/>
        <v>#VALUE!</v>
      </c>
      <c r="E768" s="56">
        <v>764</v>
      </c>
      <c r="G768" s="138"/>
      <c r="H768" s="135">
        <v>1</v>
      </c>
      <c r="I768" s="57" t="str">
        <f t="shared" si="182"/>
        <v/>
      </c>
      <c r="J768" s="58" t="e">
        <f t="shared" si="172"/>
        <v>#VALUE!</v>
      </c>
      <c r="K768" s="50" t="e">
        <f t="shared" si="173"/>
        <v>#VALUE!</v>
      </c>
      <c r="L768" s="50" t="e">
        <f t="shared" si="185"/>
        <v>#VALUE!</v>
      </c>
      <c r="M768" s="50" t="e">
        <f t="shared" si="185"/>
        <v>#VALUE!</v>
      </c>
      <c r="N768" s="50" t="e">
        <f t="shared" si="174"/>
        <v>#VALUE!</v>
      </c>
      <c r="O768" s="50" t="e">
        <f t="shared" si="175"/>
        <v>#VALUE!</v>
      </c>
      <c r="P768" s="50">
        <f t="shared" si="176"/>
        <v>0</v>
      </c>
      <c r="R768" s="55" t="e">
        <f t="shared" si="177"/>
        <v>#VALUE!</v>
      </c>
      <c r="S768" s="55" t="e">
        <f t="shared" si="178"/>
        <v>#VALUE!</v>
      </c>
      <c r="T768" s="55" t="e">
        <f t="shared" si="183"/>
        <v>#VALUE!</v>
      </c>
      <c r="U768" s="50" t="e">
        <f t="shared" si="179"/>
        <v>#VALUE!</v>
      </c>
      <c r="V768" s="50" t="e">
        <f t="shared" si="180"/>
        <v>#VALUE!</v>
      </c>
      <c r="W768" s="50" t="e">
        <f t="shared" si="181"/>
        <v>#VALUE!</v>
      </c>
    </row>
    <row r="769" spans="2:23" x14ac:dyDescent="0.25">
      <c r="B769" s="50" t="b">
        <f t="shared" si="184"/>
        <v>0</v>
      </c>
      <c r="C769" s="50" t="e">
        <f t="shared" si="186"/>
        <v>#VALUE!</v>
      </c>
      <c r="E769" s="56">
        <v>765</v>
      </c>
      <c r="G769" s="138"/>
      <c r="H769" s="135">
        <v>1</v>
      </c>
      <c r="I769" s="57" t="str">
        <f t="shared" si="182"/>
        <v/>
      </c>
      <c r="J769" s="58" t="e">
        <f t="shared" si="172"/>
        <v>#VALUE!</v>
      </c>
      <c r="K769" s="50" t="e">
        <f t="shared" si="173"/>
        <v>#VALUE!</v>
      </c>
      <c r="L769" s="50" t="e">
        <f t="shared" si="185"/>
        <v>#VALUE!</v>
      </c>
      <c r="M769" s="50" t="e">
        <f t="shared" si="185"/>
        <v>#VALUE!</v>
      </c>
      <c r="N769" s="50" t="e">
        <f t="shared" si="174"/>
        <v>#VALUE!</v>
      </c>
      <c r="O769" s="50" t="e">
        <f t="shared" si="175"/>
        <v>#VALUE!</v>
      </c>
      <c r="P769" s="50">
        <f t="shared" si="176"/>
        <v>0</v>
      </c>
      <c r="R769" s="55" t="e">
        <f t="shared" si="177"/>
        <v>#VALUE!</v>
      </c>
      <c r="S769" s="55" t="e">
        <f t="shared" si="178"/>
        <v>#VALUE!</v>
      </c>
      <c r="T769" s="55" t="e">
        <f t="shared" si="183"/>
        <v>#VALUE!</v>
      </c>
      <c r="U769" s="50" t="e">
        <f t="shared" si="179"/>
        <v>#VALUE!</v>
      </c>
      <c r="V769" s="50" t="e">
        <f t="shared" si="180"/>
        <v>#VALUE!</v>
      </c>
      <c r="W769" s="50" t="e">
        <f t="shared" si="181"/>
        <v>#VALUE!</v>
      </c>
    </row>
    <row r="770" spans="2:23" x14ac:dyDescent="0.25">
      <c r="B770" s="50" t="b">
        <f t="shared" si="184"/>
        <v>0</v>
      </c>
      <c r="C770" s="50" t="e">
        <f t="shared" si="186"/>
        <v>#VALUE!</v>
      </c>
      <c r="E770" s="56">
        <v>766</v>
      </c>
      <c r="G770" s="138"/>
      <c r="H770" s="135">
        <v>1</v>
      </c>
      <c r="I770" s="57" t="str">
        <f t="shared" si="182"/>
        <v/>
      </c>
      <c r="J770" s="58" t="e">
        <f t="shared" si="172"/>
        <v>#VALUE!</v>
      </c>
      <c r="K770" s="50" t="e">
        <f t="shared" si="173"/>
        <v>#VALUE!</v>
      </c>
      <c r="L770" s="50" t="e">
        <f t="shared" si="185"/>
        <v>#VALUE!</v>
      </c>
      <c r="M770" s="50" t="e">
        <f t="shared" si="185"/>
        <v>#VALUE!</v>
      </c>
      <c r="N770" s="50" t="e">
        <f t="shared" si="174"/>
        <v>#VALUE!</v>
      </c>
      <c r="O770" s="50" t="e">
        <f t="shared" si="175"/>
        <v>#VALUE!</v>
      </c>
      <c r="P770" s="50">
        <f t="shared" si="176"/>
        <v>0</v>
      </c>
      <c r="R770" s="55" t="e">
        <f t="shared" si="177"/>
        <v>#VALUE!</v>
      </c>
      <c r="S770" s="55" t="e">
        <f t="shared" si="178"/>
        <v>#VALUE!</v>
      </c>
      <c r="T770" s="55" t="e">
        <f t="shared" si="183"/>
        <v>#VALUE!</v>
      </c>
      <c r="U770" s="50" t="e">
        <f t="shared" si="179"/>
        <v>#VALUE!</v>
      </c>
      <c r="V770" s="50" t="e">
        <f t="shared" si="180"/>
        <v>#VALUE!</v>
      </c>
      <c r="W770" s="50" t="e">
        <f t="shared" si="181"/>
        <v>#VALUE!</v>
      </c>
    </row>
    <row r="771" spans="2:23" x14ac:dyDescent="0.25">
      <c r="B771" s="50" t="b">
        <f t="shared" si="184"/>
        <v>0</v>
      </c>
      <c r="C771" s="50" t="e">
        <f t="shared" si="186"/>
        <v>#VALUE!</v>
      </c>
      <c r="E771" s="56">
        <v>767</v>
      </c>
      <c r="G771" s="138"/>
      <c r="H771" s="135">
        <v>1</v>
      </c>
      <c r="I771" s="57" t="str">
        <f t="shared" si="182"/>
        <v/>
      </c>
      <c r="J771" s="58" t="e">
        <f t="shared" si="172"/>
        <v>#VALUE!</v>
      </c>
      <c r="K771" s="50" t="e">
        <f t="shared" si="173"/>
        <v>#VALUE!</v>
      </c>
      <c r="L771" s="50" t="e">
        <f t="shared" si="185"/>
        <v>#VALUE!</v>
      </c>
      <c r="M771" s="50" t="e">
        <f t="shared" si="185"/>
        <v>#VALUE!</v>
      </c>
      <c r="N771" s="50" t="e">
        <f t="shared" si="174"/>
        <v>#VALUE!</v>
      </c>
      <c r="O771" s="50" t="e">
        <f t="shared" si="175"/>
        <v>#VALUE!</v>
      </c>
      <c r="P771" s="50">
        <f t="shared" si="176"/>
        <v>0</v>
      </c>
      <c r="R771" s="55" t="e">
        <f t="shared" si="177"/>
        <v>#VALUE!</v>
      </c>
      <c r="S771" s="55" t="e">
        <f t="shared" si="178"/>
        <v>#VALUE!</v>
      </c>
      <c r="T771" s="55" t="e">
        <f t="shared" si="183"/>
        <v>#VALUE!</v>
      </c>
      <c r="U771" s="50" t="e">
        <f t="shared" si="179"/>
        <v>#VALUE!</v>
      </c>
      <c r="V771" s="50" t="e">
        <f t="shared" si="180"/>
        <v>#VALUE!</v>
      </c>
      <c r="W771" s="50" t="e">
        <f t="shared" si="181"/>
        <v>#VALUE!</v>
      </c>
    </row>
    <row r="772" spans="2:23" x14ac:dyDescent="0.25">
      <c r="B772" s="50" t="b">
        <f t="shared" si="184"/>
        <v>0</v>
      </c>
      <c r="C772" s="50" t="e">
        <f t="shared" si="186"/>
        <v>#VALUE!</v>
      </c>
      <c r="E772" s="56">
        <v>768</v>
      </c>
      <c r="G772" s="138"/>
      <c r="H772" s="135">
        <v>1</v>
      </c>
      <c r="I772" s="57" t="str">
        <f t="shared" si="182"/>
        <v/>
      </c>
      <c r="J772" s="58" t="e">
        <f t="shared" si="172"/>
        <v>#VALUE!</v>
      </c>
      <c r="K772" s="50" t="e">
        <f t="shared" si="173"/>
        <v>#VALUE!</v>
      </c>
      <c r="L772" s="50" t="e">
        <f t="shared" si="185"/>
        <v>#VALUE!</v>
      </c>
      <c r="M772" s="50" t="e">
        <f t="shared" si="185"/>
        <v>#VALUE!</v>
      </c>
      <c r="N772" s="50" t="e">
        <f t="shared" si="174"/>
        <v>#VALUE!</v>
      </c>
      <c r="O772" s="50" t="e">
        <f t="shared" si="175"/>
        <v>#VALUE!</v>
      </c>
      <c r="P772" s="50">
        <f t="shared" si="176"/>
        <v>0</v>
      </c>
      <c r="R772" s="55" t="e">
        <f t="shared" si="177"/>
        <v>#VALUE!</v>
      </c>
      <c r="S772" s="55" t="e">
        <f t="shared" si="178"/>
        <v>#VALUE!</v>
      </c>
      <c r="T772" s="55" t="e">
        <f t="shared" si="183"/>
        <v>#VALUE!</v>
      </c>
      <c r="U772" s="50" t="e">
        <f t="shared" si="179"/>
        <v>#VALUE!</v>
      </c>
      <c r="V772" s="50" t="e">
        <f t="shared" si="180"/>
        <v>#VALUE!</v>
      </c>
      <c r="W772" s="50" t="e">
        <f t="shared" si="181"/>
        <v>#VALUE!</v>
      </c>
    </row>
    <row r="773" spans="2:23" x14ac:dyDescent="0.25">
      <c r="B773" s="50" t="b">
        <f t="shared" si="184"/>
        <v>0</v>
      </c>
      <c r="C773" s="50" t="e">
        <f t="shared" si="186"/>
        <v>#VALUE!</v>
      </c>
      <c r="E773" s="56">
        <v>769</v>
      </c>
      <c r="G773" s="138"/>
      <c r="H773" s="135">
        <v>1</v>
      </c>
      <c r="I773" s="57" t="str">
        <f t="shared" si="182"/>
        <v/>
      </c>
      <c r="J773" s="58" t="e">
        <f t="shared" ref="J773:J836" si="187">RIGHT(I773,K773)</f>
        <v>#VALUE!</v>
      </c>
      <c r="K773" s="50" t="e">
        <f t="shared" ref="K773:K836" si="188">P773-N773</f>
        <v>#VALUE!</v>
      </c>
      <c r="L773" s="50" t="e">
        <f t="shared" si="185"/>
        <v>#VALUE!</v>
      </c>
      <c r="M773" s="50" t="e">
        <f t="shared" si="185"/>
        <v>#VALUE!</v>
      </c>
      <c r="N773" s="50" t="e">
        <f t="shared" ref="N773:N836" si="189">SEARCH("-",I773,2)</f>
        <v>#VALUE!</v>
      </c>
      <c r="O773" s="50" t="e">
        <f t="shared" ref="O773:O836" si="190">SEARCH("-",I773,N773+1)</f>
        <v>#VALUE!</v>
      </c>
      <c r="P773" s="50">
        <f t="shared" ref="P773:P836" si="191">LEN(I773)</f>
        <v>0</v>
      </c>
      <c r="R773" s="55" t="e">
        <f t="shared" ref="R773:R836" si="192">LEFT(I773,N773-1)</f>
        <v>#VALUE!</v>
      </c>
      <c r="S773" s="55" t="e">
        <f t="shared" ref="S773:S836" si="193">LEFT(J773,L773-1)</f>
        <v>#VALUE!</v>
      </c>
      <c r="T773" s="55" t="e">
        <f t="shared" si="183"/>
        <v>#VALUE!</v>
      </c>
      <c r="U773" s="50" t="e">
        <f t="shared" ref="U773:U836" si="194">R773*1*$H773</f>
        <v>#VALUE!</v>
      </c>
      <c r="V773" s="50" t="e">
        <f t="shared" ref="V773:V836" si="195">S773*1*$H773</f>
        <v>#VALUE!</v>
      </c>
      <c r="W773" s="50" t="e">
        <f t="shared" ref="W773:W836" si="196">T773*1*$H773</f>
        <v>#VALUE!</v>
      </c>
    </row>
    <row r="774" spans="2:23" x14ac:dyDescent="0.25">
      <c r="B774" s="50" t="b">
        <f t="shared" si="184"/>
        <v>0</v>
      </c>
      <c r="C774" s="50" t="e">
        <f t="shared" si="186"/>
        <v>#VALUE!</v>
      </c>
      <c r="E774" s="56">
        <v>770</v>
      </c>
      <c r="G774" s="138"/>
      <c r="H774" s="135">
        <v>1</v>
      </c>
      <c r="I774" s="57" t="str">
        <f t="shared" ref="I774:I837" si="197">IF(G774="","",G774&amp;""&amp;"-0")</f>
        <v/>
      </c>
      <c r="J774" s="58" t="e">
        <f t="shared" si="187"/>
        <v>#VALUE!</v>
      </c>
      <c r="K774" s="50" t="e">
        <f t="shared" si="188"/>
        <v>#VALUE!</v>
      </c>
      <c r="L774" s="50" t="e">
        <f t="shared" si="185"/>
        <v>#VALUE!</v>
      </c>
      <c r="M774" s="50" t="e">
        <f t="shared" si="185"/>
        <v>#VALUE!</v>
      </c>
      <c r="N774" s="50" t="e">
        <f t="shared" si="189"/>
        <v>#VALUE!</v>
      </c>
      <c r="O774" s="50" t="e">
        <f t="shared" si="190"/>
        <v>#VALUE!</v>
      </c>
      <c r="P774" s="50">
        <f t="shared" si="191"/>
        <v>0</v>
      </c>
      <c r="R774" s="55" t="e">
        <f t="shared" si="192"/>
        <v>#VALUE!</v>
      </c>
      <c r="S774" s="55" t="e">
        <f t="shared" si="193"/>
        <v>#VALUE!</v>
      </c>
      <c r="T774" s="55" t="e">
        <f t="shared" ref="T774:T837" si="198">RIGHT(I774,M774)</f>
        <v>#VALUE!</v>
      </c>
      <c r="U774" s="50" t="e">
        <f t="shared" si="194"/>
        <v>#VALUE!</v>
      </c>
      <c r="V774" s="50" t="e">
        <f t="shared" si="195"/>
        <v>#VALUE!</v>
      </c>
      <c r="W774" s="50" t="e">
        <f t="shared" si="196"/>
        <v>#VALUE!</v>
      </c>
    </row>
    <row r="775" spans="2:23" x14ac:dyDescent="0.25">
      <c r="B775" s="50" t="b">
        <f t="shared" si="184"/>
        <v>0</v>
      </c>
      <c r="C775" s="50" t="e">
        <f t="shared" si="186"/>
        <v>#VALUE!</v>
      </c>
      <c r="E775" s="56">
        <v>771</v>
      </c>
      <c r="G775" s="138"/>
      <c r="H775" s="135">
        <v>1</v>
      </c>
      <c r="I775" s="57" t="str">
        <f t="shared" si="197"/>
        <v/>
      </c>
      <c r="J775" s="58" t="e">
        <f t="shared" si="187"/>
        <v>#VALUE!</v>
      </c>
      <c r="K775" s="50" t="e">
        <f t="shared" si="188"/>
        <v>#VALUE!</v>
      </c>
      <c r="L775" s="50" t="e">
        <f t="shared" si="185"/>
        <v>#VALUE!</v>
      </c>
      <c r="M775" s="50" t="e">
        <f t="shared" si="185"/>
        <v>#VALUE!</v>
      </c>
      <c r="N775" s="50" t="e">
        <f t="shared" si="189"/>
        <v>#VALUE!</v>
      </c>
      <c r="O775" s="50" t="e">
        <f t="shared" si="190"/>
        <v>#VALUE!</v>
      </c>
      <c r="P775" s="50">
        <f t="shared" si="191"/>
        <v>0</v>
      </c>
      <c r="R775" s="55" t="e">
        <f t="shared" si="192"/>
        <v>#VALUE!</v>
      </c>
      <c r="S775" s="55" t="e">
        <f t="shared" si="193"/>
        <v>#VALUE!</v>
      </c>
      <c r="T775" s="55" t="e">
        <f t="shared" si="198"/>
        <v>#VALUE!</v>
      </c>
      <c r="U775" s="50" t="e">
        <f t="shared" si="194"/>
        <v>#VALUE!</v>
      </c>
      <c r="V775" s="50" t="e">
        <f t="shared" si="195"/>
        <v>#VALUE!</v>
      </c>
      <c r="W775" s="50" t="e">
        <f t="shared" si="196"/>
        <v>#VALUE!</v>
      </c>
    </row>
    <row r="776" spans="2:23" x14ac:dyDescent="0.25">
      <c r="B776" s="50" t="b">
        <f t="shared" si="184"/>
        <v>0</v>
      </c>
      <c r="C776" s="50" t="e">
        <f t="shared" si="186"/>
        <v>#VALUE!</v>
      </c>
      <c r="E776" s="56">
        <v>772</v>
      </c>
      <c r="G776" s="138"/>
      <c r="H776" s="135">
        <v>1</v>
      </c>
      <c r="I776" s="57" t="str">
        <f t="shared" si="197"/>
        <v/>
      </c>
      <c r="J776" s="58" t="e">
        <f t="shared" si="187"/>
        <v>#VALUE!</v>
      </c>
      <c r="K776" s="50" t="e">
        <f t="shared" si="188"/>
        <v>#VALUE!</v>
      </c>
      <c r="L776" s="50" t="e">
        <f t="shared" si="185"/>
        <v>#VALUE!</v>
      </c>
      <c r="M776" s="50" t="e">
        <f t="shared" si="185"/>
        <v>#VALUE!</v>
      </c>
      <c r="N776" s="50" t="e">
        <f t="shared" si="189"/>
        <v>#VALUE!</v>
      </c>
      <c r="O776" s="50" t="e">
        <f t="shared" si="190"/>
        <v>#VALUE!</v>
      </c>
      <c r="P776" s="50">
        <f t="shared" si="191"/>
        <v>0</v>
      </c>
      <c r="R776" s="55" t="e">
        <f t="shared" si="192"/>
        <v>#VALUE!</v>
      </c>
      <c r="S776" s="55" t="e">
        <f t="shared" si="193"/>
        <v>#VALUE!</v>
      </c>
      <c r="T776" s="55" t="e">
        <f t="shared" si="198"/>
        <v>#VALUE!</v>
      </c>
      <c r="U776" s="50" t="e">
        <f t="shared" si="194"/>
        <v>#VALUE!</v>
      </c>
      <c r="V776" s="50" t="e">
        <f t="shared" si="195"/>
        <v>#VALUE!</v>
      </c>
      <c r="W776" s="50" t="e">
        <f t="shared" si="196"/>
        <v>#VALUE!</v>
      </c>
    </row>
    <row r="777" spans="2:23" x14ac:dyDescent="0.25">
      <c r="B777" s="50" t="b">
        <f t="shared" si="184"/>
        <v>0</v>
      </c>
      <c r="C777" s="50" t="e">
        <f t="shared" si="186"/>
        <v>#VALUE!</v>
      </c>
      <c r="E777" s="56">
        <v>773</v>
      </c>
      <c r="G777" s="138"/>
      <c r="H777" s="135">
        <v>1</v>
      </c>
      <c r="I777" s="57" t="str">
        <f t="shared" si="197"/>
        <v/>
      </c>
      <c r="J777" s="58" t="e">
        <f t="shared" si="187"/>
        <v>#VALUE!</v>
      </c>
      <c r="K777" s="50" t="e">
        <f t="shared" si="188"/>
        <v>#VALUE!</v>
      </c>
      <c r="L777" s="50" t="e">
        <f t="shared" si="185"/>
        <v>#VALUE!</v>
      </c>
      <c r="M777" s="50" t="e">
        <f t="shared" si="185"/>
        <v>#VALUE!</v>
      </c>
      <c r="N777" s="50" t="e">
        <f t="shared" si="189"/>
        <v>#VALUE!</v>
      </c>
      <c r="O777" s="50" t="e">
        <f t="shared" si="190"/>
        <v>#VALUE!</v>
      </c>
      <c r="P777" s="50">
        <f t="shared" si="191"/>
        <v>0</v>
      </c>
      <c r="R777" s="55" t="e">
        <f t="shared" si="192"/>
        <v>#VALUE!</v>
      </c>
      <c r="S777" s="55" t="e">
        <f t="shared" si="193"/>
        <v>#VALUE!</v>
      </c>
      <c r="T777" s="55" t="e">
        <f t="shared" si="198"/>
        <v>#VALUE!</v>
      </c>
      <c r="U777" s="50" t="e">
        <f t="shared" si="194"/>
        <v>#VALUE!</v>
      </c>
      <c r="V777" s="50" t="e">
        <f t="shared" si="195"/>
        <v>#VALUE!</v>
      </c>
      <c r="W777" s="50" t="e">
        <f t="shared" si="196"/>
        <v>#VALUE!</v>
      </c>
    </row>
    <row r="778" spans="2:23" x14ac:dyDescent="0.25">
      <c r="B778" s="50" t="b">
        <f t="shared" si="184"/>
        <v>0</v>
      </c>
      <c r="C778" s="50" t="e">
        <f t="shared" si="186"/>
        <v>#VALUE!</v>
      </c>
      <c r="E778" s="56">
        <v>774</v>
      </c>
      <c r="G778" s="138"/>
      <c r="H778" s="135">
        <v>1</v>
      </c>
      <c r="I778" s="57" t="str">
        <f t="shared" si="197"/>
        <v/>
      </c>
      <c r="J778" s="58" t="e">
        <f t="shared" si="187"/>
        <v>#VALUE!</v>
      </c>
      <c r="K778" s="50" t="e">
        <f t="shared" si="188"/>
        <v>#VALUE!</v>
      </c>
      <c r="L778" s="50" t="e">
        <f t="shared" si="185"/>
        <v>#VALUE!</v>
      </c>
      <c r="M778" s="50" t="e">
        <f t="shared" si="185"/>
        <v>#VALUE!</v>
      </c>
      <c r="N778" s="50" t="e">
        <f t="shared" si="189"/>
        <v>#VALUE!</v>
      </c>
      <c r="O778" s="50" t="e">
        <f t="shared" si="190"/>
        <v>#VALUE!</v>
      </c>
      <c r="P778" s="50">
        <f t="shared" si="191"/>
        <v>0</v>
      </c>
      <c r="R778" s="55" t="e">
        <f t="shared" si="192"/>
        <v>#VALUE!</v>
      </c>
      <c r="S778" s="55" t="e">
        <f t="shared" si="193"/>
        <v>#VALUE!</v>
      </c>
      <c r="T778" s="55" t="e">
        <f t="shared" si="198"/>
        <v>#VALUE!</v>
      </c>
      <c r="U778" s="50" t="e">
        <f t="shared" si="194"/>
        <v>#VALUE!</v>
      </c>
      <c r="V778" s="50" t="e">
        <f t="shared" si="195"/>
        <v>#VALUE!</v>
      </c>
      <c r="W778" s="50" t="e">
        <f t="shared" si="196"/>
        <v>#VALUE!</v>
      </c>
    </row>
    <row r="779" spans="2:23" x14ac:dyDescent="0.25">
      <c r="B779" s="50" t="b">
        <f t="shared" si="184"/>
        <v>0</v>
      </c>
      <c r="C779" s="50" t="e">
        <f t="shared" si="186"/>
        <v>#VALUE!</v>
      </c>
      <c r="E779" s="56">
        <v>775</v>
      </c>
      <c r="G779" s="138"/>
      <c r="H779" s="135">
        <v>1</v>
      </c>
      <c r="I779" s="57" t="str">
        <f t="shared" si="197"/>
        <v/>
      </c>
      <c r="J779" s="58" t="e">
        <f t="shared" si="187"/>
        <v>#VALUE!</v>
      </c>
      <c r="K779" s="50" t="e">
        <f t="shared" si="188"/>
        <v>#VALUE!</v>
      </c>
      <c r="L779" s="50" t="e">
        <f t="shared" si="185"/>
        <v>#VALUE!</v>
      </c>
      <c r="M779" s="50" t="e">
        <f t="shared" si="185"/>
        <v>#VALUE!</v>
      </c>
      <c r="N779" s="50" t="e">
        <f t="shared" si="189"/>
        <v>#VALUE!</v>
      </c>
      <c r="O779" s="50" t="e">
        <f t="shared" si="190"/>
        <v>#VALUE!</v>
      </c>
      <c r="P779" s="50">
        <f t="shared" si="191"/>
        <v>0</v>
      </c>
      <c r="R779" s="55" t="e">
        <f t="shared" si="192"/>
        <v>#VALUE!</v>
      </c>
      <c r="S779" s="55" t="e">
        <f t="shared" si="193"/>
        <v>#VALUE!</v>
      </c>
      <c r="T779" s="55" t="e">
        <f t="shared" si="198"/>
        <v>#VALUE!</v>
      </c>
      <c r="U779" s="50" t="e">
        <f t="shared" si="194"/>
        <v>#VALUE!</v>
      </c>
      <c r="V779" s="50" t="e">
        <f t="shared" si="195"/>
        <v>#VALUE!</v>
      </c>
      <c r="W779" s="50" t="e">
        <f t="shared" si="196"/>
        <v>#VALUE!</v>
      </c>
    </row>
    <row r="780" spans="2:23" x14ac:dyDescent="0.25">
      <c r="B780" s="50" t="b">
        <f t="shared" si="184"/>
        <v>0</v>
      </c>
      <c r="C780" s="50" t="e">
        <f t="shared" si="186"/>
        <v>#VALUE!</v>
      </c>
      <c r="E780" s="56">
        <v>776</v>
      </c>
      <c r="G780" s="138"/>
      <c r="H780" s="135">
        <v>1</v>
      </c>
      <c r="I780" s="57" t="str">
        <f t="shared" si="197"/>
        <v/>
      </c>
      <c r="J780" s="58" t="e">
        <f t="shared" si="187"/>
        <v>#VALUE!</v>
      </c>
      <c r="K780" s="50" t="e">
        <f t="shared" si="188"/>
        <v>#VALUE!</v>
      </c>
      <c r="L780" s="50" t="e">
        <f t="shared" si="185"/>
        <v>#VALUE!</v>
      </c>
      <c r="M780" s="50" t="e">
        <f t="shared" si="185"/>
        <v>#VALUE!</v>
      </c>
      <c r="N780" s="50" t="e">
        <f t="shared" si="189"/>
        <v>#VALUE!</v>
      </c>
      <c r="O780" s="50" t="e">
        <f t="shared" si="190"/>
        <v>#VALUE!</v>
      </c>
      <c r="P780" s="50">
        <f t="shared" si="191"/>
        <v>0</v>
      </c>
      <c r="R780" s="55" t="e">
        <f t="shared" si="192"/>
        <v>#VALUE!</v>
      </c>
      <c r="S780" s="55" t="e">
        <f t="shared" si="193"/>
        <v>#VALUE!</v>
      </c>
      <c r="T780" s="55" t="e">
        <f t="shared" si="198"/>
        <v>#VALUE!</v>
      </c>
      <c r="U780" s="50" t="e">
        <f t="shared" si="194"/>
        <v>#VALUE!</v>
      </c>
      <c r="V780" s="50" t="e">
        <f t="shared" si="195"/>
        <v>#VALUE!</v>
      </c>
      <c r="W780" s="50" t="e">
        <f t="shared" si="196"/>
        <v>#VALUE!</v>
      </c>
    </row>
    <row r="781" spans="2:23" x14ac:dyDescent="0.25">
      <c r="B781" s="50" t="b">
        <f t="shared" si="184"/>
        <v>0</v>
      </c>
      <c r="C781" s="50" t="e">
        <f t="shared" si="186"/>
        <v>#VALUE!</v>
      </c>
      <c r="E781" s="56">
        <v>777</v>
      </c>
      <c r="G781" s="138"/>
      <c r="H781" s="135">
        <v>1</v>
      </c>
      <c r="I781" s="57" t="str">
        <f t="shared" si="197"/>
        <v/>
      </c>
      <c r="J781" s="58" t="e">
        <f t="shared" si="187"/>
        <v>#VALUE!</v>
      </c>
      <c r="K781" s="50" t="e">
        <f t="shared" si="188"/>
        <v>#VALUE!</v>
      </c>
      <c r="L781" s="50" t="e">
        <f t="shared" si="185"/>
        <v>#VALUE!</v>
      </c>
      <c r="M781" s="50" t="e">
        <f t="shared" si="185"/>
        <v>#VALUE!</v>
      </c>
      <c r="N781" s="50" t="e">
        <f t="shared" si="189"/>
        <v>#VALUE!</v>
      </c>
      <c r="O781" s="50" t="e">
        <f t="shared" si="190"/>
        <v>#VALUE!</v>
      </c>
      <c r="P781" s="50">
        <f t="shared" si="191"/>
        <v>0</v>
      </c>
      <c r="R781" s="55" t="e">
        <f t="shared" si="192"/>
        <v>#VALUE!</v>
      </c>
      <c r="S781" s="55" t="e">
        <f t="shared" si="193"/>
        <v>#VALUE!</v>
      </c>
      <c r="T781" s="55" t="e">
        <f t="shared" si="198"/>
        <v>#VALUE!</v>
      </c>
      <c r="U781" s="50" t="e">
        <f t="shared" si="194"/>
        <v>#VALUE!</v>
      </c>
      <c r="V781" s="50" t="e">
        <f t="shared" si="195"/>
        <v>#VALUE!</v>
      </c>
      <c r="W781" s="50" t="e">
        <f t="shared" si="196"/>
        <v>#VALUE!</v>
      </c>
    </row>
    <row r="782" spans="2:23" x14ac:dyDescent="0.25">
      <c r="B782" s="50" t="b">
        <f t="shared" ref="B782:B845" si="199">ISNUMBER(C782)</f>
        <v>0</v>
      </c>
      <c r="C782" s="50" t="e">
        <f t="shared" si="186"/>
        <v>#VALUE!</v>
      </c>
      <c r="E782" s="56">
        <v>778</v>
      </c>
      <c r="G782" s="138"/>
      <c r="H782" s="135">
        <v>1</v>
      </c>
      <c r="I782" s="57" t="str">
        <f t="shared" si="197"/>
        <v/>
      </c>
      <c r="J782" s="58" t="e">
        <f t="shared" si="187"/>
        <v>#VALUE!</v>
      </c>
      <c r="K782" s="50" t="e">
        <f t="shared" si="188"/>
        <v>#VALUE!</v>
      </c>
      <c r="L782" s="50" t="e">
        <f t="shared" si="185"/>
        <v>#VALUE!</v>
      </c>
      <c r="M782" s="50" t="e">
        <f t="shared" si="185"/>
        <v>#VALUE!</v>
      </c>
      <c r="N782" s="50" t="e">
        <f t="shared" si="189"/>
        <v>#VALUE!</v>
      </c>
      <c r="O782" s="50" t="e">
        <f t="shared" si="190"/>
        <v>#VALUE!</v>
      </c>
      <c r="P782" s="50">
        <f t="shared" si="191"/>
        <v>0</v>
      </c>
      <c r="R782" s="55" t="e">
        <f t="shared" si="192"/>
        <v>#VALUE!</v>
      </c>
      <c r="S782" s="55" t="e">
        <f t="shared" si="193"/>
        <v>#VALUE!</v>
      </c>
      <c r="T782" s="55" t="e">
        <f t="shared" si="198"/>
        <v>#VALUE!</v>
      </c>
      <c r="U782" s="50" t="e">
        <f t="shared" si="194"/>
        <v>#VALUE!</v>
      </c>
      <c r="V782" s="50" t="e">
        <f t="shared" si="195"/>
        <v>#VALUE!</v>
      </c>
      <c r="W782" s="50" t="e">
        <f t="shared" si="196"/>
        <v>#VALUE!</v>
      </c>
    </row>
    <row r="783" spans="2:23" x14ac:dyDescent="0.25">
      <c r="B783" s="50" t="b">
        <f t="shared" si="199"/>
        <v>0</v>
      </c>
      <c r="C783" s="50" t="e">
        <f t="shared" si="186"/>
        <v>#VALUE!</v>
      </c>
      <c r="E783" s="56">
        <v>779</v>
      </c>
      <c r="G783" s="138"/>
      <c r="H783" s="135">
        <v>1</v>
      </c>
      <c r="I783" s="57" t="str">
        <f t="shared" si="197"/>
        <v/>
      </c>
      <c r="J783" s="58" t="e">
        <f t="shared" si="187"/>
        <v>#VALUE!</v>
      </c>
      <c r="K783" s="50" t="e">
        <f t="shared" si="188"/>
        <v>#VALUE!</v>
      </c>
      <c r="L783" s="50" t="e">
        <f t="shared" si="185"/>
        <v>#VALUE!</v>
      </c>
      <c r="M783" s="50" t="e">
        <f t="shared" si="185"/>
        <v>#VALUE!</v>
      </c>
      <c r="N783" s="50" t="e">
        <f t="shared" si="189"/>
        <v>#VALUE!</v>
      </c>
      <c r="O783" s="50" t="e">
        <f t="shared" si="190"/>
        <v>#VALUE!</v>
      </c>
      <c r="P783" s="50">
        <f t="shared" si="191"/>
        <v>0</v>
      </c>
      <c r="R783" s="55" t="e">
        <f t="shared" si="192"/>
        <v>#VALUE!</v>
      </c>
      <c r="S783" s="55" t="e">
        <f t="shared" si="193"/>
        <v>#VALUE!</v>
      </c>
      <c r="T783" s="55" t="e">
        <f t="shared" si="198"/>
        <v>#VALUE!</v>
      </c>
      <c r="U783" s="50" t="e">
        <f t="shared" si="194"/>
        <v>#VALUE!</v>
      </c>
      <c r="V783" s="50" t="e">
        <f t="shared" si="195"/>
        <v>#VALUE!</v>
      </c>
      <c r="W783" s="50" t="e">
        <f t="shared" si="196"/>
        <v>#VALUE!</v>
      </c>
    </row>
    <row r="784" spans="2:23" x14ac:dyDescent="0.25">
      <c r="B784" s="50" t="b">
        <f t="shared" si="199"/>
        <v>0</v>
      </c>
      <c r="C784" s="50" t="e">
        <f t="shared" si="186"/>
        <v>#VALUE!</v>
      </c>
      <c r="E784" s="56">
        <v>780</v>
      </c>
      <c r="G784" s="138"/>
      <c r="H784" s="135">
        <v>1</v>
      </c>
      <c r="I784" s="57" t="str">
        <f t="shared" si="197"/>
        <v/>
      </c>
      <c r="J784" s="58" t="e">
        <f t="shared" si="187"/>
        <v>#VALUE!</v>
      </c>
      <c r="K784" s="50" t="e">
        <f t="shared" si="188"/>
        <v>#VALUE!</v>
      </c>
      <c r="L784" s="50" t="e">
        <f t="shared" si="185"/>
        <v>#VALUE!</v>
      </c>
      <c r="M784" s="50" t="e">
        <f t="shared" si="185"/>
        <v>#VALUE!</v>
      </c>
      <c r="N784" s="50" t="e">
        <f t="shared" si="189"/>
        <v>#VALUE!</v>
      </c>
      <c r="O784" s="50" t="e">
        <f t="shared" si="190"/>
        <v>#VALUE!</v>
      </c>
      <c r="P784" s="50">
        <f t="shared" si="191"/>
        <v>0</v>
      </c>
      <c r="R784" s="55" t="e">
        <f t="shared" si="192"/>
        <v>#VALUE!</v>
      </c>
      <c r="S784" s="55" t="e">
        <f t="shared" si="193"/>
        <v>#VALUE!</v>
      </c>
      <c r="T784" s="55" t="e">
        <f t="shared" si="198"/>
        <v>#VALUE!</v>
      </c>
      <c r="U784" s="50" t="e">
        <f t="shared" si="194"/>
        <v>#VALUE!</v>
      </c>
      <c r="V784" s="50" t="e">
        <f t="shared" si="195"/>
        <v>#VALUE!</v>
      </c>
      <c r="W784" s="50" t="e">
        <f t="shared" si="196"/>
        <v>#VALUE!</v>
      </c>
    </row>
    <row r="785" spans="2:23" x14ac:dyDescent="0.25">
      <c r="B785" s="50" t="b">
        <f t="shared" si="199"/>
        <v>0</v>
      </c>
      <c r="C785" s="50" t="e">
        <f t="shared" si="186"/>
        <v>#VALUE!</v>
      </c>
      <c r="E785" s="56">
        <v>781</v>
      </c>
      <c r="G785" s="138"/>
      <c r="H785" s="135">
        <v>1</v>
      </c>
      <c r="I785" s="57" t="str">
        <f t="shared" si="197"/>
        <v/>
      </c>
      <c r="J785" s="58" t="e">
        <f t="shared" si="187"/>
        <v>#VALUE!</v>
      </c>
      <c r="K785" s="50" t="e">
        <f t="shared" si="188"/>
        <v>#VALUE!</v>
      </c>
      <c r="L785" s="50" t="e">
        <f t="shared" si="185"/>
        <v>#VALUE!</v>
      </c>
      <c r="M785" s="50" t="e">
        <f t="shared" si="185"/>
        <v>#VALUE!</v>
      </c>
      <c r="N785" s="50" t="e">
        <f t="shared" si="189"/>
        <v>#VALUE!</v>
      </c>
      <c r="O785" s="50" t="e">
        <f t="shared" si="190"/>
        <v>#VALUE!</v>
      </c>
      <c r="P785" s="50">
        <f t="shared" si="191"/>
        <v>0</v>
      </c>
      <c r="R785" s="55" t="e">
        <f t="shared" si="192"/>
        <v>#VALUE!</v>
      </c>
      <c r="S785" s="55" t="e">
        <f t="shared" si="193"/>
        <v>#VALUE!</v>
      </c>
      <c r="T785" s="55" t="e">
        <f t="shared" si="198"/>
        <v>#VALUE!</v>
      </c>
      <c r="U785" s="50" t="e">
        <f t="shared" si="194"/>
        <v>#VALUE!</v>
      </c>
      <c r="V785" s="50" t="e">
        <f t="shared" si="195"/>
        <v>#VALUE!</v>
      </c>
      <c r="W785" s="50" t="e">
        <f t="shared" si="196"/>
        <v>#VALUE!</v>
      </c>
    </row>
    <row r="786" spans="2:23" x14ac:dyDescent="0.25">
      <c r="B786" s="50" t="b">
        <f t="shared" si="199"/>
        <v>0</v>
      </c>
      <c r="C786" s="50" t="e">
        <f t="shared" si="186"/>
        <v>#VALUE!</v>
      </c>
      <c r="E786" s="56">
        <v>782</v>
      </c>
      <c r="G786" s="138"/>
      <c r="H786" s="135">
        <v>1</v>
      </c>
      <c r="I786" s="57" t="str">
        <f t="shared" si="197"/>
        <v/>
      </c>
      <c r="J786" s="58" t="e">
        <f t="shared" si="187"/>
        <v>#VALUE!</v>
      </c>
      <c r="K786" s="50" t="e">
        <f t="shared" si="188"/>
        <v>#VALUE!</v>
      </c>
      <c r="L786" s="50" t="e">
        <f t="shared" si="185"/>
        <v>#VALUE!</v>
      </c>
      <c r="M786" s="50" t="e">
        <f t="shared" si="185"/>
        <v>#VALUE!</v>
      </c>
      <c r="N786" s="50" t="e">
        <f t="shared" si="189"/>
        <v>#VALUE!</v>
      </c>
      <c r="O786" s="50" t="e">
        <f t="shared" si="190"/>
        <v>#VALUE!</v>
      </c>
      <c r="P786" s="50">
        <f t="shared" si="191"/>
        <v>0</v>
      </c>
      <c r="R786" s="55" t="e">
        <f t="shared" si="192"/>
        <v>#VALUE!</v>
      </c>
      <c r="S786" s="55" t="e">
        <f t="shared" si="193"/>
        <v>#VALUE!</v>
      </c>
      <c r="T786" s="55" t="e">
        <f t="shared" si="198"/>
        <v>#VALUE!</v>
      </c>
      <c r="U786" s="50" t="e">
        <f t="shared" si="194"/>
        <v>#VALUE!</v>
      </c>
      <c r="V786" s="50" t="e">
        <f t="shared" si="195"/>
        <v>#VALUE!</v>
      </c>
      <c r="W786" s="50" t="e">
        <f t="shared" si="196"/>
        <v>#VALUE!</v>
      </c>
    </row>
    <row r="787" spans="2:23" x14ac:dyDescent="0.25">
      <c r="B787" s="50" t="b">
        <f t="shared" si="199"/>
        <v>0</v>
      </c>
      <c r="C787" s="50" t="e">
        <f t="shared" si="186"/>
        <v>#VALUE!</v>
      </c>
      <c r="E787" s="56">
        <v>783</v>
      </c>
      <c r="G787" s="138"/>
      <c r="H787" s="135">
        <v>1</v>
      </c>
      <c r="I787" s="57" t="str">
        <f t="shared" si="197"/>
        <v/>
      </c>
      <c r="J787" s="58" t="e">
        <f t="shared" si="187"/>
        <v>#VALUE!</v>
      </c>
      <c r="K787" s="50" t="e">
        <f t="shared" si="188"/>
        <v>#VALUE!</v>
      </c>
      <c r="L787" s="50" t="e">
        <f t="shared" si="185"/>
        <v>#VALUE!</v>
      </c>
      <c r="M787" s="50" t="e">
        <f t="shared" si="185"/>
        <v>#VALUE!</v>
      </c>
      <c r="N787" s="50" t="e">
        <f t="shared" si="189"/>
        <v>#VALUE!</v>
      </c>
      <c r="O787" s="50" t="e">
        <f t="shared" si="190"/>
        <v>#VALUE!</v>
      </c>
      <c r="P787" s="50">
        <f t="shared" si="191"/>
        <v>0</v>
      </c>
      <c r="R787" s="55" t="e">
        <f t="shared" si="192"/>
        <v>#VALUE!</v>
      </c>
      <c r="S787" s="55" t="e">
        <f t="shared" si="193"/>
        <v>#VALUE!</v>
      </c>
      <c r="T787" s="55" t="e">
        <f t="shared" si="198"/>
        <v>#VALUE!</v>
      </c>
      <c r="U787" s="50" t="e">
        <f t="shared" si="194"/>
        <v>#VALUE!</v>
      </c>
      <c r="V787" s="50" t="e">
        <f t="shared" si="195"/>
        <v>#VALUE!</v>
      </c>
      <c r="W787" s="50" t="e">
        <f t="shared" si="196"/>
        <v>#VALUE!</v>
      </c>
    </row>
    <row r="788" spans="2:23" x14ac:dyDescent="0.25">
      <c r="B788" s="50" t="b">
        <f t="shared" si="199"/>
        <v>0</v>
      </c>
      <c r="C788" s="50" t="e">
        <f t="shared" si="186"/>
        <v>#VALUE!</v>
      </c>
      <c r="E788" s="56">
        <v>784</v>
      </c>
      <c r="G788" s="138"/>
      <c r="H788" s="135">
        <v>1</v>
      </c>
      <c r="I788" s="57" t="str">
        <f t="shared" si="197"/>
        <v/>
      </c>
      <c r="J788" s="58" t="e">
        <f t="shared" si="187"/>
        <v>#VALUE!</v>
      </c>
      <c r="K788" s="50" t="e">
        <f t="shared" si="188"/>
        <v>#VALUE!</v>
      </c>
      <c r="L788" s="50" t="e">
        <f t="shared" si="185"/>
        <v>#VALUE!</v>
      </c>
      <c r="M788" s="50" t="e">
        <f t="shared" si="185"/>
        <v>#VALUE!</v>
      </c>
      <c r="N788" s="50" t="e">
        <f t="shared" si="189"/>
        <v>#VALUE!</v>
      </c>
      <c r="O788" s="50" t="e">
        <f t="shared" si="190"/>
        <v>#VALUE!</v>
      </c>
      <c r="P788" s="50">
        <f t="shared" si="191"/>
        <v>0</v>
      </c>
      <c r="R788" s="55" t="e">
        <f t="shared" si="192"/>
        <v>#VALUE!</v>
      </c>
      <c r="S788" s="55" t="e">
        <f t="shared" si="193"/>
        <v>#VALUE!</v>
      </c>
      <c r="T788" s="55" t="e">
        <f t="shared" si="198"/>
        <v>#VALUE!</v>
      </c>
      <c r="U788" s="50" t="e">
        <f t="shared" si="194"/>
        <v>#VALUE!</v>
      </c>
      <c r="V788" s="50" t="e">
        <f t="shared" si="195"/>
        <v>#VALUE!</v>
      </c>
      <c r="W788" s="50" t="e">
        <f t="shared" si="196"/>
        <v>#VALUE!</v>
      </c>
    </row>
    <row r="789" spans="2:23" x14ac:dyDescent="0.25">
      <c r="B789" s="50" t="b">
        <f t="shared" si="199"/>
        <v>0</v>
      </c>
      <c r="C789" s="50" t="e">
        <f t="shared" si="186"/>
        <v>#VALUE!</v>
      </c>
      <c r="E789" s="56">
        <v>785</v>
      </c>
      <c r="G789" s="138"/>
      <c r="H789" s="135">
        <v>1</v>
      </c>
      <c r="I789" s="57" t="str">
        <f t="shared" si="197"/>
        <v/>
      </c>
      <c r="J789" s="58" t="e">
        <f t="shared" si="187"/>
        <v>#VALUE!</v>
      </c>
      <c r="K789" s="50" t="e">
        <f t="shared" si="188"/>
        <v>#VALUE!</v>
      </c>
      <c r="L789" s="50" t="e">
        <f t="shared" si="185"/>
        <v>#VALUE!</v>
      </c>
      <c r="M789" s="50" t="e">
        <f t="shared" si="185"/>
        <v>#VALUE!</v>
      </c>
      <c r="N789" s="50" t="e">
        <f t="shared" si="189"/>
        <v>#VALUE!</v>
      </c>
      <c r="O789" s="50" t="e">
        <f t="shared" si="190"/>
        <v>#VALUE!</v>
      </c>
      <c r="P789" s="50">
        <f t="shared" si="191"/>
        <v>0</v>
      </c>
      <c r="R789" s="55" t="e">
        <f t="shared" si="192"/>
        <v>#VALUE!</v>
      </c>
      <c r="S789" s="55" t="e">
        <f t="shared" si="193"/>
        <v>#VALUE!</v>
      </c>
      <c r="T789" s="55" t="e">
        <f t="shared" si="198"/>
        <v>#VALUE!</v>
      </c>
      <c r="U789" s="50" t="e">
        <f t="shared" si="194"/>
        <v>#VALUE!</v>
      </c>
      <c r="V789" s="50" t="e">
        <f t="shared" si="195"/>
        <v>#VALUE!</v>
      </c>
      <c r="W789" s="50" t="e">
        <f t="shared" si="196"/>
        <v>#VALUE!</v>
      </c>
    </row>
    <row r="790" spans="2:23" x14ac:dyDescent="0.25">
      <c r="B790" s="50" t="b">
        <f t="shared" si="199"/>
        <v>0</v>
      </c>
      <c r="C790" s="50" t="e">
        <f t="shared" si="186"/>
        <v>#VALUE!</v>
      </c>
      <c r="E790" s="56">
        <v>786</v>
      </c>
      <c r="G790" s="138"/>
      <c r="H790" s="135">
        <v>1</v>
      </c>
      <c r="I790" s="57" t="str">
        <f t="shared" si="197"/>
        <v/>
      </c>
      <c r="J790" s="58" t="e">
        <f t="shared" si="187"/>
        <v>#VALUE!</v>
      </c>
      <c r="K790" s="50" t="e">
        <f t="shared" si="188"/>
        <v>#VALUE!</v>
      </c>
      <c r="L790" s="50" t="e">
        <f t="shared" si="185"/>
        <v>#VALUE!</v>
      </c>
      <c r="M790" s="50" t="e">
        <f t="shared" si="185"/>
        <v>#VALUE!</v>
      </c>
      <c r="N790" s="50" t="e">
        <f t="shared" si="189"/>
        <v>#VALUE!</v>
      </c>
      <c r="O790" s="50" t="e">
        <f t="shared" si="190"/>
        <v>#VALUE!</v>
      </c>
      <c r="P790" s="50">
        <f t="shared" si="191"/>
        <v>0</v>
      </c>
      <c r="R790" s="55" t="e">
        <f t="shared" si="192"/>
        <v>#VALUE!</v>
      </c>
      <c r="S790" s="55" t="e">
        <f t="shared" si="193"/>
        <v>#VALUE!</v>
      </c>
      <c r="T790" s="55" t="e">
        <f t="shared" si="198"/>
        <v>#VALUE!</v>
      </c>
      <c r="U790" s="50" t="e">
        <f t="shared" si="194"/>
        <v>#VALUE!</v>
      </c>
      <c r="V790" s="50" t="e">
        <f t="shared" si="195"/>
        <v>#VALUE!</v>
      </c>
      <c r="W790" s="50" t="e">
        <f t="shared" si="196"/>
        <v>#VALUE!</v>
      </c>
    </row>
    <row r="791" spans="2:23" x14ac:dyDescent="0.25">
      <c r="B791" s="50" t="b">
        <f t="shared" si="199"/>
        <v>0</v>
      </c>
      <c r="C791" s="50" t="e">
        <f t="shared" si="186"/>
        <v>#VALUE!</v>
      </c>
      <c r="E791" s="56">
        <v>787</v>
      </c>
      <c r="G791" s="138"/>
      <c r="H791" s="135">
        <v>1</v>
      </c>
      <c r="I791" s="57" t="str">
        <f t="shared" si="197"/>
        <v/>
      </c>
      <c r="J791" s="58" t="e">
        <f t="shared" si="187"/>
        <v>#VALUE!</v>
      </c>
      <c r="K791" s="50" t="e">
        <f t="shared" si="188"/>
        <v>#VALUE!</v>
      </c>
      <c r="L791" s="50" t="e">
        <f t="shared" si="185"/>
        <v>#VALUE!</v>
      </c>
      <c r="M791" s="50" t="e">
        <f t="shared" si="185"/>
        <v>#VALUE!</v>
      </c>
      <c r="N791" s="50" t="e">
        <f t="shared" si="189"/>
        <v>#VALUE!</v>
      </c>
      <c r="O791" s="50" t="e">
        <f t="shared" si="190"/>
        <v>#VALUE!</v>
      </c>
      <c r="P791" s="50">
        <f t="shared" si="191"/>
        <v>0</v>
      </c>
      <c r="R791" s="55" t="e">
        <f t="shared" si="192"/>
        <v>#VALUE!</v>
      </c>
      <c r="S791" s="55" t="e">
        <f t="shared" si="193"/>
        <v>#VALUE!</v>
      </c>
      <c r="T791" s="55" t="e">
        <f t="shared" si="198"/>
        <v>#VALUE!</v>
      </c>
      <c r="U791" s="50" t="e">
        <f t="shared" si="194"/>
        <v>#VALUE!</v>
      </c>
      <c r="V791" s="50" t="e">
        <f t="shared" si="195"/>
        <v>#VALUE!</v>
      </c>
      <c r="W791" s="50" t="e">
        <f t="shared" si="196"/>
        <v>#VALUE!</v>
      </c>
    </row>
    <row r="792" spans="2:23" x14ac:dyDescent="0.25">
      <c r="B792" s="50" t="b">
        <f t="shared" si="199"/>
        <v>0</v>
      </c>
      <c r="C792" s="50" t="e">
        <f t="shared" si="186"/>
        <v>#VALUE!</v>
      </c>
      <c r="E792" s="56">
        <v>788</v>
      </c>
      <c r="G792" s="138"/>
      <c r="H792" s="135">
        <v>1</v>
      </c>
      <c r="I792" s="57" t="str">
        <f t="shared" si="197"/>
        <v/>
      </c>
      <c r="J792" s="58" t="e">
        <f t="shared" si="187"/>
        <v>#VALUE!</v>
      </c>
      <c r="K792" s="50" t="e">
        <f t="shared" si="188"/>
        <v>#VALUE!</v>
      </c>
      <c r="L792" s="50" t="e">
        <f t="shared" si="185"/>
        <v>#VALUE!</v>
      </c>
      <c r="M792" s="50" t="e">
        <f t="shared" si="185"/>
        <v>#VALUE!</v>
      </c>
      <c r="N792" s="50" t="e">
        <f t="shared" si="189"/>
        <v>#VALUE!</v>
      </c>
      <c r="O792" s="50" t="e">
        <f t="shared" si="190"/>
        <v>#VALUE!</v>
      </c>
      <c r="P792" s="50">
        <f t="shared" si="191"/>
        <v>0</v>
      </c>
      <c r="R792" s="55" t="e">
        <f t="shared" si="192"/>
        <v>#VALUE!</v>
      </c>
      <c r="S792" s="55" t="e">
        <f t="shared" si="193"/>
        <v>#VALUE!</v>
      </c>
      <c r="T792" s="55" t="e">
        <f t="shared" si="198"/>
        <v>#VALUE!</v>
      </c>
      <c r="U792" s="50" t="e">
        <f t="shared" si="194"/>
        <v>#VALUE!</v>
      </c>
      <c r="V792" s="50" t="e">
        <f t="shared" si="195"/>
        <v>#VALUE!</v>
      </c>
      <c r="W792" s="50" t="e">
        <f t="shared" si="196"/>
        <v>#VALUE!</v>
      </c>
    </row>
    <row r="793" spans="2:23" x14ac:dyDescent="0.25">
      <c r="B793" s="50" t="b">
        <f t="shared" si="199"/>
        <v>0</v>
      </c>
      <c r="C793" s="50" t="e">
        <f t="shared" si="186"/>
        <v>#VALUE!</v>
      </c>
      <c r="E793" s="56">
        <v>789</v>
      </c>
      <c r="G793" s="138"/>
      <c r="H793" s="135">
        <v>1</v>
      </c>
      <c r="I793" s="57" t="str">
        <f t="shared" si="197"/>
        <v/>
      </c>
      <c r="J793" s="58" t="e">
        <f t="shared" si="187"/>
        <v>#VALUE!</v>
      </c>
      <c r="K793" s="50" t="e">
        <f t="shared" si="188"/>
        <v>#VALUE!</v>
      </c>
      <c r="L793" s="50" t="e">
        <f t="shared" si="185"/>
        <v>#VALUE!</v>
      </c>
      <c r="M793" s="50" t="e">
        <f t="shared" si="185"/>
        <v>#VALUE!</v>
      </c>
      <c r="N793" s="50" t="e">
        <f t="shared" si="189"/>
        <v>#VALUE!</v>
      </c>
      <c r="O793" s="50" t="e">
        <f t="shared" si="190"/>
        <v>#VALUE!</v>
      </c>
      <c r="P793" s="50">
        <f t="shared" si="191"/>
        <v>0</v>
      </c>
      <c r="R793" s="55" t="e">
        <f t="shared" si="192"/>
        <v>#VALUE!</v>
      </c>
      <c r="S793" s="55" t="e">
        <f t="shared" si="193"/>
        <v>#VALUE!</v>
      </c>
      <c r="T793" s="55" t="e">
        <f t="shared" si="198"/>
        <v>#VALUE!</v>
      </c>
      <c r="U793" s="50" t="e">
        <f t="shared" si="194"/>
        <v>#VALUE!</v>
      </c>
      <c r="V793" s="50" t="e">
        <f t="shared" si="195"/>
        <v>#VALUE!</v>
      </c>
      <c r="W793" s="50" t="e">
        <f t="shared" si="196"/>
        <v>#VALUE!</v>
      </c>
    </row>
    <row r="794" spans="2:23" x14ac:dyDescent="0.25">
      <c r="B794" s="50" t="b">
        <f t="shared" si="199"/>
        <v>0</v>
      </c>
      <c r="C794" s="50" t="e">
        <f t="shared" si="186"/>
        <v>#VALUE!</v>
      </c>
      <c r="E794" s="56">
        <v>790</v>
      </c>
      <c r="G794" s="138"/>
      <c r="H794" s="135">
        <v>1</v>
      </c>
      <c r="I794" s="57" t="str">
        <f t="shared" si="197"/>
        <v/>
      </c>
      <c r="J794" s="58" t="e">
        <f t="shared" si="187"/>
        <v>#VALUE!</v>
      </c>
      <c r="K794" s="50" t="e">
        <f t="shared" si="188"/>
        <v>#VALUE!</v>
      </c>
      <c r="L794" s="50" t="e">
        <f t="shared" si="185"/>
        <v>#VALUE!</v>
      </c>
      <c r="M794" s="50" t="e">
        <f t="shared" si="185"/>
        <v>#VALUE!</v>
      </c>
      <c r="N794" s="50" t="e">
        <f t="shared" si="189"/>
        <v>#VALUE!</v>
      </c>
      <c r="O794" s="50" t="e">
        <f t="shared" si="190"/>
        <v>#VALUE!</v>
      </c>
      <c r="P794" s="50">
        <f t="shared" si="191"/>
        <v>0</v>
      </c>
      <c r="R794" s="55" t="e">
        <f t="shared" si="192"/>
        <v>#VALUE!</v>
      </c>
      <c r="S794" s="55" t="e">
        <f t="shared" si="193"/>
        <v>#VALUE!</v>
      </c>
      <c r="T794" s="55" t="e">
        <f t="shared" si="198"/>
        <v>#VALUE!</v>
      </c>
      <c r="U794" s="50" t="e">
        <f t="shared" si="194"/>
        <v>#VALUE!</v>
      </c>
      <c r="V794" s="50" t="e">
        <f t="shared" si="195"/>
        <v>#VALUE!</v>
      </c>
      <c r="W794" s="50" t="e">
        <f t="shared" si="196"/>
        <v>#VALUE!</v>
      </c>
    </row>
    <row r="795" spans="2:23" x14ac:dyDescent="0.25">
      <c r="B795" s="50" t="b">
        <f t="shared" si="199"/>
        <v>0</v>
      </c>
      <c r="C795" s="50" t="e">
        <f t="shared" si="186"/>
        <v>#VALUE!</v>
      </c>
      <c r="E795" s="56">
        <v>791</v>
      </c>
      <c r="G795" s="138"/>
      <c r="H795" s="135">
        <v>1</v>
      </c>
      <c r="I795" s="57" t="str">
        <f t="shared" si="197"/>
        <v/>
      </c>
      <c r="J795" s="58" t="e">
        <f t="shared" si="187"/>
        <v>#VALUE!</v>
      </c>
      <c r="K795" s="50" t="e">
        <f t="shared" si="188"/>
        <v>#VALUE!</v>
      </c>
      <c r="L795" s="50" t="e">
        <f t="shared" si="185"/>
        <v>#VALUE!</v>
      </c>
      <c r="M795" s="50" t="e">
        <f t="shared" si="185"/>
        <v>#VALUE!</v>
      </c>
      <c r="N795" s="50" t="e">
        <f t="shared" si="189"/>
        <v>#VALUE!</v>
      </c>
      <c r="O795" s="50" t="e">
        <f t="shared" si="190"/>
        <v>#VALUE!</v>
      </c>
      <c r="P795" s="50">
        <f t="shared" si="191"/>
        <v>0</v>
      </c>
      <c r="R795" s="55" t="e">
        <f t="shared" si="192"/>
        <v>#VALUE!</v>
      </c>
      <c r="S795" s="55" t="e">
        <f t="shared" si="193"/>
        <v>#VALUE!</v>
      </c>
      <c r="T795" s="55" t="e">
        <f t="shared" si="198"/>
        <v>#VALUE!</v>
      </c>
      <c r="U795" s="50" t="e">
        <f t="shared" si="194"/>
        <v>#VALUE!</v>
      </c>
      <c r="V795" s="50" t="e">
        <f t="shared" si="195"/>
        <v>#VALUE!</v>
      </c>
      <c r="W795" s="50" t="e">
        <f t="shared" si="196"/>
        <v>#VALUE!</v>
      </c>
    </row>
    <row r="796" spans="2:23" x14ac:dyDescent="0.25">
      <c r="B796" s="50" t="b">
        <f t="shared" si="199"/>
        <v>0</v>
      </c>
      <c r="C796" s="50" t="e">
        <f t="shared" si="186"/>
        <v>#VALUE!</v>
      </c>
      <c r="E796" s="56">
        <v>792</v>
      </c>
      <c r="G796" s="138"/>
      <c r="H796" s="135">
        <v>1</v>
      </c>
      <c r="I796" s="57" t="str">
        <f t="shared" si="197"/>
        <v/>
      </c>
      <c r="J796" s="58" t="e">
        <f t="shared" si="187"/>
        <v>#VALUE!</v>
      </c>
      <c r="K796" s="50" t="e">
        <f t="shared" si="188"/>
        <v>#VALUE!</v>
      </c>
      <c r="L796" s="50" t="e">
        <f t="shared" si="185"/>
        <v>#VALUE!</v>
      </c>
      <c r="M796" s="50" t="e">
        <f t="shared" si="185"/>
        <v>#VALUE!</v>
      </c>
      <c r="N796" s="50" t="e">
        <f t="shared" si="189"/>
        <v>#VALUE!</v>
      </c>
      <c r="O796" s="50" t="e">
        <f t="shared" si="190"/>
        <v>#VALUE!</v>
      </c>
      <c r="P796" s="50">
        <f t="shared" si="191"/>
        <v>0</v>
      </c>
      <c r="R796" s="55" t="e">
        <f t="shared" si="192"/>
        <v>#VALUE!</v>
      </c>
      <c r="S796" s="55" t="e">
        <f t="shared" si="193"/>
        <v>#VALUE!</v>
      </c>
      <c r="T796" s="55" t="e">
        <f t="shared" si="198"/>
        <v>#VALUE!</v>
      </c>
      <c r="U796" s="50" t="e">
        <f t="shared" si="194"/>
        <v>#VALUE!</v>
      </c>
      <c r="V796" s="50" t="e">
        <f t="shared" si="195"/>
        <v>#VALUE!</v>
      </c>
      <c r="W796" s="50" t="e">
        <f t="shared" si="196"/>
        <v>#VALUE!</v>
      </c>
    </row>
    <row r="797" spans="2:23" x14ac:dyDescent="0.25">
      <c r="B797" s="50" t="b">
        <f t="shared" si="199"/>
        <v>0</v>
      </c>
      <c r="C797" s="50" t="e">
        <f t="shared" si="186"/>
        <v>#VALUE!</v>
      </c>
      <c r="E797" s="56">
        <v>793</v>
      </c>
      <c r="G797" s="138"/>
      <c r="H797" s="135">
        <v>1</v>
      </c>
      <c r="I797" s="57" t="str">
        <f t="shared" si="197"/>
        <v/>
      </c>
      <c r="J797" s="58" t="e">
        <f t="shared" si="187"/>
        <v>#VALUE!</v>
      </c>
      <c r="K797" s="50" t="e">
        <f t="shared" si="188"/>
        <v>#VALUE!</v>
      </c>
      <c r="L797" s="50" t="e">
        <f t="shared" si="185"/>
        <v>#VALUE!</v>
      </c>
      <c r="M797" s="50" t="e">
        <f t="shared" si="185"/>
        <v>#VALUE!</v>
      </c>
      <c r="N797" s="50" t="e">
        <f t="shared" si="189"/>
        <v>#VALUE!</v>
      </c>
      <c r="O797" s="50" t="e">
        <f t="shared" si="190"/>
        <v>#VALUE!</v>
      </c>
      <c r="P797" s="50">
        <f t="shared" si="191"/>
        <v>0</v>
      </c>
      <c r="R797" s="55" t="e">
        <f t="shared" si="192"/>
        <v>#VALUE!</v>
      </c>
      <c r="S797" s="55" t="e">
        <f t="shared" si="193"/>
        <v>#VALUE!</v>
      </c>
      <c r="T797" s="55" t="e">
        <f t="shared" si="198"/>
        <v>#VALUE!</v>
      </c>
      <c r="U797" s="50" t="e">
        <f t="shared" si="194"/>
        <v>#VALUE!</v>
      </c>
      <c r="V797" s="50" t="e">
        <f t="shared" si="195"/>
        <v>#VALUE!</v>
      </c>
      <c r="W797" s="50" t="e">
        <f t="shared" si="196"/>
        <v>#VALUE!</v>
      </c>
    </row>
    <row r="798" spans="2:23" x14ac:dyDescent="0.25">
      <c r="B798" s="50" t="b">
        <f t="shared" si="199"/>
        <v>0</v>
      </c>
      <c r="C798" s="50" t="e">
        <f t="shared" si="186"/>
        <v>#VALUE!</v>
      </c>
      <c r="E798" s="56">
        <v>794</v>
      </c>
      <c r="G798" s="138"/>
      <c r="H798" s="135">
        <v>1</v>
      </c>
      <c r="I798" s="57" t="str">
        <f t="shared" si="197"/>
        <v/>
      </c>
      <c r="J798" s="58" t="e">
        <f t="shared" si="187"/>
        <v>#VALUE!</v>
      </c>
      <c r="K798" s="50" t="e">
        <f t="shared" si="188"/>
        <v>#VALUE!</v>
      </c>
      <c r="L798" s="50" t="e">
        <f t="shared" si="185"/>
        <v>#VALUE!</v>
      </c>
      <c r="M798" s="50" t="e">
        <f t="shared" si="185"/>
        <v>#VALUE!</v>
      </c>
      <c r="N798" s="50" t="e">
        <f t="shared" si="189"/>
        <v>#VALUE!</v>
      </c>
      <c r="O798" s="50" t="e">
        <f t="shared" si="190"/>
        <v>#VALUE!</v>
      </c>
      <c r="P798" s="50">
        <f t="shared" si="191"/>
        <v>0</v>
      </c>
      <c r="R798" s="55" t="e">
        <f t="shared" si="192"/>
        <v>#VALUE!</v>
      </c>
      <c r="S798" s="55" t="e">
        <f t="shared" si="193"/>
        <v>#VALUE!</v>
      </c>
      <c r="T798" s="55" t="e">
        <f t="shared" si="198"/>
        <v>#VALUE!</v>
      </c>
      <c r="U798" s="50" t="e">
        <f t="shared" si="194"/>
        <v>#VALUE!</v>
      </c>
      <c r="V798" s="50" t="e">
        <f t="shared" si="195"/>
        <v>#VALUE!</v>
      </c>
      <c r="W798" s="50" t="e">
        <f t="shared" si="196"/>
        <v>#VALUE!</v>
      </c>
    </row>
    <row r="799" spans="2:23" x14ac:dyDescent="0.25">
      <c r="B799" s="50" t="b">
        <f t="shared" si="199"/>
        <v>0</v>
      </c>
      <c r="C799" s="50" t="e">
        <f t="shared" si="186"/>
        <v>#VALUE!</v>
      </c>
      <c r="E799" s="56">
        <v>795</v>
      </c>
      <c r="G799" s="138"/>
      <c r="H799" s="135">
        <v>1</v>
      </c>
      <c r="I799" s="57" t="str">
        <f t="shared" si="197"/>
        <v/>
      </c>
      <c r="J799" s="58" t="e">
        <f t="shared" si="187"/>
        <v>#VALUE!</v>
      </c>
      <c r="K799" s="50" t="e">
        <f t="shared" si="188"/>
        <v>#VALUE!</v>
      </c>
      <c r="L799" s="50" t="e">
        <f t="shared" si="185"/>
        <v>#VALUE!</v>
      </c>
      <c r="M799" s="50" t="e">
        <f t="shared" si="185"/>
        <v>#VALUE!</v>
      </c>
      <c r="N799" s="50" t="e">
        <f t="shared" si="189"/>
        <v>#VALUE!</v>
      </c>
      <c r="O799" s="50" t="e">
        <f t="shared" si="190"/>
        <v>#VALUE!</v>
      </c>
      <c r="P799" s="50">
        <f t="shared" si="191"/>
        <v>0</v>
      </c>
      <c r="R799" s="55" t="e">
        <f t="shared" si="192"/>
        <v>#VALUE!</v>
      </c>
      <c r="S799" s="55" t="e">
        <f t="shared" si="193"/>
        <v>#VALUE!</v>
      </c>
      <c r="T799" s="55" t="e">
        <f t="shared" si="198"/>
        <v>#VALUE!</v>
      </c>
      <c r="U799" s="50" t="e">
        <f t="shared" si="194"/>
        <v>#VALUE!</v>
      </c>
      <c r="V799" s="50" t="e">
        <f t="shared" si="195"/>
        <v>#VALUE!</v>
      </c>
      <c r="W799" s="50" t="e">
        <f t="shared" si="196"/>
        <v>#VALUE!</v>
      </c>
    </row>
    <row r="800" spans="2:23" x14ac:dyDescent="0.25">
      <c r="B800" s="50" t="b">
        <f t="shared" si="199"/>
        <v>0</v>
      </c>
      <c r="C800" s="50" t="e">
        <f t="shared" si="186"/>
        <v>#VALUE!</v>
      </c>
      <c r="E800" s="56">
        <v>796</v>
      </c>
      <c r="G800" s="138"/>
      <c r="H800" s="135">
        <v>1</v>
      </c>
      <c r="I800" s="57" t="str">
        <f t="shared" si="197"/>
        <v/>
      </c>
      <c r="J800" s="58" t="e">
        <f t="shared" si="187"/>
        <v>#VALUE!</v>
      </c>
      <c r="K800" s="50" t="e">
        <f t="shared" si="188"/>
        <v>#VALUE!</v>
      </c>
      <c r="L800" s="50" t="e">
        <f t="shared" ref="L800:M863" si="200">O800-N800</f>
        <v>#VALUE!</v>
      </c>
      <c r="M800" s="50" t="e">
        <f t="shared" si="200"/>
        <v>#VALUE!</v>
      </c>
      <c r="N800" s="50" t="e">
        <f t="shared" si="189"/>
        <v>#VALUE!</v>
      </c>
      <c r="O800" s="50" t="e">
        <f t="shared" si="190"/>
        <v>#VALUE!</v>
      </c>
      <c r="P800" s="50">
        <f t="shared" si="191"/>
        <v>0</v>
      </c>
      <c r="R800" s="55" t="e">
        <f t="shared" si="192"/>
        <v>#VALUE!</v>
      </c>
      <c r="S800" s="55" t="e">
        <f t="shared" si="193"/>
        <v>#VALUE!</v>
      </c>
      <c r="T800" s="55" t="e">
        <f t="shared" si="198"/>
        <v>#VALUE!</v>
      </c>
      <c r="U800" s="50" t="e">
        <f t="shared" si="194"/>
        <v>#VALUE!</v>
      </c>
      <c r="V800" s="50" t="e">
        <f t="shared" si="195"/>
        <v>#VALUE!</v>
      </c>
      <c r="W800" s="50" t="e">
        <f t="shared" si="196"/>
        <v>#VALUE!</v>
      </c>
    </row>
    <row r="801" spans="2:23" x14ac:dyDescent="0.25">
      <c r="B801" s="50" t="b">
        <f t="shared" si="199"/>
        <v>0</v>
      </c>
      <c r="C801" s="50" t="e">
        <f t="shared" si="186"/>
        <v>#VALUE!</v>
      </c>
      <c r="E801" s="56">
        <v>797</v>
      </c>
      <c r="G801" s="138"/>
      <c r="H801" s="135">
        <v>1</v>
      </c>
      <c r="I801" s="57" t="str">
        <f t="shared" si="197"/>
        <v/>
      </c>
      <c r="J801" s="58" t="e">
        <f t="shared" si="187"/>
        <v>#VALUE!</v>
      </c>
      <c r="K801" s="50" t="e">
        <f t="shared" si="188"/>
        <v>#VALUE!</v>
      </c>
      <c r="L801" s="50" t="e">
        <f t="shared" si="200"/>
        <v>#VALUE!</v>
      </c>
      <c r="M801" s="50" t="e">
        <f t="shared" si="200"/>
        <v>#VALUE!</v>
      </c>
      <c r="N801" s="50" t="e">
        <f t="shared" si="189"/>
        <v>#VALUE!</v>
      </c>
      <c r="O801" s="50" t="e">
        <f t="shared" si="190"/>
        <v>#VALUE!</v>
      </c>
      <c r="P801" s="50">
        <f t="shared" si="191"/>
        <v>0</v>
      </c>
      <c r="R801" s="55" t="e">
        <f t="shared" si="192"/>
        <v>#VALUE!</v>
      </c>
      <c r="S801" s="55" t="e">
        <f t="shared" si="193"/>
        <v>#VALUE!</v>
      </c>
      <c r="T801" s="55" t="e">
        <f t="shared" si="198"/>
        <v>#VALUE!</v>
      </c>
      <c r="U801" s="50" t="e">
        <f t="shared" si="194"/>
        <v>#VALUE!</v>
      </c>
      <c r="V801" s="50" t="e">
        <f t="shared" si="195"/>
        <v>#VALUE!</v>
      </c>
      <c r="W801" s="50" t="e">
        <f t="shared" si="196"/>
        <v>#VALUE!</v>
      </c>
    </row>
    <row r="802" spans="2:23" x14ac:dyDescent="0.25">
      <c r="B802" s="50" t="b">
        <f t="shared" si="199"/>
        <v>0</v>
      </c>
      <c r="C802" s="50" t="e">
        <f t="shared" si="186"/>
        <v>#VALUE!</v>
      </c>
      <c r="E802" s="56">
        <v>798</v>
      </c>
      <c r="G802" s="138"/>
      <c r="H802" s="135">
        <v>1</v>
      </c>
      <c r="I802" s="57" t="str">
        <f t="shared" si="197"/>
        <v/>
      </c>
      <c r="J802" s="58" t="e">
        <f t="shared" si="187"/>
        <v>#VALUE!</v>
      </c>
      <c r="K802" s="50" t="e">
        <f t="shared" si="188"/>
        <v>#VALUE!</v>
      </c>
      <c r="L802" s="50" t="e">
        <f t="shared" si="200"/>
        <v>#VALUE!</v>
      </c>
      <c r="M802" s="50" t="e">
        <f t="shared" si="200"/>
        <v>#VALUE!</v>
      </c>
      <c r="N802" s="50" t="e">
        <f t="shared" si="189"/>
        <v>#VALUE!</v>
      </c>
      <c r="O802" s="50" t="e">
        <f t="shared" si="190"/>
        <v>#VALUE!</v>
      </c>
      <c r="P802" s="50">
        <f t="shared" si="191"/>
        <v>0</v>
      </c>
      <c r="R802" s="55" t="e">
        <f t="shared" si="192"/>
        <v>#VALUE!</v>
      </c>
      <c r="S802" s="55" t="e">
        <f t="shared" si="193"/>
        <v>#VALUE!</v>
      </c>
      <c r="T802" s="55" t="e">
        <f t="shared" si="198"/>
        <v>#VALUE!</v>
      </c>
      <c r="U802" s="50" t="e">
        <f t="shared" si="194"/>
        <v>#VALUE!</v>
      </c>
      <c r="V802" s="50" t="e">
        <f t="shared" si="195"/>
        <v>#VALUE!</v>
      </c>
      <c r="W802" s="50" t="e">
        <f t="shared" si="196"/>
        <v>#VALUE!</v>
      </c>
    </row>
    <row r="803" spans="2:23" x14ac:dyDescent="0.25">
      <c r="B803" s="50" t="b">
        <f t="shared" si="199"/>
        <v>0</v>
      </c>
      <c r="C803" s="50" t="e">
        <f t="shared" si="186"/>
        <v>#VALUE!</v>
      </c>
      <c r="E803" s="56">
        <v>799</v>
      </c>
      <c r="G803" s="138"/>
      <c r="H803" s="135">
        <v>1</v>
      </c>
      <c r="I803" s="57" t="str">
        <f t="shared" si="197"/>
        <v/>
      </c>
      <c r="J803" s="58" t="e">
        <f t="shared" si="187"/>
        <v>#VALUE!</v>
      </c>
      <c r="K803" s="50" t="e">
        <f t="shared" si="188"/>
        <v>#VALUE!</v>
      </c>
      <c r="L803" s="50" t="e">
        <f t="shared" si="200"/>
        <v>#VALUE!</v>
      </c>
      <c r="M803" s="50" t="e">
        <f t="shared" si="200"/>
        <v>#VALUE!</v>
      </c>
      <c r="N803" s="50" t="e">
        <f t="shared" si="189"/>
        <v>#VALUE!</v>
      </c>
      <c r="O803" s="50" t="e">
        <f t="shared" si="190"/>
        <v>#VALUE!</v>
      </c>
      <c r="P803" s="50">
        <f t="shared" si="191"/>
        <v>0</v>
      </c>
      <c r="R803" s="55" t="e">
        <f t="shared" si="192"/>
        <v>#VALUE!</v>
      </c>
      <c r="S803" s="55" t="e">
        <f t="shared" si="193"/>
        <v>#VALUE!</v>
      </c>
      <c r="T803" s="55" t="e">
        <f t="shared" si="198"/>
        <v>#VALUE!</v>
      </c>
      <c r="U803" s="50" t="e">
        <f t="shared" si="194"/>
        <v>#VALUE!</v>
      </c>
      <c r="V803" s="50" t="e">
        <f t="shared" si="195"/>
        <v>#VALUE!</v>
      </c>
      <c r="W803" s="50" t="e">
        <f t="shared" si="196"/>
        <v>#VALUE!</v>
      </c>
    </row>
    <row r="804" spans="2:23" x14ac:dyDescent="0.25">
      <c r="B804" s="50" t="b">
        <f t="shared" si="199"/>
        <v>0</v>
      </c>
      <c r="C804" s="50" t="e">
        <f t="shared" si="186"/>
        <v>#VALUE!</v>
      </c>
      <c r="E804" s="56">
        <v>800</v>
      </c>
      <c r="G804" s="138"/>
      <c r="H804" s="135">
        <v>1</v>
      </c>
      <c r="I804" s="57" t="str">
        <f t="shared" si="197"/>
        <v/>
      </c>
      <c r="J804" s="58" t="e">
        <f t="shared" si="187"/>
        <v>#VALUE!</v>
      </c>
      <c r="K804" s="50" t="e">
        <f t="shared" si="188"/>
        <v>#VALUE!</v>
      </c>
      <c r="L804" s="50" t="e">
        <f t="shared" si="200"/>
        <v>#VALUE!</v>
      </c>
      <c r="M804" s="50" t="e">
        <f t="shared" si="200"/>
        <v>#VALUE!</v>
      </c>
      <c r="N804" s="50" t="e">
        <f t="shared" si="189"/>
        <v>#VALUE!</v>
      </c>
      <c r="O804" s="50" t="e">
        <f t="shared" si="190"/>
        <v>#VALUE!</v>
      </c>
      <c r="P804" s="50">
        <f t="shared" si="191"/>
        <v>0</v>
      </c>
      <c r="R804" s="55" t="e">
        <f t="shared" si="192"/>
        <v>#VALUE!</v>
      </c>
      <c r="S804" s="55" t="e">
        <f t="shared" si="193"/>
        <v>#VALUE!</v>
      </c>
      <c r="T804" s="55" t="e">
        <f t="shared" si="198"/>
        <v>#VALUE!</v>
      </c>
      <c r="U804" s="50" t="e">
        <f t="shared" si="194"/>
        <v>#VALUE!</v>
      </c>
      <c r="V804" s="50" t="e">
        <f t="shared" si="195"/>
        <v>#VALUE!</v>
      </c>
      <c r="W804" s="50" t="e">
        <f t="shared" si="196"/>
        <v>#VALUE!</v>
      </c>
    </row>
    <row r="805" spans="2:23" x14ac:dyDescent="0.25">
      <c r="B805" s="50" t="b">
        <f t="shared" si="199"/>
        <v>0</v>
      </c>
      <c r="C805" s="50" t="e">
        <f t="shared" si="186"/>
        <v>#VALUE!</v>
      </c>
      <c r="E805" s="56">
        <v>801</v>
      </c>
      <c r="G805" s="138"/>
      <c r="H805" s="135">
        <v>1</v>
      </c>
      <c r="I805" s="57" t="str">
        <f t="shared" si="197"/>
        <v/>
      </c>
      <c r="J805" s="58" t="e">
        <f t="shared" si="187"/>
        <v>#VALUE!</v>
      </c>
      <c r="K805" s="50" t="e">
        <f t="shared" si="188"/>
        <v>#VALUE!</v>
      </c>
      <c r="L805" s="50" t="e">
        <f t="shared" si="200"/>
        <v>#VALUE!</v>
      </c>
      <c r="M805" s="50" t="e">
        <f t="shared" si="200"/>
        <v>#VALUE!</v>
      </c>
      <c r="N805" s="50" t="e">
        <f t="shared" si="189"/>
        <v>#VALUE!</v>
      </c>
      <c r="O805" s="50" t="e">
        <f t="shared" si="190"/>
        <v>#VALUE!</v>
      </c>
      <c r="P805" s="50">
        <f t="shared" si="191"/>
        <v>0</v>
      </c>
      <c r="R805" s="55" t="e">
        <f t="shared" si="192"/>
        <v>#VALUE!</v>
      </c>
      <c r="S805" s="55" t="e">
        <f t="shared" si="193"/>
        <v>#VALUE!</v>
      </c>
      <c r="T805" s="55" t="e">
        <f t="shared" si="198"/>
        <v>#VALUE!</v>
      </c>
      <c r="U805" s="50" t="e">
        <f t="shared" si="194"/>
        <v>#VALUE!</v>
      </c>
      <c r="V805" s="50" t="e">
        <f t="shared" si="195"/>
        <v>#VALUE!</v>
      </c>
      <c r="W805" s="50" t="e">
        <f t="shared" si="196"/>
        <v>#VALUE!</v>
      </c>
    </row>
    <row r="806" spans="2:23" x14ac:dyDescent="0.25">
      <c r="B806" s="50" t="b">
        <f t="shared" si="199"/>
        <v>0</v>
      </c>
      <c r="C806" s="50" t="e">
        <f t="shared" si="186"/>
        <v>#VALUE!</v>
      </c>
      <c r="E806" s="56">
        <v>802</v>
      </c>
      <c r="G806" s="138"/>
      <c r="H806" s="135">
        <v>1</v>
      </c>
      <c r="I806" s="57" t="str">
        <f t="shared" si="197"/>
        <v/>
      </c>
      <c r="J806" s="58" t="e">
        <f t="shared" si="187"/>
        <v>#VALUE!</v>
      </c>
      <c r="K806" s="50" t="e">
        <f t="shared" si="188"/>
        <v>#VALUE!</v>
      </c>
      <c r="L806" s="50" t="e">
        <f t="shared" si="200"/>
        <v>#VALUE!</v>
      </c>
      <c r="M806" s="50" t="e">
        <f t="shared" si="200"/>
        <v>#VALUE!</v>
      </c>
      <c r="N806" s="50" t="e">
        <f t="shared" si="189"/>
        <v>#VALUE!</v>
      </c>
      <c r="O806" s="50" t="e">
        <f t="shared" si="190"/>
        <v>#VALUE!</v>
      </c>
      <c r="P806" s="50">
        <f t="shared" si="191"/>
        <v>0</v>
      </c>
      <c r="R806" s="55" t="e">
        <f t="shared" si="192"/>
        <v>#VALUE!</v>
      </c>
      <c r="S806" s="55" t="e">
        <f t="shared" si="193"/>
        <v>#VALUE!</v>
      </c>
      <c r="T806" s="55" t="e">
        <f t="shared" si="198"/>
        <v>#VALUE!</v>
      </c>
      <c r="U806" s="50" t="e">
        <f t="shared" si="194"/>
        <v>#VALUE!</v>
      </c>
      <c r="V806" s="50" t="e">
        <f t="shared" si="195"/>
        <v>#VALUE!</v>
      </c>
      <c r="W806" s="50" t="e">
        <f t="shared" si="196"/>
        <v>#VALUE!</v>
      </c>
    </row>
    <row r="807" spans="2:23" x14ac:dyDescent="0.25">
      <c r="B807" s="50" t="b">
        <f t="shared" si="199"/>
        <v>0</v>
      </c>
      <c r="C807" s="50" t="e">
        <f t="shared" si="186"/>
        <v>#VALUE!</v>
      </c>
      <c r="E807" s="56">
        <v>803</v>
      </c>
      <c r="G807" s="138"/>
      <c r="H807" s="135">
        <v>1</v>
      </c>
      <c r="I807" s="57" t="str">
        <f t="shared" si="197"/>
        <v/>
      </c>
      <c r="J807" s="58" t="e">
        <f t="shared" si="187"/>
        <v>#VALUE!</v>
      </c>
      <c r="K807" s="50" t="e">
        <f t="shared" si="188"/>
        <v>#VALUE!</v>
      </c>
      <c r="L807" s="50" t="e">
        <f t="shared" si="200"/>
        <v>#VALUE!</v>
      </c>
      <c r="M807" s="50" t="e">
        <f t="shared" si="200"/>
        <v>#VALUE!</v>
      </c>
      <c r="N807" s="50" t="e">
        <f t="shared" si="189"/>
        <v>#VALUE!</v>
      </c>
      <c r="O807" s="50" t="e">
        <f t="shared" si="190"/>
        <v>#VALUE!</v>
      </c>
      <c r="P807" s="50">
        <f t="shared" si="191"/>
        <v>0</v>
      </c>
      <c r="R807" s="55" t="e">
        <f t="shared" si="192"/>
        <v>#VALUE!</v>
      </c>
      <c r="S807" s="55" t="e">
        <f t="shared" si="193"/>
        <v>#VALUE!</v>
      </c>
      <c r="T807" s="55" t="e">
        <f t="shared" si="198"/>
        <v>#VALUE!</v>
      </c>
      <c r="U807" s="50" t="e">
        <f t="shared" si="194"/>
        <v>#VALUE!</v>
      </c>
      <c r="V807" s="50" t="e">
        <f t="shared" si="195"/>
        <v>#VALUE!</v>
      </c>
      <c r="W807" s="50" t="e">
        <f t="shared" si="196"/>
        <v>#VALUE!</v>
      </c>
    </row>
    <row r="808" spans="2:23" x14ac:dyDescent="0.25">
      <c r="B808" s="50" t="b">
        <f t="shared" si="199"/>
        <v>0</v>
      </c>
      <c r="C808" s="50" t="e">
        <f t="shared" si="186"/>
        <v>#VALUE!</v>
      </c>
      <c r="E808" s="56">
        <v>804</v>
      </c>
      <c r="G808" s="138"/>
      <c r="H808" s="135">
        <v>1</v>
      </c>
      <c r="I808" s="57" t="str">
        <f t="shared" si="197"/>
        <v/>
      </c>
      <c r="J808" s="58" t="e">
        <f t="shared" si="187"/>
        <v>#VALUE!</v>
      </c>
      <c r="K808" s="50" t="e">
        <f t="shared" si="188"/>
        <v>#VALUE!</v>
      </c>
      <c r="L808" s="50" t="e">
        <f t="shared" si="200"/>
        <v>#VALUE!</v>
      </c>
      <c r="M808" s="50" t="e">
        <f t="shared" si="200"/>
        <v>#VALUE!</v>
      </c>
      <c r="N808" s="50" t="e">
        <f t="shared" si="189"/>
        <v>#VALUE!</v>
      </c>
      <c r="O808" s="50" t="e">
        <f t="shared" si="190"/>
        <v>#VALUE!</v>
      </c>
      <c r="P808" s="50">
        <f t="shared" si="191"/>
        <v>0</v>
      </c>
      <c r="R808" s="55" t="e">
        <f t="shared" si="192"/>
        <v>#VALUE!</v>
      </c>
      <c r="S808" s="55" t="e">
        <f t="shared" si="193"/>
        <v>#VALUE!</v>
      </c>
      <c r="T808" s="55" t="e">
        <f t="shared" si="198"/>
        <v>#VALUE!</v>
      </c>
      <c r="U808" s="50" t="e">
        <f t="shared" si="194"/>
        <v>#VALUE!</v>
      </c>
      <c r="V808" s="50" t="e">
        <f t="shared" si="195"/>
        <v>#VALUE!</v>
      </c>
      <c r="W808" s="50" t="e">
        <f t="shared" si="196"/>
        <v>#VALUE!</v>
      </c>
    </row>
    <row r="809" spans="2:23" x14ac:dyDescent="0.25">
      <c r="B809" s="50" t="b">
        <f t="shared" si="199"/>
        <v>0</v>
      </c>
      <c r="C809" s="50" t="e">
        <f t="shared" si="186"/>
        <v>#VALUE!</v>
      </c>
      <c r="E809" s="56">
        <v>805</v>
      </c>
      <c r="G809" s="138"/>
      <c r="H809" s="135">
        <v>1</v>
      </c>
      <c r="I809" s="57" t="str">
        <f t="shared" si="197"/>
        <v/>
      </c>
      <c r="J809" s="58" t="e">
        <f t="shared" si="187"/>
        <v>#VALUE!</v>
      </c>
      <c r="K809" s="50" t="e">
        <f t="shared" si="188"/>
        <v>#VALUE!</v>
      </c>
      <c r="L809" s="50" t="e">
        <f t="shared" si="200"/>
        <v>#VALUE!</v>
      </c>
      <c r="M809" s="50" t="e">
        <f t="shared" si="200"/>
        <v>#VALUE!</v>
      </c>
      <c r="N809" s="50" t="e">
        <f t="shared" si="189"/>
        <v>#VALUE!</v>
      </c>
      <c r="O809" s="50" t="e">
        <f t="shared" si="190"/>
        <v>#VALUE!</v>
      </c>
      <c r="P809" s="50">
        <f t="shared" si="191"/>
        <v>0</v>
      </c>
      <c r="R809" s="55" t="e">
        <f t="shared" si="192"/>
        <v>#VALUE!</v>
      </c>
      <c r="S809" s="55" t="e">
        <f t="shared" si="193"/>
        <v>#VALUE!</v>
      </c>
      <c r="T809" s="55" t="e">
        <f t="shared" si="198"/>
        <v>#VALUE!</v>
      </c>
      <c r="U809" s="50" t="e">
        <f t="shared" si="194"/>
        <v>#VALUE!</v>
      </c>
      <c r="V809" s="50" t="e">
        <f t="shared" si="195"/>
        <v>#VALUE!</v>
      </c>
      <c r="W809" s="50" t="e">
        <f t="shared" si="196"/>
        <v>#VALUE!</v>
      </c>
    </row>
    <row r="810" spans="2:23" x14ac:dyDescent="0.25">
      <c r="B810" s="50" t="b">
        <f t="shared" si="199"/>
        <v>0</v>
      </c>
      <c r="C810" s="50" t="e">
        <f t="shared" si="186"/>
        <v>#VALUE!</v>
      </c>
      <c r="E810" s="56">
        <v>806</v>
      </c>
      <c r="G810" s="138"/>
      <c r="H810" s="135">
        <v>1</v>
      </c>
      <c r="I810" s="57" t="str">
        <f t="shared" si="197"/>
        <v/>
      </c>
      <c r="J810" s="58" t="e">
        <f t="shared" si="187"/>
        <v>#VALUE!</v>
      </c>
      <c r="K810" s="50" t="e">
        <f t="shared" si="188"/>
        <v>#VALUE!</v>
      </c>
      <c r="L810" s="50" t="e">
        <f t="shared" si="200"/>
        <v>#VALUE!</v>
      </c>
      <c r="M810" s="50" t="e">
        <f t="shared" si="200"/>
        <v>#VALUE!</v>
      </c>
      <c r="N810" s="50" t="e">
        <f t="shared" si="189"/>
        <v>#VALUE!</v>
      </c>
      <c r="O810" s="50" t="e">
        <f t="shared" si="190"/>
        <v>#VALUE!</v>
      </c>
      <c r="P810" s="50">
        <f t="shared" si="191"/>
        <v>0</v>
      </c>
      <c r="R810" s="55" t="e">
        <f t="shared" si="192"/>
        <v>#VALUE!</v>
      </c>
      <c r="S810" s="55" t="e">
        <f t="shared" si="193"/>
        <v>#VALUE!</v>
      </c>
      <c r="T810" s="55" t="e">
        <f t="shared" si="198"/>
        <v>#VALUE!</v>
      </c>
      <c r="U810" s="50" t="e">
        <f t="shared" si="194"/>
        <v>#VALUE!</v>
      </c>
      <c r="V810" s="50" t="e">
        <f t="shared" si="195"/>
        <v>#VALUE!</v>
      </c>
      <c r="W810" s="50" t="e">
        <f t="shared" si="196"/>
        <v>#VALUE!</v>
      </c>
    </row>
    <row r="811" spans="2:23" x14ac:dyDescent="0.25">
      <c r="B811" s="50" t="b">
        <f t="shared" si="199"/>
        <v>0</v>
      </c>
      <c r="C811" s="50" t="e">
        <f t="shared" si="186"/>
        <v>#VALUE!</v>
      </c>
      <c r="E811" s="56">
        <v>807</v>
      </c>
      <c r="G811" s="138"/>
      <c r="H811" s="135">
        <v>1</v>
      </c>
      <c r="I811" s="57" t="str">
        <f t="shared" si="197"/>
        <v/>
      </c>
      <c r="J811" s="58" t="e">
        <f t="shared" si="187"/>
        <v>#VALUE!</v>
      </c>
      <c r="K811" s="50" t="e">
        <f t="shared" si="188"/>
        <v>#VALUE!</v>
      </c>
      <c r="L811" s="50" t="e">
        <f t="shared" si="200"/>
        <v>#VALUE!</v>
      </c>
      <c r="M811" s="50" t="e">
        <f t="shared" si="200"/>
        <v>#VALUE!</v>
      </c>
      <c r="N811" s="50" t="e">
        <f t="shared" si="189"/>
        <v>#VALUE!</v>
      </c>
      <c r="O811" s="50" t="e">
        <f t="shared" si="190"/>
        <v>#VALUE!</v>
      </c>
      <c r="P811" s="50">
        <f t="shared" si="191"/>
        <v>0</v>
      </c>
      <c r="R811" s="55" t="e">
        <f t="shared" si="192"/>
        <v>#VALUE!</v>
      </c>
      <c r="S811" s="55" t="e">
        <f t="shared" si="193"/>
        <v>#VALUE!</v>
      </c>
      <c r="T811" s="55" t="e">
        <f t="shared" si="198"/>
        <v>#VALUE!</v>
      </c>
      <c r="U811" s="50" t="e">
        <f t="shared" si="194"/>
        <v>#VALUE!</v>
      </c>
      <c r="V811" s="50" t="e">
        <f t="shared" si="195"/>
        <v>#VALUE!</v>
      </c>
      <c r="W811" s="50" t="e">
        <f t="shared" si="196"/>
        <v>#VALUE!</v>
      </c>
    </row>
    <row r="812" spans="2:23" x14ac:dyDescent="0.25">
      <c r="B812" s="50" t="b">
        <f t="shared" si="199"/>
        <v>0</v>
      </c>
      <c r="C812" s="50" t="e">
        <f t="shared" si="186"/>
        <v>#VALUE!</v>
      </c>
      <c r="E812" s="56">
        <v>808</v>
      </c>
      <c r="G812" s="138"/>
      <c r="H812" s="135">
        <v>1</v>
      </c>
      <c r="I812" s="57" t="str">
        <f t="shared" si="197"/>
        <v/>
      </c>
      <c r="J812" s="58" t="e">
        <f t="shared" si="187"/>
        <v>#VALUE!</v>
      </c>
      <c r="K812" s="50" t="e">
        <f t="shared" si="188"/>
        <v>#VALUE!</v>
      </c>
      <c r="L812" s="50" t="e">
        <f t="shared" si="200"/>
        <v>#VALUE!</v>
      </c>
      <c r="M812" s="50" t="e">
        <f t="shared" si="200"/>
        <v>#VALUE!</v>
      </c>
      <c r="N812" s="50" t="e">
        <f t="shared" si="189"/>
        <v>#VALUE!</v>
      </c>
      <c r="O812" s="50" t="e">
        <f t="shared" si="190"/>
        <v>#VALUE!</v>
      </c>
      <c r="P812" s="50">
        <f t="shared" si="191"/>
        <v>0</v>
      </c>
      <c r="R812" s="55" t="e">
        <f t="shared" si="192"/>
        <v>#VALUE!</v>
      </c>
      <c r="S812" s="55" t="e">
        <f t="shared" si="193"/>
        <v>#VALUE!</v>
      </c>
      <c r="T812" s="55" t="e">
        <f t="shared" si="198"/>
        <v>#VALUE!</v>
      </c>
      <c r="U812" s="50" t="e">
        <f t="shared" si="194"/>
        <v>#VALUE!</v>
      </c>
      <c r="V812" s="50" t="e">
        <f t="shared" si="195"/>
        <v>#VALUE!</v>
      </c>
      <c r="W812" s="50" t="e">
        <f t="shared" si="196"/>
        <v>#VALUE!</v>
      </c>
    </row>
    <row r="813" spans="2:23" x14ac:dyDescent="0.25">
      <c r="B813" s="50" t="b">
        <f t="shared" si="199"/>
        <v>0</v>
      </c>
      <c r="C813" s="50" t="e">
        <f t="shared" si="186"/>
        <v>#VALUE!</v>
      </c>
      <c r="E813" s="56">
        <v>809</v>
      </c>
      <c r="G813" s="138"/>
      <c r="H813" s="135">
        <v>1</v>
      </c>
      <c r="I813" s="57" t="str">
        <f t="shared" si="197"/>
        <v/>
      </c>
      <c r="J813" s="58" t="e">
        <f t="shared" si="187"/>
        <v>#VALUE!</v>
      </c>
      <c r="K813" s="50" t="e">
        <f t="shared" si="188"/>
        <v>#VALUE!</v>
      </c>
      <c r="L813" s="50" t="e">
        <f t="shared" si="200"/>
        <v>#VALUE!</v>
      </c>
      <c r="M813" s="50" t="e">
        <f t="shared" si="200"/>
        <v>#VALUE!</v>
      </c>
      <c r="N813" s="50" t="e">
        <f t="shared" si="189"/>
        <v>#VALUE!</v>
      </c>
      <c r="O813" s="50" t="e">
        <f t="shared" si="190"/>
        <v>#VALUE!</v>
      </c>
      <c r="P813" s="50">
        <f t="shared" si="191"/>
        <v>0</v>
      </c>
      <c r="R813" s="55" t="e">
        <f t="shared" si="192"/>
        <v>#VALUE!</v>
      </c>
      <c r="S813" s="55" t="e">
        <f t="shared" si="193"/>
        <v>#VALUE!</v>
      </c>
      <c r="T813" s="55" t="e">
        <f t="shared" si="198"/>
        <v>#VALUE!</v>
      </c>
      <c r="U813" s="50" t="e">
        <f t="shared" si="194"/>
        <v>#VALUE!</v>
      </c>
      <c r="V813" s="50" t="e">
        <f t="shared" si="195"/>
        <v>#VALUE!</v>
      </c>
      <c r="W813" s="50" t="e">
        <f t="shared" si="196"/>
        <v>#VALUE!</v>
      </c>
    </row>
    <row r="814" spans="2:23" x14ac:dyDescent="0.25">
      <c r="B814" s="50" t="b">
        <f t="shared" si="199"/>
        <v>0</v>
      </c>
      <c r="C814" s="50" t="e">
        <f t="shared" si="186"/>
        <v>#VALUE!</v>
      </c>
      <c r="E814" s="56">
        <v>810</v>
      </c>
      <c r="G814" s="138"/>
      <c r="H814" s="135">
        <v>1</v>
      </c>
      <c r="I814" s="57" t="str">
        <f t="shared" si="197"/>
        <v/>
      </c>
      <c r="J814" s="58" t="e">
        <f t="shared" si="187"/>
        <v>#VALUE!</v>
      </c>
      <c r="K814" s="50" t="e">
        <f t="shared" si="188"/>
        <v>#VALUE!</v>
      </c>
      <c r="L814" s="50" t="e">
        <f t="shared" si="200"/>
        <v>#VALUE!</v>
      </c>
      <c r="M814" s="50" t="e">
        <f t="shared" si="200"/>
        <v>#VALUE!</v>
      </c>
      <c r="N814" s="50" t="e">
        <f t="shared" si="189"/>
        <v>#VALUE!</v>
      </c>
      <c r="O814" s="50" t="e">
        <f t="shared" si="190"/>
        <v>#VALUE!</v>
      </c>
      <c r="P814" s="50">
        <f t="shared" si="191"/>
        <v>0</v>
      </c>
      <c r="R814" s="55" t="e">
        <f t="shared" si="192"/>
        <v>#VALUE!</v>
      </c>
      <c r="S814" s="55" t="e">
        <f t="shared" si="193"/>
        <v>#VALUE!</v>
      </c>
      <c r="T814" s="55" t="e">
        <f t="shared" si="198"/>
        <v>#VALUE!</v>
      </c>
      <c r="U814" s="50" t="e">
        <f t="shared" si="194"/>
        <v>#VALUE!</v>
      </c>
      <c r="V814" s="50" t="e">
        <f t="shared" si="195"/>
        <v>#VALUE!</v>
      </c>
      <c r="W814" s="50" t="e">
        <f t="shared" si="196"/>
        <v>#VALUE!</v>
      </c>
    </row>
    <row r="815" spans="2:23" x14ac:dyDescent="0.25">
      <c r="B815" s="50" t="b">
        <f t="shared" si="199"/>
        <v>0</v>
      </c>
      <c r="C815" s="50" t="e">
        <f t="shared" si="186"/>
        <v>#VALUE!</v>
      </c>
      <c r="E815" s="56">
        <v>811</v>
      </c>
      <c r="G815" s="138"/>
      <c r="H815" s="135">
        <v>1</v>
      </c>
      <c r="I815" s="57" t="str">
        <f t="shared" si="197"/>
        <v/>
      </c>
      <c r="J815" s="58" t="e">
        <f t="shared" si="187"/>
        <v>#VALUE!</v>
      </c>
      <c r="K815" s="50" t="e">
        <f t="shared" si="188"/>
        <v>#VALUE!</v>
      </c>
      <c r="L815" s="50" t="e">
        <f t="shared" si="200"/>
        <v>#VALUE!</v>
      </c>
      <c r="M815" s="50" t="e">
        <f t="shared" si="200"/>
        <v>#VALUE!</v>
      </c>
      <c r="N815" s="50" t="e">
        <f t="shared" si="189"/>
        <v>#VALUE!</v>
      </c>
      <c r="O815" s="50" t="e">
        <f t="shared" si="190"/>
        <v>#VALUE!</v>
      </c>
      <c r="P815" s="50">
        <f t="shared" si="191"/>
        <v>0</v>
      </c>
      <c r="R815" s="55" t="e">
        <f t="shared" si="192"/>
        <v>#VALUE!</v>
      </c>
      <c r="S815" s="55" t="e">
        <f t="shared" si="193"/>
        <v>#VALUE!</v>
      </c>
      <c r="T815" s="55" t="e">
        <f t="shared" si="198"/>
        <v>#VALUE!</v>
      </c>
      <c r="U815" s="50" t="e">
        <f t="shared" si="194"/>
        <v>#VALUE!</v>
      </c>
      <c r="V815" s="50" t="e">
        <f t="shared" si="195"/>
        <v>#VALUE!</v>
      </c>
      <c r="W815" s="50" t="e">
        <f t="shared" si="196"/>
        <v>#VALUE!</v>
      </c>
    </row>
    <row r="816" spans="2:23" x14ac:dyDescent="0.25">
      <c r="B816" s="50" t="b">
        <f t="shared" si="199"/>
        <v>0</v>
      </c>
      <c r="C816" s="50" t="e">
        <f t="shared" si="186"/>
        <v>#VALUE!</v>
      </c>
      <c r="E816" s="56">
        <v>812</v>
      </c>
      <c r="G816" s="138"/>
      <c r="H816" s="135">
        <v>1</v>
      </c>
      <c r="I816" s="57" t="str">
        <f t="shared" si="197"/>
        <v/>
      </c>
      <c r="J816" s="58" t="e">
        <f t="shared" si="187"/>
        <v>#VALUE!</v>
      </c>
      <c r="K816" s="50" t="e">
        <f t="shared" si="188"/>
        <v>#VALUE!</v>
      </c>
      <c r="L816" s="50" t="e">
        <f t="shared" si="200"/>
        <v>#VALUE!</v>
      </c>
      <c r="M816" s="50" t="e">
        <f t="shared" si="200"/>
        <v>#VALUE!</v>
      </c>
      <c r="N816" s="50" t="e">
        <f t="shared" si="189"/>
        <v>#VALUE!</v>
      </c>
      <c r="O816" s="50" t="e">
        <f t="shared" si="190"/>
        <v>#VALUE!</v>
      </c>
      <c r="P816" s="50">
        <f t="shared" si="191"/>
        <v>0</v>
      </c>
      <c r="R816" s="55" t="e">
        <f t="shared" si="192"/>
        <v>#VALUE!</v>
      </c>
      <c r="S816" s="55" t="e">
        <f t="shared" si="193"/>
        <v>#VALUE!</v>
      </c>
      <c r="T816" s="55" t="e">
        <f t="shared" si="198"/>
        <v>#VALUE!</v>
      </c>
      <c r="U816" s="50" t="e">
        <f t="shared" si="194"/>
        <v>#VALUE!</v>
      </c>
      <c r="V816" s="50" t="e">
        <f t="shared" si="195"/>
        <v>#VALUE!</v>
      </c>
      <c r="W816" s="50" t="e">
        <f t="shared" si="196"/>
        <v>#VALUE!</v>
      </c>
    </row>
    <row r="817" spans="2:23" x14ac:dyDescent="0.25">
      <c r="B817" s="50" t="b">
        <f t="shared" si="199"/>
        <v>0</v>
      </c>
      <c r="C817" s="50" t="e">
        <f t="shared" si="186"/>
        <v>#VALUE!</v>
      </c>
      <c r="E817" s="56">
        <v>813</v>
      </c>
      <c r="G817" s="138"/>
      <c r="H817" s="135">
        <v>1</v>
      </c>
      <c r="I817" s="57" t="str">
        <f t="shared" si="197"/>
        <v/>
      </c>
      <c r="J817" s="58" t="e">
        <f t="shared" si="187"/>
        <v>#VALUE!</v>
      </c>
      <c r="K817" s="50" t="e">
        <f t="shared" si="188"/>
        <v>#VALUE!</v>
      </c>
      <c r="L817" s="50" t="e">
        <f t="shared" si="200"/>
        <v>#VALUE!</v>
      </c>
      <c r="M817" s="50" t="e">
        <f t="shared" si="200"/>
        <v>#VALUE!</v>
      </c>
      <c r="N817" s="50" t="e">
        <f t="shared" si="189"/>
        <v>#VALUE!</v>
      </c>
      <c r="O817" s="50" t="e">
        <f t="shared" si="190"/>
        <v>#VALUE!</v>
      </c>
      <c r="P817" s="50">
        <f t="shared" si="191"/>
        <v>0</v>
      </c>
      <c r="R817" s="55" t="e">
        <f t="shared" si="192"/>
        <v>#VALUE!</v>
      </c>
      <c r="S817" s="55" t="e">
        <f t="shared" si="193"/>
        <v>#VALUE!</v>
      </c>
      <c r="T817" s="55" t="e">
        <f t="shared" si="198"/>
        <v>#VALUE!</v>
      </c>
      <c r="U817" s="50" t="e">
        <f t="shared" si="194"/>
        <v>#VALUE!</v>
      </c>
      <c r="V817" s="50" t="e">
        <f t="shared" si="195"/>
        <v>#VALUE!</v>
      </c>
      <c r="W817" s="50" t="e">
        <f t="shared" si="196"/>
        <v>#VALUE!</v>
      </c>
    </row>
    <row r="818" spans="2:23" x14ac:dyDescent="0.25">
      <c r="B818" s="50" t="b">
        <f t="shared" si="199"/>
        <v>0</v>
      </c>
      <c r="C818" s="50" t="e">
        <f t="shared" si="186"/>
        <v>#VALUE!</v>
      </c>
      <c r="E818" s="56">
        <v>814</v>
      </c>
      <c r="G818" s="138"/>
      <c r="H818" s="135">
        <v>1</v>
      </c>
      <c r="I818" s="57" t="str">
        <f t="shared" si="197"/>
        <v/>
      </c>
      <c r="J818" s="58" t="e">
        <f t="shared" si="187"/>
        <v>#VALUE!</v>
      </c>
      <c r="K818" s="50" t="e">
        <f t="shared" si="188"/>
        <v>#VALUE!</v>
      </c>
      <c r="L818" s="50" t="e">
        <f t="shared" si="200"/>
        <v>#VALUE!</v>
      </c>
      <c r="M818" s="50" t="e">
        <f t="shared" si="200"/>
        <v>#VALUE!</v>
      </c>
      <c r="N818" s="50" t="e">
        <f t="shared" si="189"/>
        <v>#VALUE!</v>
      </c>
      <c r="O818" s="50" t="e">
        <f t="shared" si="190"/>
        <v>#VALUE!</v>
      </c>
      <c r="P818" s="50">
        <f t="shared" si="191"/>
        <v>0</v>
      </c>
      <c r="R818" s="55" t="e">
        <f t="shared" si="192"/>
        <v>#VALUE!</v>
      </c>
      <c r="S818" s="55" t="e">
        <f t="shared" si="193"/>
        <v>#VALUE!</v>
      </c>
      <c r="T818" s="55" t="e">
        <f t="shared" si="198"/>
        <v>#VALUE!</v>
      </c>
      <c r="U818" s="50" t="e">
        <f t="shared" si="194"/>
        <v>#VALUE!</v>
      </c>
      <c r="V818" s="50" t="e">
        <f t="shared" si="195"/>
        <v>#VALUE!</v>
      </c>
      <c r="W818" s="50" t="e">
        <f t="shared" si="196"/>
        <v>#VALUE!</v>
      </c>
    </row>
    <row r="819" spans="2:23" x14ac:dyDescent="0.25">
      <c r="B819" s="50" t="b">
        <f t="shared" si="199"/>
        <v>0</v>
      </c>
      <c r="C819" s="50" t="e">
        <f t="shared" si="186"/>
        <v>#VALUE!</v>
      </c>
      <c r="E819" s="56">
        <v>815</v>
      </c>
      <c r="G819" s="138"/>
      <c r="H819" s="135">
        <v>1</v>
      </c>
      <c r="I819" s="57" t="str">
        <f t="shared" si="197"/>
        <v/>
      </c>
      <c r="J819" s="58" t="e">
        <f t="shared" si="187"/>
        <v>#VALUE!</v>
      </c>
      <c r="K819" s="50" t="e">
        <f t="shared" si="188"/>
        <v>#VALUE!</v>
      </c>
      <c r="L819" s="50" t="e">
        <f t="shared" si="200"/>
        <v>#VALUE!</v>
      </c>
      <c r="M819" s="50" t="e">
        <f t="shared" si="200"/>
        <v>#VALUE!</v>
      </c>
      <c r="N819" s="50" t="e">
        <f t="shared" si="189"/>
        <v>#VALUE!</v>
      </c>
      <c r="O819" s="50" t="e">
        <f t="shared" si="190"/>
        <v>#VALUE!</v>
      </c>
      <c r="P819" s="50">
        <f t="shared" si="191"/>
        <v>0</v>
      </c>
      <c r="R819" s="55" t="e">
        <f t="shared" si="192"/>
        <v>#VALUE!</v>
      </c>
      <c r="S819" s="55" t="e">
        <f t="shared" si="193"/>
        <v>#VALUE!</v>
      </c>
      <c r="T819" s="55" t="e">
        <f t="shared" si="198"/>
        <v>#VALUE!</v>
      </c>
      <c r="U819" s="50" t="e">
        <f t="shared" si="194"/>
        <v>#VALUE!</v>
      </c>
      <c r="V819" s="50" t="e">
        <f t="shared" si="195"/>
        <v>#VALUE!</v>
      </c>
      <c r="W819" s="50" t="e">
        <f t="shared" si="196"/>
        <v>#VALUE!</v>
      </c>
    </row>
    <row r="820" spans="2:23" x14ac:dyDescent="0.25">
      <c r="B820" s="50" t="b">
        <f t="shared" si="199"/>
        <v>0</v>
      </c>
      <c r="C820" s="50" t="e">
        <f t="shared" si="186"/>
        <v>#VALUE!</v>
      </c>
      <c r="E820" s="56">
        <v>816</v>
      </c>
      <c r="G820" s="138"/>
      <c r="H820" s="135">
        <v>1</v>
      </c>
      <c r="I820" s="57" t="str">
        <f t="shared" si="197"/>
        <v/>
      </c>
      <c r="J820" s="58" t="e">
        <f t="shared" si="187"/>
        <v>#VALUE!</v>
      </c>
      <c r="K820" s="50" t="e">
        <f t="shared" si="188"/>
        <v>#VALUE!</v>
      </c>
      <c r="L820" s="50" t="e">
        <f t="shared" si="200"/>
        <v>#VALUE!</v>
      </c>
      <c r="M820" s="50" t="e">
        <f t="shared" si="200"/>
        <v>#VALUE!</v>
      </c>
      <c r="N820" s="50" t="e">
        <f t="shared" si="189"/>
        <v>#VALUE!</v>
      </c>
      <c r="O820" s="50" t="e">
        <f t="shared" si="190"/>
        <v>#VALUE!</v>
      </c>
      <c r="P820" s="50">
        <f t="shared" si="191"/>
        <v>0</v>
      </c>
      <c r="R820" s="55" t="e">
        <f t="shared" si="192"/>
        <v>#VALUE!</v>
      </c>
      <c r="S820" s="55" t="e">
        <f t="shared" si="193"/>
        <v>#VALUE!</v>
      </c>
      <c r="T820" s="55" t="e">
        <f t="shared" si="198"/>
        <v>#VALUE!</v>
      </c>
      <c r="U820" s="50" t="e">
        <f t="shared" si="194"/>
        <v>#VALUE!</v>
      </c>
      <c r="V820" s="50" t="e">
        <f t="shared" si="195"/>
        <v>#VALUE!</v>
      </c>
      <c r="W820" s="50" t="e">
        <f t="shared" si="196"/>
        <v>#VALUE!</v>
      </c>
    </row>
    <row r="821" spans="2:23" x14ac:dyDescent="0.25">
      <c r="B821" s="50" t="b">
        <f t="shared" si="199"/>
        <v>0</v>
      </c>
      <c r="C821" s="50" t="e">
        <f t="shared" si="186"/>
        <v>#VALUE!</v>
      </c>
      <c r="E821" s="56">
        <v>817</v>
      </c>
      <c r="G821" s="138"/>
      <c r="H821" s="135">
        <v>1</v>
      </c>
      <c r="I821" s="57" t="str">
        <f t="shared" si="197"/>
        <v/>
      </c>
      <c r="J821" s="58" t="e">
        <f t="shared" si="187"/>
        <v>#VALUE!</v>
      </c>
      <c r="K821" s="50" t="e">
        <f t="shared" si="188"/>
        <v>#VALUE!</v>
      </c>
      <c r="L821" s="50" t="e">
        <f t="shared" si="200"/>
        <v>#VALUE!</v>
      </c>
      <c r="M821" s="50" t="e">
        <f t="shared" si="200"/>
        <v>#VALUE!</v>
      </c>
      <c r="N821" s="50" t="e">
        <f t="shared" si="189"/>
        <v>#VALUE!</v>
      </c>
      <c r="O821" s="50" t="e">
        <f t="shared" si="190"/>
        <v>#VALUE!</v>
      </c>
      <c r="P821" s="50">
        <f t="shared" si="191"/>
        <v>0</v>
      </c>
      <c r="R821" s="55" t="e">
        <f t="shared" si="192"/>
        <v>#VALUE!</v>
      </c>
      <c r="S821" s="55" t="e">
        <f t="shared" si="193"/>
        <v>#VALUE!</v>
      </c>
      <c r="T821" s="55" t="e">
        <f t="shared" si="198"/>
        <v>#VALUE!</v>
      </c>
      <c r="U821" s="50" t="e">
        <f t="shared" si="194"/>
        <v>#VALUE!</v>
      </c>
      <c r="V821" s="50" t="e">
        <f t="shared" si="195"/>
        <v>#VALUE!</v>
      </c>
      <c r="W821" s="50" t="e">
        <f t="shared" si="196"/>
        <v>#VALUE!</v>
      </c>
    </row>
    <row r="822" spans="2:23" x14ac:dyDescent="0.25">
      <c r="B822" s="50" t="b">
        <f t="shared" si="199"/>
        <v>0</v>
      </c>
      <c r="C822" s="50" t="e">
        <f t="shared" ref="C822:C885" si="201">SUM(U822:W822)</f>
        <v>#VALUE!</v>
      </c>
      <c r="E822" s="56">
        <v>818</v>
      </c>
      <c r="G822" s="138"/>
      <c r="H822" s="135">
        <v>1</v>
      </c>
      <c r="I822" s="57" t="str">
        <f t="shared" si="197"/>
        <v/>
      </c>
      <c r="J822" s="58" t="e">
        <f t="shared" si="187"/>
        <v>#VALUE!</v>
      </c>
      <c r="K822" s="50" t="e">
        <f t="shared" si="188"/>
        <v>#VALUE!</v>
      </c>
      <c r="L822" s="50" t="e">
        <f t="shared" si="200"/>
        <v>#VALUE!</v>
      </c>
      <c r="M822" s="50" t="e">
        <f t="shared" si="200"/>
        <v>#VALUE!</v>
      </c>
      <c r="N822" s="50" t="e">
        <f t="shared" si="189"/>
        <v>#VALUE!</v>
      </c>
      <c r="O822" s="50" t="e">
        <f t="shared" si="190"/>
        <v>#VALUE!</v>
      </c>
      <c r="P822" s="50">
        <f t="shared" si="191"/>
        <v>0</v>
      </c>
      <c r="R822" s="55" t="e">
        <f t="shared" si="192"/>
        <v>#VALUE!</v>
      </c>
      <c r="S822" s="55" t="e">
        <f t="shared" si="193"/>
        <v>#VALUE!</v>
      </c>
      <c r="T822" s="55" t="e">
        <f t="shared" si="198"/>
        <v>#VALUE!</v>
      </c>
      <c r="U822" s="50" t="e">
        <f t="shared" si="194"/>
        <v>#VALUE!</v>
      </c>
      <c r="V822" s="50" t="e">
        <f t="shared" si="195"/>
        <v>#VALUE!</v>
      </c>
      <c r="W822" s="50" t="e">
        <f t="shared" si="196"/>
        <v>#VALUE!</v>
      </c>
    </row>
    <row r="823" spans="2:23" x14ac:dyDescent="0.25">
      <c r="B823" s="50" t="b">
        <f t="shared" si="199"/>
        <v>0</v>
      </c>
      <c r="C823" s="50" t="e">
        <f t="shared" si="201"/>
        <v>#VALUE!</v>
      </c>
      <c r="E823" s="56">
        <v>819</v>
      </c>
      <c r="G823" s="138"/>
      <c r="H823" s="135">
        <v>1</v>
      </c>
      <c r="I823" s="57" t="str">
        <f t="shared" si="197"/>
        <v/>
      </c>
      <c r="J823" s="58" t="e">
        <f t="shared" si="187"/>
        <v>#VALUE!</v>
      </c>
      <c r="K823" s="50" t="e">
        <f t="shared" si="188"/>
        <v>#VALUE!</v>
      </c>
      <c r="L823" s="50" t="e">
        <f t="shared" si="200"/>
        <v>#VALUE!</v>
      </c>
      <c r="M823" s="50" t="e">
        <f t="shared" si="200"/>
        <v>#VALUE!</v>
      </c>
      <c r="N823" s="50" t="e">
        <f t="shared" si="189"/>
        <v>#VALUE!</v>
      </c>
      <c r="O823" s="50" t="e">
        <f t="shared" si="190"/>
        <v>#VALUE!</v>
      </c>
      <c r="P823" s="50">
        <f t="shared" si="191"/>
        <v>0</v>
      </c>
      <c r="R823" s="55" t="e">
        <f t="shared" si="192"/>
        <v>#VALUE!</v>
      </c>
      <c r="S823" s="55" t="e">
        <f t="shared" si="193"/>
        <v>#VALUE!</v>
      </c>
      <c r="T823" s="55" t="e">
        <f t="shared" si="198"/>
        <v>#VALUE!</v>
      </c>
      <c r="U823" s="50" t="e">
        <f t="shared" si="194"/>
        <v>#VALUE!</v>
      </c>
      <c r="V823" s="50" t="e">
        <f t="shared" si="195"/>
        <v>#VALUE!</v>
      </c>
      <c r="W823" s="50" t="e">
        <f t="shared" si="196"/>
        <v>#VALUE!</v>
      </c>
    </row>
    <row r="824" spans="2:23" x14ac:dyDescent="0.25">
      <c r="B824" s="50" t="b">
        <f t="shared" si="199"/>
        <v>0</v>
      </c>
      <c r="C824" s="50" t="e">
        <f t="shared" si="201"/>
        <v>#VALUE!</v>
      </c>
      <c r="E824" s="56">
        <v>820</v>
      </c>
      <c r="G824" s="138"/>
      <c r="H824" s="135">
        <v>1</v>
      </c>
      <c r="I824" s="57" t="str">
        <f t="shared" si="197"/>
        <v/>
      </c>
      <c r="J824" s="58" t="e">
        <f t="shared" si="187"/>
        <v>#VALUE!</v>
      </c>
      <c r="K824" s="50" t="e">
        <f t="shared" si="188"/>
        <v>#VALUE!</v>
      </c>
      <c r="L824" s="50" t="e">
        <f t="shared" si="200"/>
        <v>#VALUE!</v>
      </c>
      <c r="M824" s="50" t="e">
        <f t="shared" si="200"/>
        <v>#VALUE!</v>
      </c>
      <c r="N824" s="50" t="e">
        <f t="shared" si="189"/>
        <v>#VALUE!</v>
      </c>
      <c r="O824" s="50" t="e">
        <f t="shared" si="190"/>
        <v>#VALUE!</v>
      </c>
      <c r="P824" s="50">
        <f t="shared" si="191"/>
        <v>0</v>
      </c>
      <c r="R824" s="55" t="e">
        <f t="shared" si="192"/>
        <v>#VALUE!</v>
      </c>
      <c r="S824" s="55" t="e">
        <f t="shared" si="193"/>
        <v>#VALUE!</v>
      </c>
      <c r="T824" s="55" t="e">
        <f t="shared" si="198"/>
        <v>#VALUE!</v>
      </c>
      <c r="U824" s="50" t="e">
        <f t="shared" si="194"/>
        <v>#VALUE!</v>
      </c>
      <c r="V824" s="50" t="e">
        <f t="shared" si="195"/>
        <v>#VALUE!</v>
      </c>
      <c r="W824" s="50" t="e">
        <f t="shared" si="196"/>
        <v>#VALUE!</v>
      </c>
    </row>
    <row r="825" spans="2:23" x14ac:dyDescent="0.25">
      <c r="B825" s="50" t="b">
        <f t="shared" si="199"/>
        <v>0</v>
      </c>
      <c r="C825" s="50" t="e">
        <f t="shared" si="201"/>
        <v>#VALUE!</v>
      </c>
      <c r="E825" s="56">
        <v>821</v>
      </c>
      <c r="G825" s="138"/>
      <c r="H825" s="135">
        <v>1</v>
      </c>
      <c r="I825" s="57" t="str">
        <f t="shared" si="197"/>
        <v/>
      </c>
      <c r="J825" s="58" t="e">
        <f t="shared" si="187"/>
        <v>#VALUE!</v>
      </c>
      <c r="K825" s="50" t="e">
        <f t="shared" si="188"/>
        <v>#VALUE!</v>
      </c>
      <c r="L825" s="50" t="e">
        <f t="shared" si="200"/>
        <v>#VALUE!</v>
      </c>
      <c r="M825" s="50" t="e">
        <f t="shared" si="200"/>
        <v>#VALUE!</v>
      </c>
      <c r="N825" s="50" t="e">
        <f t="shared" si="189"/>
        <v>#VALUE!</v>
      </c>
      <c r="O825" s="50" t="e">
        <f t="shared" si="190"/>
        <v>#VALUE!</v>
      </c>
      <c r="P825" s="50">
        <f t="shared" si="191"/>
        <v>0</v>
      </c>
      <c r="R825" s="55" t="e">
        <f t="shared" si="192"/>
        <v>#VALUE!</v>
      </c>
      <c r="S825" s="55" t="e">
        <f t="shared" si="193"/>
        <v>#VALUE!</v>
      </c>
      <c r="T825" s="55" t="e">
        <f t="shared" si="198"/>
        <v>#VALUE!</v>
      </c>
      <c r="U825" s="50" t="e">
        <f t="shared" si="194"/>
        <v>#VALUE!</v>
      </c>
      <c r="V825" s="50" t="e">
        <f t="shared" si="195"/>
        <v>#VALUE!</v>
      </c>
      <c r="W825" s="50" t="e">
        <f t="shared" si="196"/>
        <v>#VALUE!</v>
      </c>
    </row>
    <row r="826" spans="2:23" x14ac:dyDescent="0.25">
      <c r="B826" s="50" t="b">
        <f t="shared" si="199"/>
        <v>0</v>
      </c>
      <c r="C826" s="50" t="e">
        <f t="shared" si="201"/>
        <v>#VALUE!</v>
      </c>
      <c r="E826" s="56">
        <v>822</v>
      </c>
      <c r="G826" s="138"/>
      <c r="H826" s="135">
        <v>1</v>
      </c>
      <c r="I826" s="57" t="str">
        <f t="shared" si="197"/>
        <v/>
      </c>
      <c r="J826" s="58" t="e">
        <f t="shared" si="187"/>
        <v>#VALUE!</v>
      </c>
      <c r="K826" s="50" t="e">
        <f t="shared" si="188"/>
        <v>#VALUE!</v>
      </c>
      <c r="L826" s="50" t="e">
        <f t="shared" si="200"/>
        <v>#VALUE!</v>
      </c>
      <c r="M826" s="50" t="e">
        <f t="shared" si="200"/>
        <v>#VALUE!</v>
      </c>
      <c r="N826" s="50" t="e">
        <f t="shared" si="189"/>
        <v>#VALUE!</v>
      </c>
      <c r="O826" s="50" t="e">
        <f t="shared" si="190"/>
        <v>#VALUE!</v>
      </c>
      <c r="P826" s="50">
        <f t="shared" si="191"/>
        <v>0</v>
      </c>
      <c r="R826" s="55" t="e">
        <f t="shared" si="192"/>
        <v>#VALUE!</v>
      </c>
      <c r="S826" s="55" t="e">
        <f t="shared" si="193"/>
        <v>#VALUE!</v>
      </c>
      <c r="T826" s="55" t="e">
        <f t="shared" si="198"/>
        <v>#VALUE!</v>
      </c>
      <c r="U826" s="50" t="e">
        <f t="shared" si="194"/>
        <v>#VALUE!</v>
      </c>
      <c r="V826" s="50" t="e">
        <f t="shared" si="195"/>
        <v>#VALUE!</v>
      </c>
      <c r="W826" s="50" t="e">
        <f t="shared" si="196"/>
        <v>#VALUE!</v>
      </c>
    </row>
    <row r="827" spans="2:23" x14ac:dyDescent="0.25">
      <c r="B827" s="50" t="b">
        <f t="shared" si="199"/>
        <v>0</v>
      </c>
      <c r="C827" s="50" t="e">
        <f t="shared" si="201"/>
        <v>#VALUE!</v>
      </c>
      <c r="E827" s="56">
        <v>823</v>
      </c>
      <c r="G827" s="138"/>
      <c r="H827" s="135">
        <v>1</v>
      </c>
      <c r="I827" s="57" t="str">
        <f t="shared" si="197"/>
        <v/>
      </c>
      <c r="J827" s="58" t="e">
        <f t="shared" si="187"/>
        <v>#VALUE!</v>
      </c>
      <c r="K827" s="50" t="e">
        <f t="shared" si="188"/>
        <v>#VALUE!</v>
      </c>
      <c r="L827" s="50" t="e">
        <f t="shared" si="200"/>
        <v>#VALUE!</v>
      </c>
      <c r="M827" s="50" t="e">
        <f t="shared" si="200"/>
        <v>#VALUE!</v>
      </c>
      <c r="N827" s="50" t="e">
        <f t="shared" si="189"/>
        <v>#VALUE!</v>
      </c>
      <c r="O827" s="50" t="e">
        <f t="shared" si="190"/>
        <v>#VALUE!</v>
      </c>
      <c r="P827" s="50">
        <f t="shared" si="191"/>
        <v>0</v>
      </c>
      <c r="R827" s="55" t="e">
        <f t="shared" si="192"/>
        <v>#VALUE!</v>
      </c>
      <c r="S827" s="55" t="e">
        <f t="shared" si="193"/>
        <v>#VALUE!</v>
      </c>
      <c r="T827" s="55" t="e">
        <f t="shared" si="198"/>
        <v>#VALUE!</v>
      </c>
      <c r="U827" s="50" t="e">
        <f t="shared" si="194"/>
        <v>#VALUE!</v>
      </c>
      <c r="V827" s="50" t="e">
        <f t="shared" si="195"/>
        <v>#VALUE!</v>
      </c>
      <c r="W827" s="50" t="e">
        <f t="shared" si="196"/>
        <v>#VALUE!</v>
      </c>
    </row>
    <row r="828" spans="2:23" x14ac:dyDescent="0.25">
      <c r="B828" s="50" t="b">
        <f t="shared" si="199"/>
        <v>0</v>
      </c>
      <c r="C828" s="50" t="e">
        <f t="shared" si="201"/>
        <v>#VALUE!</v>
      </c>
      <c r="E828" s="56">
        <v>824</v>
      </c>
      <c r="G828" s="138"/>
      <c r="H828" s="135">
        <v>1</v>
      </c>
      <c r="I828" s="57" t="str">
        <f t="shared" si="197"/>
        <v/>
      </c>
      <c r="J828" s="58" t="e">
        <f t="shared" si="187"/>
        <v>#VALUE!</v>
      </c>
      <c r="K828" s="50" t="e">
        <f t="shared" si="188"/>
        <v>#VALUE!</v>
      </c>
      <c r="L828" s="50" t="e">
        <f t="shared" si="200"/>
        <v>#VALUE!</v>
      </c>
      <c r="M828" s="50" t="e">
        <f t="shared" si="200"/>
        <v>#VALUE!</v>
      </c>
      <c r="N828" s="50" t="e">
        <f t="shared" si="189"/>
        <v>#VALUE!</v>
      </c>
      <c r="O828" s="50" t="e">
        <f t="shared" si="190"/>
        <v>#VALUE!</v>
      </c>
      <c r="P828" s="50">
        <f t="shared" si="191"/>
        <v>0</v>
      </c>
      <c r="R828" s="55" t="e">
        <f t="shared" si="192"/>
        <v>#VALUE!</v>
      </c>
      <c r="S828" s="55" t="e">
        <f t="shared" si="193"/>
        <v>#VALUE!</v>
      </c>
      <c r="T828" s="55" t="e">
        <f t="shared" si="198"/>
        <v>#VALUE!</v>
      </c>
      <c r="U828" s="50" t="e">
        <f t="shared" si="194"/>
        <v>#VALUE!</v>
      </c>
      <c r="V828" s="50" t="e">
        <f t="shared" si="195"/>
        <v>#VALUE!</v>
      </c>
      <c r="W828" s="50" t="e">
        <f t="shared" si="196"/>
        <v>#VALUE!</v>
      </c>
    </row>
    <row r="829" spans="2:23" x14ac:dyDescent="0.25">
      <c r="B829" s="50" t="b">
        <f t="shared" si="199"/>
        <v>0</v>
      </c>
      <c r="C829" s="50" t="e">
        <f t="shared" si="201"/>
        <v>#VALUE!</v>
      </c>
      <c r="E829" s="56">
        <v>825</v>
      </c>
      <c r="G829" s="138"/>
      <c r="H829" s="135">
        <v>1</v>
      </c>
      <c r="I829" s="57" t="str">
        <f t="shared" si="197"/>
        <v/>
      </c>
      <c r="J829" s="58" t="e">
        <f t="shared" si="187"/>
        <v>#VALUE!</v>
      </c>
      <c r="K829" s="50" t="e">
        <f t="shared" si="188"/>
        <v>#VALUE!</v>
      </c>
      <c r="L829" s="50" t="e">
        <f t="shared" si="200"/>
        <v>#VALUE!</v>
      </c>
      <c r="M829" s="50" t="e">
        <f t="shared" si="200"/>
        <v>#VALUE!</v>
      </c>
      <c r="N829" s="50" t="e">
        <f t="shared" si="189"/>
        <v>#VALUE!</v>
      </c>
      <c r="O829" s="50" t="e">
        <f t="shared" si="190"/>
        <v>#VALUE!</v>
      </c>
      <c r="P829" s="50">
        <f t="shared" si="191"/>
        <v>0</v>
      </c>
      <c r="R829" s="55" t="e">
        <f t="shared" si="192"/>
        <v>#VALUE!</v>
      </c>
      <c r="S829" s="55" t="e">
        <f t="shared" si="193"/>
        <v>#VALUE!</v>
      </c>
      <c r="T829" s="55" t="e">
        <f t="shared" si="198"/>
        <v>#VALUE!</v>
      </c>
      <c r="U829" s="50" t="e">
        <f t="shared" si="194"/>
        <v>#VALUE!</v>
      </c>
      <c r="V829" s="50" t="e">
        <f t="shared" si="195"/>
        <v>#VALUE!</v>
      </c>
      <c r="W829" s="50" t="e">
        <f t="shared" si="196"/>
        <v>#VALUE!</v>
      </c>
    </row>
    <row r="830" spans="2:23" x14ac:dyDescent="0.25">
      <c r="B830" s="50" t="b">
        <f t="shared" si="199"/>
        <v>0</v>
      </c>
      <c r="C830" s="50" t="e">
        <f t="shared" si="201"/>
        <v>#VALUE!</v>
      </c>
      <c r="E830" s="56">
        <v>826</v>
      </c>
      <c r="G830" s="138"/>
      <c r="H830" s="135">
        <v>1</v>
      </c>
      <c r="I830" s="57" t="str">
        <f t="shared" si="197"/>
        <v/>
      </c>
      <c r="J830" s="58" t="e">
        <f t="shared" si="187"/>
        <v>#VALUE!</v>
      </c>
      <c r="K830" s="50" t="e">
        <f t="shared" si="188"/>
        <v>#VALUE!</v>
      </c>
      <c r="L830" s="50" t="e">
        <f t="shared" si="200"/>
        <v>#VALUE!</v>
      </c>
      <c r="M830" s="50" t="e">
        <f t="shared" si="200"/>
        <v>#VALUE!</v>
      </c>
      <c r="N830" s="50" t="e">
        <f t="shared" si="189"/>
        <v>#VALUE!</v>
      </c>
      <c r="O830" s="50" t="e">
        <f t="shared" si="190"/>
        <v>#VALUE!</v>
      </c>
      <c r="P830" s="50">
        <f t="shared" si="191"/>
        <v>0</v>
      </c>
      <c r="R830" s="55" t="e">
        <f t="shared" si="192"/>
        <v>#VALUE!</v>
      </c>
      <c r="S830" s="55" t="e">
        <f t="shared" si="193"/>
        <v>#VALUE!</v>
      </c>
      <c r="T830" s="55" t="e">
        <f t="shared" si="198"/>
        <v>#VALUE!</v>
      </c>
      <c r="U830" s="50" t="e">
        <f t="shared" si="194"/>
        <v>#VALUE!</v>
      </c>
      <c r="V830" s="50" t="e">
        <f t="shared" si="195"/>
        <v>#VALUE!</v>
      </c>
      <c r="W830" s="50" t="e">
        <f t="shared" si="196"/>
        <v>#VALUE!</v>
      </c>
    </row>
    <row r="831" spans="2:23" x14ac:dyDescent="0.25">
      <c r="B831" s="50" t="b">
        <f t="shared" si="199"/>
        <v>0</v>
      </c>
      <c r="C831" s="50" t="e">
        <f t="shared" si="201"/>
        <v>#VALUE!</v>
      </c>
      <c r="E831" s="56">
        <v>827</v>
      </c>
      <c r="G831" s="138"/>
      <c r="H831" s="135">
        <v>1</v>
      </c>
      <c r="I831" s="57" t="str">
        <f t="shared" si="197"/>
        <v/>
      </c>
      <c r="J831" s="58" t="e">
        <f t="shared" si="187"/>
        <v>#VALUE!</v>
      </c>
      <c r="K831" s="50" t="e">
        <f t="shared" si="188"/>
        <v>#VALUE!</v>
      </c>
      <c r="L831" s="50" t="e">
        <f t="shared" si="200"/>
        <v>#VALUE!</v>
      </c>
      <c r="M831" s="50" t="e">
        <f t="shared" si="200"/>
        <v>#VALUE!</v>
      </c>
      <c r="N831" s="50" t="e">
        <f t="shared" si="189"/>
        <v>#VALUE!</v>
      </c>
      <c r="O831" s="50" t="e">
        <f t="shared" si="190"/>
        <v>#VALUE!</v>
      </c>
      <c r="P831" s="50">
        <f t="shared" si="191"/>
        <v>0</v>
      </c>
      <c r="R831" s="55" t="e">
        <f t="shared" si="192"/>
        <v>#VALUE!</v>
      </c>
      <c r="S831" s="55" t="e">
        <f t="shared" si="193"/>
        <v>#VALUE!</v>
      </c>
      <c r="T831" s="55" t="e">
        <f t="shared" si="198"/>
        <v>#VALUE!</v>
      </c>
      <c r="U831" s="50" t="e">
        <f t="shared" si="194"/>
        <v>#VALUE!</v>
      </c>
      <c r="V831" s="50" t="e">
        <f t="shared" si="195"/>
        <v>#VALUE!</v>
      </c>
      <c r="W831" s="50" t="e">
        <f t="shared" si="196"/>
        <v>#VALUE!</v>
      </c>
    </row>
    <row r="832" spans="2:23" x14ac:dyDescent="0.25">
      <c r="B832" s="50" t="b">
        <f t="shared" si="199"/>
        <v>0</v>
      </c>
      <c r="C832" s="50" t="e">
        <f t="shared" si="201"/>
        <v>#VALUE!</v>
      </c>
      <c r="E832" s="56">
        <v>828</v>
      </c>
      <c r="G832" s="138"/>
      <c r="H832" s="135">
        <v>1</v>
      </c>
      <c r="I832" s="57" t="str">
        <f t="shared" si="197"/>
        <v/>
      </c>
      <c r="J832" s="58" t="e">
        <f t="shared" si="187"/>
        <v>#VALUE!</v>
      </c>
      <c r="K832" s="50" t="e">
        <f t="shared" si="188"/>
        <v>#VALUE!</v>
      </c>
      <c r="L832" s="50" t="e">
        <f t="shared" si="200"/>
        <v>#VALUE!</v>
      </c>
      <c r="M832" s="50" t="e">
        <f t="shared" si="200"/>
        <v>#VALUE!</v>
      </c>
      <c r="N832" s="50" t="e">
        <f t="shared" si="189"/>
        <v>#VALUE!</v>
      </c>
      <c r="O832" s="50" t="e">
        <f t="shared" si="190"/>
        <v>#VALUE!</v>
      </c>
      <c r="P832" s="50">
        <f t="shared" si="191"/>
        <v>0</v>
      </c>
      <c r="R832" s="55" t="e">
        <f t="shared" si="192"/>
        <v>#VALUE!</v>
      </c>
      <c r="S832" s="55" t="e">
        <f t="shared" si="193"/>
        <v>#VALUE!</v>
      </c>
      <c r="T832" s="55" t="e">
        <f t="shared" si="198"/>
        <v>#VALUE!</v>
      </c>
      <c r="U832" s="50" t="e">
        <f t="shared" si="194"/>
        <v>#VALUE!</v>
      </c>
      <c r="V832" s="50" t="e">
        <f t="shared" si="195"/>
        <v>#VALUE!</v>
      </c>
      <c r="W832" s="50" t="e">
        <f t="shared" si="196"/>
        <v>#VALUE!</v>
      </c>
    </row>
    <row r="833" spans="2:23" x14ac:dyDescent="0.25">
      <c r="B833" s="50" t="b">
        <f t="shared" si="199"/>
        <v>0</v>
      </c>
      <c r="C833" s="50" t="e">
        <f t="shared" si="201"/>
        <v>#VALUE!</v>
      </c>
      <c r="E833" s="56">
        <v>829</v>
      </c>
      <c r="G833" s="138"/>
      <c r="H833" s="135">
        <v>1</v>
      </c>
      <c r="I833" s="57" t="str">
        <f t="shared" si="197"/>
        <v/>
      </c>
      <c r="J833" s="58" t="e">
        <f t="shared" si="187"/>
        <v>#VALUE!</v>
      </c>
      <c r="K833" s="50" t="e">
        <f t="shared" si="188"/>
        <v>#VALUE!</v>
      </c>
      <c r="L833" s="50" t="e">
        <f t="shared" si="200"/>
        <v>#VALUE!</v>
      </c>
      <c r="M833" s="50" t="e">
        <f t="shared" si="200"/>
        <v>#VALUE!</v>
      </c>
      <c r="N833" s="50" t="e">
        <f t="shared" si="189"/>
        <v>#VALUE!</v>
      </c>
      <c r="O833" s="50" t="e">
        <f t="shared" si="190"/>
        <v>#VALUE!</v>
      </c>
      <c r="P833" s="50">
        <f t="shared" si="191"/>
        <v>0</v>
      </c>
      <c r="R833" s="55" t="e">
        <f t="shared" si="192"/>
        <v>#VALUE!</v>
      </c>
      <c r="S833" s="55" t="e">
        <f t="shared" si="193"/>
        <v>#VALUE!</v>
      </c>
      <c r="T833" s="55" t="e">
        <f t="shared" si="198"/>
        <v>#VALUE!</v>
      </c>
      <c r="U833" s="50" t="e">
        <f t="shared" si="194"/>
        <v>#VALUE!</v>
      </c>
      <c r="V833" s="50" t="e">
        <f t="shared" si="195"/>
        <v>#VALUE!</v>
      </c>
      <c r="W833" s="50" t="e">
        <f t="shared" si="196"/>
        <v>#VALUE!</v>
      </c>
    </row>
    <row r="834" spans="2:23" x14ac:dyDescent="0.25">
      <c r="B834" s="50" t="b">
        <f t="shared" si="199"/>
        <v>0</v>
      </c>
      <c r="C834" s="50" t="e">
        <f t="shared" si="201"/>
        <v>#VALUE!</v>
      </c>
      <c r="E834" s="56">
        <v>830</v>
      </c>
      <c r="G834" s="138"/>
      <c r="H834" s="135">
        <v>1</v>
      </c>
      <c r="I834" s="57" t="str">
        <f t="shared" si="197"/>
        <v/>
      </c>
      <c r="J834" s="58" t="e">
        <f t="shared" si="187"/>
        <v>#VALUE!</v>
      </c>
      <c r="K834" s="50" t="e">
        <f t="shared" si="188"/>
        <v>#VALUE!</v>
      </c>
      <c r="L834" s="50" t="e">
        <f t="shared" si="200"/>
        <v>#VALUE!</v>
      </c>
      <c r="M834" s="50" t="e">
        <f t="shared" si="200"/>
        <v>#VALUE!</v>
      </c>
      <c r="N834" s="50" t="e">
        <f t="shared" si="189"/>
        <v>#VALUE!</v>
      </c>
      <c r="O834" s="50" t="e">
        <f t="shared" si="190"/>
        <v>#VALUE!</v>
      </c>
      <c r="P834" s="50">
        <f t="shared" si="191"/>
        <v>0</v>
      </c>
      <c r="R834" s="55" t="e">
        <f t="shared" si="192"/>
        <v>#VALUE!</v>
      </c>
      <c r="S834" s="55" t="e">
        <f t="shared" si="193"/>
        <v>#VALUE!</v>
      </c>
      <c r="T834" s="55" t="e">
        <f t="shared" si="198"/>
        <v>#VALUE!</v>
      </c>
      <c r="U834" s="50" t="e">
        <f t="shared" si="194"/>
        <v>#VALUE!</v>
      </c>
      <c r="V834" s="50" t="e">
        <f t="shared" si="195"/>
        <v>#VALUE!</v>
      </c>
      <c r="W834" s="50" t="e">
        <f t="shared" si="196"/>
        <v>#VALUE!</v>
      </c>
    </row>
    <row r="835" spans="2:23" x14ac:dyDescent="0.25">
      <c r="B835" s="50" t="b">
        <f t="shared" si="199"/>
        <v>0</v>
      </c>
      <c r="C835" s="50" t="e">
        <f t="shared" si="201"/>
        <v>#VALUE!</v>
      </c>
      <c r="E835" s="56">
        <v>831</v>
      </c>
      <c r="G835" s="138"/>
      <c r="H835" s="135">
        <v>1</v>
      </c>
      <c r="I835" s="57" t="str">
        <f t="shared" si="197"/>
        <v/>
      </c>
      <c r="J835" s="58" t="e">
        <f t="shared" si="187"/>
        <v>#VALUE!</v>
      </c>
      <c r="K835" s="50" t="e">
        <f t="shared" si="188"/>
        <v>#VALUE!</v>
      </c>
      <c r="L835" s="50" t="e">
        <f t="shared" si="200"/>
        <v>#VALUE!</v>
      </c>
      <c r="M835" s="50" t="e">
        <f t="shared" si="200"/>
        <v>#VALUE!</v>
      </c>
      <c r="N835" s="50" t="e">
        <f t="shared" si="189"/>
        <v>#VALUE!</v>
      </c>
      <c r="O835" s="50" t="e">
        <f t="shared" si="190"/>
        <v>#VALUE!</v>
      </c>
      <c r="P835" s="50">
        <f t="shared" si="191"/>
        <v>0</v>
      </c>
      <c r="R835" s="55" t="e">
        <f t="shared" si="192"/>
        <v>#VALUE!</v>
      </c>
      <c r="S835" s="55" t="e">
        <f t="shared" si="193"/>
        <v>#VALUE!</v>
      </c>
      <c r="T835" s="55" t="e">
        <f t="shared" si="198"/>
        <v>#VALUE!</v>
      </c>
      <c r="U835" s="50" t="e">
        <f t="shared" si="194"/>
        <v>#VALUE!</v>
      </c>
      <c r="V835" s="50" t="e">
        <f t="shared" si="195"/>
        <v>#VALUE!</v>
      </c>
      <c r="W835" s="50" t="e">
        <f t="shared" si="196"/>
        <v>#VALUE!</v>
      </c>
    </row>
    <row r="836" spans="2:23" x14ac:dyDescent="0.25">
      <c r="B836" s="50" t="b">
        <f t="shared" si="199"/>
        <v>0</v>
      </c>
      <c r="C836" s="50" t="e">
        <f t="shared" si="201"/>
        <v>#VALUE!</v>
      </c>
      <c r="E836" s="56">
        <v>832</v>
      </c>
      <c r="G836" s="138"/>
      <c r="H836" s="135">
        <v>1</v>
      </c>
      <c r="I836" s="57" t="str">
        <f t="shared" si="197"/>
        <v/>
      </c>
      <c r="J836" s="58" t="e">
        <f t="shared" si="187"/>
        <v>#VALUE!</v>
      </c>
      <c r="K836" s="50" t="e">
        <f t="shared" si="188"/>
        <v>#VALUE!</v>
      </c>
      <c r="L836" s="50" t="e">
        <f t="shared" si="200"/>
        <v>#VALUE!</v>
      </c>
      <c r="M836" s="50" t="e">
        <f t="shared" si="200"/>
        <v>#VALUE!</v>
      </c>
      <c r="N836" s="50" t="e">
        <f t="shared" si="189"/>
        <v>#VALUE!</v>
      </c>
      <c r="O836" s="50" t="e">
        <f t="shared" si="190"/>
        <v>#VALUE!</v>
      </c>
      <c r="P836" s="50">
        <f t="shared" si="191"/>
        <v>0</v>
      </c>
      <c r="R836" s="55" t="e">
        <f t="shared" si="192"/>
        <v>#VALUE!</v>
      </c>
      <c r="S836" s="55" t="e">
        <f t="shared" si="193"/>
        <v>#VALUE!</v>
      </c>
      <c r="T836" s="55" t="e">
        <f t="shared" si="198"/>
        <v>#VALUE!</v>
      </c>
      <c r="U836" s="50" t="e">
        <f t="shared" si="194"/>
        <v>#VALUE!</v>
      </c>
      <c r="V836" s="50" t="e">
        <f t="shared" si="195"/>
        <v>#VALUE!</v>
      </c>
      <c r="W836" s="50" t="e">
        <f t="shared" si="196"/>
        <v>#VALUE!</v>
      </c>
    </row>
    <row r="837" spans="2:23" x14ac:dyDescent="0.25">
      <c r="B837" s="50" t="b">
        <f t="shared" si="199"/>
        <v>0</v>
      </c>
      <c r="C837" s="50" t="e">
        <f t="shared" si="201"/>
        <v>#VALUE!</v>
      </c>
      <c r="E837" s="56">
        <v>833</v>
      </c>
      <c r="G837" s="138"/>
      <c r="H837" s="135">
        <v>1</v>
      </c>
      <c r="I837" s="57" t="str">
        <f t="shared" si="197"/>
        <v/>
      </c>
      <c r="J837" s="58" t="e">
        <f t="shared" ref="J837:J900" si="202">RIGHT(I837,K837)</f>
        <v>#VALUE!</v>
      </c>
      <c r="K837" s="50" t="e">
        <f t="shared" ref="K837:K900" si="203">P837-N837</f>
        <v>#VALUE!</v>
      </c>
      <c r="L837" s="50" t="e">
        <f t="shared" si="200"/>
        <v>#VALUE!</v>
      </c>
      <c r="M837" s="50" t="e">
        <f t="shared" si="200"/>
        <v>#VALUE!</v>
      </c>
      <c r="N837" s="50" t="e">
        <f t="shared" ref="N837:N900" si="204">SEARCH("-",I837,2)</f>
        <v>#VALUE!</v>
      </c>
      <c r="O837" s="50" t="e">
        <f t="shared" ref="O837:O900" si="205">SEARCH("-",I837,N837+1)</f>
        <v>#VALUE!</v>
      </c>
      <c r="P837" s="50">
        <f t="shared" ref="P837:P900" si="206">LEN(I837)</f>
        <v>0</v>
      </c>
      <c r="R837" s="55" t="e">
        <f t="shared" ref="R837:R900" si="207">LEFT(I837,N837-1)</f>
        <v>#VALUE!</v>
      </c>
      <c r="S837" s="55" t="e">
        <f t="shared" ref="S837:S900" si="208">LEFT(J837,L837-1)</f>
        <v>#VALUE!</v>
      </c>
      <c r="T837" s="55" t="e">
        <f t="shared" si="198"/>
        <v>#VALUE!</v>
      </c>
      <c r="U837" s="50" t="e">
        <f t="shared" ref="U837:U900" si="209">R837*1*$H837</f>
        <v>#VALUE!</v>
      </c>
      <c r="V837" s="50" t="e">
        <f t="shared" ref="V837:V900" si="210">S837*1*$H837</f>
        <v>#VALUE!</v>
      </c>
      <c r="W837" s="50" t="e">
        <f t="shared" ref="W837:W900" si="211">T837*1*$H837</f>
        <v>#VALUE!</v>
      </c>
    </row>
    <row r="838" spans="2:23" x14ac:dyDescent="0.25">
      <c r="B838" s="50" t="b">
        <f t="shared" si="199"/>
        <v>0</v>
      </c>
      <c r="C838" s="50" t="e">
        <f t="shared" si="201"/>
        <v>#VALUE!</v>
      </c>
      <c r="E838" s="56">
        <v>834</v>
      </c>
      <c r="G838" s="138"/>
      <c r="H838" s="135">
        <v>1</v>
      </c>
      <c r="I838" s="57" t="str">
        <f t="shared" ref="I838:I901" si="212">IF(G838="","",G838&amp;""&amp;"-0")</f>
        <v/>
      </c>
      <c r="J838" s="58" t="e">
        <f t="shared" si="202"/>
        <v>#VALUE!</v>
      </c>
      <c r="K838" s="50" t="e">
        <f t="shared" si="203"/>
        <v>#VALUE!</v>
      </c>
      <c r="L838" s="50" t="e">
        <f t="shared" si="200"/>
        <v>#VALUE!</v>
      </c>
      <c r="M838" s="50" t="e">
        <f t="shared" si="200"/>
        <v>#VALUE!</v>
      </c>
      <c r="N838" s="50" t="e">
        <f t="shared" si="204"/>
        <v>#VALUE!</v>
      </c>
      <c r="O838" s="50" t="e">
        <f t="shared" si="205"/>
        <v>#VALUE!</v>
      </c>
      <c r="P838" s="50">
        <f t="shared" si="206"/>
        <v>0</v>
      </c>
      <c r="R838" s="55" t="e">
        <f t="shared" si="207"/>
        <v>#VALUE!</v>
      </c>
      <c r="S838" s="55" t="e">
        <f t="shared" si="208"/>
        <v>#VALUE!</v>
      </c>
      <c r="T838" s="55" t="e">
        <f t="shared" ref="T838:T901" si="213">RIGHT(I838,M838)</f>
        <v>#VALUE!</v>
      </c>
      <c r="U838" s="50" t="e">
        <f t="shared" si="209"/>
        <v>#VALUE!</v>
      </c>
      <c r="V838" s="50" t="e">
        <f t="shared" si="210"/>
        <v>#VALUE!</v>
      </c>
      <c r="W838" s="50" t="e">
        <f t="shared" si="211"/>
        <v>#VALUE!</v>
      </c>
    </row>
    <row r="839" spans="2:23" x14ac:dyDescent="0.25">
      <c r="B839" s="50" t="b">
        <f t="shared" si="199"/>
        <v>0</v>
      </c>
      <c r="C839" s="50" t="e">
        <f t="shared" si="201"/>
        <v>#VALUE!</v>
      </c>
      <c r="E839" s="56">
        <v>835</v>
      </c>
      <c r="G839" s="138"/>
      <c r="H839" s="135">
        <v>1</v>
      </c>
      <c r="I839" s="57" t="str">
        <f t="shared" si="212"/>
        <v/>
      </c>
      <c r="J839" s="58" t="e">
        <f t="shared" si="202"/>
        <v>#VALUE!</v>
      </c>
      <c r="K839" s="50" t="e">
        <f t="shared" si="203"/>
        <v>#VALUE!</v>
      </c>
      <c r="L839" s="50" t="e">
        <f t="shared" si="200"/>
        <v>#VALUE!</v>
      </c>
      <c r="M839" s="50" t="e">
        <f t="shared" si="200"/>
        <v>#VALUE!</v>
      </c>
      <c r="N839" s="50" t="e">
        <f t="shared" si="204"/>
        <v>#VALUE!</v>
      </c>
      <c r="O839" s="50" t="e">
        <f t="shared" si="205"/>
        <v>#VALUE!</v>
      </c>
      <c r="P839" s="50">
        <f t="shared" si="206"/>
        <v>0</v>
      </c>
      <c r="R839" s="55" t="e">
        <f t="shared" si="207"/>
        <v>#VALUE!</v>
      </c>
      <c r="S839" s="55" t="e">
        <f t="shared" si="208"/>
        <v>#VALUE!</v>
      </c>
      <c r="T839" s="55" t="e">
        <f t="shared" si="213"/>
        <v>#VALUE!</v>
      </c>
      <c r="U839" s="50" t="e">
        <f t="shared" si="209"/>
        <v>#VALUE!</v>
      </c>
      <c r="V839" s="50" t="e">
        <f t="shared" si="210"/>
        <v>#VALUE!</v>
      </c>
      <c r="W839" s="50" t="e">
        <f t="shared" si="211"/>
        <v>#VALUE!</v>
      </c>
    </row>
    <row r="840" spans="2:23" x14ac:dyDescent="0.25">
      <c r="B840" s="50" t="b">
        <f t="shared" si="199"/>
        <v>0</v>
      </c>
      <c r="C840" s="50" t="e">
        <f t="shared" si="201"/>
        <v>#VALUE!</v>
      </c>
      <c r="E840" s="56">
        <v>836</v>
      </c>
      <c r="G840" s="138"/>
      <c r="H840" s="135">
        <v>1</v>
      </c>
      <c r="I840" s="57" t="str">
        <f t="shared" si="212"/>
        <v/>
      </c>
      <c r="J840" s="58" t="e">
        <f t="shared" si="202"/>
        <v>#VALUE!</v>
      </c>
      <c r="K840" s="50" t="e">
        <f t="shared" si="203"/>
        <v>#VALUE!</v>
      </c>
      <c r="L840" s="50" t="e">
        <f t="shared" si="200"/>
        <v>#VALUE!</v>
      </c>
      <c r="M840" s="50" t="e">
        <f t="shared" si="200"/>
        <v>#VALUE!</v>
      </c>
      <c r="N840" s="50" t="e">
        <f t="shared" si="204"/>
        <v>#VALUE!</v>
      </c>
      <c r="O840" s="50" t="e">
        <f t="shared" si="205"/>
        <v>#VALUE!</v>
      </c>
      <c r="P840" s="50">
        <f t="shared" si="206"/>
        <v>0</v>
      </c>
      <c r="R840" s="55" t="e">
        <f t="shared" si="207"/>
        <v>#VALUE!</v>
      </c>
      <c r="S840" s="55" t="e">
        <f t="shared" si="208"/>
        <v>#VALUE!</v>
      </c>
      <c r="T840" s="55" t="e">
        <f t="shared" si="213"/>
        <v>#VALUE!</v>
      </c>
      <c r="U840" s="50" t="e">
        <f t="shared" si="209"/>
        <v>#VALUE!</v>
      </c>
      <c r="V840" s="50" t="e">
        <f t="shared" si="210"/>
        <v>#VALUE!</v>
      </c>
      <c r="W840" s="50" t="e">
        <f t="shared" si="211"/>
        <v>#VALUE!</v>
      </c>
    </row>
    <row r="841" spans="2:23" x14ac:dyDescent="0.25">
      <c r="B841" s="50" t="b">
        <f t="shared" si="199"/>
        <v>0</v>
      </c>
      <c r="C841" s="50" t="e">
        <f t="shared" si="201"/>
        <v>#VALUE!</v>
      </c>
      <c r="E841" s="56">
        <v>837</v>
      </c>
      <c r="G841" s="138"/>
      <c r="H841" s="135">
        <v>1</v>
      </c>
      <c r="I841" s="57" t="str">
        <f t="shared" si="212"/>
        <v/>
      </c>
      <c r="J841" s="58" t="e">
        <f t="shared" si="202"/>
        <v>#VALUE!</v>
      </c>
      <c r="K841" s="50" t="e">
        <f t="shared" si="203"/>
        <v>#VALUE!</v>
      </c>
      <c r="L841" s="50" t="e">
        <f t="shared" si="200"/>
        <v>#VALUE!</v>
      </c>
      <c r="M841" s="50" t="e">
        <f t="shared" si="200"/>
        <v>#VALUE!</v>
      </c>
      <c r="N841" s="50" t="e">
        <f t="shared" si="204"/>
        <v>#VALUE!</v>
      </c>
      <c r="O841" s="50" t="e">
        <f t="shared" si="205"/>
        <v>#VALUE!</v>
      </c>
      <c r="P841" s="50">
        <f t="shared" si="206"/>
        <v>0</v>
      </c>
      <c r="R841" s="55" t="e">
        <f t="shared" si="207"/>
        <v>#VALUE!</v>
      </c>
      <c r="S841" s="55" t="e">
        <f t="shared" si="208"/>
        <v>#VALUE!</v>
      </c>
      <c r="T841" s="55" t="e">
        <f t="shared" si="213"/>
        <v>#VALUE!</v>
      </c>
      <c r="U841" s="50" t="e">
        <f t="shared" si="209"/>
        <v>#VALUE!</v>
      </c>
      <c r="V841" s="50" t="e">
        <f t="shared" si="210"/>
        <v>#VALUE!</v>
      </c>
      <c r="W841" s="50" t="e">
        <f t="shared" si="211"/>
        <v>#VALUE!</v>
      </c>
    </row>
    <row r="842" spans="2:23" x14ac:dyDescent="0.25">
      <c r="B842" s="50" t="b">
        <f t="shared" si="199"/>
        <v>0</v>
      </c>
      <c r="C842" s="50" t="e">
        <f t="shared" si="201"/>
        <v>#VALUE!</v>
      </c>
      <c r="E842" s="56">
        <v>838</v>
      </c>
      <c r="G842" s="138"/>
      <c r="H842" s="135">
        <v>1</v>
      </c>
      <c r="I842" s="57" t="str">
        <f t="shared" si="212"/>
        <v/>
      </c>
      <c r="J842" s="58" t="e">
        <f t="shared" si="202"/>
        <v>#VALUE!</v>
      </c>
      <c r="K842" s="50" t="e">
        <f t="shared" si="203"/>
        <v>#VALUE!</v>
      </c>
      <c r="L842" s="50" t="e">
        <f t="shared" si="200"/>
        <v>#VALUE!</v>
      </c>
      <c r="M842" s="50" t="e">
        <f t="shared" si="200"/>
        <v>#VALUE!</v>
      </c>
      <c r="N842" s="50" t="e">
        <f t="shared" si="204"/>
        <v>#VALUE!</v>
      </c>
      <c r="O842" s="50" t="e">
        <f t="shared" si="205"/>
        <v>#VALUE!</v>
      </c>
      <c r="P842" s="50">
        <f t="shared" si="206"/>
        <v>0</v>
      </c>
      <c r="R842" s="55" t="e">
        <f t="shared" si="207"/>
        <v>#VALUE!</v>
      </c>
      <c r="S842" s="55" t="e">
        <f t="shared" si="208"/>
        <v>#VALUE!</v>
      </c>
      <c r="T842" s="55" t="e">
        <f t="shared" si="213"/>
        <v>#VALUE!</v>
      </c>
      <c r="U842" s="50" t="e">
        <f t="shared" si="209"/>
        <v>#VALUE!</v>
      </c>
      <c r="V842" s="50" t="e">
        <f t="shared" si="210"/>
        <v>#VALUE!</v>
      </c>
      <c r="W842" s="50" t="e">
        <f t="shared" si="211"/>
        <v>#VALUE!</v>
      </c>
    </row>
    <row r="843" spans="2:23" x14ac:dyDescent="0.25">
      <c r="B843" s="50" t="b">
        <f t="shared" si="199"/>
        <v>0</v>
      </c>
      <c r="C843" s="50" t="e">
        <f t="shared" si="201"/>
        <v>#VALUE!</v>
      </c>
      <c r="E843" s="56">
        <v>839</v>
      </c>
      <c r="G843" s="138"/>
      <c r="H843" s="135">
        <v>1</v>
      </c>
      <c r="I843" s="57" t="str">
        <f t="shared" si="212"/>
        <v/>
      </c>
      <c r="J843" s="58" t="e">
        <f t="shared" si="202"/>
        <v>#VALUE!</v>
      </c>
      <c r="K843" s="50" t="e">
        <f t="shared" si="203"/>
        <v>#VALUE!</v>
      </c>
      <c r="L843" s="50" t="e">
        <f t="shared" si="200"/>
        <v>#VALUE!</v>
      </c>
      <c r="M843" s="50" t="e">
        <f t="shared" si="200"/>
        <v>#VALUE!</v>
      </c>
      <c r="N843" s="50" t="e">
        <f t="shared" si="204"/>
        <v>#VALUE!</v>
      </c>
      <c r="O843" s="50" t="e">
        <f t="shared" si="205"/>
        <v>#VALUE!</v>
      </c>
      <c r="P843" s="50">
        <f t="shared" si="206"/>
        <v>0</v>
      </c>
      <c r="R843" s="55" t="e">
        <f t="shared" si="207"/>
        <v>#VALUE!</v>
      </c>
      <c r="S843" s="55" t="e">
        <f t="shared" si="208"/>
        <v>#VALUE!</v>
      </c>
      <c r="T843" s="55" t="e">
        <f t="shared" si="213"/>
        <v>#VALUE!</v>
      </c>
      <c r="U843" s="50" t="e">
        <f t="shared" si="209"/>
        <v>#VALUE!</v>
      </c>
      <c r="V843" s="50" t="e">
        <f t="shared" si="210"/>
        <v>#VALUE!</v>
      </c>
      <c r="W843" s="50" t="e">
        <f t="shared" si="211"/>
        <v>#VALUE!</v>
      </c>
    </row>
    <row r="844" spans="2:23" x14ac:dyDescent="0.25">
      <c r="B844" s="50" t="b">
        <f t="shared" si="199"/>
        <v>0</v>
      </c>
      <c r="C844" s="50" t="e">
        <f t="shared" si="201"/>
        <v>#VALUE!</v>
      </c>
      <c r="E844" s="56">
        <v>840</v>
      </c>
      <c r="G844" s="138"/>
      <c r="H844" s="135">
        <v>1</v>
      </c>
      <c r="I844" s="57" t="str">
        <f t="shared" si="212"/>
        <v/>
      </c>
      <c r="J844" s="58" t="e">
        <f t="shared" si="202"/>
        <v>#VALUE!</v>
      </c>
      <c r="K844" s="50" t="e">
        <f t="shared" si="203"/>
        <v>#VALUE!</v>
      </c>
      <c r="L844" s="50" t="e">
        <f t="shared" si="200"/>
        <v>#VALUE!</v>
      </c>
      <c r="M844" s="50" t="e">
        <f t="shared" si="200"/>
        <v>#VALUE!</v>
      </c>
      <c r="N844" s="50" t="e">
        <f t="shared" si="204"/>
        <v>#VALUE!</v>
      </c>
      <c r="O844" s="50" t="e">
        <f t="shared" si="205"/>
        <v>#VALUE!</v>
      </c>
      <c r="P844" s="50">
        <f t="shared" si="206"/>
        <v>0</v>
      </c>
      <c r="R844" s="55" t="e">
        <f t="shared" si="207"/>
        <v>#VALUE!</v>
      </c>
      <c r="S844" s="55" t="e">
        <f t="shared" si="208"/>
        <v>#VALUE!</v>
      </c>
      <c r="T844" s="55" t="e">
        <f t="shared" si="213"/>
        <v>#VALUE!</v>
      </c>
      <c r="U844" s="50" t="e">
        <f t="shared" si="209"/>
        <v>#VALUE!</v>
      </c>
      <c r="V844" s="50" t="e">
        <f t="shared" si="210"/>
        <v>#VALUE!</v>
      </c>
      <c r="W844" s="50" t="e">
        <f t="shared" si="211"/>
        <v>#VALUE!</v>
      </c>
    </row>
    <row r="845" spans="2:23" x14ac:dyDescent="0.25">
      <c r="B845" s="50" t="b">
        <f t="shared" si="199"/>
        <v>0</v>
      </c>
      <c r="C845" s="50" t="e">
        <f t="shared" si="201"/>
        <v>#VALUE!</v>
      </c>
      <c r="E845" s="56">
        <v>841</v>
      </c>
      <c r="G845" s="138"/>
      <c r="H845" s="135">
        <v>1</v>
      </c>
      <c r="I845" s="57" t="str">
        <f t="shared" si="212"/>
        <v/>
      </c>
      <c r="J845" s="58" t="e">
        <f t="shared" si="202"/>
        <v>#VALUE!</v>
      </c>
      <c r="K845" s="50" t="e">
        <f t="shared" si="203"/>
        <v>#VALUE!</v>
      </c>
      <c r="L845" s="50" t="e">
        <f t="shared" si="200"/>
        <v>#VALUE!</v>
      </c>
      <c r="M845" s="50" t="e">
        <f t="shared" si="200"/>
        <v>#VALUE!</v>
      </c>
      <c r="N845" s="50" t="e">
        <f t="shared" si="204"/>
        <v>#VALUE!</v>
      </c>
      <c r="O845" s="50" t="e">
        <f t="shared" si="205"/>
        <v>#VALUE!</v>
      </c>
      <c r="P845" s="50">
        <f t="shared" si="206"/>
        <v>0</v>
      </c>
      <c r="R845" s="55" t="e">
        <f t="shared" si="207"/>
        <v>#VALUE!</v>
      </c>
      <c r="S845" s="55" t="e">
        <f t="shared" si="208"/>
        <v>#VALUE!</v>
      </c>
      <c r="T845" s="55" t="e">
        <f t="shared" si="213"/>
        <v>#VALUE!</v>
      </c>
      <c r="U845" s="50" t="e">
        <f t="shared" si="209"/>
        <v>#VALUE!</v>
      </c>
      <c r="V845" s="50" t="e">
        <f t="shared" si="210"/>
        <v>#VALUE!</v>
      </c>
      <c r="W845" s="50" t="e">
        <f t="shared" si="211"/>
        <v>#VALUE!</v>
      </c>
    </row>
    <row r="846" spans="2:23" x14ac:dyDescent="0.25">
      <c r="B846" s="50" t="b">
        <f t="shared" ref="B846:B909" si="214">ISNUMBER(C846)</f>
        <v>0</v>
      </c>
      <c r="C846" s="50" t="e">
        <f t="shared" si="201"/>
        <v>#VALUE!</v>
      </c>
      <c r="E846" s="56">
        <v>842</v>
      </c>
      <c r="G846" s="138"/>
      <c r="H846" s="135">
        <v>1</v>
      </c>
      <c r="I846" s="57" t="str">
        <f t="shared" si="212"/>
        <v/>
      </c>
      <c r="J846" s="58" t="e">
        <f t="shared" si="202"/>
        <v>#VALUE!</v>
      </c>
      <c r="K846" s="50" t="e">
        <f t="shared" si="203"/>
        <v>#VALUE!</v>
      </c>
      <c r="L846" s="50" t="e">
        <f t="shared" si="200"/>
        <v>#VALUE!</v>
      </c>
      <c r="M846" s="50" t="e">
        <f t="shared" si="200"/>
        <v>#VALUE!</v>
      </c>
      <c r="N846" s="50" t="e">
        <f t="shared" si="204"/>
        <v>#VALUE!</v>
      </c>
      <c r="O846" s="50" t="e">
        <f t="shared" si="205"/>
        <v>#VALUE!</v>
      </c>
      <c r="P846" s="50">
        <f t="shared" si="206"/>
        <v>0</v>
      </c>
      <c r="R846" s="55" t="e">
        <f t="shared" si="207"/>
        <v>#VALUE!</v>
      </c>
      <c r="S846" s="55" t="e">
        <f t="shared" si="208"/>
        <v>#VALUE!</v>
      </c>
      <c r="T846" s="55" t="e">
        <f t="shared" si="213"/>
        <v>#VALUE!</v>
      </c>
      <c r="U846" s="50" t="e">
        <f t="shared" si="209"/>
        <v>#VALUE!</v>
      </c>
      <c r="V846" s="50" t="e">
        <f t="shared" si="210"/>
        <v>#VALUE!</v>
      </c>
      <c r="W846" s="50" t="e">
        <f t="shared" si="211"/>
        <v>#VALUE!</v>
      </c>
    </row>
    <row r="847" spans="2:23" x14ac:dyDescent="0.25">
      <c r="B847" s="50" t="b">
        <f t="shared" si="214"/>
        <v>0</v>
      </c>
      <c r="C847" s="50" t="e">
        <f t="shared" si="201"/>
        <v>#VALUE!</v>
      </c>
      <c r="E847" s="56">
        <v>843</v>
      </c>
      <c r="G847" s="138"/>
      <c r="H847" s="135">
        <v>1</v>
      </c>
      <c r="I847" s="57" t="str">
        <f t="shared" si="212"/>
        <v/>
      </c>
      <c r="J847" s="58" t="e">
        <f t="shared" si="202"/>
        <v>#VALUE!</v>
      </c>
      <c r="K847" s="50" t="e">
        <f t="shared" si="203"/>
        <v>#VALUE!</v>
      </c>
      <c r="L847" s="50" t="e">
        <f t="shared" si="200"/>
        <v>#VALUE!</v>
      </c>
      <c r="M847" s="50" t="e">
        <f t="shared" si="200"/>
        <v>#VALUE!</v>
      </c>
      <c r="N847" s="50" t="e">
        <f t="shared" si="204"/>
        <v>#VALUE!</v>
      </c>
      <c r="O847" s="50" t="e">
        <f t="shared" si="205"/>
        <v>#VALUE!</v>
      </c>
      <c r="P847" s="50">
        <f t="shared" si="206"/>
        <v>0</v>
      </c>
      <c r="R847" s="55" t="e">
        <f t="shared" si="207"/>
        <v>#VALUE!</v>
      </c>
      <c r="S847" s="55" t="e">
        <f t="shared" si="208"/>
        <v>#VALUE!</v>
      </c>
      <c r="T847" s="55" t="e">
        <f t="shared" si="213"/>
        <v>#VALUE!</v>
      </c>
      <c r="U847" s="50" t="e">
        <f t="shared" si="209"/>
        <v>#VALUE!</v>
      </c>
      <c r="V847" s="50" t="e">
        <f t="shared" si="210"/>
        <v>#VALUE!</v>
      </c>
      <c r="W847" s="50" t="e">
        <f t="shared" si="211"/>
        <v>#VALUE!</v>
      </c>
    </row>
    <row r="848" spans="2:23" x14ac:dyDescent="0.25">
      <c r="B848" s="50" t="b">
        <f t="shared" si="214"/>
        <v>0</v>
      </c>
      <c r="C848" s="50" t="e">
        <f t="shared" si="201"/>
        <v>#VALUE!</v>
      </c>
      <c r="E848" s="56">
        <v>844</v>
      </c>
      <c r="G848" s="138"/>
      <c r="H848" s="135">
        <v>1</v>
      </c>
      <c r="I848" s="57" t="str">
        <f t="shared" si="212"/>
        <v/>
      </c>
      <c r="J848" s="58" t="e">
        <f t="shared" si="202"/>
        <v>#VALUE!</v>
      </c>
      <c r="K848" s="50" t="e">
        <f t="shared" si="203"/>
        <v>#VALUE!</v>
      </c>
      <c r="L848" s="50" t="e">
        <f t="shared" si="200"/>
        <v>#VALUE!</v>
      </c>
      <c r="M848" s="50" t="e">
        <f t="shared" si="200"/>
        <v>#VALUE!</v>
      </c>
      <c r="N848" s="50" t="e">
        <f t="shared" si="204"/>
        <v>#VALUE!</v>
      </c>
      <c r="O848" s="50" t="e">
        <f t="shared" si="205"/>
        <v>#VALUE!</v>
      </c>
      <c r="P848" s="50">
        <f t="shared" si="206"/>
        <v>0</v>
      </c>
      <c r="R848" s="55" t="e">
        <f t="shared" si="207"/>
        <v>#VALUE!</v>
      </c>
      <c r="S848" s="55" t="e">
        <f t="shared" si="208"/>
        <v>#VALUE!</v>
      </c>
      <c r="T848" s="55" t="e">
        <f t="shared" si="213"/>
        <v>#VALUE!</v>
      </c>
      <c r="U848" s="50" t="e">
        <f t="shared" si="209"/>
        <v>#VALUE!</v>
      </c>
      <c r="V848" s="50" t="e">
        <f t="shared" si="210"/>
        <v>#VALUE!</v>
      </c>
      <c r="W848" s="50" t="e">
        <f t="shared" si="211"/>
        <v>#VALUE!</v>
      </c>
    </row>
    <row r="849" spans="2:23" x14ac:dyDescent="0.25">
      <c r="B849" s="50" t="b">
        <f t="shared" si="214"/>
        <v>0</v>
      </c>
      <c r="C849" s="50" t="e">
        <f t="shared" si="201"/>
        <v>#VALUE!</v>
      </c>
      <c r="E849" s="56">
        <v>845</v>
      </c>
      <c r="G849" s="138"/>
      <c r="H849" s="135">
        <v>1</v>
      </c>
      <c r="I849" s="57" t="str">
        <f t="shared" si="212"/>
        <v/>
      </c>
      <c r="J849" s="58" t="e">
        <f t="shared" si="202"/>
        <v>#VALUE!</v>
      </c>
      <c r="K849" s="50" t="e">
        <f t="shared" si="203"/>
        <v>#VALUE!</v>
      </c>
      <c r="L849" s="50" t="e">
        <f t="shared" si="200"/>
        <v>#VALUE!</v>
      </c>
      <c r="M849" s="50" t="e">
        <f t="shared" si="200"/>
        <v>#VALUE!</v>
      </c>
      <c r="N849" s="50" t="e">
        <f t="shared" si="204"/>
        <v>#VALUE!</v>
      </c>
      <c r="O849" s="50" t="e">
        <f t="shared" si="205"/>
        <v>#VALUE!</v>
      </c>
      <c r="P849" s="50">
        <f t="shared" si="206"/>
        <v>0</v>
      </c>
      <c r="R849" s="55" t="e">
        <f t="shared" si="207"/>
        <v>#VALUE!</v>
      </c>
      <c r="S849" s="55" t="e">
        <f t="shared" si="208"/>
        <v>#VALUE!</v>
      </c>
      <c r="T849" s="55" t="e">
        <f t="shared" si="213"/>
        <v>#VALUE!</v>
      </c>
      <c r="U849" s="50" t="e">
        <f t="shared" si="209"/>
        <v>#VALUE!</v>
      </c>
      <c r="V849" s="50" t="e">
        <f t="shared" si="210"/>
        <v>#VALUE!</v>
      </c>
      <c r="W849" s="50" t="e">
        <f t="shared" si="211"/>
        <v>#VALUE!</v>
      </c>
    </row>
    <row r="850" spans="2:23" x14ac:dyDescent="0.25">
      <c r="B850" s="50" t="b">
        <f t="shared" si="214"/>
        <v>0</v>
      </c>
      <c r="C850" s="50" t="e">
        <f t="shared" si="201"/>
        <v>#VALUE!</v>
      </c>
      <c r="E850" s="56">
        <v>846</v>
      </c>
      <c r="G850" s="138"/>
      <c r="H850" s="135">
        <v>1</v>
      </c>
      <c r="I850" s="57" t="str">
        <f t="shared" si="212"/>
        <v/>
      </c>
      <c r="J850" s="58" t="e">
        <f t="shared" si="202"/>
        <v>#VALUE!</v>
      </c>
      <c r="K850" s="50" t="e">
        <f t="shared" si="203"/>
        <v>#VALUE!</v>
      </c>
      <c r="L850" s="50" t="e">
        <f t="shared" si="200"/>
        <v>#VALUE!</v>
      </c>
      <c r="M850" s="50" t="e">
        <f t="shared" si="200"/>
        <v>#VALUE!</v>
      </c>
      <c r="N850" s="50" t="e">
        <f t="shared" si="204"/>
        <v>#VALUE!</v>
      </c>
      <c r="O850" s="50" t="e">
        <f t="shared" si="205"/>
        <v>#VALUE!</v>
      </c>
      <c r="P850" s="50">
        <f t="shared" si="206"/>
        <v>0</v>
      </c>
      <c r="R850" s="55" t="e">
        <f t="shared" si="207"/>
        <v>#VALUE!</v>
      </c>
      <c r="S850" s="55" t="e">
        <f t="shared" si="208"/>
        <v>#VALUE!</v>
      </c>
      <c r="T850" s="55" t="e">
        <f t="shared" si="213"/>
        <v>#VALUE!</v>
      </c>
      <c r="U850" s="50" t="e">
        <f t="shared" si="209"/>
        <v>#VALUE!</v>
      </c>
      <c r="V850" s="50" t="e">
        <f t="shared" si="210"/>
        <v>#VALUE!</v>
      </c>
      <c r="W850" s="50" t="e">
        <f t="shared" si="211"/>
        <v>#VALUE!</v>
      </c>
    </row>
    <row r="851" spans="2:23" x14ac:dyDescent="0.25">
      <c r="B851" s="50" t="b">
        <f t="shared" si="214"/>
        <v>0</v>
      </c>
      <c r="C851" s="50" t="e">
        <f t="shared" si="201"/>
        <v>#VALUE!</v>
      </c>
      <c r="E851" s="56">
        <v>847</v>
      </c>
      <c r="G851" s="138"/>
      <c r="H851" s="135">
        <v>1</v>
      </c>
      <c r="I851" s="57" t="str">
        <f t="shared" si="212"/>
        <v/>
      </c>
      <c r="J851" s="58" t="e">
        <f t="shared" si="202"/>
        <v>#VALUE!</v>
      </c>
      <c r="K851" s="50" t="e">
        <f t="shared" si="203"/>
        <v>#VALUE!</v>
      </c>
      <c r="L851" s="50" t="e">
        <f t="shared" si="200"/>
        <v>#VALUE!</v>
      </c>
      <c r="M851" s="50" t="e">
        <f t="shared" si="200"/>
        <v>#VALUE!</v>
      </c>
      <c r="N851" s="50" t="e">
        <f t="shared" si="204"/>
        <v>#VALUE!</v>
      </c>
      <c r="O851" s="50" t="e">
        <f t="shared" si="205"/>
        <v>#VALUE!</v>
      </c>
      <c r="P851" s="50">
        <f t="shared" si="206"/>
        <v>0</v>
      </c>
      <c r="R851" s="55" t="e">
        <f t="shared" si="207"/>
        <v>#VALUE!</v>
      </c>
      <c r="S851" s="55" t="e">
        <f t="shared" si="208"/>
        <v>#VALUE!</v>
      </c>
      <c r="T851" s="55" t="e">
        <f t="shared" si="213"/>
        <v>#VALUE!</v>
      </c>
      <c r="U851" s="50" t="e">
        <f t="shared" si="209"/>
        <v>#VALUE!</v>
      </c>
      <c r="V851" s="50" t="e">
        <f t="shared" si="210"/>
        <v>#VALUE!</v>
      </c>
      <c r="W851" s="50" t="e">
        <f t="shared" si="211"/>
        <v>#VALUE!</v>
      </c>
    </row>
    <row r="852" spans="2:23" x14ac:dyDescent="0.25">
      <c r="B852" s="50" t="b">
        <f t="shared" si="214"/>
        <v>0</v>
      </c>
      <c r="C852" s="50" t="e">
        <f t="shared" si="201"/>
        <v>#VALUE!</v>
      </c>
      <c r="E852" s="56">
        <v>848</v>
      </c>
      <c r="G852" s="138"/>
      <c r="H852" s="135">
        <v>1</v>
      </c>
      <c r="I852" s="57" t="str">
        <f t="shared" si="212"/>
        <v/>
      </c>
      <c r="J852" s="58" t="e">
        <f t="shared" si="202"/>
        <v>#VALUE!</v>
      </c>
      <c r="K852" s="50" t="e">
        <f t="shared" si="203"/>
        <v>#VALUE!</v>
      </c>
      <c r="L852" s="50" t="e">
        <f t="shared" si="200"/>
        <v>#VALUE!</v>
      </c>
      <c r="M852" s="50" t="e">
        <f t="shared" si="200"/>
        <v>#VALUE!</v>
      </c>
      <c r="N852" s="50" t="e">
        <f t="shared" si="204"/>
        <v>#VALUE!</v>
      </c>
      <c r="O852" s="50" t="e">
        <f t="shared" si="205"/>
        <v>#VALUE!</v>
      </c>
      <c r="P852" s="50">
        <f t="shared" si="206"/>
        <v>0</v>
      </c>
      <c r="R852" s="55" t="e">
        <f t="shared" si="207"/>
        <v>#VALUE!</v>
      </c>
      <c r="S852" s="55" t="e">
        <f t="shared" si="208"/>
        <v>#VALUE!</v>
      </c>
      <c r="T852" s="55" t="e">
        <f t="shared" si="213"/>
        <v>#VALUE!</v>
      </c>
      <c r="U852" s="50" t="e">
        <f t="shared" si="209"/>
        <v>#VALUE!</v>
      </c>
      <c r="V852" s="50" t="e">
        <f t="shared" si="210"/>
        <v>#VALUE!</v>
      </c>
      <c r="W852" s="50" t="e">
        <f t="shared" si="211"/>
        <v>#VALUE!</v>
      </c>
    </row>
    <row r="853" spans="2:23" x14ac:dyDescent="0.25">
      <c r="B853" s="50" t="b">
        <f t="shared" si="214"/>
        <v>0</v>
      </c>
      <c r="C853" s="50" t="e">
        <f t="shared" si="201"/>
        <v>#VALUE!</v>
      </c>
      <c r="E853" s="56">
        <v>849</v>
      </c>
      <c r="G853" s="138"/>
      <c r="H853" s="135">
        <v>1</v>
      </c>
      <c r="I853" s="57" t="str">
        <f t="shared" si="212"/>
        <v/>
      </c>
      <c r="J853" s="58" t="e">
        <f t="shared" si="202"/>
        <v>#VALUE!</v>
      </c>
      <c r="K853" s="50" t="e">
        <f t="shared" si="203"/>
        <v>#VALUE!</v>
      </c>
      <c r="L853" s="50" t="e">
        <f t="shared" si="200"/>
        <v>#VALUE!</v>
      </c>
      <c r="M853" s="50" t="e">
        <f t="shared" si="200"/>
        <v>#VALUE!</v>
      </c>
      <c r="N853" s="50" t="e">
        <f t="shared" si="204"/>
        <v>#VALUE!</v>
      </c>
      <c r="O853" s="50" t="e">
        <f t="shared" si="205"/>
        <v>#VALUE!</v>
      </c>
      <c r="P853" s="50">
        <f t="shared" si="206"/>
        <v>0</v>
      </c>
      <c r="R853" s="55" t="e">
        <f t="shared" si="207"/>
        <v>#VALUE!</v>
      </c>
      <c r="S853" s="55" t="e">
        <f t="shared" si="208"/>
        <v>#VALUE!</v>
      </c>
      <c r="T853" s="55" t="e">
        <f t="shared" si="213"/>
        <v>#VALUE!</v>
      </c>
      <c r="U853" s="50" t="e">
        <f t="shared" si="209"/>
        <v>#VALUE!</v>
      </c>
      <c r="V853" s="50" t="e">
        <f t="shared" si="210"/>
        <v>#VALUE!</v>
      </c>
      <c r="W853" s="50" t="e">
        <f t="shared" si="211"/>
        <v>#VALUE!</v>
      </c>
    </row>
    <row r="854" spans="2:23" x14ac:dyDescent="0.25">
      <c r="B854" s="50" t="b">
        <f t="shared" si="214"/>
        <v>0</v>
      </c>
      <c r="C854" s="50" t="e">
        <f t="shared" si="201"/>
        <v>#VALUE!</v>
      </c>
      <c r="E854" s="56">
        <v>850</v>
      </c>
      <c r="G854" s="138"/>
      <c r="H854" s="135">
        <v>1</v>
      </c>
      <c r="I854" s="57" t="str">
        <f t="shared" si="212"/>
        <v/>
      </c>
      <c r="J854" s="58" t="e">
        <f t="shared" si="202"/>
        <v>#VALUE!</v>
      </c>
      <c r="K854" s="50" t="e">
        <f t="shared" si="203"/>
        <v>#VALUE!</v>
      </c>
      <c r="L854" s="50" t="e">
        <f t="shared" si="200"/>
        <v>#VALUE!</v>
      </c>
      <c r="M854" s="50" t="e">
        <f t="shared" si="200"/>
        <v>#VALUE!</v>
      </c>
      <c r="N854" s="50" t="e">
        <f t="shared" si="204"/>
        <v>#VALUE!</v>
      </c>
      <c r="O854" s="50" t="e">
        <f t="shared" si="205"/>
        <v>#VALUE!</v>
      </c>
      <c r="P854" s="50">
        <f t="shared" si="206"/>
        <v>0</v>
      </c>
      <c r="R854" s="55" t="e">
        <f t="shared" si="207"/>
        <v>#VALUE!</v>
      </c>
      <c r="S854" s="55" t="e">
        <f t="shared" si="208"/>
        <v>#VALUE!</v>
      </c>
      <c r="T854" s="55" t="e">
        <f t="shared" si="213"/>
        <v>#VALUE!</v>
      </c>
      <c r="U854" s="50" t="e">
        <f t="shared" si="209"/>
        <v>#VALUE!</v>
      </c>
      <c r="V854" s="50" t="e">
        <f t="shared" si="210"/>
        <v>#VALUE!</v>
      </c>
      <c r="W854" s="50" t="e">
        <f t="shared" si="211"/>
        <v>#VALUE!</v>
      </c>
    </row>
    <row r="855" spans="2:23" x14ac:dyDescent="0.25">
      <c r="B855" s="50" t="b">
        <f t="shared" si="214"/>
        <v>0</v>
      </c>
      <c r="C855" s="50" t="e">
        <f t="shared" si="201"/>
        <v>#VALUE!</v>
      </c>
      <c r="E855" s="56">
        <v>851</v>
      </c>
      <c r="G855" s="138"/>
      <c r="H855" s="135">
        <v>1</v>
      </c>
      <c r="I855" s="57" t="str">
        <f t="shared" si="212"/>
        <v/>
      </c>
      <c r="J855" s="58" t="e">
        <f t="shared" si="202"/>
        <v>#VALUE!</v>
      </c>
      <c r="K855" s="50" t="e">
        <f t="shared" si="203"/>
        <v>#VALUE!</v>
      </c>
      <c r="L855" s="50" t="e">
        <f t="shared" si="200"/>
        <v>#VALUE!</v>
      </c>
      <c r="M855" s="50" t="e">
        <f t="shared" si="200"/>
        <v>#VALUE!</v>
      </c>
      <c r="N855" s="50" t="e">
        <f t="shared" si="204"/>
        <v>#VALUE!</v>
      </c>
      <c r="O855" s="50" t="e">
        <f t="shared" si="205"/>
        <v>#VALUE!</v>
      </c>
      <c r="P855" s="50">
        <f t="shared" si="206"/>
        <v>0</v>
      </c>
      <c r="R855" s="55" t="e">
        <f t="shared" si="207"/>
        <v>#VALUE!</v>
      </c>
      <c r="S855" s="55" t="e">
        <f t="shared" si="208"/>
        <v>#VALUE!</v>
      </c>
      <c r="T855" s="55" t="e">
        <f t="shared" si="213"/>
        <v>#VALUE!</v>
      </c>
      <c r="U855" s="50" t="e">
        <f t="shared" si="209"/>
        <v>#VALUE!</v>
      </c>
      <c r="V855" s="50" t="e">
        <f t="shared" si="210"/>
        <v>#VALUE!</v>
      </c>
      <c r="W855" s="50" t="e">
        <f t="shared" si="211"/>
        <v>#VALUE!</v>
      </c>
    </row>
    <row r="856" spans="2:23" x14ac:dyDescent="0.25">
      <c r="B856" s="50" t="b">
        <f t="shared" si="214"/>
        <v>0</v>
      </c>
      <c r="C856" s="50" t="e">
        <f t="shared" si="201"/>
        <v>#VALUE!</v>
      </c>
      <c r="E856" s="56">
        <v>852</v>
      </c>
      <c r="G856" s="138"/>
      <c r="H856" s="135">
        <v>1</v>
      </c>
      <c r="I856" s="57" t="str">
        <f t="shared" si="212"/>
        <v/>
      </c>
      <c r="J856" s="58" t="e">
        <f t="shared" si="202"/>
        <v>#VALUE!</v>
      </c>
      <c r="K856" s="50" t="e">
        <f t="shared" si="203"/>
        <v>#VALUE!</v>
      </c>
      <c r="L856" s="50" t="e">
        <f t="shared" si="200"/>
        <v>#VALUE!</v>
      </c>
      <c r="M856" s="50" t="e">
        <f t="shared" si="200"/>
        <v>#VALUE!</v>
      </c>
      <c r="N856" s="50" t="e">
        <f t="shared" si="204"/>
        <v>#VALUE!</v>
      </c>
      <c r="O856" s="50" t="e">
        <f t="shared" si="205"/>
        <v>#VALUE!</v>
      </c>
      <c r="P856" s="50">
        <f t="shared" si="206"/>
        <v>0</v>
      </c>
      <c r="R856" s="55" t="e">
        <f t="shared" si="207"/>
        <v>#VALUE!</v>
      </c>
      <c r="S856" s="55" t="e">
        <f t="shared" si="208"/>
        <v>#VALUE!</v>
      </c>
      <c r="T856" s="55" t="e">
        <f t="shared" si="213"/>
        <v>#VALUE!</v>
      </c>
      <c r="U856" s="50" t="e">
        <f t="shared" si="209"/>
        <v>#VALUE!</v>
      </c>
      <c r="V856" s="50" t="e">
        <f t="shared" si="210"/>
        <v>#VALUE!</v>
      </c>
      <c r="W856" s="50" t="e">
        <f t="shared" si="211"/>
        <v>#VALUE!</v>
      </c>
    </row>
    <row r="857" spans="2:23" x14ac:dyDescent="0.25">
      <c r="B857" s="50" t="b">
        <f t="shared" si="214"/>
        <v>0</v>
      </c>
      <c r="C857" s="50" t="e">
        <f t="shared" si="201"/>
        <v>#VALUE!</v>
      </c>
      <c r="E857" s="56">
        <v>853</v>
      </c>
      <c r="G857" s="138"/>
      <c r="H857" s="135">
        <v>1</v>
      </c>
      <c r="I857" s="57" t="str">
        <f t="shared" si="212"/>
        <v/>
      </c>
      <c r="J857" s="58" t="e">
        <f t="shared" si="202"/>
        <v>#VALUE!</v>
      </c>
      <c r="K857" s="50" t="e">
        <f t="shared" si="203"/>
        <v>#VALUE!</v>
      </c>
      <c r="L857" s="50" t="e">
        <f t="shared" si="200"/>
        <v>#VALUE!</v>
      </c>
      <c r="M857" s="50" t="e">
        <f t="shared" si="200"/>
        <v>#VALUE!</v>
      </c>
      <c r="N857" s="50" t="e">
        <f t="shared" si="204"/>
        <v>#VALUE!</v>
      </c>
      <c r="O857" s="50" t="e">
        <f t="shared" si="205"/>
        <v>#VALUE!</v>
      </c>
      <c r="P857" s="50">
        <f t="shared" si="206"/>
        <v>0</v>
      </c>
      <c r="R857" s="55" t="e">
        <f t="shared" si="207"/>
        <v>#VALUE!</v>
      </c>
      <c r="S857" s="55" t="e">
        <f t="shared" si="208"/>
        <v>#VALUE!</v>
      </c>
      <c r="T857" s="55" t="e">
        <f t="shared" si="213"/>
        <v>#VALUE!</v>
      </c>
      <c r="U857" s="50" t="e">
        <f t="shared" si="209"/>
        <v>#VALUE!</v>
      </c>
      <c r="V857" s="50" t="e">
        <f t="shared" si="210"/>
        <v>#VALUE!</v>
      </c>
      <c r="W857" s="50" t="e">
        <f t="shared" si="211"/>
        <v>#VALUE!</v>
      </c>
    </row>
    <row r="858" spans="2:23" x14ac:dyDescent="0.25">
      <c r="B858" s="50" t="b">
        <f t="shared" si="214"/>
        <v>0</v>
      </c>
      <c r="C858" s="50" t="e">
        <f t="shared" si="201"/>
        <v>#VALUE!</v>
      </c>
      <c r="E858" s="56">
        <v>854</v>
      </c>
      <c r="G858" s="138"/>
      <c r="H858" s="135">
        <v>1</v>
      </c>
      <c r="I858" s="57" t="str">
        <f t="shared" si="212"/>
        <v/>
      </c>
      <c r="J858" s="58" t="e">
        <f t="shared" si="202"/>
        <v>#VALUE!</v>
      </c>
      <c r="K858" s="50" t="e">
        <f t="shared" si="203"/>
        <v>#VALUE!</v>
      </c>
      <c r="L858" s="50" t="e">
        <f t="shared" si="200"/>
        <v>#VALUE!</v>
      </c>
      <c r="M858" s="50" t="e">
        <f t="shared" si="200"/>
        <v>#VALUE!</v>
      </c>
      <c r="N858" s="50" t="e">
        <f t="shared" si="204"/>
        <v>#VALUE!</v>
      </c>
      <c r="O858" s="50" t="e">
        <f t="shared" si="205"/>
        <v>#VALUE!</v>
      </c>
      <c r="P858" s="50">
        <f t="shared" si="206"/>
        <v>0</v>
      </c>
      <c r="R858" s="55" t="e">
        <f t="shared" si="207"/>
        <v>#VALUE!</v>
      </c>
      <c r="S858" s="55" t="e">
        <f t="shared" si="208"/>
        <v>#VALUE!</v>
      </c>
      <c r="T858" s="55" t="e">
        <f t="shared" si="213"/>
        <v>#VALUE!</v>
      </c>
      <c r="U858" s="50" t="e">
        <f t="shared" si="209"/>
        <v>#VALUE!</v>
      </c>
      <c r="V858" s="50" t="e">
        <f t="shared" si="210"/>
        <v>#VALUE!</v>
      </c>
      <c r="W858" s="50" t="e">
        <f t="shared" si="211"/>
        <v>#VALUE!</v>
      </c>
    </row>
    <row r="859" spans="2:23" x14ac:dyDescent="0.25">
      <c r="B859" s="50" t="b">
        <f t="shared" si="214"/>
        <v>0</v>
      </c>
      <c r="C859" s="50" t="e">
        <f t="shared" si="201"/>
        <v>#VALUE!</v>
      </c>
      <c r="E859" s="56">
        <v>855</v>
      </c>
      <c r="G859" s="138"/>
      <c r="H859" s="135">
        <v>1</v>
      </c>
      <c r="I859" s="57" t="str">
        <f t="shared" si="212"/>
        <v/>
      </c>
      <c r="J859" s="58" t="e">
        <f t="shared" si="202"/>
        <v>#VALUE!</v>
      </c>
      <c r="K859" s="50" t="e">
        <f t="shared" si="203"/>
        <v>#VALUE!</v>
      </c>
      <c r="L859" s="50" t="e">
        <f t="shared" si="200"/>
        <v>#VALUE!</v>
      </c>
      <c r="M859" s="50" t="e">
        <f t="shared" si="200"/>
        <v>#VALUE!</v>
      </c>
      <c r="N859" s="50" t="e">
        <f t="shared" si="204"/>
        <v>#VALUE!</v>
      </c>
      <c r="O859" s="50" t="e">
        <f t="shared" si="205"/>
        <v>#VALUE!</v>
      </c>
      <c r="P859" s="50">
        <f t="shared" si="206"/>
        <v>0</v>
      </c>
      <c r="R859" s="55" t="e">
        <f t="shared" si="207"/>
        <v>#VALUE!</v>
      </c>
      <c r="S859" s="55" t="e">
        <f t="shared" si="208"/>
        <v>#VALUE!</v>
      </c>
      <c r="T859" s="55" t="e">
        <f t="shared" si="213"/>
        <v>#VALUE!</v>
      </c>
      <c r="U859" s="50" t="e">
        <f t="shared" si="209"/>
        <v>#VALUE!</v>
      </c>
      <c r="V859" s="50" t="e">
        <f t="shared" si="210"/>
        <v>#VALUE!</v>
      </c>
      <c r="W859" s="50" t="e">
        <f t="shared" si="211"/>
        <v>#VALUE!</v>
      </c>
    </row>
    <row r="860" spans="2:23" x14ac:dyDescent="0.25">
      <c r="B860" s="50" t="b">
        <f t="shared" si="214"/>
        <v>0</v>
      </c>
      <c r="C860" s="50" t="e">
        <f t="shared" si="201"/>
        <v>#VALUE!</v>
      </c>
      <c r="E860" s="56">
        <v>856</v>
      </c>
      <c r="G860" s="138"/>
      <c r="H860" s="135">
        <v>1</v>
      </c>
      <c r="I860" s="57" t="str">
        <f t="shared" si="212"/>
        <v/>
      </c>
      <c r="J860" s="58" t="e">
        <f t="shared" si="202"/>
        <v>#VALUE!</v>
      </c>
      <c r="K860" s="50" t="e">
        <f t="shared" si="203"/>
        <v>#VALUE!</v>
      </c>
      <c r="L860" s="50" t="e">
        <f t="shared" si="200"/>
        <v>#VALUE!</v>
      </c>
      <c r="M860" s="50" t="e">
        <f t="shared" si="200"/>
        <v>#VALUE!</v>
      </c>
      <c r="N860" s="50" t="e">
        <f t="shared" si="204"/>
        <v>#VALUE!</v>
      </c>
      <c r="O860" s="50" t="e">
        <f t="shared" si="205"/>
        <v>#VALUE!</v>
      </c>
      <c r="P860" s="50">
        <f t="shared" si="206"/>
        <v>0</v>
      </c>
      <c r="R860" s="55" t="e">
        <f t="shared" si="207"/>
        <v>#VALUE!</v>
      </c>
      <c r="S860" s="55" t="e">
        <f t="shared" si="208"/>
        <v>#VALUE!</v>
      </c>
      <c r="T860" s="55" t="e">
        <f t="shared" si="213"/>
        <v>#VALUE!</v>
      </c>
      <c r="U860" s="50" t="e">
        <f t="shared" si="209"/>
        <v>#VALUE!</v>
      </c>
      <c r="V860" s="50" t="e">
        <f t="shared" si="210"/>
        <v>#VALUE!</v>
      </c>
      <c r="W860" s="50" t="e">
        <f t="shared" si="211"/>
        <v>#VALUE!</v>
      </c>
    </row>
    <row r="861" spans="2:23" x14ac:dyDescent="0.25">
      <c r="B861" s="50" t="b">
        <f t="shared" si="214"/>
        <v>0</v>
      </c>
      <c r="C861" s="50" t="e">
        <f t="shared" si="201"/>
        <v>#VALUE!</v>
      </c>
      <c r="E861" s="56">
        <v>857</v>
      </c>
      <c r="G861" s="138"/>
      <c r="H861" s="135">
        <v>1</v>
      </c>
      <c r="I861" s="57" t="str">
        <f t="shared" si="212"/>
        <v/>
      </c>
      <c r="J861" s="58" t="e">
        <f t="shared" si="202"/>
        <v>#VALUE!</v>
      </c>
      <c r="K861" s="50" t="e">
        <f t="shared" si="203"/>
        <v>#VALUE!</v>
      </c>
      <c r="L861" s="50" t="e">
        <f t="shared" si="200"/>
        <v>#VALUE!</v>
      </c>
      <c r="M861" s="50" t="e">
        <f t="shared" si="200"/>
        <v>#VALUE!</v>
      </c>
      <c r="N861" s="50" t="e">
        <f t="shared" si="204"/>
        <v>#VALUE!</v>
      </c>
      <c r="O861" s="50" t="e">
        <f t="shared" si="205"/>
        <v>#VALUE!</v>
      </c>
      <c r="P861" s="50">
        <f t="shared" si="206"/>
        <v>0</v>
      </c>
      <c r="R861" s="55" t="e">
        <f t="shared" si="207"/>
        <v>#VALUE!</v>
      </c>
      <c r="S861" s="55" t="e">
        <f t="shared" si="208"/>
        <v>#VALUE!</v>
      </c>
      <c r="T861" s="55" t="e">
        <f t="shared" si="213"/>
        <v>#VALUE!</v>
      </c>
      <c r="U861" s="50" t="e">
        <f t="shared" si="209"/>
        <v>#VALUE!</v>
      </c>
      <c r="V861" s="50" t="e">
        <f t="shared" si="210"/>
        <v>#VALUE!</v>
      </c>
      <c r="W861" s="50" t="e">
        <f t="shared" si="211"/>
        <v>#VALUE!</v>
      </c>
    </row>
    <row r="862" spans="2:23" x14ac:dyDescent="0.25">
      <c r="B862" s="50" t="b">
        <f t="shared" si="214"/>
        <v>0</v>
      </c>
      <c r="C862" s="50" t="e">
        <f t="shared" si="201"/>
        <v>#VALUE!</v>
      </c>
      <c r="E862" s="56">
        <v>858</v>
      </c>
      <c r="G862" s="138"/>
      <c r="H862" s="135">
        <v>1</v>
      </c>
      <c r="I862" s="57" t="str">
        <f t="shared" si="212"/>
        <v/>
      </c>
      <c r="J862" s="58" t="e">
        <f t="shared" si="202"/>
        <v>#VALUE!</v>
      </c>
      <c r="K862" s="50" t="e">
        <f t="shared" si="203"/>
        <v>#VALUE!</v>
      </c>
      <c r="L862" s="50" t="e">
        <f t="shared" si="200"/>
        <v>#VALUE!</v>
      </c>
      <c r="M862" s="50" t="e">
        <f t="shared" si="200"/>
        <v>#VALUE!</v>
      </c>
      <c r="N862" s="50" t="e">
        <f t="shared" si="204"/>
        <v>#VALUE!</v>
      </c>
      <c r="O862" s="50" t="e">
        <f t="shared" si="205"/>
        <v>#VALUE!</v>
      </c>
      <c r="P862" s="50">
        <f t="shared" si="206"/>
        <v>0</v>
      </c>
      <c r="R862" s="55" t="e">
        <f t="shared" si="207"/>
        <v>#VALUE!</v>
      </c>
      <c r="S862" s="55" t="e">
        <f t="shared" si="208"/>
        <v>#VALUE!</v>
      </c>
      <c r="T862" s="55" t="e">
        <f t="shared" si="213"/>
        <v>#VALUE!</v>
      </c>
      <c r="U862" s="50" t="e">
        <f t="shared" si="209"/>
        <v>#VALUE!</v>
      </c>
      <c r="V862" s="50" t="e">
        <f t="shared" si="210"/>
        <v>#VALUE!</v>
      </c>
      <c r="W862" s="50" t="e">
        <f t="shared" si="211"/>
        <v>#VALUE!</v>
      </c>
    </row>
    <row r="863" spans="2:23" x14ac:dyDescent="0.25">
      <c r="B863" s="50" t="b">
        <f t="shared" si="214"/>
        <v>0</v>
      </c>
      <c r="C863" s="50" t="e">
        <f t="shared" si="201"/>
        <v>#VALUE!</v>
      </c>
      <c r="E863" s="56">
        <v>859</v>
      </c>
      <c r="G863" s="138"/>
      <c r="H863" s="135">
        <v>1</v>
      </c>
      <c r="I863" s="57" t="str">
        <f t="shared" si="212"/>
        <v/>
      </c>
      <c r="J863" s="58" t="e">
        <f t="shared" si="202"/>
        <v>#VALUE!</v>
      </c>
      <c r="K863" s="50" t="e">
        <f t="shared" si="203"/>
        <v>#VALUE!</v>
      </c>
      <c r="L863" s="50" t="e">
        <f t="shared" si="200"/>
        <v>#VALUE!</v>
      </c>
      <c r="M863" s="50" t="e">
        <f t="shared" si="200"/>
        <v>#VALUE!</v>
      </c>
      <c r="N863" s="50" t="e">
        <f t="shared" si="204"/>
        <v>#VALUE!</v>
      </c>
      <c r="O863" s="50" t="e">
        <f t="shared" si="205"/>
        <v>#VALUE!</v>
      </c>
      <c r="P863" s="50">
        <f t="shared" si="206"/>
        <v>0</v>
      </c>
      <c r="R863" s="55" t="e">
        <f t="shared" si="207"/>
        <v>#VALUE!</v>
      </c>
      <c r="S863" s="55" t="e">
        <f t="shared" si="208"/>
        <v>#VALUE!</v>
      </c>
      <c r="T863" s="55" t="e">
        <f t="shared" si="213"/>
        <v>#VALUE!</v>
      </c>
      <c r="U863" s="50" t="e">
        <f t="shared" si="209"/>
        <v>#VALUE!</v>
      </c>
      <c r="V863" s="50" t="e">
        <f t="shared" si="210"/>
        <v>#VALUE!</v>
      </c>
      <c r="W863" s="50" t="e">
        <f t="shared" si="211"/>
        <v>#VALUE!</v>
      </c>
    </row>
    <row r="864" spans="2:23" x14ac:dyDescent="0.25">
      <c r="B864" s="50" t="b">
        <f t="shared" si="214"/>
        <v>0</v>
      </c>
      <c r="C864" s="50" t="e">
        <f t="shared" si="201"/>
        <v>#VALUE!</v>
      </c>
      <c r="E864" s="56">
        <v>860</v>
      </c>
      <c r="G864" s="138"/>
      <c r="H864" s="135">
        <v>1</v>
      </c>
      <c r="I864" s="57" t="str">
        <f t="shared" si="212"/>
        <v/>
      </c>
      <c r="J864" s="58" t="e">
        <f t="shared" si="202"/>
        <v>#VALUE!</v>
      </c>
      <c r="K864" s="50" t="e">
        <f t="shared" si="203"/>
        <v>#VALUE!</v>
      </c>
      <c r="L864" s="50" t="e">
        <f t="shared" ref="L864:M927" si="215">O864-N864</f>
        <v>#VALUE!</v>
      </c>
      <c r="M864" s="50" t="e">
        <f t="shared" si="215"/>
        <v>#VALUE!</v>
      </c>
      <c r="N864" s="50" t="e">
        <f t="shared" si="204"/>
        <v>#VALUE!</v>
      </c>
      <c r="O864" s="50" t="e">
        <f t="shared" si="205"/>
        <v>#VALUE!</v>
      </c>
      <c r="P864" s="50">
        <f t="shared" si="206"/>
        <v>0</v>
      </c>
      <c r="R864" s="55" t="e">
        <f t="shared" si="207"/>
        <v>#VALUE!</v>
      </c>
      <c r="S864" s="55" t="e">
        <f t="shared" si="208"/>
        <v>#VALUE!</v>
      </c>
      <c r="T864" s="55" t="e">
        <f t="shared" si="213"/>
        <v>#VALUE!</v>
      </c>
      <c r="U864" s="50" t="e">
        <f t="shared" si="209"/>
        <v>#VALUE!</v>
      </c>
      <c r="V864" s="50" t="e">
        <f t="shared" si="210"/>
        <v>#VALUE!</v>
      </c>
      <c r="W864" s="50" t="e">
        <f t="shared" si="211"/>
        <v>#VALUE!</v>
      </c>
    </row>
    <row r="865" spans="2:23" x14ac:dyDescent="0.25">
      <c r="B865" s="50" t="b">
        <f t="shared" si="214"/>
        <v>0</v>
      </c>
      <c r="C865" s="50" t="e">
        <f t="shared" si="201"/>
        <v>#VALUE!</v>
      </c>
      <c r="E865" s="56">
        <v>861</v>
      </c>
      <c r="G865" s="138"/>
      <c r="H865" s="135">
        <v>1</v>
      </c>
      <c r="I865" s="57" t="str">
        <f t="shared" si="212"/>
        <v/>
      </c>
      <c r="J865" s="58" t="e">
        <f t="shared" si="202"/>
        <v>#VALUE!</v>
      </c>
      <c r="K865" s="50" t="e">
        <f t="shared" si="203"/>
        <v>#VALUE!</v>
      </c>
      <c r="L865" s="50" t="e">
        <f t="shared" si="215"/>
        <v>#VALUE!</v>
      </c>
      <c r="M865" s="50" t="e">
        <f t="shared" si="215"/>
        <v>#VALUE!</v>
      </c>
      <c r="N865" s="50" t="e">
        <f t="shared" si="204"/>
        <v>#VALUE!</v>
      </c>
      <c r="O865" s="50" t="e">
        <f t="shared" si="205"/>
        <v>#VALUE!</v>
      </c>
      <c r="P865" s="50">
        <f t="shared" si="206"/>
        <v>0</v>
      </c>
      <c r="R865" s="55" t="e">
        <f t="shared" si="207"/>
        <v>#VALUE!</v>
      </c>
      <c r="S865" s="55" t="e">
        <f t="shared" si="208"/>
        <v>#VALUE!</v>
      </c>
      <c r="T865" s="55" t="e">
        <f t="shared" si="213"/>
        <v>#VALUE!</v>
      </c>
      <c r="U865" s="50" t="e">
        <f t="shared" si="209"/>
        <v>#VALUE!</v>
      </c>
      <c r="V865" s="50" t="e">
        <f t="shared" si="210"/>
        <v>#VALUE!</v>
      </c>
      <c r="W865" s="50" t="e">
        <f t="shared" si="211"/>
        <v>#VALUE!</v>
      </c>
    </row>
    <row r="866" spans="2:23" x14ac:dyDescent="0.25">
      <c r="B866" s="50" t="b">
        <f t="shared" si="214"/>
        <v>0</v>
      </c>
      <c r="C866" s="50" t="e">
        <f t="shared" si="201"/>
        <v>#VALUE!</v>
      </c>
      <c r="E866" s="56">
        <v>862</v>
      </c>
      <c r="G866" s="138"/>
      <c r="H866" s="135">
        <v>1</v>
      </c>
      <c r="I866" s="57" t="str">
        <f t="shared" si="212"/>
        <v/>
      </c>
      <c r="J866" s="58" t="e">
        <f t="shared" si="202"/>
        <v>#VALUE!</v>
      </c>
      <c r="K866" s="50" t="e">
        <f t="shared" si="203"/>
        <v>#VALUE!</v>
      </c>
      <c r="L866" s="50" t="e">
        <f t="shared" si="215"/>
        <v>#VALUE!</v>
      </c>
      <c r="M866" s="50" t="e">
        <f t="shared" si="215"/>
        <v>#VALUE!</v>
      </c>
      <c r="N866" s="50" t="e">
        <f t="shared" si="204"/>
        <v>#VALUE!</v>
      </c>
      <c r="O866" s="50" t="e">
        <f t="shared" si="205"/>
        <v>#VALUE!</v>
      </c>
      <c r="P866" s="50">
        <f t="shared" si="206"/>
        <v>0</v>
      </c>
      <c r="R866" s="55" t="e">
        <f t="shared" si="207"/>
        <v>#VALUE!</v>
      </c>
      <c r="S866" s="55" t="e">
        <f t="shared" si="208"/>
        <v>#VALUE!</v>
      </c>
      <c r="T866" s="55" t="e">
        <f t="shared" si="213"/>
        <v>#VALUE!</v>
      </c>
      <c r="U866" s="50" t="e">
        <f t="shared" si="209"/>
        <v>#VALUE!</v>
      </c>
      <c r="V866" s="50" t="e">
        <f t="shared" si="210"/>
        <v>#VALUE!</v>
      </c>
      <c r="W866" s="50" t="e">
        <f t="shared" si="211"/>
        <v>#VALUE!</v>
      </c>
    </row>
    <row r="867" spans="2:23" x14ac:dyDescent="0.25">
      <c r="B867" s="50" t="b">
        <f t="shared" si="214"/>
        <v>0</v>
      </c>
      <c r="C867" s="50" t="e">
        <f t="shared" si="201"/>
        <v>#VALUE!</v>
      </c>
      <c r="E867" s="56">
        <v>863</v>
      </c>
      <c r="G867" s="138"/>
      <c r="H867" s="135">
        <v>1</v>
      </c>
      <c r="I867" s="57" t="str">
        <f t="shared" si="212"/>
        <v/>
      </c>
      <c r="J867" s="58" t="e">
        <f t="shared" si="202"/>
        <v>#VALUE!</v>
      </c>
      <c r="K867" s="50" t="e">
        <f t="shared" si="203"/>
        <v>#VALUE!</v>
      </c>
      <c r="L867" s="50" t="e">
        <f t="shared" si="215"/>
        <v>#VALUE!</v>
      </c>
      <c r="M867" s="50" t="e">
        <f t="shared" si="215"/>
        <v>#VALUE!</v>
      </c>
      <c r="N867" s="50" t="e">
        <f t="shared" si="204"/>
        <v>#VALUE!</v>
      </c>
      <c r="O867" s="50" t="e">
        <f t="shared" si="205"/>
        <v>#VALUE!</v>
      </c>
      <c r="P867" s="50">
        <f t="shared" si="206"/>
        <v>0</v>
      </c>
      <c r="R867" s="55" t="e">
        <f t="shared" si="207"/>
        <v>#VALUE!</v>
      </c>
      <c r="S867" s="55" t="e">
        <f t="shared" si="208"/>
        <v>#VALUE!</v>
      </c>
      <c r="T867" s="55" t="e">
        <f t="shared" si="213"/>
        <v>#VALUE!</v>
      </c>
      <c r="U867" s="50" t="e">
        <f t="shared" si="209"/>
        <v>#VALUE!</v>
      </c>
      <c r="V867" s="50" t="e">
        <f t="shared" si="210"/>
        <v>#VALUE!</v>
      </c>
      <c r="W867" s="50" t="e">
        <f t="shared" si="211"/>
        <v>#VALUE!</v>
      </c>
    </row>
    <row r="868" spans="2:23" x14ac:dyDescent="0.25">
      <c r="B868" s="50" t="b">
        <f t="shared" si="214"/>
        <v>0</v>
      </c>
      <c r="C868" s="50" t="e">
        <f t="shared" si="201"/>
        <v>#VALUE!</v>
      </c>
      <c r="E868" s="56">
        <v>864</v>
      </c>
      <c r="G868" s="138"/>
      <c r="H868" s="135">
        <v>1</v>
      </c>
      <c r="I868" s="57" t="str">
        <f t="shared" si="212"/>
        <v/>
      </c>
      <c r="J868" s="58" t="e">
        <f t="shared" si="202"/>
        <v>#VALUE!</v>
      </c>
      <c r="K868" s="50" t="e">
        <f t="shared" si="203"/>
        <v>#VALUE!</v>
      </c>
      <c r="L868" s="50" t="e">
        <f t="shared" si="215"/>
        <v>#VALUE!</v>
      </c>
      <c r="M868" s="50" t="e">
        <f t="shared" si="215"/>
        <v>#VALUE!</v>
      </c>
      <c r="N868" s="50" t="e">
        <f t="shared" si="204"/>
        <v>#VALUE!</v>
      </c>
      <c r="O868" s="50" t="e">
        <f t="shared" si="205"/>
        <v>#VALUE!</v>
      </c>
      <c r="P868" s="50">
        <f t="shared" si="206"/>
        <v>0</v>
      </c>
      <c r="R868" s="55" t="e">
        <f t="shared" si="207"/>
        <v>#VALUE!</v>
      </c>
      <c r="S868" s="55" t="e">
        <f t="shared" si="208"/>
        <v>#VALUE!</v>
      </c>
      <c r="T868" s="55" t="e">
        <f t="shared" si="213"/>
        <v>#VALUE!</v>
      </c>
      <c r="U868" s="50" t="e">
        <f t="shared" si="209"/>
        <v>#VALUE!</v>
      </c>
      <c r="V868" s="50" t="e">
        <f t="shared" si="210"/>
        <v>#VALUE!</v>
      </c>
      <c r="W868" s="50" t="e">
        <f t="shared" si="211"/>
        <v>#VALUE!</v>
      </c>
    </row>
    <row r="869" spans="2:23" x14ac:dyDescent="0.25">
      <c r="B869" s="50" t="b">
        <f t="shared" si="214"/>
        <v>0</v>
      </c>
      <c r="C869" s="50" t="e">
        <f t="shared" si="201"/>
        <v>#VALUE!</v>
      </c>
      <c r="E869" s="56">
        <v>865</v>
      </c>
      <c r="G869" s="138"/>
      <c r="H869" s="135">
        <v>1</v>
      </c>
      <c r="I869" s="57" t="str">
        <f t="shared" si="212"/>
        <v/>
      </c>
      <c r="J869" s="58" t="e">
        <f t="shared" si="202"/>
        <v>#VALUE!</v>
      </c>
      <c r="K869" s="50" t="e">
        <f t="shared" si="203"/>
        <v>#VALUE!</v>
      </c>
      <c r="L869" s="50" t="e">
        <f t="shared" si="215"/>
        <v>#VALUE!</v>
      </c>
      <c r="M869" s="50" t="e">
        <f t="shared" si="215"/>
        <v>#VALUE!</v>
      </c>
      <c r="N869" s="50" t="e">
        <f t="shared" si="204"/>
        <v>#VALUE!</v>
      </c>
      <c r="O869" s="50" t="e">
        <f t="shared" si="205"/>
        <v>#VALUE!</v>
      </c>
      <c r="P869" s="50">
        <f t="shared" si="206"/>
        <v>0</v>
      </c>
      <c r="R869" s="55" t="e">
        <f t="shared" si="207"/>
        <v>#VALUE!</v>
      </c>
      <c r="S869" s="55" t="e">
        <f t="shared" si="208"/>
        <v>#VALUE!</v>
      </c>
      <c r="T869" s="55" t="e">
        <f t="shared" si="213"/>
        <v>#VALUE!</v>
      </c>
      <c r="U869" s="50" t="e">
        <f t="shared" si="209"/>
        <v>#VALUE!</v>
      </c>
      <c r="V869" s="50" t="e">
        <f t="shared" si="210"/>
        <v>#VALUE!</v>
      </c>
      <c r="W869" s="50" t="e">
        <f t="shared" si="211"/>
        <v>#VALUE!</v>
      </c>
    </row>
    <row r="870" spans="2:23" x14ac:dyDescent="0.25">
      <c r="B870" s="50" t="b">
        <f t="shared" si="214"/>
        <v>0</v>
      </c>
      <c r="C870" s="50" t="e">
        <f t="shared" si="201"/>
        <v>#VALUE!</v>
      </c>
      <c r="E870" s="56">
        <v>866</v>
      </c>
      <c r="G870" s="138"/>
      <c r="H870" s="135">
        <v>1</v>
      </c>
      <c r="I870" s="57" t="str">
        <f t="shared" si="212"/>
        <v/>
      </c>
      <c r="J870" s="58" t="e">
        <f t="shared" si="202"/>
        <v>#VALUE!</v>
      </c>
      <c r="K870" s="50" t="e">
        <f t="shared" si="203"/>
        <v>#VALUE!</v>
      </c>
      <c r="L870" s="50" t="e">
        <f t="shared" si="215"/>
        <v>#VALUE!</v>
      </c>
      <c r="M870" s="50" t="e">
        <f t="shared" si="215"/>
        <v>#VALUE!</v>
      </c>
      <c r="N870" s="50" t="e">
        <f t="shared" si="204"/>
        <v>#VALUE!</v>
      </c>
      <c r="O870" s="50" t="e">
        <f t="shared" si="205"/>
        <v>#VALUE!</v>
      </c>
      <c r="P870" s="50">
        <f t="shared" si="206"/>
        <v>0</v>
      </c>
      <c r="R870" s="55" t="e">
        <f t="shared" si="207"/>
        <v>#VALUE!</v>
      </c>
      <c r="S870" s="55" t="e">
        <f t="shared" si="208"/>
        <v>#VALUE!</v>
      </c>
      <c r="T870" s="55" t="e">
        <f t="shared" si="213"/>
        <v>#VALUE!</v>
      </c>
      <c r="U870" s="50" t="e">
        <f t="shared" si="209"/>
        <v>#VALUE!</v>
      </c>
      <c r="V870" s="50" t="e">
        <f t="shared" si="210"/>
        <v>#VALUE!</v>
      </c>
      <c r="W870" s="50" t="e">
        <f t="shared" si="211"/>
        <v>#VALUE!</v>
      </c>
    </row>
    <row r="871" spans="2:23" x14ac:dyDescent="0.25">
      <c r="B871" s="50" t="b">
        <f t="shared" si="214"/>
        <v>0</v>
      </c>
      <c r="C871" s="50" t="e">
        <f t="shared" si="201"/>
        <v>#VALUE!</v>
      </c>
      <c r="E871" s="56">
        <v>867</v>
      </c>
      <c r="G871" s="138"/>
      <c r="H871" s="135">
        <v>1</v>
      </c>
      <c r="I871" s="57" t="str">
        <f t="shared" si="212"/>
        <v/>
      </c>
      <c r="J871" s="58" t="e">
        <f t="shared" si="202"/>
        <v>#VALUE!</v>
      </c>
      <c r="K871" s="50" t="e">
        <f t="shared" si="203"/>
        <v>#VALUE!</v>
      </c>
      <c r="L871" s="50" t="e">
        <f t="shared" si="215"/>
        <v>#VALUE!</v>
      </c>
      <c r="M871" s="50" t="e">
        <f t="shared" si="215"/>
        <v>#VALUE!</v>
      </c>
      <c r="N871" s="50" t="e">
        <f t="shared" si="204"/>
        <v>#VALUE!</v>
      </c>
      <c r="O871" s="50" t="e">
        <f t="shared" si="205"/>
        <v>#VALUE!</v>
      </c>
      <c r="P871" s="50">
        <f t="shared" si="206"/>
        <v>0</v>
      </c>
      <c r="R871" s="55" t="e">
        <f t="shared" si="207"/>
        <v>#VALUE!</v>
      </c>
      <c r="S871" s="55" t="e">
        <f t="shared" si="208"/>
        <v>#VALUE!</v>
      </c>
      <c r="T871" s="55" t="e">
        <f t="shared" si="213"/>
        <v>#VALUE!</v>
      </c>
      <c r="U871" s="50" t="e">
        <f t="shared" si="209"/>
        <v>#VALUE!</v>
      </c>
      <c r="V871" s="50" t="e">
        <f t="shared" si="210"/>
        <v>#VALUE!</v>
      </c>
      <c r="W871" s="50" t="e">
        <f t="shared" si="211"/>
        <v>#VALUE!</v>
      </c>
    </row>
    <row r="872" spans="2:23" x14ac:dyDescent="0.25">
      <c r="B872" s="50" t="b">
        <f t="shared" si="214"/>
        <v>0</v>
      </c>
      <c r="C872" s="50" t="e">
        <f t="shared" si="201"/>
        <v>#VALUE!</v>
      </c>
      <c r="E872" s="56">
        <v>868</v>
      </c>
      <c r="G872" s="138"/>
      <c r="H872" s="135">
        <v>1</v>
      </c>
      <c r="I872" s="57" t="str">
        <f t="shared" si="212"/>
        <v/>
      </c>
      <c r="J872" s="58" t="e">
        <f t="shared" si="202"/>
        <v>#VALUE!</v>
      </c>
      <c r="K872" s="50" t="e">
        <f t="shared" si="203"/>
        <v>#VALUE!</v>
      </c>
      <c r="L872" s="50" t="e">
        <f t="shared" si="215"/>
        <v>#VALUE!</v>
      </c>
      <c r="M872" s="50" t="e">
        <f t="shared" si="215"/>
        <v>#VALUE!</v>
      </c>
      <c r="N872" s="50" t="e">
        <f t="shared" si="204"/>
        <v>#VALUE!</v>
      </c>
      <c r="O872" s="50" t="e">
        <f t="shared" si="205"/>
        <v>#VALUE!</v>
      </c>
      <c r="P872" s="50">
        <f t="shared" si="206"/>
        <v>0</v>
      </c>
      <c r="R872" s="55" t="e">
        <f t="shared" si="207"/>
        <v>#VALUE!</v>
      </c>
      <c r="S872" s="55" t="e">
        <f t="shared" si="208"/>
        <v>#VALUE!</v>
      </c>
      <c r="T872" s="55" t="e">
        <f t="shared" si="213"/>
        <v>#VALUE!</v>
      </c>
      <c r="U872" s="50" t="e">
        <f t="shared" si="209"/>
        <v>#VALUE!</v>
      </c>
      <c r="V872" s="50" t="e">
        <f t="shared" si="210"/>
        <v>#VALUE!</v>
      </c>
      <c r="W872" s="50" t="e">
        <f t="shared" si="211"/>
        <v>#VALUE!</v>
      </c>
    </row>
    <row r="873" spans="2:23" x14ac:dyDescent="0.25">
      <c r="B873" s="50" t="b">
        <f t="shared" si="214"/>
        <v>0</v>
      </c>
      <c r="C873" s="50" t="e">
        <f t="shared" si="201"/>
        <v>#VALUE!</v>
      </c>
      <c r="E873" s="56">
        <v>869</v>
      </c>
      <c r="G873" s="138"/>
      <c r="H873" s="135">
        <v>1</v>
      </c>
      <c r="I873" s="57" t="str">
        <f t="shared" si="212"/>
        <v/>
      </c>
      <c r="J873" s="58" t="e">
        <f t="shared" si="202"/>
        <v>#VALUE!</v>
      </c>
      <c r="K873" s="50" t="e">
        <f t="shared" si="203"/>
        <v>#VALUE!</v>
      </c>
      <c r="L873" s="50" t="e">
        <f t="shared" si="215"/>
        <v>#VALUE!</v>
      </c>
      <c r="M873" s="50" t="e">
        <f t="shared" si="215"/>
        <v>#VALUE!</v>
      </c>
      <c r="N873" s="50" t="e">
        <f t="shared" si="204"/>
        <v>#VALUE!</v>
      </c>
      <c r="O873" s="50" t="e">
        <f t="shared" si="205"/>
        <v>#VALUE!</v>
      </c>
      <c r="P873" s="50">
        <f t="shared" si="206"/>
        <v>0</v>
      </c>
      <c r="R873" s="55" t="e">
        <f t="shared" si="207"/>
        <v>#VALUE!</v>
      </c>
      <c r="S873" s="55" t="e">
        <f t="shared" si="208"/>
        <v>#VALUE!</v>
      </c>
      <c r="T873" s="55" t="e">
        <f t="shared" si="213"/>
        <v>#VALUE!</v>
      </c>
      <c r="U873" s="50" t="e">
        <f t="shared" si="209"/>
        <v>#VALUE!</v>
      </c>
      <c r="V873" s="50" t="e">
        <f t="shared" si="210"/>
        <v>#VALUE!</v>
      </c>
      <c r="W873" s="50" t="e">
        <f t="shared" si="211"/>
        <v>#VALUE!</v>
      </c>
    </row>
    <row r="874" spans="2:23" x14ac:dyDescent="0.25">
      <c r="B874" s="50" t="b">
        <f t="shared" si="214"/>
        <v>0</v>
      </c>
      <c r="C874" s="50" t="e">
        <f t="shared" si="201"/>
        <v>#VALUE!</v>
      </c>
      <c r="E874" s="56">
        <v>870</v>
      </c>
      <c r="G874" s="138"/>
      <c r="H874" s="135">
        <v>1</v>
      </c>
      <c r="I874" s="57" t="str">
        <f t="shared" si="212"/>
        <v/>
      </c>
      <c r="J874" s="58" t="e">
        <f t="shared" si="202"/>
        <v>#VALUE!</v>
      </c>
      <c r="K874" s="50" t="e">
        <f t="shared" si="203"/>
        <v>#VALUE!</v>
      </c>
      <c r="L874" s="50" t="e">
        <f t="shared" si="215"/>
        <v>#VALUE!</v>
      </c>
      <c r="M874" s="50" t="e">
        <f t="shared" si="215"/>
        <v>#VALUE!</v>
      </c>
      <c r="N874" s="50" t="e">
        <f t="shared" si="204"/>
        <v>#VALUE!</v>
      </c>
      <c r="O874" s="50" t="e">
        <f t="shared" si="205"/>
        <v>#VALUE!</v>
      </c>
      <c r="P874" s="50">
        <f t="shared" si="206"/>
        <v>0</v>
      </c>
      <c r="R874" s="55" t="e">
        <f t="shared" si="207"/>
        <v>#VALUE!</v>
      </c>
      <c r="S874" s="55" t="e">
        <f t="shared" si="208"/>
        <v>#VALUE!</v>
      </c>
      <c r="T874" s="55" t="e">
        <f t="shared" si="213"/>
        <v>#VALUE!</v>
      </c>
      <c r="U874" s="50" t="e">
        <f t="shared" si="209"/>
        <v>#VALUE!</v>
      </c>
      <c r="V874" s="50" t="e">
        <f t="shared" si="210"/>
        <v>#VALUE!</v>
      </c>
      <c r="W874" s="50" t="e">
        <f t="shared" si="211"/>
        <v>#VALUE!</v>
      </c>
    </row>
    <row r="875" spans="2:23" x14ac:dyDescent="0.25">
      <c r="B875" s="50" t="b">
        <f t="shared" si="214"/>
        <v>0</v>
      </c>
      <c r="C875" s="50" t="e">
        <f t="shared" si="201"/>
        <v>#VALUE!</v>
      </c>
      <c r="E875" s="56">
        <v>871</v>
      </c>
      <c r="G875" s="138"/>
      <c r="H875" s="135">
        <v>1</v>
      </c>
      <c r="I875" s="57" t="str">
        <f t="shared" si="212"/>
        <v/>
      </c>
      <c r="J875" s="58" t="e">
        <f t="shared" si="202"/>
        <v>#VALUE!</v>
      </c>
      <c r="K875" s="50" t="e">
        <f t="shared" si="203"/>
        <v>#VALUE!</v>
      </c>
      <c r="L875" s="50" t="e">
        <f t="shared" si="215"/>
        <v>#VALUE!</v>
      </c>
      <c r="M875" s="50" t="e">
        <f t="shared" si="215"/>
        <v>#VALUE!</v>
      </c>
      <c r="N875" s="50" t="e">
        <f t="shared" si="204"/>
        <v>#VALUE!</v>
      </c>
      <c r="O875" s="50" t="e">
        <f t="shared" si="205"/>
        <v>#VALUE!</v>
      </c>
      <c r="P875" s="50">
        <f t="shared" si="206"/>
        <v>0</v>
      </c>
      <c r="R875" s="55" t="e">
        <f t="shared" si="207"/>
        <v>#VALUE!</v>
      </c>
      <c r="S875" s="55" t="e">
        <f t="shared" si="208"/>
        <v>#VALUE!</v>
      </c>
      <c r="T875" s="55" t="e">
        <f t="shared" si="213"/>
        <v>#VALUE!</v>
      </c>
      <c r="U875" s="50" t="e">
        <f t="shared" si="209"/>
        <v>#VALUE!</v>
      </c>
      <c r="V875" s="50" t="e">
        <f t="shared" si="210"/>
        <v>#VALUE!</v>
      </c>
      <c r="W875" s="50" t="e">
        <f t="shared" si="211"/>
        <v>#VALUE!</v>
      </c>
    </row>
    <row r="876" spans="2:23" x14ac:dyDescent="0.25">
      <c r="B876" s="50" t="b">
        <f t="shared" si="214"/>
        <v>0</v>
      </c>
      <c r="C876" s="50" t="e">
        <f t="shared" si="201"/>
        <v>#VALUE!</v>
      </c>
      <c r="E876" s="56">
        <v>872</v>
      </c>
      <c r="G876" s="138"/>
      <c r="H876" s="135">
        <v>1</v>
      </c>
      <c r="I876" s="57" t="str">
        <f t="shared" si="212"/>
        <v/>
      </c>
      <c r="J876" s="58" t="e">
        <f t="shared" si="202"/>
        <v>#VALUE!</v>
      </c>
      <c r="K876" s="50" t="e">
        <f t="shared" si="203"/>
        <v>#VALUE!</v>
      </c>
      <c r="L876" s="50" t="e">
        <f t="shared" si="215"/>
        <v>#VALUE!</v>
      </c>
      <c r="M876" s="50" t="e">
        <f t="shared" si="215"/>
        <v>#VALUE!</v>
      </c>
      <c r="N876" s="50" t="e">
        <f t="shared" si="204"/>
        <v>#VALUE!</v>
      </c>
      <c r="O876" s="50" t="e">
        <f t="shared" si="205"/>
        <v>#VALUE!</v>
      </c>
      <c r="P876" s="50">
        <f t="shared" si="206"/>
        <v>0</v>
      </c>
      <c r="R876" s="55" t="e">
        <f t="shared" si="207"/>
        <v>#VALUE!</v>
      </c>
      <c r="S876" s="55" t="e">
        <f t="shared" si="208"/>
        <v>#VALUE!</v>
      </c>
      <c r="T876" s="55" t="e">
        <f t="shared" si="213"/>
        <v>#VALUE!</v>
      </c>
      <c r="U876" s="50" t="e">
        <f t="shared" si="209"/>
        <v>#VALUE!</v>
      </c>
      <c r="V876" s="50" t="e">
        <f t="shared" si="210"/>
        <v>#VALUE!</v>
      </c>
      <c r="W876" s="50" t="e">
        <f t="shared" si="211"/>
        <v>#VALUE!</v>
      </c>
    </row>
    <row r="877" spans="2:23" x14ac:dyDescent="0.25">
      <c r="B877" s="50" t="b">
        <f t="shared" si="214"/>
        <v>0</v>
      </c>
      <c r="C877" s="50" t="e">
        <f t="shared" si="201"/>
        <v>#VALUE!</v>
      </c>
      <c r="E877" s="56">
        <v>873</v>
      </c>
      <c r="G877" s="138"/>
      <c r="H877" s="135">
        <v>1</v>
      </c>
      <c r="I877" s="57" t="str">
        <f t="shared" si="212"/>
        <v/>
      </c>
      <c r="J877" s="58" t="e">
        <f t="shared" si="202"/>
        <v>#VALUE!</v>
      </c>
      <c r="K877" s="50" t="e">
        <f t="shared" si="203"/>
        <v>#VALUE!</v>
      </c>
      <c r="L877" s="50" t="e">
        <f t="shared" si="215"/>
        <v>#VALUE!</v>
      </c>
      <c r="M877" s="50" t="e">
        <f t="shared" si="215"/>
        <v>#VALUE!</v>
      </c>
      <c r="N877" s="50" t="e">
        <f t="shared" si="204"/>
        <v>#VALUE!</v>
      </c>
      <c r="O877" s="50" t="e">
        <f t="shared" si="205"/>
        <v>#VALUE!</v>
      </c>
      <c r="P877" s="50">
        <f t="shared" si="206"/>
        <v>0</v>
      </c>
      <c r="R877" s="55" t="e">
        <f t="shared" si="207"/>
        <v>#VALUE!</v>
      </c>
      <c r="S877" s="55" t="e">
        <f t="shared" si="208"/>
        <v>#VALUE!</v>
      </c>
      <c r="T877" s="55" t="e">
        <f t="shared" si="213"/>
        <v>#VALUE!</v>
      </c>
      <c r="U877" s="50" t="e">
        <f t="shared" si="209"/>
        <v>#VALUE!</v>
      </c>
      <c r="V877" s="50" t="e">
        <f t="shared" si="210"/>
        <v>#VALUE!</v>
      </c>
      <c r="W877" s="50" t="e">
        <f t="shared" si="211"/>
        <v>#VALUE!</v>
      </c>
    </row>
    <row r="878" spans="2:23" x14ac:dyDescent="0.25">
      <c r="B878" s="50" t="b">
        <f t="shared" si="214"/>
        <v>0</v>
      </c>
      <c r="C878" s="50" t="e">
        <f t="shared" si="201"/>
        <v>#VALUE!</v>
      </c>
      <c r="E878" s="56">
        <v>874</v>
      </c>
      <c r="G878" s="138"/>
      <c r="H878" s="135">
        <v>1</v>
      </c>
      <c r="I878" s="57" t="str">
        <f t="shared" si="212"/>
        <v/>
      </c>
      <c r="J878" s="58" t="e">
        <f t="shared" si="202"/>
        <v>#VALUE!</v>
      </c>
      <c r="K878" s="50" t="e">
        <f t="shared" si="203"/>
        <v>#VALUE!</v>
      </c>
      <c r="L878" s="50" t="e">
        <f t="shared" si="215"/>
        <v>#VALUE!</v>
      </c>
      <c r="M878" s="50" t="e">
        <f t="shared" si="215"/>
        <v>#VALUE!</v>
      </c>
      <c r="N878" s="50" t="e">
        <f t="shared" si="204"/>
        <v>#VALUE!</v>
      </c>
      <c r="O878" s="50" t="e">
        <f t="shared" si="205"/>
        <v>#VALUE!</v>
      </c>
      <c r="P878" s="50">
        <f t="shared" si="206"/>
        <v>0</v>
      </c>
      <c r="R878" s="55" t="e">
        <f t="shared" si="207"/>
        <v>#VALUE!</v>
      </c>
      <c r="S878" s="55" t="e">
        <f t="shared" si="208"/>
        <v>#VALUE!</v>
      </c>
      <c r="T878" s="55" t="e">
        <f t="shared" si="213"/>
        <v>#VALUE!</v>
      </c>
      <c r="U878" s="50" t="e">
        <f t="shared" si="209"/>
        <v>#VALUE!</v>
      </c>
      <c r="V878" s="50" t="e">
        <f t="shared" si="210"/>
        <v>#VALUE!</v>
      </c>
      <c r="W878" s="50" t="e">
        <f t="shared" si="211"/>
        <v>#VALUE!</v>
      </c>
    </row>
    <row r="879" spans="2:23" x14ac:dyDescent="0.25">
      <c r="B879" s="50" t="b">
        <f t="shared" si="214"/>
        <v>0</v>
      </c>
      <c r="C879" s="50" t="e">
        <f t="shared" si="201"/>
        <v>#VALUE!</v>
      </c>
      <c r="E879" s="56">
        <v>875</v>
      </c>
      <c r="G879" s="138"/>
      <c r="H879" s="135">
        <v>1</v>
      </c>
      <c r="I879" s="57" t="str">
        <f t="shared" si="212"/>
        <v/>
      </c>
      <c r="J879" s="58" t="e">
        <f t="shared" si="202"/>
        <v>#VALUE!</v>
      </c>
      <c r="K879" s="50" t="e">
        <f t="shared" si="203"/>
        <v>#VALUE!</v>
      </c>
      <c r="L879" s="50" t="e">
        <f t="shared" si="215"/>
        <v>#VALUE!</v>
      </c>
      <c r="M879" s="50" t="e">
        <f t="shared" si="215"/>
        <v>#VALUE!</v>
      </c>
      <c r="N879" s="50" t="e">
        <f t="shared" si="204"/>
        <v>#VALUE!</v>
      </c>
      <c r="O879" s="50" t="e">
        <f t="shared" si="205"/>
        <v>#VALUE!</v>
      </c>
      <c r="P879" s="50">
        <f t="shared" si="206"/>
        <v>0</v>
      </c>
      <c r="R879" s="55" t="e">
        <f t="shared" si="207"/>
        <v>#VALUE!</v>
      </c>
      <c r="S879" s="55" t="e">
        <f t="shared" si="208"/>
        <v>#VALUE!</v>
      </c>
      <c r="T879" s="55" t="e">
        <f t="shared" si="213"/>
        <v>#VALUE!</v>
      </c>
      <c r="U879" s="50" t="e">
        <f t="shared" si="209"/>
        <v>#VALUE!</v>
      </c>
      <c r="V879" s="50" t="e">
        <f t="shared" si="210"/>
        <v>#VALUE!</v>
      </c>
      <c r="W879" s="50" t="e">
        <f t="shared" si="211"/>
        <v>#VALUE!</v>
      </c>
    </row>
    <row r="880" spans="2:23" x14ac:dyDescent="0.25">
      <c r="B880" s="50" t="b">
        <f t="shared" si="214"/>
        <v>0</v>
      </c>
      <c r="C880" s="50" t="e">
        <f t="shared" si="201"/>
        <v>#VALUE!</v>
      </c>
      <c r="E880" s="56">
        <v>876</v>
      </c>
      <c r="G880" s="138"/>
      <c r="H880" s="135">
        <v>1</v>
      </c>
      <c r="I880" s="57" t="str">
        <f t="shared" si="212"/>
        <v/>
      </c>
      <c r="J880" s="58" t="e">
        <f t="shared" si="202"/>
        <v>#VALUE!</v>
      </c>
      <c r="K880" s="50" t="e">
        <f t="shared" si="203"/>
        <v>#VALUE!</v>
      </c>
      <c r="L880" s="50" t="e">
        <f t="shared" si="215"/>
        <v>#VALUE!</v>
      </c>
      <c r="M880" s="50" t="e">
        <f t="shared" si="215"/>
        <v>#VALUE!</v>
      </c>
      <c r="N880" s="50" t="e">
        <f t="shared" si="204"/>
        <v>#VALUE!</v>
      </c>
      <c r="O880" s="50" t="e">
        <f t="shared" si="205"/>
        <v>#VALUE!</v>
      </c>
      <c r="P880" s="50">
        <f t="shared" si="206"/>
        <v>0</v>
      </c>
      <c r="R880" s="55" t="e">
        <f t="shared" si="207"/>
        <v>#VALUE!</v>
      </c>
      <c r="S880" s="55" t="e">
        <f t="shared" si="208"/>
        <v>#VALUE!</v>
      </c>
      <c r="T880" s="55" t="e">
        <f t="shared" si="213"/>
        <v>#VALUE!</v>
      </c>
      <c r="U880" s="50" t="e">
        <f t="shared" si="209"/>
        <v>#VALUE!</v>
      </c>
      <c r="V880" s="50" t="e">
        <f t="shared" si="210"/>
        <v>#VALUE!</v>
      </c>
      <c r="W880" s="50" t="e">
        <f t="shared" si="211"/>
        <v>#VALUE!</v>
      </c>
    </row>
    <row r="881" spans="2:23" x14ac:dyDescent="0.25">
      <c r="B881" s="50" t="b">
        <f t="shared" si="214"/>
        <v>0</v>
      </c>
      <c r="C881" s="50" t="e">
        <f t="shared" si="201"/>
        <v>#VALUE!</v>
      </c>
      <c r="E881" s="56">
        <v>877</v>
      </c>
      <c r="G881" s="138"/>
      <c r="H881" s="135">
        <v>1</v>
      </c>
      <c r="I881" s="57" t="str">
        <f t="shared" si="212"/>
        <v/>
      </c>
      <c r="J881" s="58" t="e">
        <f t="shared" si="202"/>
        <v>#VALUE!</v>
      </c>
      <c r="K881" s="50" t="e">
        <f t="shared" si="203"/>
        <v>#VALUE!</v>
      </c>
      <c r="L881" s="50" t="e">
        <f t="shared" si="215"/>
        <v>#VALUE!</v>
      </c>
      <c r="M881" s="50" t="e">
        <f t="shared" si="215"/>
        <v>#VALUE!</v>
      </c>
      <c r="N881" s="50" t="e">
        <f t="shared" si="204"/>
        <v>#VALUE!</v>
      </c>
      <c r="O881" s="50" t="e">
        <f t="shared" si="205"/>
        <v>#VALUE!</v>
      </c>
      <c r="P881" s="50">
        <f t="shared" si="206"/>
        <v>0</v>
      </c>
      <c r="R881" s="55" t="e">
        <f t="shared" si="207"/>
        <v>#VALUE!</v>
      </c>
      <c r="S881" s="55" t="e">
        <f t="shared" si="208"/>
        <v>#VALUE!</v>
      </c>
      <c r="T881" s="55" t="e">
        <f t="shared" si="213"/>
        <v>#VALUE!</v>
      </c>
      <c r="U881" s="50" t="e">
        <f t="shared" si="209"/>
        <v>#VALUE!</v>
      </c>
      <c r="V881" s="50" t="e">
        <f t="shared" si="210"/>
        <v>#VALUE!</v>
      </c>
      <c r="W881" s="50" t="e">
        <f t="shared" si="211"/>
        <v>#VALUE!</v>
      </c>
    </row>
    <row r="882" spans="2:23" x14ac:dyDescent="0.25">
      <c r="B882" s="50" t="b">
        <f t="shared" si="214"/>
        <v>0</v>
      </c>
      <c r="C882" s="50" t="e">
        <f t="shared" si="201"/>
        <v>#VALUE!</v>
      </c>
      <c r="E882" s="56">
        <v>878</v>
      </c>
      <c r="G882" s="138"/>
      <c r="H882" s="135">
        <v>1</v>
      </c>
      <c r="I882" s="57" t="str">
        <f t="shared" si="212"/>
        <v/>
      </c>
      <c r="J882" s="58" t="e">
        <f t="shared" si="202"/>
        <v>#VALUE!</v>
      </c>
      <c r="K882" s="50" t="e">
        <f t="shared" si="203"/>
        <v>#VALUE!</v>
      </c>
      <c r="L882" s="50" t="e">
        <f t="shared" si="215"/>
        <v>#VALUE!</v>
      </c>
      <c r="M882" s="50" t="e">
        <f t="shared" si="215"/>
        <v>#VALUE!</v>
      </c>
      <c r="N882" s="50" t="e">
        <f t="shared" si="204"/>
        <v>#VALUE!</v>
      </c>
      <c r="O882" s="50" t="e">
        <f t="shared" si="205"/>
        <v>#VALUE!</v>
      </c>
      <c r="P882" s="50">
        <f t="shared" si="206"/>
        <v>0</v>
      </c>
      <c r="R882" s="55" t="e">
        <f t="shared" si="207"/>
        <v>#VALUE!</v>
      </c>
      <c r="S882" s="55" t="e">
        <f t="shared" si="208"/>
        <v>#VALUE!</v>
      </c>
      <c r="T882" s="55" t="e">
        <f t="shared" si="213"/>
        <v>#VALUE!</v>
      </c>
      <c r="U882" s="50" t="e">
        <f t="shared" si="209"/>
        <v>#VALUE!</v>
      </c>
      <c r="V882" s="50" t="e">
        <f t="shared" si="210"/>
        <v>#VALUE!</v>
      </c>
      <c r="W882" s="50" t="e">
        <f t="shared" si="211"/>
        <v>#VALUE!</v>
      </c>
    </row>
    <row r="883" spans="2:23" x14ac:dyDescent="0.25">
      <c r="B883" s="50" t="b">
        <f t="shared" si="214"/>
        <v>0</v>
      </c>
      <c r="C883" s="50" t="e">
        <f t="shared" si="201"/>
        <v>#VALUE!</v>
      </c>
      <c r="E883" s="56">
        <v>879</v>
      </c>
      <c r="G883" s="138"/>
      <c r="H883" s="135">
        <v>1</v>
      </c>
      <c r="I883" s="57" t="str">
        <f t="shared" si="212"/>
        <v/>
      </c>
      <c r="J883" s="58" t="e">
        <f t="shared" si="202"/>
        <v>#VALUE!</v>
      </c>
      <c r="K883" s="50" t="e">
        <f t="shared" si="203"/>
        <v>#VALUE!</v>
      </c>
      <c r="L883" s="50" t="e">
        <f t="shared" si="215"/>
        <v>#VALUE!</v>
      </c>
      <c r="M883" s="50" t="e">
        <f t="shared" si="215"/>
        <v>#VALUE!</v>
      </c>
      <c r="N883" s="50" t="e">
        <f t="shared" si="204"/>
        <v>#VALUE!</v>
      </c>
      <c r="O883" s="50" t="e">
        <f t="shared" si="205"/>
        <v>#VALUE!</v>
      </c>
      <c r="P883" s="50">
        <f t="shared" si="206"/>
        <v>0</v>
      </c>
      <c r="R883" s="55" t="e">
        <f t="shared" si="207"/>
        <v>#VALUE!</v>
      </c>
      <c r="S883" s="55" t="e">
        <f t="shared" si="208"/>
        <v>#VALUE!</v>
      </c>
      <c r="T883" s="55" t="e">
        <f t="shared" si="213"/>
        <v>#VALUE!</v>
      </c>
      <c r="U883" s="50" t="e">
        <f t="shared" si="209"/>
        <v>#VALUE!</v>
      </c>
      <c r="V883" s="50" t="e">
        <f t="shared" si="210"/>
        <v>#VALUE!</v>
      </c>
      <c r="W883" s="50" t="e">
        <f t="shared" si="211"/>
        <v>#VALUE!</v>
      </c>
    </row>
    <row r="884" spans="2:23" x14ac:dyDescent="0.25">
      <c r="B884" s="50" t="b">
        <f t="shared" si="214"/>
        <v>0</v>
      </c>
      <c r="C884" s="50" t="e">
        <f t="shared" si="201"/>
        <v>#VALUE!</v>
      </c>
      <c r="E884" s="56">
        <v>880</v>
      </c>
      <c r="G884" s="138"/>
      <c r="H884" s="135">
        <v>1</v>
      </c>
      <c r="I884" s="57" t="str">
        <f t="shared" si="212"/>
        <v/>
      </c>
      <c r="J884" s="58" t="e">
        <f t="shared" si="202"/>
        <v>#VALUE!</v>
      </c>
      <c r="K884" s="50" t="e">
        <f t="shared" si="203"/>
        <v>#VALUE!</v>
      </c>
      <c r="L884" s="50" t="e">
        <f t="shared" si="215"/>
        <v>#VALUE!</v>
      </c>
      <c r="M884" s="50" t="e">
        <f t="shared" si="215"/>
        <v>#VALUE!</v>
      </c>
      <c r="N884" s="50" t="e">
        <f t="shared" si="204"/>
        <v>#VALUE!</v>
      </c>
      <c r="O884" s="50" t="e">
        <f t="shared" si="205"/>
        <v>#VALUE!</v>
      </c>
      <c r="P884" s="50">
        <f t="shared" si="206"/>
        <v>0</v>
      </c>
      <c r="R884" s="55" t="e">
        <f t="shared" si="207"/>
        <v>#VALUE!</v>
      </c>
      <c r="S884" s="55" t="e">
        <f t="shared" si="208"/>
        <v>#VALUE!</v>
      </c>
      <c r="T884" s="55" t="e">
        <f t="shared" si="213"/>
        <v>#VALUE!</v>
      </c>
      <c r="U884" s="50" t="e">
        <f t="shared" si="209"/>
        <v>#VALUE!</v>
      </c>
      <c r="V884" s="50" t="e">
        <f t="shared" si="210"/>
        <v>#VALUE!</v>
      </c>
      <c r="W884" s="50" t="e">
        <f t="shared" si="211"/>
        <v>#VALUE!</v>
      </c>
    </row>
    <row r="885" spans="2:23" x14ac:dyDescent="0.25">
      <c r="B885" s="50" t="b">
        <f t="shared" si="214"/>
        <v>0</v>
      </c>
      <c r="C885" s="50" t="e">
        <f t="shared" si="201"/>
        <v>#VALUE!</v>
      </c>
      <c r="E885" s="56">
        <v>881</v>
      </c>
      <c r="G885" s="138"/>
      <c r="H885" s="135">
        <v>1</v>
      </c>
      <c r="I885" s="57" t="str">
        <f t="shared" si="212"/>
        <v/>
      </c>
      <c r="J885" s="58" t="e">
        <f t="shared" si="202"/>
        <v>#VALUE!</v>
      </c>
      <c r="K885" s="50" t="e">
        <f t="shared" si="203"/>
        <v>#VALUE!</v>
      </c>
      <c r="L885" s="50" t="e">
        <f t="shared" si="215"/>
        <v>#VALUE!</v>
      </c>
      <c r="M885" s="50" t="e">
        <f t="shared" si="215"/>
        <v>#VALUE!</v>
      </c>
      <c r="N885" s="50" t="e">
        <f t="shared" si="204"/>
        <v>#VALUE!</v>
      </c>
      <c r="O885" s="50" t="e">
        <f t="shared" si="205"/>
        <v>#VALUE!</v>
      </c>
      <c r="P885" s="50">
        <f t="shared" si="206"/>
        <v>0</v>
      </c>
      <c r="R885" s="55" t="e">
        <f t="shared" si="207"/>
        <v>#VALUE!</v>
      </c>
      <c r="S885" s="55" t="e">
        <f t="shared" si="208"/>
        <v>#VALUE!</v>
      </c>
      <c r="T885" s="55" t="e">
        <f t="shared" si="213"/>
        <v>#VALUE!</v>
      </c>
      <c r="U885" s="50" t="e">
        <f t="shared" si="209"/>
        <v>#VALUE!</v>
      </c>
      <c r="V885" s="50" t="e">
        <f t="shared" si="210"/>
        <v>#VALUE!</v>
      </c>
      <c r="W885" s="50" t="e">
        <f t="shared" si="211"/>
        <v>#VALUE!</v>
      </c>
    </row>
    <row r="886" spans="2:23" x14ac:dyDescent="0.25">
      <c r="B886" s="50" t="b">
        <f t="shared" si="214"/>
        <v>0</v>
      </c>
      <c r="C886" s="50" t="e">
        <f t="shared" ref="C886:C949" si="216">SUM(U886:W886)</f>
        <v>#VALUE!</v>
      </c>
      <c r="E886" s="56">
        <v>882</v>
      </c>
      <c r="G886" s="138"/>
      <c r="H886" s="135">
        <v>1</v>
      </c>
      <c r="I886" s="57" t="str">
        <f t="shared" si="212"/>
        <v/>
      </c>
      <c r="J886" s="58" t="e">
        <f t="shared" si="202"/>
        <v>#VALUE!</v>
      </c>
      <c r="K886" s="50" t="e">
        <f t="shared" si="203"/>
        <v>#VALUE!</v>
      </c>
      <c r="L886" s="50" t="e">
        <f t="shared" si="215"/>
        <v>#VALUE!</v>
      </c>
      <c r="M886" s="50" t="e">
        <f t="shared" si="215"/>
        <v>#VALUE!</v>
      </c>
      <c r="N886" s="50" t="e">
        <f t="shared" si="204"/>
        <v>#VALUE!</v>
      </c>
      <c r="O886" s="50" t="e">
        <f t="shared" si="205"/>
        <v>#VALUE!</v>
      </c>
      <c r="P886" s="50">
        <f t="shared" si="206"/>
        <v>0</v>
      </c>
      <c r="R886" s="55" t="e">
        <f t="shared" si="207"/>
        <v>#VALUE!</v>
      </c>
      <c r="S886" s="55" t="e">
        <f t="shared" si="208"/>
        <v>#VALUE!</v>
      </c>
      <c r="T886" s="55" t="e">
        <f t="shared" si="213"/>
        <v>#VALUE!</v>
      </c>
      <c r="U886" s="50" t="e">
        <f t="shared" si="209"/>
        <v>#VALUE!</v>
      </c>
      <c r="V886" s="50" t="e">
        <f t="shared" si="210"/>
        <v>#VALUE!</v>
      </c>
      <c r="W886" s="50" t="e">
        <f t="shared" si="211"/>
        <v>#VALUE!</v>
      </c>
    </row>
    <row r="887" spans="2:23" x14ac:dyDescent="0.25">
      <c r="B887" s="50" t="b">
        <f t="shared" si="214"/>
        <v>0</v>
      </c>
      <c r="C887" s="50" t="e">
        <f t="shared" si="216"/>
        <v>#VALUE!</v>
      </c>
      <c r="E887" s="56">
        <v>883</v>
      </c>
      <c r="G887" s="138"/>
      <c r="H887" s="135">
        <v>1</v>
      </c>
      <c r="I887" s="57" t="str">
        <f t="shared" si="212"/>
        <v/>
      </c>
      <c r="J887" s="58" t="e">
        <f t="shared" si="202"/>
        <v>#VALUE!</v>
      </c>
      <c r="K887" s="50" t="e">
        <f t="shared" si="203"/>
        <v>#VALUE!</v>
      </c>
      <c r="L887" s="50" t="e">
        <f t="shared" si="215"/>
        <v>#VALUE!</v>
      </c>
      <c r="M887" s="50" t="e">
        <f t="shared" si="215"/>
        <v>#VALUE!</v>
      </c>
      <c r="N887" s="50" t="e">
        <f t="shared" si="204"/>
        <v>#VALUE!</v>
      </c>
      <c r="O887" s="50" t="e">
        <f t="shared" si="205"/>
        <v>#VALUE!</v>
      </c>
      <c r="P887" s="50">
        <f t="shared" si="206"/>
        <v>0</v>
      </c>
      <c r="R887" s="55" t="e">
        <f t="shared" si="207"/>
        <v>#VALUE!</v>
      </c>
      <c r="S887" s="55" t="e">
        <f t="shared" si="208"/>
        <v>#VALUE!</v>
      </c>
      <c r="T887" s="55" t="e">
        <f t="shared" si="213"/>
        <v>#VALUE!</v>
      </c>
      <c r="U887" s="50" t="e">
        <f t="shared" si="209"/>
        <v>#VALUE!</v>
      </c>
      <c r="V887" s="50" t="e">
        <f t="shared" si="210"/>
        <v>#VALUE!</v>
      </c>
      <c r="W887" s="50" t="e">
        <f t="shared" si="211"/>
        <v>#VALUE!</v>
      </c>
    </row>
    <row r="888" spans="2:23" x14ac:dyDescent="0.25">
      <c r="B888" s="50" t="b">
        <f t="shared" si="214"/>
        <v>0</v>
      </c>
      <c r="C888" s="50" t="e">
        <f t="shared" si="216"/>
        <v>#VALUE!</v>
      </c>
      <c r="E888" s="56">
        <v>884</v>
      </c>
      <c r="G888" s="138"/>
      <c r="H888" s="135">
        <v>1</v>
      </c>
      <c r="I888" s="57" t="str">
        <f t="shared" si="212"/>
        <v/>
      </c>
      <c r="J888" s="58" t="e">
        <f t="shared" si="202"/>
        <v>#VALUE!</v>
      </c>
      <c r="K888" s="50" t="e">
        <f t="shared" si="203"/>
        <v>#VALUE!</v>
      </c>
      <c r="L888" s="50" t="e">
        <f t="shared" si="215"/>
        <v>#VALUE!</v>
      </c>
      <c r="M888" s="50" t="e">
        <f t="shared" si="215"/>
        <v>#VALUE!</v>
      </c>
      <c r="N888" s="50" t="e">
        <f t="shared" si="204"/>
        <v>#VALUE!</v>
      </c>
      <c r="O888" s="50" t="e">
        <f t="shared" si="205"/>
        <v>#VALUE!</v>
      </c>
      <c r="P888" s="50">
        <f t="shared" si="206"/>
        <v>0</v>
      </c>
      <c r="R888" s="55" t="e">
        <f t="shared" si="207"/>
        <v>#VALUE!</v>
      </c>
      <c r="S888" s="55" t="e">
        <f t="shared" si="208"/>
        <v>#VALUE!</v>
      </c>
      <c r="T888" s="55" t="e">
        <f t="shared" si="213"/>
        <v>#VALUE!</v>
      </c>
      <c r="U888" s="50" t="e">
        <f t="shared" si="209"/>
        <v>#VALUE!</v>
      </c>
      <c r="V888" s="50" t="e">
        <f t="shared" si="210"/>
        <v>#VALUE!</v>
      </c>
      <c r="W888" s="50" t="e">
        <f t="shared" si="211"/>
        <v>#VALUE!</v>
      </c>
    </row>
    <row r="889" spans="2:23" x14ac:dyDescent="0.25">
      <c r="B889" s="50" t="b">
        <f t="shared" si="214"/>
        <v>0</v>
      </c>
      <c r="C889" s="50" t="e">
        <f t="shared" si="216"/>
        <v>#VALUE!</v>
      </c>
      <c r="E889" s="56">
        <v>885</v>
      </c>
      <c r="G889" s="138"/>
      <c r="H889" s="135">
        <v>1</v>
      </c>
      <c r="I889" s="57" t="str">
        <f t="shared" si="212"/>
        <v/>
      </c>
      <c r="J889" s="58" t="e">
        <f t="shared" si="202"/>
        <v>#VALUE!</v>
      </c>
      <c r="K889" s="50" t="e">
        <f t="shared" si="203"/>
        <v>#VALUE!</v>
      </c>
      <c r="L889" s="50" t="e">
        <f t="shared" si="215"/>
        <v>#VALUE!</v>
      </c>
      <c r="M889" s="50" t="e">
        <f t="shared" si="215"/>
        <v>#VALUE!</v>
      </c>
      <c r="N889" s="50" t="e">
        <f t="shared" si="204"/>
        <v>#VALUE!</v>
      </c>
      <c r="O889" s="50" t="e">
        <f t="shared" si="205"/>
        <v>#VALUE!</v>
      </c>
      <c r="P889" s="50">
        <f t="shared" si="206"/>
        <v>0</v>
      </c>
      <c r="R889" s="55" t="e">
        <f t="shared" si="207"/>
        <v>#VALUE!</v>
      </c>
      <c r="S889" s="55" t="e">
        <f t="shared" si="208"/>
        <v>#VALUE!</v>
      </c>
      <c r="T889" s="55" t="e">
        <f t="shared" si="213"/>
        <v>#VALUE!</v>
      </c>
      <c r="U889" s="50" t="e">
        <f t="shared" si="209"/>
        <v>#VALUE!</v>
      </c>
      <c r="V889" s="50" t="e">
        <f t="shared" si="210"/>
        <v>#VALUE!</v>
      </c>
      <c r="W889" s="50" t="e">
        <f t="shared" si="211"/>
        <v>#VALUE!</v>
      </c>
    </row>
    <row r="890" spans="2:23" x14ac:dyDescent="0.25">
      <c r="B890" s="50" t="b">
        <f t="shared" si="214"/>
        <v>0</v>
      </c>
      <c r="C890" s="50" t="e">
        <f t="shared" si="216"/>
        <v>#VALUE!</v>
      </c>
      <c r="E890" s="56">
        <v>886</v>
      </c>
      <c r="G890" s="138"/>
      <c r="H890" s="135">
        <v>1</v>
      </c>
      <c r="I890" s="57" t="str">
        <f t="shared" si="212"/>
        <v/>
      </c>
      <c r="J890" s="58" t="e">
        <f t="shared" si="202"/>
        <v>#VALUE!</v>
      </c>
      <c r="K890" s="50" t="e">
        <f t="shared" si="203"/>
        <v>#VALUE!</v>
      </c>
      <c r="L890" s="50" t="e">
        <f t="shared" si="215"/>
        <v>#VALUE!</v>
      </c>
      <c r="M890" s="50" t="e">
        <f t="shared" si="215"/>
        <v>#VALUE!</v>
      </c>
      <c r="N890" s="50" t="e">
        <f t="shared" si="204"/>
        <v>#VALUE!</v>
      </c>
      <c r="O890" s="50" t="e">
        <f t="shared" si="205"/>
        <v>#VALUE!</v>
      </c>
      <c r="P890" s="50">
        <f t="shared" si="206"/>
        <v>0</v>
      </c>
      <c r="R890" s="55" t="e">
        <f t="shared" si="207"/>
        <v>#VALUE!</v>
      </c>
      <c r="S890" s="55" t="e">
        <f t="shared" si="208"/>
        <v>#VALUE!</v>
      </c>
      <c r="T890" s="55" t="e">
        <f t="shared" si="213"/>
        <v>#VALUE!</v>
      </c>
      <c r="U890" s="50" t="e">
        <f t="shared" si="209"/>
        <v>#VALUE!</v>
      </c>
      <c r="V890" s="50" t="e">
        <f t="shared" si="210"/>
        <v>#VALUE!</v>
      </c>
      <c r="W890" s="50" t="e">
        <f t="shared" si="211"/>
        <v>#VALUE!</v>
      </c>
    </row>
    <row r="891" spans="2:23" x14ac:dyDescent="0.25">
      <c r="B891" s="50" t="b">
        <f t="shared" si="214"/>
        <v>0</v>
      </c>
      <c r="C891" s="50" t="e">
        <f t="shared" si="216"/>
        <v>#VALUE!</v>
      </c>
      <c r="E891" s="56">
        <v>887</v>
      </c>
      <c r="G891" s="138"/>
      <c r="H891" s="135">
        <v>1</v>
      </c>
      <c r="I891" s="57" t="str">
        <f t="shared" si="212"/>
        <v/>
      </c>
      <c r="J891" s="58" t="e">
        <f t="shared" si="202"/>
        <v>#VALUE!</v>
      </c>
      <c r="K891" s="50" t="e">
        <f t="shared" si="203"/>
        <v>#VALUE!</v>
      </c>
      <c r="L891" s="50" t="e">
        <f t="shared" si="215"/>
        <v>#VALUE!</v>
      </c>
      <c r="M891" s="50" t="e">
        <f t="shared" si="215"/>
        <v>#VALUE!</v>
      </c>
      <c r="N891" s="50" t="e">
        <f t="shared" si="204"/>
        <v>#VALUE!</v>
      </c>
      <c r="O891" s="50" t="e">
        <f t="shared" si="205"/>
        <v>#VALUE!</v>
      </c>
      <c r="P891" s="50">
        <f t="shared" si="206"/>
        <v>0</v>
      </c>
      <c r="R891" s="55" t="e">
        <f t="shared" si="207"/>
        <v>#VALUE!</v>
      </c>
      <c r="S891" s="55" t="e">
        <f t="shared" si="208"/>
        <v>#VALUE!</v>
      </c>
      <c r="T891" s="55" t="e">
        <f t="shared" si="213"/>
        <v>#VALUE!</v>
      </c>
      <c r="U891" s="50" t="e">
        <f t="shared" si="209"/>
        <v>#VALUE!</v>
      </c>
      <c r="V891" s="50" t="e">
        <f t="shared" si="210"/>
        <v>#VALUE!</v>
      </c>
      <c r="W891" s="50" t="e">
        <f t="shared" si="211"/>
        <v>#VALUE!</v>
      </c>
    </row>
    <row r="892" spans="2:23" x14ac:dyDescent="0.25">
      <c r="B892" s="50" t="b">
        <f t="shared" si="214"/>
        <v>0</v>
      </c>
      <c r="C892" s="50" t="e">
        <f t="shared" si="216"/>
        <v>#VALUE!</v>
      </c>
      <c r="E892" s="56">
        <v>888</v>
      </c>
      <c r="G892" s="138"/>
      <c r="H892" s="135">
        <v>1</v>
      </c>
      <c r="I892" s="57" t="str">
        <f t="shared" si="212"/>
        <v/>
      </c>
      <c r="J892" s="58" t="e">
        <f t="shared" si="202"/>
        <v>#VALUE!</v>
      </c>
      <c r="K892" s="50" t="e">
        <f t="shared" si="203"/>
        <v>#VALUE!</v>
      </c>
      <c r="L892" s="50" t="e">
        <f t="shared" si="215"/>
        <v>#VALUE!</v>
      </c>
      <c r="M892" s="50" t="e">
        <f t="shared" si="215"/>
        <v>#VALUE!</v>
      </c>
      <c r="N892" s="50" t="e">
        <f t="shared" si="204"/>
        <v>#VALUE!</v>
      </c>
      <c r="O892" s="50" t="e">
        <f t="shared" si="205"/>
        <v>#VALUE!</v>
      </c>
      <c r="P892" s="50">
        <f t="shared" si="206"/>
        <v>0</v>
      </c>
      <c r="R892" s="55" t="e">
        <f t="shared" si="207"/>
        <v>#VALUE!</v>
      </c>
      <c r="S892" s="55" t="e">
        <f t="shared" si="208"/>
        <v>#VALUE!</v>
      </c>
      <c r="T892" s="55" t="e">
        <f t="shared" si="213"/>
        <v>#VALUE!</v>
      </c>
      <c r="U892" s="50" t="e">
        <f t="shared" si="209"/>
        <v>#VALUE!</v>
      </c>
      <c r="V892" s="50" t="e">
        <f t="shared" si="210"/>
        <v>#VALUE!</v>
      </c>
      <c r="W892" s="50" t="e">
        <f t="shared" si="211"/>
        <v>#VALUE!</v>
      </c>
    </row>
    <row r="893" spans="2:23" x14ac:dyDescent="0.25">
      <c r="B893" s="50" t="b">
        <f t="shared" si="214"/>
        <v>0</v>
      </c>
      <c r="C893" s="50" t="e">
        <f t="shared" si="216"/>
        <v>#VALUE!</v>
      </c>
      <c r="E893" s="56">
        <v>889</v>
      </c>
      <c r="G893" s="138"/>
      <c r="H893" s="135">
        <v>1</v>
      </c>
      <c r="I893" s="57" t="str">
        <f t="shared" si="212"/>
        <v/>
      </c>
      <c r="J893" s="58" t="e">
        <f t="shared" si="202"/>
        <v>#VALUE!</v>
      </c>
      <c r="K893" s="50" t="e">
        <f t="shared" si="203"/>
        <v>#VALUE!</v>
      </c>
      <c r="L893" s="50" t="e">
        <f t="shared" si="215"/>
        <v>#VALUE!</v>
      </c>
      <c r="M893" s="50" t="e">
        <f t="shared" si="215"/>
        <v>#VALUE!</v>
      </c>
      <c r="N893" s="50" t="e">
        <f t="shared" si="204"/>
        <v>#VALUE!</v>
      </c>
      <c r="O893" s="50" t="e">
        <f t="shared" si="205"/>
        <v>#VALUE!</v>
      </c>
      <c r="P893" s="50">
        <f t="shared" si="206"/>
        <v>0</v>
      </c>
      <c r="R893" s="55" t="e">
        <f t="shared" si="207"/>
        <v>#VALUE!</v>
      </c>
      <c r="S893" s="55" t="e">
        <f t="shared" si="208"/>
        <v>#VALUE!</v>
      </c>
      <c r="T893" s="55" t="e">
        <f t="shared" si="213"/>
        <v>#VALUE!</v>
      </c>
      <c r="U893" s="50" t="e">
        <f t="shared" si="209"/>
        <v>#VALUE!</v>
      </c>
      <c r="V893" s="50" t="e">
        <f t="shared" si="210"/>
        <v>#VALUE!</v>
      </c>
      <c r="W893" s="50" t="e">
        <f t="shared" si="211"/>
        <v>#VALUE!</v>
      </c>
    </row>
    <row r="894" spans="2:23" x14ac:dyDescent="0.25">
      <c r="B894" s="50" t="b">
        <f t="shared" si="214"/>
        <v>0</v>
      </c>
      <c r="C894" s="50" t="e">
        <f t="shared" si="216"/>
        <v>#VALUE!</v>
      </c>
      <c r="E894" s="56">
        <v>890</v>
      </c>
      <c r="G894" s="138"/>
      <c r="H894" s="135">
        <v>1</v>
      </c>
      <c r="I894" s="57" t="str">
        <f t="shared" si="212"/>
        <v/>
      </c>
      <c r="J894" s="58" t="e">
        <f t="shared" si="202"/>
        <v>#VALUE!</v>
      </c>
      <c r="K894" s="50" t="e">
        <f t="shared" si="203"/>
        <v>#VALUE!</v>
      </c>
      <c r="L894" s="50" t="e">
        <f t="shared" si="215"/>
        <v>#VALUE!</v>
      </c>
      <c r="M894" s="50" t="e">
        <f t="shared" si="215"/>
        <v>#VALUE!</v>
      </c>
      <c r="N894" s="50" t="e">
        <f t="shared" si="204"/>
        <v>#VALUE!</v>
      </c>
      <c r="O894" s="50" t="e">
        <f t="shared" si="205"/>
        <v>#VALUE!</v>
      </c>
      <c r="P894" s="50">
        <f t="shared" si="206"/>
        <v>0</v>
      </c>
      <c r="R894" s="55" t="e">
        <f t="shared" si="207"/>
        <v>#VALUE!</v>
      </c>
      <c r="S894" s="55" t="e">
        <f t="shared" si="208"/>
        <v>#VALUE!</v>
      </c>
      <c r="T894" s="55" t="e">
        <f t="shared" si="213"/>
        <v>#VALUE!</v>
      </c>
      <c r="U894" s="50" t="e">
        <f t="shared" si="209"/>
        <v>#VALUE!</v>
      </c>
      <c r="V894" s="50" t="e">
        <f t="shared" si="210"/>
        <v>#VALUE!</v>
      </c>
      <c r="W894" s="50" t="e">
        <f t="shared" si="211"/>
        <v>#VALUE!</v>
      </c>
    </row>
    <row r="895" spans="2:23" x14ac:dyDescent="0.25">
      <c r="B895" s="50" t="b">
        <f t="shared" si="214"/>
        <v>0</v>
      </c>
      <c r="C895" s="50" t="e">
        <f t="shared" si="216"/>
        <v>#VALUE!</v>
      </c>
      <c r="E895" s="56">
        <v>891</v>
      </c>
      <c r="G895" s="138"/>
      <c r="H895" s="135">
        <v>1</v>
      </c>
      <c r="I895" s="57" t="str">
        <f t="shared" si="212"/>
        <v/>
      </c>
      <c r="J895" s="58" t="e">
        <f t="shared" si="202"/>
        <v>#VALUE!</v>
      </c>
      <c r="K895" s="50" t="e">
        <f t="shared" si="203"/>
        <v>#VALUE!</v>
      </c>
      <c r="L895" s="50" t="e">
        <f t="shared" si="215"/>
        <v>#VALUE!</v>
      </c>
      <c r="M895" s="50" t="e">
        <f t="shared" si="215"/>
        <v>#VALUE!</v>
      </c>
      <c r="N895" s="50" t="e">
        <f t="shared" si="204"/>
        <v>#VALUE!</v>
      </c>
      <c r="O895" s="50" t="e">
        <f t="shared" si="205"/>
        <v>#VALUE!</v>
      </c>
      <c r="P895" s="50">
        <f t="shared" si="206"/>
        <v>0</v>
      </c>
      <c r="R895" s="55" t="e">
        <f t="shared" si="207"/>
        <v>#VALUE!</v>
      </c>
      <c r="S895" s="55" t="e">
        <f t="shared" si="208"/>
        <v>#VALUE!</v>
      </c>
      <c r="T895" s="55" t="e">
        <f t="shared" si="213"/>
        <v>#VALUE!</v>
      </c>
      <c r="U895" s="50" t="e">
        <f t="shared" si="209"/>
        <v>#VALUE!</v>
      </c>
      <c r="V895" s="50" t="e">
        <f t="shared" si="210"/>
        <v>#VALUE!</v>
      </c>
      <c r="W895" s="50" t="e">
        <f t="shared" si="211"/>
        <v>#VALUE!</v>
      </c>
    </row>
    <row r="896" spans="2:23" x14ac:dyDescent="0.25">
      <c r="B896" s="50" t="b">
        <f t="shared" si="214"/>
        <v>0</v>
      </c>
      <c r="C896" s="50" t="e">
        <f t="shared" si="216"/>
        <v>#VALUE!</v>
      </c>
      <c r="E896" s="56">
        <v>892</v>
      </c>
      <c r="G896" s="138"/>
      <c r="H896" s="135">
        <v>1</v>
      </c>
      <c r="I896" s="57" t="str">
        <f t="shared" si="212"/>
        <v/>
      </c>
      <c r="J896" s="58" t="e">
        <f t="shared" si="202"/>
        <v>#VALUE!</v>
      </c>
      <c r="K896" s="50" t="e">
        <f t="shared" si="203"/>
        <v>#VALUE!</v>
      </c>
      <c r="L896" s="50" t="e">
        <f t="shared" si="215"/>
        <v>#VALUE!</v>
      </c>
      <c r="M896" s="50" t="e">
        <f t="shared" si="215"/>
        <v>#VALUE!</v>
      </c>
      <c r="N896" s="50" t="e">
        <f t="shared" si="204"/>
        <v>#VALUE!</v>
      </c>
      <c r="O896" s="50" t="e">
        <f t="shared" si="205"/>
        <v>#VALUE!</v>
      </c>
      <c r="P896" s="50">
        <f t="shared" si="206"/>
        <v>0</v>
      </c>
      <c r="R896" s="55" t="e">
        <f t="shared" si="207"/>
        <v>#VALUE!</v>
      </c>
      <c r="S896" s="55" t="e">
        <f t="shared" si="208"/>
        <v>#VALUE!</v>
      </c>
      <c r="T896" s="55" t="e">
        <f t="shared" si="213"/>
        <v>#VALUE!</v>
      </c>
      <c r="U896" s="50" t="e">
        <f t="shared" si="209"/>
        <v>#VALUE!</v>
      </c>
      <c r="V896" s="50" t="e">
        <f t="shared" si="210"/>
        <v>#VALUE!</v>
      </c>
      <c r="W896" s="50" t="e">
        <f t="shared" si="211"/>
        <v>#VALUE!</v>
      </c>
    </row>
    <row r="897" spans="2:23" x14ac:dyDescent="0.25">
      <c r="B897" s="50" t="b">
        <f t="shared" si="214"/>
        <v>0</v>
      </c>
      <c r="C897" s="50" t="e">
        <f t="shared" si="216"/>
        <v>#VALUE!</v>
      </c>
      <c r="E897" s="56">
        <v>893</v>
      </c>
      <c r="G897" s="138"/>
      <c r="H897" s="135">
        <v>1</v>
      </c>
      <c r="I897" s="57" t="str">
        <f t="shared" si="212"/>
        <v/>
      </c>
      <c r="J897" s="58" t="e">
        <f t="shared" si="202"/>
        <v>#VALUE!</v>
      </c>
      <c r="K897" s="50" t="e">
        <f t="shared" si="203"/>
        <v>#VALUE!</v>
      </c>
      <c r="L897" s="50" t="e">
        <f t="shared" si="215"/>
        <v>#VALUE!</v>
      </c>
      <c r="M897" s="50" t="e">
        <f t="shared" si="215"/>
        <v>#VALUE!</v>
      </c>
      <c r="N897" s="50" t="e">
        <f t="shared" si="204"/>
        <v>#VALUE!</v>
      </c>
      <c r="O897" s="50" t="e">
        <f t="shared" si="205"/>
        <v>#VALUE!</v>
      </c>
      <c r="P897" s="50">
        <f t="shared" si="206"/>
        <v>0</v>
      </c>
      <c r="R897" s="55" t="e">
        <f t="shared" si="207"/>
        <v>#VALUE!</v>
      </c>
      <c r="S897" s="55" t="e">
        <f t="shared" si="208"/>
        <v>#VALUE!</v>
      </c>
      <c r="T897" s="55" t="e">
        <f t="shared" si="213"/>
        <v>#VALUE!</v>
      </c>
      <c r="U897" s="50" t="e">
        <f t="shared" si="209"/>
        <v>#VALUE!</v>
      </c>
      <c r="V897" s="50" t="e">
        <f t="shared" si="210"/>
        <v>#VALUE!</v>
      </c>
      <c r="W897" s="50" t="e">
        <f t="shared" si="211"/>
        <v>#VALUE!</v>
      </c>
    </row>
    <row r="898" spans="2:23" x14ac:dyDescent="0.25">
      <c r="B898" s="50" t="b">
        <f t="shared" si="214"/>
        <v>0</v>
      </c>
      <c r="C898" s="50" t="e">
        <f t="shared" si="216"/>
        <v>#VALUE!</v>
      </c>
      <c r="E898" s="56">
        <v>894</v>
      </c>
      <c r="G898" s="138"/>
      <c r="H898" s="135">
        <v>1</v>
      </c>
      <c r="I898" s="57" t="str">
        <f t="shared" si="212"/>
        <v/>
      </c>
      <c r="J898" s="58" t="e">
        <f t="shared" si="202"/>
        <v>#VALUE!</v>
      </c>
      <c r="K898" s="50" t="e">
        <f t="shared" si="203"/>
        <v>#VALUE!</v>
      </c>
      <c r="L898" s="50" t="e">
        <f t="shared" si="215"/>
        <v>#VALUE!</v>
      </c>
      <c r="M898" s="50" t="e">
        <f t="shared" si="215"/>
        <v>#VALUE!</v>
      </c>
      <c r="N898" s="50" t="e">
        <f t="shared" si="204"/>
        <v>#VALUE!</v>
      </c>
      <c r="O898" s="50" t="e">
        <f t="shared" si="205"/>
        <v>#VALUE!</v>
      </c>
      <c r="P898" s="50">
        <f t="shared" si="206"/>
        <v>0</v>
      </c>
      <c r="R898" s="55" t="e">
        <f t="shared" si="207"/>
        <v>#VALUE!</v>
      </c>
      <c r="S898" s="55" t="e">
        <f t="shared" si="208"/>
        <v>#VALUE!</v>
      </c>
      <c r="T898" s="55" t="e">
        <f t="shared" si="213"/>
        <v>#VALUE!</v>
      </c>
      <c r="U898" s="50" t="e">
        <f t="shared" si="209"/>
        <v>#VALUE!</v>
      </c>
      <c r="V898" s="50" t="e">
        <f t="shared" si="210"/>
        <v>#VALUE!</v>
      </c>
      <c r="W898" s="50" t="e">
        <f t="shared" si="211"/>
        <v>#VALUE!</v>
      </c>
    </row>
    <row r="899" spans="2:23" x14ac:dyDescent="0.25">
      <c r="B899" s="50" t="b">
        <f t="shared" si="214"/>
        <v>0</v>
      </c>
      <c r="C899" s="50" t="e">
        <f t="shared" si="216"/>
        <v>#VALUE!</v>
      </c>
      <c r="E899" s="56">
        <v>895</v>
      </c>
      <c r="G899" s="138"/>
      <c r="H899" s="135">
        <v>1</v>
      </c>
      <c r="I899" s="57" t="str">
        <f t="shared" si="212"/>
        <v/>
      </c>
      <c r="J899" s="58" t="e">
        <f t="shared" si="202"/>
        <v>#VALUE!</v>
      </c>
      <c r="K899" s="50" t="e">
        <f t="shared" si="203"/>
        <v>#VALUE!</v>
      </c>
      <c r="L899" s="50" t="e">
        <f t="shared" si="215"/>
        <v>#VALUE!</v>
      </c>
      <c r="M899" s="50" t="e">
        <f t="shared" si="215"/>
        <v>#VALUE!</v>
      </c>
      <c r="N899" s="50" t="e">
        <f t="shared" si="204"/>
        <v>#VALUE!</v>
      </c>
      <c r="O899" s="50" t="e">
        <f t="shared" si="205"/>
        <v>#VALUE!</v>
      </c>
      <c r="P899" s="50">
        <f t="shared" si="206"/>
        <v>0</v>
      </c>
      <c r="R899" s="55" t="e">
        <f t="shared" si="207"/>
        <v>#VALUE!</v>
      </c>
      <c r="S899" s="55" t="e">
        <f t="shared" si="208"/>
        <v>#VALUE!</v>
      </c>
      <c r="T899" s="55" t="e">
        <f t="shared" si="213"/>
        <v>#VALUE!</v>
      </c>
      <c r="U899" s="50" t="e">
        <f t="shared" si="209"/>
        <v>#VALUE!</v>
      </c>
      <c r="V899" s="50" t="e">
        <f t="shared" si="210"/>
        <v>#VALUE!</v>
      </c>
      <c r="W899" s="50" t="e">
        <f t="shared" si="211"/>
        <v>#VALUE!</v>
      </c>
    </row>
    <row r="900" spans="2:23" x14ac:dyDescent="0.25">
      <c r="B900" s="50" t="b">
        <f t="shared" si="214"/>
        <v>0</v>
      </c>
      <c r="C900" s="50" t="e">
        <f t="shared" si="216"/>
        <v>#VALUE!</v>
      </c>
      <c r="E900" s="56">
        <v>896</v>
      </c>
      <c r="G900" s="138"/>
      <c r="H900" s="135">
        <v>1</v>
      </c>
      <c r="I900" s="57" t="str">
        <f t="shared" si="212"/>
        <v/>
      </c>
      <c r="J900" s="58" t="e">
        <f t="shared" si="202"/>
        <v>#VALUE!</v>
      </c>
      <c r="K900" s="50" t="e">
        <f t="shared" si="203"/>
        <v>#VALUE!</v>
      </c>
      <c r="L900" s="50" t="e">
        <f t="shared" si="215"/>
        <v>#VALUE!</v>
      </c>
      <c r="M900" s="50" t="e">
        <f t="shared" si="215"/>
        <v>#VALUE!</v>
      </c>
      <c r="N900" s="50" t="e">
        <f t="shared" si="204"/>
        <v>#VALUE!</v>
      </c>
      <c r="O900" s="50" t="e">
        <f t="shared" si="205"/>
        <v>#VALUE!</v>
      </c>
      <c r="P900" s="50">
        <f t="shared" si="206"/>
        <v>0</v>
      </c>
      <c r="R900" s="55" t="e">
        <f t="shared" si="207"/>
        <v>#VALUE!</v>
      </c>
      <c r="S900" s="55" t="e">
        <f t="shared" si="208"/>
        <v>#VALUE!</v>
      </c>
      <c r="T900" s="55" t="e">
        <f t="shared" si="213"/>
        <v>#VALUE!</v>
      </c>
      <c r="U900" s="50" t="e">
        <f t="shared" si="209"/>
        <v>#VALUE!</v>
      </c>
      <c r="V900" s="50" t="e">
        <f t="shared" si="210"/>
        <v>#VALUE!</v>
      </c>
      <c r="W900" s="50" t="e">
        <f t="shared" si="211"/>
        <v>#VALUE!</v>
      </c>
    </row>
    <row r="901" spans="2:23" x14ac:dyDescent="0.25">
      <c r="B901" s="50" t="b">
        <f t="shared" si="214"/>
        <v>0</v>
      </c>
      <c r="C901" s="50" t="e">
        <f t="shared" si="216"/>
        <v>#VALUE!</v>
      </c>
      <c r="E901" s="56">
        <v>897</v>
      </c>
      <c r="G901" s="138"/>
      <c r="H901" s="135">
        <v>1</v>
      </c>
      <c r="I901" s="57" t="str">
        <f t="shared" si="212"/>
        <v/>
      </c>
      <c r="J901" s="58" t="e">
        <f t="shared" ref="J901:J964" si="217">RIGHT(I901,K901)</f>
        <v>#VALUE!</v>
      </c>
      <c r="K901" s="50" t="e">
        <f t="shared" ref="K901:K964" si="218">P901-N901</f>
        <v>#VALUE!</v>
      </c>
      <c r="L901" s="50" t="e">
        <f t="shared" si="215"/>
        <v>#VALUE!</v>
      </c>
      <c r="M901" s="50" t="e">
        <f t="shared" si="215"/>
        <v>#VALUE!</v>
      </c>
      <c r="N901" s="50" t="e">
        <f t="shared" ref="N901:N964" si="219">SEARCH("-",I901,2)</f>
        <v>#VALUE!</v>
      </c>
      <c r="O901" s="50" t="e">
        <f t="shared" ref="O901:O964" si="220">SEARCH("-",I901,N901+1)</f>
        <v>#VALUE!</v>
      </c>
      <c r="P901" s="50">
        <f t="shared" ref="P901:P964" si="221">LEN(I901)</f>
        <v>0</v>
      </c>
      <c r="R901" s="55" t="e">
        <f t="shared" ref="R901:R964" si="222">LEFT(I901,N901-1)</f>
        <v>#VALUE!</v>
      </c>
      <c r="S901" s="55" t="e">
        <f t="shared" ref="S901:S964" si="223">LEFT(J901,L901-1)</f>
        <v>#VALUE!</v>
      </c>
      <c r="T901" s="55" t="e">
        <f t="shared" si="213"/>
        <v>#VALUE!</v>
      </c>
      <c r="U901" s="50" t="e">
        <f t="shared" ref="U901:U964" si="224">R901*1*$H901</f>
        <v>#VALUE!</v>
      </c>
      <c r="V901" s="50" t="e">
        <f t="shared" ref="V901:V964" si="225">S901*1*$H901</f>
        <v>#VALUE!</v>
      </c>
      <c r="W901" s="50" t="e">
        <f t="shared" ref="W901:W964" si="226">T901*1*$H901</f>
        <v>#VALUE!</v>
      </c>
    </row>
    <row r="902" spans="2:23" x14ac:dyDescent="0.25">
      <c r="B902" s="50" t="b">
        <f t="shared" si="214"/>
        <v>0</v>
      </c>
      <c r="C902" s="50" t="e">
        <f t="shared" si="216"/>
        <v>#VALUE!</v>
      </c>
      <c r="E902" s="56">
        <v>898</v>
      </c>
      <c r="G902" s="138"/>
      <c r="H902" s="135">
        <v>1</v>
      </c>
      <c r="I902" s="57" t="str">
        <f t="shared" ref="I902:I965" si="227">IF(G902="","",G902&amp;""&amp;"-0")</f>
        <v/>
      </c>
      <c r="J902" s="58" t="e">
        <f t="shared" si="217"/>
        <v>#VALUE!</v>
      </c>
      <c r="K902" s="50" t="e">
        <f t="shared" si="218"/>
        <v>#VALUE!</v>
      </c>
      <c r="L902" s="50" t="e">
        <f t="shared" si="215"/>
        <v>#VALUE!</v>
      </c>
      <c r="M902" s="50" t="e">
        <f t="shared" si="215"/>
        <v>#VALUE!</v>
      </c>
      <c r="N902" s="50" t="e">
        <f t="shared" si="219"/>
        <v>#VALUE!</v>
      </c>
      <c r="O902" s="50" t="e">
        <f t="shared" si="220"/>
        <v>#VALUE!</v>
      </c>
      <c r="P902" s="50">
        <f t="shared" si="221"/>
        <v>0</v>
      </c>
      <c r="R902" s="55" t="e">
        <f t="shared" si="222"/>
        <v>#VALUE!</v>
      </c>
      <c r="S902" s="55" t="e">
        <f t="shared" si="223"/>
        <v>#VALUE!</v>
      </c>
      <c r="T902" s="55" t="e">
        <f t="shared" ref="T902:T965" si="228">RIGHT(I902,M902)</f>
        <v>#VALUE!</v>
      </c>
      <c r="U902" s="50" t="e">
        <f t="shared" si="224"/>
        <v>#VALUE!</v>
      </c>
      <c r="V902" s="50" t="e">
        <f t="shared" si="225"/>
        <v>#VALUE!</v>
      </c>
      <c r="W902" s="50" t="e">
        <f t="shared" si="226"/>
        <v>#VALUE!</v>
      </c>
    </row>
    <row r="903" spans="2:23" x14ac:dyDescent="0.25">
      <c r="B903" s="50" t="b">
        <f t="shared" si="214"/>
        <v>0</v>
      </c>
      <c r="C903" s="50" t="e">
        <f t="shared" si="216"/>
        <v>#VALUE!</v>
      </c>
      <c r="E903" s="56">
        <v>899</v>
      </c>
      <c r="G903" s="138"/>
      <c r="H903" s="135">
        <v>1</v>
      </c>
      <c r="I903" s="57" t="str">
        <f t="shared" si="227"/>
        <v/>
      </c>
      <c r="J903" s="58" t="e">
        <f t="shared" si="217"/>
        <v>#VALUE!</v>
      </c>
      <c r="K903" s="50" t="e">
        <f t="shared" si="218"/>
        <v>#VALUE!</v>
      </c>
      <c r="L903" s="50" t="e">
        <f t="shared" si="215"/>
        <v>#VALUE!</v>
      </c>
      <c r="M903" s="50" t="e">
        <f t="shared" si="215"/>
        <v>#VALUE!</v>
      </c>
      <c r="N903" s="50" t="e">
        <f t="shared" si="219"/>
        <v>#VALUE!</v>
      </c>
      <c r="O903" s="50" t="e">
        <f t="shared" si="220"/>
        <v>#VALUE!</v>
      </c>
      <c r="P903" s="50">
        <f t="shared" si="221"/>
        <v>0</v>
      </c>
      <c r="R903" s="55" t="e">
        <f t="shared" si="222"/>
        <v>#VALUE!</v>
      </c>
      <c r="S903" s="55" t="e">
        <f t="shared" si="223"/>
        <v>#VALUE!</v>
      </c>
      <c r="T903" s="55" t="e">
        <f t="shared" si="228"/>
        <v>#VALUE!</v>
      </c>
      <c r="U903" s="50" t="e">
        <f t="shared" si="224"/>
        <v>#VALUE!</v>
      </c>
      <c r="V903" s="50" t="e">
        <f t="shared" si="225"/>
        <v>#VALUE!</v>
      </c>
      <c r="W903" s="50" t="e">
        <f t="shared" si="226"/>
        <v>#VALUE!</v>
      </c>
    </row>
    <row r="904" spans="2:23" x14ac:dyDescent="0.25">
      <c r="B904" s="50" t="b">
        <f t="shared" si="214"/>
        <v>0</v>
      </c>
      <c r="C904" s="50" t="e">
        <f t="shared" si="216"/>
        <v>#VALUE!</v>
      </c>
      <c r="E904" s="56">
        <v>900</v>
      </c>
      <c r="G904" s="138"/>
      <c r="H904" s="135">
        <v>1</v>
      </c>
      <c r="I904" s="57" t="str">
        <f t="shared" si="227"/>
        <v/>
      </c>
      <c r="J904" s="58" t="e">
        <f t="shared" si="217"/>
        <v>#VALUE!</v>
      </c>
      <c r="K904" s="50" t="e">
        <f t="shared" si="218"/>
        <v>#VALUE!</v>
      </c>
      <c r="L904" s="50" t="e">
        <f t="shared" si="215"/>
        <v>#VALUE!</v>
      </c>
      <c r="M904" s="50" t="e">
        <f t="shared" si="215"/>
        <v>#VALUE!</v>
      </c>
      <c r="N904" s="50" t="e">
        <f t="shared" si="219"/>
        <v>#VALUE!</v>
      </c>
      <c r="O904" s="50" t="e">
        <f t="shared" si="220"/>
        <v>#VALUE!</v>
      </c>
      <c r="P904" s="50">
        <f t="shared" si="221"/>
        <v>0</v>
      </c>
      <c r="R904" s="55" t="e">
        <f t="shared" si="222"/>
        <v>#VALUE!</v>
      </c>
      <c r="S904" s="55" t="e">
        <f t="shared" si="223"/>
        <v>#VALUE!</v>
      </c>
      <c r="T904" s="55" t="e">
        <f t="shared" si="228"/>
        <v>#VALUE!</v>
      </c>
      <c r="U904" s="50" t="e">
        <f t="shared" si="224"/>
        <v>#VALUE!</v>
      </c>
      <c r="V904" s="50" t="e">
        <f t="shared" si="225"/>
        <v>#VALUE!</v>
      </c>
      <c r="W904" s="50" t="e">
        <f t="shared" si="226"/>
        <v>#VALUE!</v>
      </c>
    </row>
    <row r="905" spans="2:23" x14ac:dyDescent="0.25">
      <c r="B905" s="50" t="b">
        <f t="shared" si="214"/>
        <v>0</v>
      </c>
      <c r="C905" s="50" t="e">
        <f t="shared" si="216"/>
        <v>#VALUE!</v>
      </c>
      <c r="E905" s="56">
        <v>901</v>
      </c>
      <c r="G905" s="138"/>
      <c r="H905" s="135">
        <v>1</v>
      </c>
      <c r="I905" s="57" t="str">
        <f t="shared" si="227"/>
        <v/>
      </c>
      <c r="J905" s="58" t="e">
        <f t="shared" si="217"/>
        <v>#VALUE!</v>
      </c>
      <c r="K905" s="50" t="e">
        <f t="shared" si="218"/>
        <v>#VALUE!</v>
      </c>
      <c r="L905" s="50" t="e">
        <f t="shared" si="215"/>
        <v>#VALUE!</v>
      </c>
      <c r="M905" s="50" t="e">
        <f t="shared" si="215"/>
        <v>#VALUE!</v>
      </c>
      <c r="N905" s="50" t="e">
        <f t="shared" si="219"/>
        <v>#VALUE!</v>
      </c>
      <c r="O905" s="50" t="e">
        <f t="shared" si="220"/>
        <v>#VALUE!</v>
      </c>
      <c r="P905" s="50">
        <f t="shared" si="221"/>
        <v>0</v>
      </c>
      <c r="R905" s="55" t="e">
        <f t="shared" si="222"/>
        <v>#VALUE!</v>
      </c>
      <c r="S905" s="55" t="e">
        <f t="shared" si="223"/>
        <v>#VALUE!</v>
      </c>
      <c r="T905" s="55" t="e">
        <f t="shared" si="228"/>
        <v>#VALUE!</v>
      </c>
      <c r="U905" s="50" t="e">
        <f t="shared" si="224"/>
        <v>#VALUE!</v>
      </c>
      <c r="V905" s="50" t="e">
        <f t="shared" si="225"/>
        <v>#VALUE!</v>
      </c>
      <c r="W905" s="50" t="e">
        <f t="shared" si="226"/>
        <v>#VALUE!</v>
      </c>
    </row>
    <row r="906" spans="2:23" x14ac:dyDescent="0.25">
      <c r="B906" s="50" t="b">
        <f t="shared" si="214"/>
        <v>0</v>
      </c>
      <c r="C906" s="50" t="e">
        <f t="shared" si="216"/>
        <v>#VALUE!</v>
      </c>
      <c r="E906" s="56">
        <v>902</v>
      </c>
      <c r="G906" s="138"/>
      <c r="H906" s="135">
        <v>1</v>
      </c>
      <c r="I906" s="57" t="str">
        <f t="shared" si="227"/>
        <v/>
      </c>
      <c r="J906" s="58" t="e">
        <f t="shared" si="217"/>
        <v>#VALUE!</v>
      </c>
      <c r="K906" s="50" t="e">
        <f t="shared" si="218"/>
        <v>#VALUE!</v>
      </c>
      <c r="L906" s="50" t="e">
        <f t="shared" si="215"/>
        <v>#VALUE!</v>
      </c>
      <c r="M906" s="50" t="e">
        <f t="shared" si="215"/>
        <v>#VALUE!</v>
      </c>
      <c r="N906" s="50" t="e">
        <f t="shared" si="219"/>
        <v>#VALUE!</v>
      </c>
      <c r="O906" s="50" t="e">
        <f t="shared" si="220"/>
        <v>#VALUE!</v>
      </c>
      <c r="P906" s="50">
        <f t="shared" si="221"/>
        <v>0</v>
      </c>
      <c r="R906" s="55" t="e">
        <f t="shared" si="222"/>
        <v>#VALUE!</v>
      </c>
      <c r="S906" s="55" t="e">
        <f t="shared" si="223"/>
        <v>#VALUE!</v>
      </c>
      <c r="T906" s="55" t="e">
        <f t="shared" si="228"/>
        <v>#VALUE!</v>
      </c>
      <c r="U906" s="50" t="e">
        <f t="shared" si="224"/>
        <v>#VALUE!</v>
      </c>
      <c r="V906" s="50" t="e">
        <f t="shared" si="225"/>
        <v>#VALUE!</v>
      </c>
      <c r="W906" s="50" t="e">
        <f t="shared" si="226"/>
        <v>#VALUE!</v>
      </c>
    </row>
    <row r="907" spans="2:23" x14ac:dyDescent="0.25">
      <c r="B907" s="50" t="b">
        <f t="shared" si="214"/>
        <v>0</v>
      </c>
      <c r="C907" s="50" t="e">
        <f t="shared" si="216"/>
        <v>#VALUE!</v>
      </c>
      <c r="E907" s="56">
        <v>903</v>
      </c>
      <c r="G907" s="138"/>
      <c r="H907" s="135">
        <v>1</v>
      </c>
      <c r="I907" s="57" t="str">
        <f t="shared" si="227"/>
        <v/>
      </c>
      <c r="J907" s="58" t="e">
        <f t="shared" si="217"/>
        <v>#VALUE!</v>
      </c>
      <c r="K907" s="50" t="e">
        <f t="shared" si="218"/>
        <v>#VALUE!</v>
      </c>
      <c r="L907" s="50" t="e">
        <f t="shared" si="215"/>
        <v>#VALUE!</v>
      </c>
      <c r="M907" s="50" t="e">
        <f t="shared" si="215"/>
        <v>#VALUE!</v>
      </c>
      <c r="N907" s="50" t="e">
        <f t="shared" si="219"/>
        <v>#VALUE!</v>
      </c>
      <c r="O907" s="50" t="e">
        <f t="shared" si="220"/>
        <v>#VALUE!</v>
      </c>
      <c r="P907" s="50">
        <f t="shared" si="221"/>
        <v>0</v>
      </c>
      <c r="R907" s="55" t="e">
        <f t="shared" si="222"/>
        <v>#VALUE!</v>
      </c>
      <c r="S907" s="55" t="e">
        <f t="shared" si="223"/>
        <v>#VALUE!</v>
      </c>
      <c r="T907" s="55" t="e">
        <f t="shared" si="228"/>
        <v>#VALUE!</v>
      </c>
      <c r="U907" s="50" t="e">
        <f t="shared" si="224"/>
        <v>#VALUE!</v>
      </c>
      <c r="V907" s="50" t="e">
        <f t="shared" si="225"/>
        <v>#VALUE!</v>
      </c>
      <c r="W907" s="50" t="e">
        <f t="shared" si="226"/>
        <v>#VALUE!</v>
      </c>
    </row>
    <row r="908" spans="2:23" x14ac:dyDescent="0.25">
      <c r="B908" s="50" t="b">
        <f t="shared" si="214"/>
        <v>0</v>
      </c>
      <c r="C908" s="50" t="e">
        <f t="shared" si="216"/>
        <v>#VALUE!</v>
      </c>
      <c r="E908" s="56">
        <v>904</v>
      </c>
      <c r="G908" s="138"/>
      <c r="H908" s="135">
        <v>1</v>
      </c>
      <c r="I908" s="57" t="str">
        <f t="shared" si="227"/>
        <v/>
      </c>
      <c r="J908" s="58" t="e">
        <f t="shared" si="217"/>
        <v>#VALUE!</v>
      </c>
      <c r="K908" s="50" t="e">
        <f t="shared" si="218"/>
        <v>#VALUE!</v>
      </c>
      <c r="L908" s="50" t="e">
        <f t="shared" si="215"/>
        <v>#VALUE!</v>
      </c>
      <c r="M908" s="50" t="e">
        <f t="shared" si="215"/>
        <v>#VALUE!</v>
      </c>
      <c r="N908" s="50" t="e">
        <f t="shared" si="219"/>
        <v>#VALUE!</v>
      </c>
      <c r="O908" s="50" t="e">
        <f t="shared" si="220"/>
        <v>#VALUE!</v>
      </c>
      <c r="P908" s="50">
        <f t="shared" si="221"/>
        <v>0</v>
      </c>
      <c r="R908" s="55" t="e">
        <f t="shared" si="222"/>
        <v>#VALUE!</v>
      </c>
      <c r="S908" s="55" t="e">
        <f t="shared" si="223"/>
        <v>#VALUE!</v>
      </c>
      <c r="T908" s="55" t="e">
        <f t="shared" si="228"/>
        <v>#VALUE!</v>
      </c>
      <c r="U908" s="50" t="e">
        <f t="shared" si="224"/>
        <v>#VALUE!</v>
      </c>
      <c r="V908" s="50" t="e">
        <f t="shared" si="225"/>
        <v>#VALUE!</v>
      </c>
      <c r="W908" s="50" t="e">
        <f t="shared" si="226"/>
        <v>#VALUE!</v>
      </c>
    </row>
    <row r="909" spans="2:23" x14ac:dyDescent="0.25">
      <c r="B909" s="50" t="b">
        <f t="shared" si="214"/>
        <v>0</v>
      </c>
      <c r="C909" s="50" t="e">
        <f t="shared" si="216"/>
        <v>#VALUE!</v>
      </c>
      <c r="E909" s="56">
        <v>905</v>
      </c>
      <c r="G909" s="138"/>
      <c r="H909" s="135">
        <v>1</v>
      </c>
      <c r="I909" s="57" t="str">
        <f t="shared" si="227"/>
        <v/>
      </c>
      <c r="J909" s="58" t="e">
        <f t="shared" si="217"/>
        <v>#VALUE!</v>
      </c>
      <c r="K909" s="50" t="e">
        <f t="shared" si="218"/>
        <v>#VALUE!</v>
      </c>
      <c r="L909" s="50" t="e">
        <f t="shared" si="215"/>
        <v>#VALUE!</v>
      </c>
      <c r="M909" s="50" t="e">
        <f t="shared" si="215"/>
        <v>#VALUE!</v>
      </c>
      <c r="N909" s="50" t="e">
        <f t="shared" si="219"/>
        <v>#VALUE!</v>
      </c>
      <c r="O909" s="50" t="e">
        <f t="shared" si="220"/>
        <v>#VALUE!</v>
      </c>
      <c r="P909" s="50">
        <f t="shared" si="221"/>
        <v>0</v>
      </c>
      <c r="R909" s="55" t="e">
        <f t="shared" si="222"/>
        <v>#VALUE!</v>
      </c>
      <c r="S909" s="55" t="e">
        <f t="shared" si="223"/>
        <v>#VALUE!</v>
      </c>
      <c r="T909" s="55" t="e">
        <f t="shared" si="228"/>
        <v>#VALUE!</v>
      </c>
      <c r="U909" s="50" t="e">
        <f t="shared" si="224"/>
        <v>#VALUE!</v>
      </c>
      <c r="V909" s="50" t="e">
        <f t="shared" si="225"/>
        <v>#VALUE!</v>
      </c>
      <c r="W909" s="50" t="e">
        <f t="shared" si="226"/>
        <v>#VALUE!</v>
      </c>
    </row>
    <row r="910" spans="2:23" x14ac:dyDescent="0.25">
      <c r="B910" s="50" t="b">
        <f t="shared" ref="B910:B973" si="229">ISNUMBER(C910)</f>
        <v>0</v>
      </c>
      <c r="C910" s="50" t="e">
        <f t="shared" si="216"/>
        <v>#VALUE!</v>
      </c>
      <c r="E910" s="56">
        <v>906</v>
      </c>
      <c r="G910" s="138"/>
      <c r="H910" s="135">
        <v>1</v>
      </c>
      <c r="I910" s="57" t="str">
        <f t="shared" si="227"/>
        <v/>
      </c>
      <c r="J910" s="58" t="e">
        <f t="shared" si="217"/>
        <v>#VALUE!</v>
      </c>
      <c r="K910" s="50" t="e">
        <f t="shared" si="218"/>
        <v>#VALUE!</v>
      </c>
      <c r="L910" s="50" t="e">
        <f t="shared" si="215"/>
        <v>#VALUE!</v>
      </c>
      <c r="M910" s="50" t="e">
        <f t="shared" si="215"/>
        <v>#VALUE!</v>
      </c>
      <c r="N910" s="50" t="e">
        <f t="shared" si="219"/>
        <v>#VALUE!</v>
      </c>
      <c r="O910" s="50" t="e">
        <f t="shared" si="220"/>
        <v>#VALUE!</v>
      </c>
      <c r="P910" s="50">
        <f t="shared" si="221"/>
        <v>0</v>
      </c>
      <c r="R910" s="55" t="e">
        <f t="shared" si="222"/>
        <v>#VALUE!</v>
      </c>
      <c r="S910" s="55" t="e">
        <f t="shared" si="223"/>
        <v>#VALUE!</v>
      </c>
      <c r="T910" s="55" t="e">
        <f t="shared" si="228"/>
        <v>#VALUE!</v>
      </c>
      <c r="U910" s="50" t="e">
        <f t="shared" si="224"/>
        <v>#VALUE!</v>
      </c>
      <c r="V910" s="50" t="e">
        <f t="shared" si="225"/>
        <v>#VALUE!</v>
      </c>
      <c r="W910" s="50" t="e">
        <f t="shared" si="226"/>
        <v>#VALUE!</v>
      </c>
    </row>
    <row r="911" spans="2:23" x14ac:dyDescent="0.25">
      <c r="B911" s="50" t="b">
        <f t="shared" si="229"/>
        <v>0</v>
      </c>
      <c r="C911" s="50" t="e">
        <f t="shared" si="216"/>
        <v>#VALUE!</v>
      </c>
      <c r="E911" s="56">
        <v>907</v>
      </c>
      <c r="G911" s="138"/>
      <c r="H911" s="135">
        <v>1</v>
      </c>
      <c r="I911" s="57" t="str">
        <f t="shared" si="227"/>
        <v/>
      </c>
      <c r="J911" s="58" t="e">
        <f t="shared" si="217"/>
        <v>#VALUE!</v>
      </c>
      <c r="K911" s="50" t="e">
        <f t="shared" si="218"/>
        <v>#VALUE!</v>
      </c>
      <c r="L911" s="50" t="e">
        <f t="shared" si="215"/>
        <v>#VALUE!</v>
      </c>
      <c r="M911" s="50" t="e">
        <f t="shared" si="215"/>
        <v>#VALUE!</v>
      </c>
      <c r="N911" s="50" t="e">
        <f t="shared" si="219"/>
        <v>#VALUE!</v>
      </c>
      <c r="O911" s="50" t="e">
        <f t="shared" si="220"/>
        <v>#VALUE!</v>
      </c>
      <c r="P911" s="50">
        <f t="shared" si="221"/>
        <v>0</v>
      </c>
      <c r="R911" s="55" t="e">
        <f t="shared" si="222"/>
        <v>#VALUE!</v>
      </c>
      <c r="S911" s="55" t="e">
        <f t="shared" si="223"/>
        <v>#VALUE!</v>
      </c>
      <c r="T911" s="55" t="e">
        <f t="shared" si="228"/>
        <v>#VALUE!</v>
      </c>
      <c r="U911" s="50" t="e">
        <f t="shared" si="224"/>
        <v>#VALUE!</v>
      </c>
      <c r="V911" s="50" t="e">
        <f t="shared" si="225"/>
        <v>#VALUE!</v>
      </c>
      <c r="W911" s="50" t="e">
        <f t="shared" si="226"/>
        <v>#VALUE!</v>
      </c>
    </row>
    <row r="912" spans="2:23" x14ac:dyDescent="0.25">
      <c r="B912" s="50" t="b">
        <f t="shared" si="229"/>
        <v>0</v>
      </c>
      <c r="C912" s="50" t="e">
        <f t="shared" si="216"/>
        <v>#VALUE!</v>
      </c>
      <c r="E912" s="56">
        <v>908</v>
      </c>
      <c r="G912" s="138"/>
      <c r="H912" s="135">
        <v>1</v>
      </c>
      <c r="I912" s="57" t="str">
        <f t="shared" si="227"/>
        <v/>
      </c>
      <c r="J912" s="58" t="e">
        <f t="shared" si="217"/>
        <v>#VALUE!</v>
      </c>
      <c r="K912" s="50" t="e">
        <f t="shared" si="218"/>
        <v>#VALUE!</v>
      </c>
      <c r="L912" s="50" t="e">
        <f t="shared" si="215"/>
        <v>#VALUE!</v>
      </c>
      <c r="M912" s="50" t="e">
        <f t="shared" si="215"/>
        <v>#VALUE!</v>
      </c>
      <c r="N912" s="50" t="e">
        <f t="shared" si="219"/>
        <v>#VALUE!</v>
      </c>
      <c r="O912" s="50" t="e">
        <f t="shared" si="220"/>
        <v>#VALUE!</v>
      </c>
      <c r="P912" s="50">
        <f t="shared" si="221"/>
        <v>0</v>
      </c>
      <c r="R912" s="55" t="e">
        <f t="shared" si="222"/>
        <v>#VALUE!</v>
      </c>
      <c r="S912" s="55" t="e">
        <f t="shared" si="223"/>
        <v>#VALUE!</v>
      </c>
      <c r="T912" s="55" t="e">
        <f t="shared" si="228"/>
        <v>#VALUE!</v>
      </c>
      <c r="U912" s="50" t="e">
        <f t="shared" si="224"/>
        <v>#VALUE!</v>
      </c>
      <c r="V912" s="50" t="e">
        <f t="shared" si="225"/>
        <v>#VALUE!</v>
      </c>
      <c r="W912" s="50" t="e">
        <f t="shared" si="226"/>
        <v>#VALUE!</v>
      </c>
    </row>
    <row r="913" spans="2:23" x14ac:dyDescent="0.25">
      <c r="B913" s="50" t="b">
        <f t="shared" si="229"/>
        <v>0</v>
      </c>
      <c r="C913" s="50" t="e">
        <f t="shared" si="216"/>
        <v>#VALUE!</v>
      </c>
      <c r="E913" s="56">
        <v>909</v>
      </c>
      <c r="G913" s="138"/>
      <c r="H913" s="135">
        <v>1</v>
      </c>
      <c r="I913" s="57" t="str">
        <f t="shared" si="227"/>
        <v/>
      </c>
      <c r="J913" s="58" t="e">
        <f t="shared" si="217"/>
        <v>#VALUE!</v>
      </c>
      <c r="K913" s="50" t="e">
        <f t="shared" si="218"/>
        <v>#VALUE!</v>
      </c>
      <c r="L913" s="50" t="e">
        <f t="shared" si="215"/>
        <v>#VALUE!</v>
      </c>
      <c r="M913" s="50" t="e">
        <f t="shared" si="215"/>
        <v>#VALUE!</v>
      </c>
      <c r="N913" s="50" t="e">
        <f t="shared" si="219"/>
        <v>#VALUE!</v>
      </c>
      <c r="O913" s="50" t="e">
        <f t="shared" si="220"/>
        <v>#VALUE!</v>
      </c>
      <c r="P913" s="50">
        <f t="shared" si="221"/>
        <v>0</v>
      </c>
      <c r="R913" s="55" t="e">
        <f t="shared" si="222"/>
        <v>#VALUE!</v>
      </c>
      <c r="S913" s="55" t="e">
        <f t="shared" si="223"/>
        <v>#VALUE!</v>
      </c>
      <c r="T913" s="55" t="e">
        <f t="shared" si="228"/>
        <v>#VALUE!</v>
      </c>
      <c r="U913" s="50" t="e">
        <f t="shared" si="224"/>
        <v>#VALUE!</v>
      </c>
      <c r="V913" s="50" t="e">
        <f t="shared" si="225"/>
        <v>#VALUE!</v>
      </c>
      <c r="W913" s="50" t="e">
        <f t="shared" si="226"/>
        <v>#VALUE!</v>
      </c>
    </row>
    <row r="914" spans="2:23" x14ac:dyDescent="0.25">
      <c r="B914" s="50" t="b">
        <f t="shared" si="229"/>
        <v>0</v>
      </c>
      <c r="C914" s="50" t="e">
        <f t="shared" si="216"/>
        <v>#VALUE!</v>
      </c>
      <c r="E914" s="56">
        <v>910</v>
      </c>
      <c r="G914" s="138"/>
      <c r="H914" s="135">
        <v>1</v>
      </c>
      <c r="I914" s="57" t="str">
        <f t="shared" si="227"/>
        <v/>
      </c>
      <c r="J914" s="58" t="e">
        <f t="shared" si="217"/>
        <v>#VALUE!</v>
      </c>
      <c r="K914" s="50" t="e">
        <f t="shared" si="218"/>
        <v>#VALUE!</v>
      </c>
      <c r="L914" s="50" t="e">
        <f t="shared" si="215"/>
        <v>#VALUE!</v>
      </c>
      <c r="M914" s="50" t="e">
        <f t="shared" si="215"/>
        <v>#VALUE!</v>
      </c>
      <c r="N914" s="50" t="e">
        <f t="shared" si="219"/>
        <v>#VALUE!</v>
      </c>
      <c r="O914" s="50" t="e">
        <f t="shared" si="220"/>
        <v>#VALUE!</v>
      </c>
      <c r="P914" s="50">
        <f t="shared" si="221"/>
        <v>0</v>
      </c>
      <c r="R914" s="55" t="e">
        <f t="shared" si="222"/>
        <v>#VALUE!</v>
      </c>
      <c r="S914" s="55" t="e">
        <f t="shared" si="223"/>
        <v>#VALUE!</v>
      </c>
      <c r="T914" s="55" t="e">
        <f t="shared" si="228"/>
        <v>#VALUE!</v>
      </c>
      <c r="U914" s="50" t="e">
        <f t="shared" si="224"/>
        <v>#VALUE!</v>
      </c>
      <c r="V914" s="50" t="e">
        <f t="shared" si="225"/>
        <v>#VALUE!</v>
      </c>
      <c r="W914" s="50" t="e">
        <f t="shared" si="226"/>
        <v>#VALUE!</v>
      </c>
    </row>
    <row r="915" spans="2:23" x14ac:dyDescent="0.25">
      <c r="B915" s="50" t="b">
        <f t="shared" si="229"/>
        <v>0</v>
      </c>
      <c r="C915" s="50" t="e">
        <f t="shared" si="216"/>
        <v>#VALUE!</v>
      </c>
      <c r="E915" s="56">
        <v>911</v>
      </c>
      <c r="G915" s="138"/>
      <c r="H915" s="135">
        <v>1</v>
      </c>
      <c r="I915" s="57" t="str">
        <f t="shared" si="227"/>
        <v/>
      </c>
      <c r="J915" s="58" t="e">
        <f t="shared" si="217"/>
        <v>#VALUE!</v>
      </c>
      <c r="K915" s="50" t="e">
        <f t="shared" si="218"/>
        <v>#VALUE!</v>
      </c>
      <c r="L915" s="50" t="e">
        <f t="shared" si="215"/>
        <v>#VALUE!</v>
      </c>
      <c r="M915" s="50" t="e">
        <f t="shared" si="215"/>
        <v>#VALUE!</v>
      </c>
      <c r="N915" s="50" t="e">
        <f t="shared" si="219"/>
        <v>#VALUE!</v>
      </c>
      <c r="O915" s="50" t="e">
        <f t="shared" si="220"/>
        <v>#VALUE!</v>
      </c>
      <c r="P915" s="50">
        <f t="shared" si="221"/>
        <v>0</v>
      </c>
      <c r="R915" s="55" t="e">
        <f t="shared" si="222"/>
        <v>#VALUE!</v>
      </c>
      <c r="S915" s="55" t="e">
        <f t="shared" si="223"/>
        <v>#VALUE!</v>
      </c>
      <c r="T915" s="55" t="e">
        <f t="shared" si="228"/>
        <v>#VALUE!</v>
      </c>
      <c r="U915" s="50" t="e">
        <f t="shared" si="224"/>
        <v>#VALUE!</v>
      </c>
      <c r="V915" s="50" t="e">
        <f t="shared" si="225"/>
        <v>#VALUE!</v>
      </c>
      <c r="W915" s="50" t="e">
        <f t="shared" si="226"/>
        <v>#VALUE!</v>
      </c>
    </row>
    <row r="916" spans="2:23" x14ac:dyDescent="0.25">
      <c r="B916" s="50" t="b">
        <f t="shared" si="229"/>
        <v>0</v>
      </c>
      <c r="C916" s="50" t="e">
        <f t="shared" si="216"/>
        <v>#VALUE!</v>
      </c>
      <c r="E916" s="56">
        <v>912</v>
      </c>
      <c r="G916" s="138"/>
      <c r="H916" s="135">
        <v>1</v>
      </c>
      <c r="I916" s="57" t="str">
        <f t="shared" si="227"/>
        <v/>
      </c>
      <c r="J916" s="58" t="e">
        <f t="shared" si="217"/>
        <v>#VALUE!</v>
      </c>
      <c r="K916" s="50" t="e">
        <f t="shared" si="218"/>
        <v>#VALUE!</v>
      </c>
      <c r="L916" s="50" t="e">
        <f t="shared" si="215"/>
        <v>#VALUE!</v>
      </c>
      <c r="M916" s="50" t="e">
        <f t="shared" si="215"/>
        <v>#VALUE!</v>
      </c>
      <c r="N916" s="50" t="e">
        <f t="shared" si="219"/>
        <v>#VALUE!</v>
      </c>
      <c r="O916" s="50" t="e">
        <f t="shared" si="220"/>
        <v>#VALUE!</v>
      </c>
      <c r="P916" s="50">
        <f t="shared" si="221"/>
        <v>0</v>
      </c>
      <c r="R916" s="55" t="e">
        <f t="shared" si="222"/>
        <v>#VALUE!</v>
      </c>
      <c r="S916" s="55" t="e">
        <f t="shared" si="223"/>
        <v>#VALUE!</v>
      </c>
      <c r="T916" s="55" t="e">
        <f t="shared" si="228"/>
        <v>#VALUE!</v>
      </c>
      <c r="U916" s="50" t="e">
        <f t="shared" si="224"/>
        <v>#VALUE!</v>
      </c>
      <c r="V916" s="50" t="e">
        <f t="shared" si="225"/>
        <v>#VALUE!</v>
      </c>
      <c r="W916" s="50" t="e">
        <f t="shared" si="226"/>
        <v>#VALUE!</v>
      </c>
    </row>
    <row r="917" spans="2:23" x14ac:dyDescent="0.25">
      <c r="B917" s="50" t="b">
        <f t="shared" si="229"/>
        <v>0</v>
      </c>
      <c r="C917" s="50" t="e">
        <f t="shared" si="216"/>
        <v>#VALUE!</v>
      </c>
      <c r="E917" s="56">
        <v>913</v>
      </c>
      <c r="G917" s="138"/>
      <c r="H917" s="135">
        <v>1</v>
      </c>
      <c r="I917" s="57" t="str">
        <f t="shared" si="227"/>
        <v/>
      </c>
      <c r="J917" s="58" t="e">
        <f t="shared" si="217"/>
        <v>#VALUE!</v>
      </c>
      <c r="K917" s="50" t="e">
        <f t="shared" si="218"/>
        <v>#VALUE!</v>
      </c>
      <c r="L917" s="50" t="e">
        <f t="shared" si="215"/>
        <v>#VALUE!</v>
      </c>
      <c r="M917" s="50" t="e">
        <f t="shared" si="215"/>
        <v>#VALUE!</v>
      </c>
      <c r="N917" s="50" t="e">
        <f t="shared" si="219"/>
        <v>#VALUE!</v>
      </c>
      <c r="O917" s="50" t="e">
        <f t="shared" si="220"/>
        <v>#VALUE!</v>
      </c>
      <c r="P917" s="50">
        <f t="shared" si="221"/>
        <v>0</v>
      </c>
      <c r="R917" s="55" t="e">
        <f t="shared" si="222"/>
        <v>#VALUE!</v>
      </c>
      <c r="S917" s="55" t="e">
        <f t="shared" si="223"/>
        <v>#VALUE!</v>
      </c>
      <c r="T917" s="55" t="e">
        <f t="shared" si="228"/>
        <v>#VALUE!</v>
      </c>
      <c r="U917" s="50" t="e">
        <f t="shared" si="224"/>
        <v>#VALUE!</v>
      </c>
      <c r="V917" s="50" t="e">
        <f t="shared" si="225"/>
        <v>#VALUE!</v>
      </c>
      <c r="W917" s="50" t="e">
        <f t="shared" si="226"/>
        <v>#VALUE!</v>
      </c>
    </row>
    <row r="918" spans="2:23" x14ac:dyDescent="0.25">
      <c r="B918" s="50" t="b">
        <f t="shared" si="229"/>
        <v>0</v>
      </c>
      <c r="C918" s="50" t="e">
        <f t="shared" si="216"/>
        <v>#VALUE!</v>
      </c>
      <c r="E918" s="56">
        <v>914</v>
      </c>
      <c r="G918" s="138"/>
      <c r="H918" s="135">
        <v>1</v>
      </c>
      <c r="I918" s="57" t="str">
        <f t="shared" si="227"/>
        <v/>
      </c>
      <c r="J918" s="58" t="e">
        <f t="shared" si="217"/>
        <v>#VALUE!</v>
      </c>
      <c r="K918" s="50" t="e">
        <f t="shared" si="218"/>
        <v>#VALUE!</v>
      </c>
      <c r="L918" s="50" t="e">
        <f t="shared" si="215"/>
        <v>#VALUE!</v>
      </c>
      <c r="M918" s="50" t="e">
        <f t="shared" si="215"/>
        <v>#VALUE!</v>
      </c>
      <c r="N918" s="50" t="e">
        <f t="shared" si="219"/>
        <v>#VALUE!</v>
      </c>
      <c r="O918" s="50" t="e">
        <f t="shared" si="220"/>
        <v>#VALUE!</v>
      </c>
      <c r="P918" s="50">
        <f t="shared" si="221"/>
        <v>0</v>
      </c>
      <c r="R918" s="55" t="e">
        <f t="shared" si="222"/>
        <v>#VALUE!</v>
      </c>
      <c r="S918" s="55" t="e">
        <f t="shared" si="223"/>
        <v>#VALUE!</v>
      </c>
      <c r="T918" s="55" t="e">
        <f t="shared" si="228"/>
        <v>#VALUE!</v>
      </c>
      <c r="U918" s="50" t="e">
        <f t="shared" si="224"/>
        <v>#VALUE!</v>
      </c>
      <c r="V918" s="50" t="e">
        <f t="shared" si="225"/>
        <v>#VALUE!</v>
      </c>
      <c r="W918" s="50" t="e">
        <f t="shared" si="226"/>
        <v>#VALUE!</v>
      </c>
    </row>
    <row r="919" spans="2:23" x14ac:dyDescent="0.25">
      <c r="B919" s="50" t="b">
        <f t="shared" si="229"/>
        <v>0</v>
      </c>
      <c r="C919" s="50" t="e">
        <f t="shared" si="216"/>
        <v>#VALUE!</v>
      </c>
      <c r="E919" s="56">
        <v>915</v>
      </c>
      <c r="G919" s="138"/>
      <c r="H919" s="135">
        <v>1</v>
      </c>
      <c r="I919" s="57" t="str">
        <f t="shared" si="227"/>
        <v/>
      </c>
      <c r="J919" s="58" t="e">
        <f t="shared" si="217"/>
        <v>#VALUE!</v>
      </c>
      <c r="K919" s="50" t="e">
        <f t="shared" si="218"/>
        <v>#VALUE!</v>
      </c>
      <c r="L919" s="50" t="e">
        <f t="shared" si="215"/>
        <v>#VALUE!</v>
      </c>
      <c r="M919" s="50" t="e">
        <f t="shared" si="215"/>
        <v>#VALUE!</v>
      </c>
      <c r="N919" s="50" t="e">
        <f t="shared" si="219"/>
        <v>#VALUE!</v>
      </c>
      <c r="O919" s="50" t="e">
        <f t="shared" si="220"/>
        <v>#VALUE!</v>
      </c>
      <c r="P919" s="50">
        <f t="shared" si="221"/>
        <v>0</v>
      </c>
      <c r="R919" s="55" t="e">
        <f t="shared" si="222"/>
        <v>#VALUE!</v>
      </c>
      <c r="S919" s="55" t="e">
        <f t="shared" si="223"/>
        <v>#VALUE!</v>
      </c>
      <c r="T919" s="55" t="e">
        <f t="shared" si="228"/>
        <v>#VALUE!</v>
      </c>
      <c r="U919" s="50" t="e">
        <f t="shared" si="224"/>
        <v>#VALUE!</v>
      </c>
      <c r="V919" s="50" t="e">
        <f t="shared" si="225"/>
        <v>#VALUE!</v>
      </c>
      <c r="W919" s="50" t="e">
        <f t="shared" si="226"/>
        <v>#VALUE!</v>
      </c>
    </row>
    <row r="920" spans="2:23" x14ac:dyDescent="0.25">
      <c r="B920" s="50" t="b">
        <f t="shared" si="229"/>
        <v>0</v>
      </c>
      <c r="C920" s="50" t="e">
        <f t="shared" si="216"/>
        <v>#VALUE!</v>
      </c>
      <c r="E920" s="56">
        <v>916</v>
      </c>
      <c r="G920" s="138"/>
      <c r="H920" s="135">
        <v>1</v>
      </c>
      <c r="I920" s="57" t="str">
        <f t="shared" si="227"/>
        <v/>
      </c>
      <c r="J920" s="58" t="e">
        <f t="shared" si="217"/>
        <v>#VALUE!</v>
      </c>
      <c r="K920" s="50" t="e">
        <f t="shared" si="218"/>
        <v>#VALUE!</v>
      </c>
      <c r="L920" s="50" t="e">
        <f t="shared" si="215"/>
        <v>#VALUE!</v>
      </c>
      <c r="M920" s="50" t="e">
        <f t="shared" si="215"/>
        <v>#VALUE!</v>
      </c>
      <c r="N920" s="50" t="e">
        <f t="shared" si="219"/>
        <v>#VALUE!</v>
      </c>
      <c r="O920" s="50" t="e">
        <f t="shared" si="220"/>
        <v>#VALUE!</v>
      </c>
      <c r="P920" s="50">
        <f t="shared" si="221"/>
        <v>0</v>
      </c>
      <c r="R920" s="55" t="e">
        <f t="shared" si="222"/>
        <v>#VALUE!</v>
      </c>
      <c r="S920" s="55" t="e">
        <f t="shared" si="223"/>
        <v>#VALUE!</v>
      </c>
      <c r="T920" s="55" t="e">
        <f t="shared" si="228"/>
        <v>#VALUE!</v>
      </c>
      <c r="U920" s="50" t="e">
        <f t="shared" si="224"/>
        <v>#VALUE!</v>
      </c>
      <c r="V920" s="50" t="e">
        <f t="shared" si="225"/>
        <v>#VALUE!</v>
      </c>
      <c r="W920" s="50" t="e">
        <f t="shared" si="226"/>
        <v>#VALUE!</v>
      </c>
    </row>
    <row r="921" spans="2:23" x14ac:dyDescent="0.25">
      <c r="B921" s="50" t="b">
        <f t="shared" si="229"/>
        <v>0</v>
      </c>
      <c r="C921" s="50" t="e">
        <f t="shared" si="216"/>
        <v>#VALUE!</v>
      </c>
      <c r="E921" s="56">
        <v>917</v>
      </c>
      <c r="G921" s="138"/>
      <c r="H921" s="135">
        <v>1</v>
      </c>
      <c r="I921" s="57" t="str">
        <f t="shared" si="227"/>
        <v/>
      </c>
      <c r="J921" s="58" t="e">
        <f t="shared" si="217"/>
        <v>#VALUE!</v>
      </c>
      <c r="K921" s="50" t="e">
        <f t="shared" si="218"/>
        <v>#VALUE!</v>
      </c>
      <c r="L921" s="50" t="e">
        <f t="shared" si="215"/>
        <v>#VALUE!</v>
      </c>
      <c r="M921" s="50" t="e">
        <f t="shared" si="215"/>
        <v>#VALUE!</v>
      </c>
      <c r="N921" s="50" t="e">
        <f t="shared" si="219"/>
        <v>#VALUE!</v>
      </c>
      <c r="O921" s="50" t="e">
        <f t="shared" si="220"/>
        <v>#VALUE!</v>
      </c>
      <c r="P921" s="50">
        <f t="shared" si="221"/>
        <v>0</v>
      </c>
      <c r="R921" s="55" t="e">
        <f t="shared" si="222"/>
        <v>#VALUE!</v>
      </c>
      <c r="S921" s="55" t="e">
        <f t="shared" si="223"/>
        <v>#VALUE!</v>
      </c>
      <c r="T921" s="55" t="e">
        <f t="shared" si="228"/>
        <v>#VALUE!</v>
      </c>
      <c r="U921" s="50" t="e">
        <f t="shared" si="224"/>
        <v>#VALUE!</v>
      </c>
      <c r="V921" s="50" t="e">
        <f t="shared" si="225"/>
        <v>#VALUE!</v>
      </c>
      <c r="W921" s="50" t="e">
        <f t="shared" si="226"/>
        <v>#VALUE!</v>
      </c>
    </row>
    <row r="922" spans="2:23" x14ac:dyDescent="0.25">
      <c r="B922" s="50" t="b">
        <f t="shared" si="229"/>
        <v>0</v>
      </c>
      <c r="C922" s="50" t="e">
        <f t="shared" si="216"/>
        <v>#VALUE!</v>
      </c>
      <c r="E922" s="56">
        <v>918</v>
      </c>
      <c r="G922" s="138"/>
      <c r="H922" s="135">
        <v>1</v>
      </c>
      <c r="I922" s="57" t="str">
        <f t="shared" si="227"/>
        <v/>
      </c>
      <c r="J922" s="58" t="e">
        <f t="shared" si="217"/>
        <v>#VALUE!</v>
      </c>
      <c r="K922" s="50" t="e">
        <f t="shared" si="218"/>
        <v>#VALUE!</v>
      </c>
      <c r="L922" s="50" t="e">
        <f t="shared" si="215"/>
        <v>#VALUE!</v>
      </c>
      <c r="M922" s="50" t="e">
        <f t="shared" si="215"/>
        <v>#VALUE!</v>
      </c>
      <c r="N922" s="50" t="e">
        <f t="shared" si="219"/>
        <v>#VALUE!</v>
      </c>
      <c r="O922" s="50" t="e">
        <f t="shared" si="220"/>
        <v>#VALUE!</v>
      </c>
      <c r="P922" s="50">
        <f t="shared" si="221"/>
        <v>0</v>
      </c>
      <c r="R922" s="55" t="e">
        <f t="shared" si="222"/>
        <v>#VALUE!</v>
      </c>
      <c r="S922" s="55" t="e">
        <f t="shared" si="223"/>
        <v>#VALUE!</v>
      </c>
      <c r="T922" s="55" t="e">
        <f t="shared" si="228"/>
        <v>#VALUE!</v>
      </c>
      <c r="U922" s="50" t="e">
        <f t="shared" si="224"/>
        <v>#VALUE!</v>
      </c>
      <c r="V922" s="50" t="e">
        <f t="shared" si="225"/>
        <v>#VALUE!</v>
      </c>
      <c r="W922" s="50" t="e">
        <f t="shared" si="226"/>
        <v>#VALUE!</v>
      </c>
    </row>
    <row r="923" spans="2:23" x14ac:dyDescent="0.25">
      <c r="B923" s="50" t="b">
        <f t="shared" si="229"/>
        <v>0</v>
      </c>
      <c r="C923" s="50" t="e">
        <f t="shared" si="216"/>
        <v>#VALUE!</v>
      </c>
      <c r="E923" s="56">
        <v>919</v>
      </c>
      <c r="G923" s="138"/>
      <c r="H923" s="135">
        <v>1</v>
      </c>
      <c r="I923" s="57" t="str">
        <f t="shared" si="227"/>
        <v/>
      </c>
      <c r="J923" s="58" t="e">
        <f t="shared" si="217"/>
        <v>#VALUE!</v>
      </c>
      <c r="K923" s="50" t="e">
        <f t="shared" si="218"/>
        <v>#VALUE!</v>
      </c>
      <c r="L923" s="50" t="e">
        <f t="shared" si="215"/>
        <v>#VALUE!</v>
      </c>
      <c r="M923" s="50" t="e">
        <f t="shared" si="215"/>
        <v>#VALUE!</v>
      </c>
      <c r="N923" s="50" t="e">
        <f t="shared" si="219"/>
        <v>#VALUE!</v>
      </c>
      <c r="O923" s="50" t="e">
        <f t="shared" si="220"/>
        <v>#VALUE!</v>
      </c>
      <c r="P923" s="50">
        <f t="shared" si="221"/>
        <v>0</v>
      </c>
      <c r="R923" s="55" t="e">
        <f t="shared" si="222"/>
        <v>#VALUE!</v>
      </c>
      <c r="S923" s="55" t="e">
        <f t="shared" si="223"/>
        <v>#VALUE!</v>
      </c>
      <c r="T923" s="55" t="e">
        <f t="shared" si="228"/>
        <v>#VALUE!</v>
      </c>
      <c r="U923" s="50" t="e">
        <f t="shared" si="224"/>
        <v>#VALUE!</v>
      </c>
      <c r="V923" s="50" t="e">
        <f t="shared" si="225"/>
        <v>#VALUE!</v>
      </c>
      <c r="W923" s="50" t="e">
        <f t="shared" si="226"/>
        <v>#VALUE!</v>
      </c>
    </row>
    <row r="924" spans="2:23" x14ac:dyDescent="0.25">
      <c r="B924" s="50" t="b">
        <f t="shared" si="229"/>
        <v>0</v>
      </c>
      <c r="C924" s="50" t="e">
        <f t="shared" si="216"/>
        <v>#VALUE!</v>
      </c>
      <c r="E924" s="56">
        <v>920</v>
      </c>
      <c r="G924" s="138"/>
      <c r="H924" s="135">
        <v>1</v>
      </c>
      <c r="I924" s="57" t="str">
        <f t="shared" si="227"/>
        <v/>
      </c>
      <c r="J924" s="58" t="e">
        <f t="shared" si="217"/>
        <v>#VALUE!</v>
      </c>
      <c r="K924" s="50" t="e">
        <f t="shared" si="218"/>
        <v>#VALUE!</v>
      </c>
      <c r="L924" s="50" t="e">
        <f t="shared" si="215"/>
        <v>#VALUE!</v>
      </c>
      <c r="M924" s="50" t="e">
        <f t="shared" si="215"/>
        <v>#VALUE!</v>
      </c>
      <c r="N924" s="50" t="e">
        <f t="shared" si="219"/>
        <v>#VALUE!</v>
      </c>
      <c r="O924" s="50" t="e">
        <f t="shared" si="220"/>
        <v>#VALUE!</v>
      </c>
      <c r="P924" s="50">
        <f t="shared" si="221"/>
        <v>0</v>
      </c>
      <c r="R924" s="55" t="e">
        <f t="shared" si="222"/>
        <v>#VALUE!</v>
      </c>
      <c r="S924" s="55" t="e">
        <f t="shared" si="223"/>
        <v>#VALUE!</v>
      </c>
      <c r="T924" s="55" t="e">
        <f t="shared" si="228"/>
        <v>#VALUE!</v>
      </c>
      <c r="U924" s="50" t="e">
        <f t="shared" si="224"/>
        <v>#VALUE!</v>
      </c>
      <c r="V924" s="50" t="e">
        <f t="shared" si="225"/>
        <v>#VALUE!</v>
      </c>
      <c r="W924" s="50" t="e">
        <f t="shared" si="226"/>
        <v>#VALUE!</v>
      </c>
    </row>
    <row r="925" spans="2:23" x14ac:dyDescent="0.25">
      <c r="B925" s="50" t="b">
        <f t="shared" si="229"/>
        <v>0</v>
      </c>
      <c r="C925" s="50" t="e">
        <f t="shared" si="216"/>
        <v>#VALUE!</v>
      </c>
      <c r="E925" s="56">
        <v>921</v>
      </c>
      <c r="G925" s="138"/>
      <c r="H925" s="135">
        <v>1</v>
      </c>
      <c r="I925" s="57" t="str">
        <f t="shared" si="227"/>
        <v/>
      </c>
      <c r="J925" s="58" t="e">
        <f t="shared" si="217"/>
        <v>#VALUE!</v>
      </c>
      <c r="K925" s="50" t="e">
        <f t="shared" si="218"/>
        <v>#VALUE!</v>
      </c>
      <c r="L925" s="50" t="e">
        <f t="shared" si="215"/>
        <v>#VALUE!</v>
      </c>
      <c r="M925" s="50" t="e">
        <f t="shared" si="215"/>
        <v>#VALUE!</v>
      </c>
      <c r="N925" s="50" t="e">
        <f t="shared" si="219"/>
        <v>#VALUE!</v>
      </c>
      <c r="O925" s="50" t="e">
        <f t="shared" si="220"/>
        <v>#VALUE!</v>
      </c>
      <c r="P925" s="50">
        <f t="shared" si="221"/>
        <v>0</v>
      </c>
      <c r="R925" s="55" t="e">
        <f t="shared" si="222"/>
        <v>#VALUE!</v>
      </c>
      <c r="S925" s="55" t="e">
        <f t="shared" si="223"/>
        <v>#VALUE!</v>
      </c>
      <c r="T925" s="55" t="e">
        <f t="shared" si="228"/>
        <v>#VALUE!</v>
      </c>
      <c r="U925" s="50" t="e">
        <f t="shared" si="224"/>
        <v>#VALUE!</v>
      </c>
      <c r="V925" s="50" t="e">
        <f t="shared" si="225"/>
        <v>#VALUE!</v>
      </c>
      <c r="W925" s="50" t="e">
        <f t="shared" si="226"/>
        <v>#VALUE!</v>
      </c>
    </row>
    <row r="926" spans="2:23" x14ac:dyDescent="0.25">
      <c r="B926" s="50" t="b">
        <f t="shared" si="229"/>
        <v>0</v>
      </c>
      <c r="C926" s="50" t="e">
        <f t="shared" si="216"/>
        <v>#VALUE!</v>
      </c>
      <c r="E926" s="56">
        <v>922</v>
      </c>
      <c r="G926" s="138"/>
      <c r="H926" s="135">
        <v>1</v>
      </c>
      <c r="I926" s="57" t="str">
        <f t="shared" si="227"/>
        <v/>
      </c>
      <c r="J926" s="58" t="e">
        <f t="shared" si="217"/>
        <v>#VALUE!</v>
      </c>
      <c r="K926" s="50" t="e">
        <f t="shared" si="218"/>
        <v>#VALUE!</v>
      </c>
      <c r="L926" s="50" t="e">
        <f t="shared" si="215"/>
        <v>#VALUE!</v>
      </c>
      <c r="M926" s="50" t="e">
        <f t="shared" si="215"/>
        <v>#VALUE!</v>
      </c>
      <c r="N926" s="50" t="e">
        <f t="shared" si="219"/>
        <v>#VALUE!</v>
      </c>
      <c r="O926" s="50" t="e">
        <f t="shared" si="220"/>
        <v>#VALUE!</v>
      </c>
      <c r="P926" s="50">
        <f t="shared" si="221"/>
        <v>0</v>
      </c>
      <c r="R926" s="55" t="e">
        <f t="shared" si="222"/>
        <v>#VALUE!</v>
      </c>
      <c r="S926" s="55" t="e">
        <f t="shared" si="223"/>
        <v>#VALUE!</v>
      </c>
      <c r="T926" s="55" t="e">
        <f t="shared" si="228"/>
        <v>#VALUE!</v>
      </c>
      <c r="U926" s="50" t="e">
        <f t="shared" si="224"/>
        <v>#VALUE!</v>
      </c>
      <c r="V926" s="50" t="e">
        <f t="shared" si="225"/>
        <v>#VALUE!</v>
      </c>
      <c r="W926" s="50" t="e">
        <f t="shared" si="226"/>
        <v>#VALUE!</v>
      </c>
    </row>
    <row r="927" spans="2:23" x14ac:dyDescent="0.25">
      <c r="B927" s="50" t="b">
        <f t="shared" si="229"/>
        <v>0</v>
      </c>
      <c r="C927" s="50" t="e">
        <f t="shared" si="216"/>
        <v>#VALUE!</v>
      </c>
      <c r="E927" s="56">
        <v>923</v>
      </c>
      <c r="G927" s="138"/>
      <c r="H927" s="135">
        <v>1</v>
      </c>
      <c r="I927" s="57" t="str">
        <f t="shared" si="227"/>
        <v/>
      </c>
      <c r="J927" s="58" t="e">
        <f t="shared" si="217"/>
        <v>#VALUE!</v>
      </c>
      <c r="K927" s="50" t="e">
        <f t="shared" si="218"/>
        <v>#VALUE!</v>
      </c>
      <c r="L927" s="50" t="e">
        <f t="shared" si="215"/>
        <v>#VALUE!</v>
      </c>
      <c r="M927" s="50" t="e">
        <f t="shared" si="215"/>
        <v>#VALUE!</v>
      </c>
      <c r="N927" s="50" t="e">
        <f t="shared" si="219"/>
        <v>#VALUE!</v>
      </c>
      <c r="O927" s="50" t="e">
        <f t="shared" si="220"/>
        <v>#VALUE!</v>
      </c>
      <c r="P927" s="50">
        <f t="shared" si="221"/>
        <v>0</v>
      </c>
      <c r="R927" s="55" t="e">
        <f t="shared" si="222"/>
        <v>#VALUE!</v>
      </c>
      <c r="S927" s="55" t="e">
        <f t="shared" si="223"/>
        <v>#VALUE!</v>
      </c>
      <c r="T927" s="55" t="e">
        <f t="shared" si="228"/>
        <v>#VALUE!</v>
      </c>
      <c r="U927" s="50" t="e">
        <f t="shared" si="224"/>
        <v>#VALUE!</v>
      </c>
      <c r="V927" s="50" t="e">
        <f t="shared" si="225"/>
        <v>#VALUE!</v>
      </c>
      <c r="W927" s="50" t="e">
        <f t="shared" si="226"/>
        <v>#VALUE!</v>
      </c>
    </row>
    <row r="928" spans="2:23" x14ac:dyDescent="0.25">
      <c r="B928" s="50" t="b">
        <f t="shared" si="229"/>
        <v>0</v>
      </c>
      <c r="C928" s="50" t="e">
        <f t="shared" si="216"/>
        <v>#VALUE!</v>
      </c>
      <c r="E928" s="56">
        <v>924</v>
      </c>
      <c r="G928" s="138"/>
      <c r="H928" s="135">
        <v>1</v>
      </c>
      <c r="I928" s="57" t="str">
        <f t="shared" si="227"/>
        <v/>
      </c>
      <c r="J928" s="58" t="e">
        <f t="shared" si="217"/>
        <v>#VALUE!</v>
      </c>
      <c r="K928" s="50" t="e">
        <f t="shared" si="218"/>
        <v>#VALUE!</v>
      </c>
      <c r="L928" s="50" t="e">
        <f t="shared" ref="L928:M991" si="230">O928-N928</f>
        <v>#VALUE!</v>
      </c>
      <c r="M928" s="50" t="e">
        <f t="shared" si="230"/>
        <v>#VALUE!</v>
      </c>
      <c r="N928" s="50" t="e">
        <f t="shared" si="219"/>
        <v>#VALUE!</v>
      </c>
      <c r="O928" s="50" t="e">
        <f t="shared" si="220"/>
        <v>#VALUE!</v>
      </c>
      <c r="P928" s="50">
        <f t="shared" si="221"/>
        <v>0</v>
      </c>
      <c r="R928" s="55" t="e">
        <f t="shared" si="222"/>
        <v>#VALUE!</v>
      </c>
      <c r="S928" s="55" t="e">
        <f t="shared" si="223"/>
        <v>#VALUE!</v>
      </c>
      <c r="T928" s="55" t="e">
        <f t="shared" si="228"/>
        <v>#VALUE!</v>
      </c>
      <c r="U928" s="50" t="e">
        <f t="shared" si="224"/>
        <v>#VALUE!</v>
      </c>
      <c r="V928" s="50" t="e">
        <f t="shared" si="225"/>
        <v>#VALUE!</v>
      </c>
      <c r="W928" s="50" t="e">
        <f t="shared" si="226"/>
        <v>#VALUE!</v>
      </c>
    </row>
    <row r="929" spans="2:23" x14ac:dyDescent="0.25">
      <c r="B929" s="50" t="b">
        <f t="shared" si="229"/>
        <v>0</v>
      </c>
      <c r="C929" s="50" t="e">
        <f t="shared" si="216"/>
        <v>#VALUE!</v>
      </c>
      <c r="E929" s="56">
        <v>925</v>
      </c>
      <c r="G929" s="138"/>
      <c r="H929" s="135">
        <v>1</v>
      </c>
      <c r="I929" s="57" t="str">
        <f t="shared" si="227"/>
        <v/>
      </c>
      <c r="J929" s="58" t="e">
        <f t="shared" si="217"/>
        <v>#VALUE!</v>
      </c>
      <c r="K929" s="50" t="e">
        <f t="shared" si="218"/>
        <v>#VALUE!</v>
      </c>
      <c r="L929" s="50" t="e">
        <f t="shared" si="230"/>
        <v>#VALUE!</v>
      </c>
      <c r="M929" s="50" t="e">
        <f t="shared" si="230"/>
        <v>#VALUE!</v>
      </c>
      <c r="N929" s="50" t="e">
        <f t="shared" si="219"/>
        <v>#VALUE!</v>
      </c>
      <c r="O929" s="50" t="e">
        <f t="shared" si="220"/>
        <v>#VALUE!</v>
      </c>
      <c r="P929" s="50">
        <f t="shared" si="221"/>
        <v>0</v>
      </c>
      <c r="R929" s="55" t="e">
        <f t="shared" si="222"/>
        <v>#VALUE!</v>
      </c>
      <c r="S929" s="55" t="e">
        <f t="shared" si="223"/>
        <v>#VALUE!</v>
      </c>
      <c r="T929" s="55" t="e">
        <f t="shared" si="228"/>
        <v>#VALUE!</v>
      </c>
      <c r="U929" s="50" t="e">
        <f t="shared" si="224"/>
        <v>#VALUE!</v>
      </c>
      <c r="V929" s="50" t="e">
        <f t="shared" si="225"/>
        <v>#VALUE!</v>
      </c>
      <c r="W929" s="50" t="e">
        <f t="shared" si="226"/>
        <v>#VALUE!</v>
      </c>
    </row>
    <row r="930" spans="2:23" x14ac:dyDescent="0.25">
      <c r="B930" s="50" t="b">
        <f t="shared" si="229"/>
        <v>0</v>
      </c>
      <c r="C930" s="50" t="e">
        <f t="shared" si="216"/>
        <v>#VALUE!</v>
      </c>
      <c r="E930" s="56">
        <v>926</v>
      </c>
      <c r="G930" s="138"/>
      <c r="H930" s="135">
        <v>1</v>
      </c>
      <c r="I930" s="57" t="str">
        <f t="shared" si="227"/>
        <v/>
      </c>
      <c r="J930" s="58" t="e">
        <f t="shared" si="217"/>
        <v>#VALUE!</v>
      </c>
      <c r="K930" s="50" t="e">
        <f t="shared" si="218"/>
        <v>#VALUE!</v>
      </c>
      <c r="L930" s="50" t="e">
        <f t="shared" si="230"/>
        <v>#VALUE!</v>
      </c>
      <c r="M930" s="50" t="e">
        <f t="shared" si="230"/>
        <v>#VALUE!</v>
      </c>
      <c r="N930" s="50" t="e">
        <f t="shared" si="219"/>
        <v>#VALUE!</v>
      </c>
      <c r="O930" s="50" t="e">
        <f t="shared" si="220"/>
        <v>#VALUE!</v>
      </c>
      <c r="P930" s="50">
        <f t="shared" si="221"/>
        <v>0</v>
      </c>
      <c r="R930" s="55" t="e">
        <f t="shared" si="222"/>
        <v>#VALUE!</v>
      </c>
      <c r="S930" s="55" t="e">
        <f t="shared" si="223"/>
        <v>#VALUE!</v>
      </c>
      <c r="T930" s="55" t="e">
        <f t="shared" si="228"/>
        <v>#VALUE!</v>
      </c>
      <c r="U930" s="50" t="e">
        <f t="shared" si="224"/>
        <v>#VALUE!</v>
      </c>
      <c r="V930" s="50" t="e">
        <f t="shared" si="225"/>
        <v>#VALUE!</v>
      </c>
      <c r="W930" s="50" t="e">
        <f t="shared" si="226"/>
        <v>#VALUE!</v>
      </c>
    </row>
    <row r="931" spans="2:23" x14ac:dyDescent="0.25">
      <c r="B931" s="50" t="b">
        <f t="shared" si="229"/>
        <v>0</v>
      </c>
      <c r="C931" s="50" t="e">
        <f t="shared" si="216"/>
        <v>#VALUE!</v>
      </c>
      <c r="E931" s="56">
        <v>927</v>
      </c>
      <c r="G931" s="138"/>
      <c r="H931" s="135">
        <v>1</v>
      </c>
      <c r="I931" s="57" t="str">
        <f t="shared" si="227"/>
        <v/>
      </c>
      <c r="J931" s="58" t="e">
        <f t="shared" si="217"/>
        <v>#VALUE!</v>
      </c>
      <c r="K931" s="50" t="e">
        <f t="shared" si="218"/>
        <v>#VALUE!</v>
      </c>
      <c r="L931" s="50" t="e">
        <f t="shared" si="230"/>
        <v>#VALUE!</v>
      </c>
      <c r="M931" s="50" t="e">
        <f t="shared" si="230"/>
        <v>#VALUE!</v>
      </c>
      <c r="N931" s="50" t="e">
        <f t="shared" si="219"/>
        <v>#VALUE!</v>
      </c>
      <c r="O931" s="50" t="e">
        <f t="shared" si="220"/>
        <v>#VALUE!</v>
      </c>
      <c r="P931" s="50">
        <f t="shared" si="221"/>
        <v>0</v>
      </c>
      <c r="R931" s="55" t="e">
        <f t="shared" si="222"/>
        <v>#VALUE!</v>
      </c>
      <c r="S931" s="55" t="e">
        <f t="shared" si="223"/>
        <v>#VALUE!</v>
      </c>
      <c r="T931" s="55" t="e">
        <f t="shared" si="228"/>
        <v>#VALUE!</v>
      </c>
      <c r="U931" s="50" t="e">
        <f t="shared" si="224"/>
        <v>#VALUE!</v>
      </c>
      <c r="V931" s="50" t="e">
        <f t="shared" si="225"/>
        <v>#VALUE!</v>
      </c>
      <c r="W931" s="50" t="e">
        <f t="shared" si="226"/>
        <v>#VALUE!</v>
      </c>
    </row>
    <row r="932" spans="2:23" x14ac:dyDescent="0.25">
      <c r="B932" s="50" t="b">
        <f t="shared" si="229"/>
        <v>0</v>
      </c>
      <c r="C932" s="50" t="e">
        <f t="shared" si="216"/>
        <v>#VALUE!</v>
      </c>
      <c r="E932" s="56">
        <v>928</v>
      </c>
      <c r="G932" s="138"/>
      <c r="H932" s="135">
        <v>1</v>
      </c>
      <c r="I932" s="57" t="str">
        <f t="shared" si="227"/>
        <v/>
      </c>
      <c r="J932" s="58" t="e">
        <f t="shared" si="217"/>
        <v>#VALUE!</v>
      </c>
      <c r="K932" s="50" t="e">
        <f t="shared" si="218"/>
        <v>#VALUE!</v>
      </c>
      <c r="L932" s="50" t="e">
        <f t="shared" si="230"/>
        <v>#VALUE!</v>
      </c>
      <c r="M932" s="50" t="e">
        <f t="shared" si="230"/>
        <v>#VALUE!</v>
      </c>
      <c r="N932" s="50" t="e">
        <f t="shared" si="219"/>
        <v>#VALUE!</v>
      </c>
      <c r="O932" s="50" t="e">
        <f t="shared" si="220"/>
        <v>#VALUE!</v>
      </c>
      <c r="P932" s="50">
        <f t="shared" si="221"/>
        <v>0</v>
      </c>
      <c r="R932" s="55" t="e">
        <f t="shared" si="222"/>
        <v>#VALUE!</v>
      </c>
      <c r="S932" s="55" t="e">
        <f t="shared" si="223"/>
        <v>#VALUE!</v>
      </c>
      <c r="T932" s="55" t="e">
        <f t="shared" si="228"/>
        <v>#VALUE!</v>
      </c>
      <c r="U932" s="50" t="e">
        <f t="shared" si="224"/>
        <v>#VALUE!</v>
      </c>
      <c r="V932" s="50" t="e">
        <f t="shared" si="225"/>
        <v>#VALUE!</v>
      </c>
      <c r="W932" s="50" t="e">
        <f t="shared" si="226"/>
        <v>#VALUE!</v>
      </c>
    </row>
    <row r="933" spans="2:23" x14ac:dyDescent="0.25">
      <c r="B933" s="50" t="b">
        <f t="shared" si="229"/>
        <v>0</v>
      </c>
      <c r="C933" s="50" t="e">
        <f t="shared" si="216"/>
        <v>#VALUE!</v>
      </c>
      <c r="E933" s="56">
        <v>929</v>
      </c>
      <c r="G933" s="138"/>
      <c r="H933" s="135">
        <v>1</v>
      </c>
      <c r="I933" s="57" t="str">
        <f t="shared" si="227"/>
        <v/>
      </c>
      <c r="J933" s="58" t="e">
        <f t="shared" si="217"/>
        <v>#VALUE!</v>
      </c>
      <c r="K933" s="50" t="e">
        <f t="shared" si="218"/>
        <v>#VALUE!</v>
      </c>
      <c r="L933" s="50" t="e">
        <f t="shared" si="230"/>
        <v>#VALUE!</v>
      </c>
      <c r="M933" s="50" t="e">
        <f t="shared" si="230"/>
        <v>#VALUE!</v>
      </c>
      <c r="N933" s="50" t="e">
        <f t="shared" si="219"/>
        <v>#VALUE!</v>
      </c>
      <c r="O933" s="50" t="e">
        <f t="shared" si="220"/>
        <v>#VALUE!</v>
      </c>
      <c r="P933" s="50">
        <f t="shared" si="221"/>
        <v>0</v>
      </c>
      <c r="R933" s="55" t="e">
        <f t="shared" si="222"/>
        <v>#VALUE!</v>
      </c>
      <c r="S933" s="55" t="e">
        <f t="shared" si="223"/>
        <v>#VALUE!</v>
      </c>
      <c r="T933" s="55" t="e">
        <f t="shared" si="228"/>
        <v>#VALUE!</v>
      </c>
      <c r="U933" s="50" t="e">
        <f t="shared" si="224"/>
        <v>#VALUE!</v>
      </c>
      <c r="V933" s="50" t="e">
        <f t="shared" si="225"/>
        <v>#VALUE!</v>
      </c>
      <c r="W933" s="50" t="e">
        <f t="shared" si="226"/>
        <v>#VALUE!</v>
      </c>
    </row>
    <row r="934" spans="2:23" x14ac:dyDescent="0.25">
      <c r="B934" s="50" t="b">
        <f t="shared" si="229"/>
        <v>0</v>
      </c>
      <c r="C934" s="50" t="e">
        <f t="shared" si="216"/>
        <v>#VALUE!</v>
      </c>
      <c r="E934" s="56">
        <v>930</v>
      </c>
      <c r="G934" s="138"/>
      <c r="H934" s="135">
        <v>1</v>
      </c>
      <c r="I934" s="57" t="str">
        <f t="shared" si="227"/>
        <v/>
      </c>
      <c r="J934" s="58" t="e">
        <f t="shared" si="217"/>
        <v>#VALUE!</v>
      </c>
      <c r="K934" s="50" t="e">
        <f t="shared" si="218"/>
        <v>#VALUE!</v>
      </c>
      <c r="L934" s="50" t="e">
        <f t="shared" si="230"/>
        <v>#VALUE!</v>
      </c>
      <c r="M934" s="50" t="e">
        <f t="shared" si="230"/>
        <v>#VALUE!</v>
      </c>
      <c r="N934" s="50" t="e">
        <f t="shared" si="219"/>
        <v>#VALUE!</v>
      </c>
      <c r="O934" s="50" t="e">
        <f t="shared" si="220"/>
        <v>#VALUE!</v>
      </c>
      <c r="P934" s="50">
        <f t="shared" si="221"/>
        <v>0</v>
      </c>
      <c r="R934" s="55" t="e">
        <f t="shared" si="222"/>
        <v>#VALUE!</v>
      </c>
      <c r="S934" s="55" t="e">
        <f t="shared" si="223"/>
        <v>#VALUE!</v>
      </c>
      <c r="T934" s="55" t="e">
        <f t="shared" si="228"/>
        <v>#VALUE!</v>
      </c>
      <c r="U934" s="50" t="e">
        <f t="shared" si="224"/>
        <v>#VALUE!</v>
      </c>
      <c r="V934" s="50" t="e">
        <f t="shared" si="225"/>
        <v>#VALUE!</v>
      </c>
      <c r="W934" s="50" t="e">
        <f t="shared" si="226"/>
        <v>#VALUE!</v>
      </c>
    </row>
    <row r="935" spans="2:23" x14ac:dyDescent="0.25">
      <c r="B935" s="50" t="b">
        <f t="shared" si="229"/>
        <v>0</v>
      </c>
      <c r="C935" s="50" t="e">
        <f t="shared" si="216"/>
        <v>#VALUE!</v>
      </c>
      <c r="E935" s="56">
        <v>931</v>
      </c>
      <c r="G935" s="138"/>
      <c r="H935" s="135">
        <v>1</v>
      </c>
      <c r="I935" s="57" t="str">
        <f t="shared" si="227"/>
        <v/>
      </c>
      <c r="J935" s="58" t="e">
        <f t="shared" si="217"/>
        <v>#VALUE!</v>
      </c>
      <c r="K935" s="50" t="e">
        <f t="shared" si="218"/>
        <v>#VALUE!</v>
      </c>
      <c r="L935" s="50" t="e">
        <f t="shared" si="230"/>
        <v>#VALUE!</v>
      </c>
      <c r="M935" s="50" t="e">
        <f t="shared" si="230"/>
        <v>#VALUE!</v>
      </c>
      <c r="N935" s="50" t="e">
        <f t="shared" si="219"/>
        <v>#VALUE!</v>
      </c>
      <c r="O935" s="50" t="e">
        <f t="shared" si="220"/>
        <v>#VALUE!</v>
      </c>
      <c r="P935" s="50">
        <f t="shared" si="221"/>
        <v>0</v>
      </c>
      <c r="R935" s="55" t="e">
        <f t="shared" si="222"/>
        <v>#VALUE!</v>
      </c>
      <c r="S935" s="55" t="e">
        <f t="shared" si="223"/>
        <v>#VALUE!</v>
      </c>
      <c r="T935" s="55" t="e">
        <f t="shared" si="228"/>
        <v>#VALUE!</v>
      </c>
      <c r="U935" s="50" t="e">
        <f t="shared" si="224"/>
        <v>#VALUE!</v>
      </c>
      <c r="V935" s="50" t="e">
        <f t="shared" si="225"/>
        <v>#VALUE!</v>
      </c>
      <c r="W935" s="50" t="e">
        <f t="shared" si="226"/>
        <v>#VALUE!</v>
      </c>
    </row>
    <row r="936" spans="2:23" x14ac:dyDescent="0.25">
      <c r="B936" s="50" t="b">
        <f t="shared" si="229"/>
        <v>0</v>
      </c>
      <c r="C936" s="50" t="e">
        <f t="shared" si="216"/>
        <v>#VALUE!</v>
      </c>
      <c r="E936" s="56">
        <v>932</v>
      </c>
      <c r="G936" s="138"/>
      <c r="H936" s="135">
        <v>1</v>
      </c>
      <c r="I936" s="57" t="str">
        <f t="shared" si="227"/>
        <v/>
      </c>
      <c r="J936" s="58" t="e">
        <f t="shared" si="217"/>
        <v>#VALUE!</v>
      </c>
      <c r="K936" s="50" t="e">
        <f t="shared" si="218"/>
        <v>#VALUE!</v>
      </c>
      <c r="L936" s="50" t="e">
        <f t="shared" si="230"/>
        <v>#VALUE!</v>
      </c>
      <c r="M936" s="50" t="e">
        <f t="shared" si="230"/>
        <v>#VALUE!</v>
      </c>
      <c r="N936" s="50" t="e">
        <f t="shared" si="219"/>
        <v>#VALUE!</v>
      </c>
      <c r="O936" s="50" t="e">
        <f t="shared" si="220"/>
        <v>#VALUE!</v>
      </c>
      <c r="P936" s="50">
        <f t="shared" si="221"/>
        <v>0</v>
      </c>
      <c r="R936" s="55" t="e">
        <f t="shared" si="222"/>
        <v>#VALUE!</v>
      </c>
      <c r="S936" s="55" t="e">
        <f t="shared" si="223"/>
        <v>#VALUE!</v>
      </c>
      <c r="T936" s="55" t="e">
        <f t="shared" si="228"/>
        <v>#VALUE!</v>
      </c>
      <c r="U936" s="50" t="e">
        <f t="shared" si="224"/>
        <v>#VALUE!</v>
      </c>
      <c r="V936" s="50" t="e">
        <f t="shared" si="225"/>
        <v>#VALUE!</v>
      </c>
      <c r="W936" s="50" t="e">
        <f t="shared" si="226"/>
        <v>#VALUE!</v>
      </c>
    </row>
    <row r="937" spans="2:23" x14ac:dyDescent="0.25">
      <c r="B937" s="50" t="b">
        <f t="shared" si="229"/>
        <v>0</v>
      </c>
      <c r="C937" s="50" t="e">
        <f t="shared" si="216"/>
        <v>#VALUE!</v>
      </c>
      <c r="E937" s="56">
        <v>933</v>
      </c>
      <c r="G937" s="138"/>
      <c r="H937" s="135">
        <v>1</v>
      </c>
      <c r="I937" s="57" t="str">
        <f t="shared" si="227"/>
        <v/>
      </c>
      <c r="J937" s="58" t="e">
        <f t="shared" si="217"/>
        <v>#VALUE!</v>
      </c>
      <c r="K937" s="50" t="e">
        <f t="shared" si="218"/>
        <v>#VALUE!</v>
      </c>
      <c r="L937" s="50" t="e">
        <f t="shared" si="230"/>
        <v>#VALUE!</v>
      </c>
      <c r="M937" s="50" t="e">
        <f t="shared" si="230"/>
        <v>#VALUE!</v>
      </c>
      <c r="N937" s="50" t="e">
        <f t="shared" si="219"/>
        <v>#VALUE!</v>
      </c>
      <c r="O937" s="50" t="e">
        <f t="shared" si="220"/>
        <v>#VALUE!</v>
      </c>
      <c r="P937" s="50">
        <f t="shared" si="221"/>
        <v>0</v>
      </c>
      <c r="R937" s="55" t="e">
        <f t="shared" si="222"/>
        <v>#VALUE!</v>
      </c>
      <c r="S937" s="55" t="e">
        <f t="shared" si="223"/>
        <v>#VALUE!</v>
      </c>
      <c r="T937" s="55" t="e">
        <f t="shared" si="228"/>
        <v>#VALUE!</v>
      </c>
      <c r="U937" s="50" t="e">
        <f t="shared" si="224"/>
        <v>#VALUE!</v>
      </c>
      <c r="V937" s="50" t="e">
        <f t="shared" si="225"/>
        <v>#VALUE!</v>
      </c>
      <c r="W937" s="50" t="e">
        <f t="shared" si="226"/>
        <v>#VALUE!</v>
      </c>
    </row>
    <row r="938" spans="2:23" x14ac:dyDescent="0.25">
      <c r="B938" s="50" t="b">
        <f t="shared" si="229"/>
        <v>0</v>
      </c>
      <c r="C938" s="50" t="e">
        <f t="shared" si="216"/>
        <v>#VALUE!</v>
      </c>
      <c r="E938" s="56">
        <v>934</v>
      </c>
      <c r="G938" s="138"/>
      <c r="H938" s="135">
        <v>1</v>
      </c>
      <c r="I938" s="57" t="str">
        <f t="shared" si="227"/>
        <v/>
      </c>
      <c r="J938" s="58" t="e">
        <f t="shared" si="217"/>
        <v>#VALUE!</v>
      </c>
      <c r="K938" s="50" t="e">
        <f t="shared" si="218"/>
        <v>#VALUE!</v>
      </c>
      <c r="L938" s="50" t="e">
        <f t="shared" si="230"/>
        <v>#VALUE!</v>
      </c>
      <c r="M938" s="50" t="e">
        <f t="shared" si="230"/>
        <v>#VALUE!</v>
      </c>
      <c r="N938" s="50" t="e">
        <f t="shared" si="219"/>
        <v>#VALUE!</v>
      </c>
      <c r="O938" s="50" t="e">
        <f t="shared" si="220"/>
        <v>#VALUE!</v>
      </c>
      <c r="P938" s="50">
        <f t="shared" si="221"/>
        <v>0</v>
      </c>
      <c r="R938" s="55" t="e">
        <f t="shared" si="222"/>
        <v>#VALUE!</v>
      </c>
      <c r="S938" s="55" t="e">
        <f t="shared" si="223"/>
        <v>#VALUE!</v>
      </c>
      <c r="T938" s="55" t="e">
        <f t="shared" si="228"/>
        <v>#VALUE!</v>
      </c>
      <c r="U938" s="50" t="e">
        <f t="shared" si="224"/>
        <v>#VALUE!</v>
      </c>
      <c r="V938" s="50" t="e">
        <f t="shared" si="225"/>
        <v>#VALUE!</v>
      </c>
      <c r="W938" s="50" t="e">
        <f t="shared" si="226"/>
        <v>#VALUE!</v>
      </c>
    </row>
    <row r="939" spans="2:23" x14ac:dyDescent="0.25">
      <c r="B939" s="50" t="b">
        <f t="shared" si="229"/>
        <v>0</v>
      </c>
      <c r="C939" s="50" t="e">
        <f t="shared" si="216"/>
        <v>#VALUE!</v>
      </c>
      <c r="E939" s="56">
        <v>935</v>
      </c>
      <c r="G939" s="138"/>
      <c r="H939" s="135">
        <v>1</v>
      </c>
      <c r="I939" s="57" t="str">
        <f t="shared" si="227"/>
        <v/>
      </c>
      <c r="J939" s="58" t="e">
        <f t="shared" si="217"/>
        <v>#VALUE!</v>
      </c>
      <c r="K939" s="50" t="e">
        <f t="shared" si="218"/>
        <v>#VALUE!</v>
      </c>
      <c r="L939" s="50" t="e">
        <f t="shared" si="230"/>
        <v>#VALUE!</v>
      </c>
      <c r="M939" s="50" t="e">
        <f t="shared" si="230"/>
        <v>#VALUE!</v>
      </c>
      <c r="N939" s="50" t="e">
        <f t="shared" si="219"/>
        <v>#VALUE!</v>
      </c>
      <c r="O939" s="50" t="e">
        <f t="shared" si="220"/>
        <v>#VALUE!</v>
      </c>
      <c r="P939" s="50">
        <f t="shared" si="221"/>
        <v>0</v>
      </c>
      <c r="R939" s="55" t="e">
        <f t="shared" si="222"/>
        <v>#VALUE!</v>
      </c>
      <c r="S939" s="55" t="e">
        <f t="shared" si="223"/>
        <v>#VALUE!</v>
      </c>
      <c r="T939" s="55" t="e">
        <f t="shared" si="228"/>
        <v>#VALUE!</v>
      </c>
      <c r="U939" s="50" t="e">
        <f t="shared" si="224"/>
        <v>#VALUE!</v>
      </c>
      <c r="V939" s="50" t="e">
        <f t="shared" si="225"/>
        <v>#VALUE!</v>
      </c>
      <c r="W939" s="50" t="e">
        <f t="shared" si="226"/>
        <v>#VALUE!</v>
      </c>
    </row>
    <row r="940" spans="2:23" x14ac:dyDescent="0.25">
      <c r="B940" s="50" t="b">
        <f t="shared" si="229"/>
        <v>0</v>
      </c>
      <c r="C940" s="50" t="e">
        <f t="shared" si="216"/>
        <v>#VALUE!</v>
      </c>
      <c r="E940" s="56">
        <v>936</v>
      </c>
      <c r="G940" s="138"/>
      <c r="H940" s="135">
        <v>1</v>
      </c>
      <c r="I940" s="57" t="str">
        <f t="shared" si="227"/>
        <v/>
      </c>
      <c r="J940" s="58" t="e">
        <f t="shared" si="217"/>
        <v>#VALUE!</v>
      </c>
      <c r="K940" s="50" t="e">
        <f t="shared" si="218"/>
        <v>#VALUE!</v>
      </c>
      <c r="L940" s="50" t="e">
        <f t="shared" si="230"/>
        <v>#VALUE!</v>
      </c>
      <c r="M940" s="50" t="e">
        <f t="shared" si="230"/>
        <v>#VALUE!</v>
      </c>
      <c r="N940" s="50" t="e">
        <f t="shared" si="219"/>
        <v>#VALUE!</v>
      </c>
      <c r="O940" s="50" t="e">
        <f t="shared" si="220"/>
        <v>#VALUE!</v>
      </c>
      <c r="P940" s="50">
        <f t="shared" si="221"/>
        <v>0</v>
      </c>
      <c r="R940" s="55" t="e">
        <f t="shared" si="222"/>
        <v>#VALUE!</v>
      </c>
      <c r="S940" s="55" t="e">
        <f t="shared" si="223"/>
        <v>#VALUE!</v>
      </c>
      <c r="T940" s="55" t="e">
        <f t="shared" si="228"/>
        <v>#VALUE!</v>
      </c>
      <c r="U940" s="50" t="e">
        <f t="shared" si="224"/>
        <v>#VALUE!</v>
      </c>
      <c r="V940" s="50" t="e">
        <f t="shared" si="225"/>
        <v>#VALUE!</v>
      </c>
      <c r="W940" s="50" t="e">
        <f t="shared" si="226"/>
        <v>#VALUE!</v>
      </c>
    </row>
    <row r="941" spans="2:23" x14ac:dyDescent="0.25">
      <c r="B941" s="50" t="b">
        <f t="shared" si="229"/>
        <v>0</v>
      </c>
      <c r="C941" s="50" t="e">
        <f t="shared" si="216"/>
        <v>#VALUE!</v>
      </c>
      <c r="E941" s="56">
        <v>937</v>
      </c>
      <c r="G941" s="138"/>
      <c r="H941" s="135">
        <v>1</v>
      </c>
      <c r="I941" s="57" t="str">
        <f t="shared" si="227"/>
        <v/>
      </c>
      <c r="J941" s="58" t="e">
        <f t="shared" si="217"/>
        <v>#VALUE!</v>
      </c>
      <c r="K941" s="50" t="e">
        <f t="shared" si="218"/>
        <v>#VALUE!</v>
      </c>
      <c r="L941" s="50" t="e">
        <f t="shared" si="230"/>
        <v>#VALUE!</v>
      </c>
      <c r="M941" s="50" t="e">
        <f t="shared" si="230"/>
        <v>#VALUE!</v>
      </c>
      <c r="N941" s="50" t="e">
        <f t="shared" si="219"/>
        <v>#VALUE!</v>
      </c>
      <c r="O941" s="50" t="e">
        <f t="shared" si="220"/>
        <v>#VALUE!</v>
      </c>
      <c r="P941" s="50">
        <f t="shared" si="221"/>
        <v>0</v>
      </c>
      <c r="R941" s="55" t="e">
        <f t="shared" si="222"/>
        <v>#VALUE!</v>
      </c>
      <c r="S941" s="55" t="e">
        <f t="shared" si="223"/>
        <v>#VALUE!</v>
      </c>
      <c r="T941" s="55" t="e">
        <f t="shared" si="228"/>
        <v>#VALUE!</v>
      </c>
      <c r="U941" s="50" t="e">
        <f t="shared" si="224"/>
        <v>#VALUE!</v>
      </c>
      <c r="V941" s="50" t="e">
        <f t="shared" si="225"/>
        <v>#VALUE!</v>
      </c>
      <c r="W941" s="50" t="e">
        <f t="shared" si="226"/>
        <v>#VALUE!</v>
      </c>
    </row>
    <row r="942" spans="2:23" x14ac:dyDescent="0.25">
      <c r="B942" s="50" t="b">
        <f t="shared" si="229"/>
        <v>0</v>
      </c>
      <c r="C942" s="50" t="e">
        <f t="shared" si="216"/>
        <v>#VALUE!</v>
      </c>
      <c r="E942" s="56">
        <v>938</v>
      </c>
      <c r="G942" s="138"/>
      <c r="H942" s="135">
        <v>1</v>
      </c>
      <c r="I942" s="57" t="str">
        <f t="shared" si="227"/>
        <v/>
      </c>
      <c r="J942" s="58" t="e">
        <f t="shared" si="217"/>
        <v>#VALUE!</v>
      </c>
      <c r="K942" s="50" t="e">
        <f t="shared" si="218"/>
        <v>#VALUE!</v>
      </c>
      <c r="L942" s="50" t="e">
        <f t="shared" si="230"/>
        <v>#VALUE!</v>
      </c>
      <c r="M942" s="50" t="e">
        <f t="shared" si="230"/>
        <v>#VALUE!</v>
      </c>
      <c r="N942" s="50" t="e">
        <f t="shared" si="219"/>
        <v>#VALUE!</v>
      </c>
      <c r="O942" s="50" t="e">
        <f t="shared" si="220"/>
        <v>#VALUE!</v>
      </c>
      <c r="P942" s="50">
        <f t="shared" si="221"/>
        <v>0</v>
      </c>
      <c r="R942" s="55" t="e">
        <f t="shared" si="222"/>
        <v>#VALUE!</v>
      </c>
      <c r="S942" s="55" t="e">
        <f t="shared" si="223"/>
        <v>#VALUE!</v>
      </c>
      <c r="T942" s="55" t="e">
        <f t="shared" si="228"/>
        <v>#VALUE!</v>
      </c>
      <c r="U942" s="50" t="e">
        <f t="shared" si="224"/>
        <v>#VALUE!</v>
      </c>
      <c r="V942" s="50" t="e">
        <f t="shared" si="225"/>
        <v>#VALUE!</v>
      </c>
      <c r="W942" s="50" t="e">
        <f t="shared" si="226"/>
        <v>#VALUE!</v>
      </c>
    </row>
    <row r="943" spans="2:23" x14ac:dyDescent="0.25">
      <c r="B943" s="50" t="b">
        <f t="shared" si="229"/>
        <v>0</v>
      </c>
      <c r="C943" s="50" t="e">
        <f t="shared" si="216"/>
        <v>#VALUE!</v>
      </c>
      <c r="E943" s="56">
        <v>939</v>
      </c>
      <c r="G943" s="138"/>
      <c r="H943" s="135">
        <v>1</v>
      </c>
      <c r="I943" s="57" t="str">
        <f t="shared" si="227"/>
        <v/>
      </c>
      <c r="J943" s="58" t="e">
        <f t="shared" si="217"/>
        <v>#VALUE!</v>
      </c>
      <c r="K943" s="50" t="e">
        <f t="shared" si="218"/>
        <v>#VALUE!</v>
      </c>
      <c r="L943" s="50" t="e">
        <f t="shared" si="230"/>
        <v>#VALUE!</v>
      </c>
      <c r="M943" s="50" t="e">
        <f t="shared" si="230"/>
        <v>#VALUE!</v>
      </c>
      <c r="N943" s="50" t="e">
        <f t="shared" si="219"/>
        <v>#VALUE!</v>
      </c>
      <c r="O943" s="50" t="e">
        <f t="shared" si="220"/>
        <v>#VALUE!</v>
      </c>
      <c r="P943" s="50">
        <f t="shared" si="221"/>
        <v>0</v>
      </c>
      <c r="R943" s="55" t="e">
        <f t="shared" si="222"/>
        <v>#VALUE!</v>
      </c>
      <c r="S943" s="55" t="e">
        <f t="shared" si="223"/>
        <v>#VALUE!</v>
      </c>
      <c r="T943" s="55" t="e">
        <f t="shared" si="228"/>
        <v>#VALUE!</v>
      </c>
      <c r="U943" s="50" t="e">
        <f t="shared" si="224"/>
        <v>#VALUE!</v>
      </c>
      <c r="V943" s="50" t="e">
        <f t="shared" si="225"/>
        <v>#VALUE!</v>
      </c>
      <c r="W943" s="50" t="e">
        <f t="shared" si="226"/>
        <v>#VALUE!</v>
      </c>
    </row>
    <row r="944" spans="2:23" x14ac:dyDescent="0.25">
      <c r="B944" s="50" t="b">
        <f t="shared" si="229"/>
        <v>0</v>
      </c>
      <c r="C944" s="50" t="e">
        <f t="shared" si="216"/>
        <v>#VALUE!</v>
      </c>
      <c r="E944" s="56">
        <v>940</v>
      </c>
      <c r="G944" s="138"/>
      <c r="H944" s="135">
        <v>1</v>
      </c>
      <c r="I944" s="57" t="str">
        <f t="shared" si="227"/>
        <v/>
      </c>
      <c r="J944" s="58" t="e">
        <f t="shared" si="217"/>
        <v>#VALUE!</v>
      </c>
      <c r="K944" s="50" t="e">
        <f t="shared" si="218"/>
        <v>#VALUE!</v>
      </c>
      <c r="L944" s="50" t="e">
        <f t="shared" si="230"/>
        <v>#VALUE!</v>
      </c>
      <c r="M944" s="50" t="e">
        <f t="shared" si="230"/>
        <v>#VALUE!</v>
      </c>
      <c r="N944" s="50" t="e">
        <f t="shared" si="219"/>
        <v>#VALUE!</v>
      </c>
      <c r="O944" s="50" t="e">
        <f t="shared" si="220"/>
        <v>#VALUE!</v>
      </c>
      <c r="P944" s="50">
        <f t="shared" si="221"/>
        <v>0</v>
      </c>
      <c r="R944" s="55" t="e">
        <f t="shared" si="222"/>
        <v>#VALUE!</v>
      </c>
      <c r="S944" s="55" t="e">
        <f t="shared" si="223"/>
        <v>#VALUE!</v>
      </c>
      <c r="T944" s="55" t="e">
        <f t="shared" si="228"/>
        <v>#VALUE!</v>
      </c>
      <c r="U944" s="50" t="e">
        <f t="shared" si="224"/>
        <v>#VALUE!</v>
      </c>
      <c r="V944" s="50" t="e">
        <f t="shared" si="225"/>
        <v>#VALUE!</v>
      </c>
      <c r="W944" s="50" t="e">
        <f t="shared" si="226"/>
        <v>#VALUE!</v>
      </c>
    </row>
    <row r="945" spans="2:23" x14ac:dyDescent="0.25">
      <c r="B945" s="50" t="b">
        <f t="shared" si="229"/>
        <v>0</v>
      </c>
      <c r="C945" s="50" t="e">
        <f t="shared" si="216"/>
        <v>#VALUE!</v>
      </c>
      <c r="E945" s="56">
        <v>941</v>
      </c>
      <c r="G945" s="138"/>
      <c r="H945" s="135">
        <v>1</v>
      </c>
      <c r="I945" s="57" t="str">
        <f t="shared" si="227"/>
        <v/>
      </c>
      <c r="J945" s="58" t="e">
        <f t="shared" si="217"/>
        <v>#VALUE!</v>
      </c>
      <c r="K945" s="50" t="e">
        <f t="shared" si="218"/>
        <v>#VALUE!</v>
      </c>
      <c r="L945" s="50" t="e">
        <f t="shared" si="230"/>
        <v>#VALUE!</v>
      </c>
      <c r="M945" s="50" t="e">
        <f t="shared" si="230"/>
        <v>#VALUE!</v>
      </c>
      <c r="N945" s="50" t="e">
        <f t="shared" si="219"/>
        <v>#VALUE!</v>
      </c>
      <c r="O945" s="50" t="e">
        <f t="shared" si="220"/>
        <v>#VALUE!</v>
      </c>
      <c r="P945" s="50">
        <f t="shared" si="221"/>
        <v>0</v>
      </c>
      <c r="R945" s="55" t="e">
        <f t="shared" si="222"/>
        <v>#VALUE!</v>
      </c>
      <c r="S945" s="55" t="e">
        <f t="shared" si="223"/>
        <v>#VALUE!</v>
      </c>
      <c r="T945" s="55" t="e">
        <f t="shared" si="228"/>
        <v>#VALUE!</v>
      </c>
      <c r="U945" s="50" t="e">
        <f t="shared" si="224"/>
        <v>#VALUE!</v>
      </c>
      <c r="V945" s="50" t="e">
        <f t="shared" si="225"/>
        <v>#VALUE!</v>
      </c>
      <c r="W945" s="50" t="e">
        <f t="shared" si="226"/>
        <v>#VALUE!</v>
      </c>
    </row>
    <row r="946" spans="2:23" x14ac:dyDescent="0.25">
      <c r="B946" s="50" t="b">
        <f t="shared" si="229"/>
        <v>0</v>
      </c>
      <c r="C946" s="50" t="e">
        <f t="shared" si="216"/>
        <v>#VALUE!</v>
      </c>
      <c r="E946" s="56">
        <v>942</v>
      </c>
      <c r="G946" s="138"/>
      <c r="H946" s="135">
        <v>1</v>
      </c>
      <c r="I946" s="57" t="str">
        <f t="shared" si="227"/>
        <v/>
      </c>
      <c r="J946" s="58" t="e">
        <f t="shared" si="217"/>
        <v>#VALUE!</v>
      </c>
      <c r="K946" s="50" t="e">
        <f t="shared" si="218"/>
        <v>#VALUE!</v>
      </c>
      <c r="L946" s="50" t="e">
        <f t="shared" si="230"/>
        <v>#VALUE!</v>
      </c>
      <c r="M946" s="50" t="e">
        <f t="shared" si="230"/>
        <v>#VALUE!</v>
      </c>
      <c r="N946" s="50" t="e">
        <f t="shared" si="219"/>
        <v>#VALUE!</v>
      </c>
      <c r="O946" s="50" t="e">
        <f t="shared" si="220"/>
        <v>#VALUE!</v>
      </c>
      <c r="P946" s="50">
        <f t="shared" si="221"/>
        <v>0</v>
      </c>
      <c r="R946" s="55" t="e">
        <f t="shared" si="222"/>
        <v>#VALUE!</v>
      </c>
      <c r="S946" s="55" t="e">
        <f t="shared" si="223"/>
        <v>#VALUE!</v>
      </c>
      <c r="T946" s="55" t="e">
        <f t="shared" si="228"/>
        <v>#VALUE!</v>
      </c>
      <c r="U946" s="50" t="e">
        <f t="shared" si="224"/>
        <v>#VALUE!</v>
      </c>
      <c r="V946" s="50" t="e">
        <f t="shared" si="225"/>
        <v>#VALUE!</v>
      </c>
      <c r="W946" s="50" t="e">
        <f t="shared" si="226"/>
        <v>#VALUE!</v>
      </c>
    </row>
    <row r="947" spans="2:23" x14ac:dyDescent="0.25">
      <c r="B947" s="50" t="b">
        <f t="shared" si="229"/>
        <v>0</v>
      </c>
      <c r="C947" s="50" t="e">
        <f t="shared" si="216"/>
        <v>#VALUE!</v>
      </c>
      <c r="E947" s="56">
        <v>943</v>
      </c>
      <c r="G947" s="138"/>
      <c r="H947" s="135">
        <v>1</v>
      </c>
      <c r="I947" s="57" t="str">
        <f t="shared" si="227"/>
        <v/>
      </c>
      <c r="J947" s="58" t="e">
        <f t="shared" si="217"/>
        <v>#VALUE!</v>
      </c>
      <c r="K947" s="50" t="e">
        <f t="shared" si="218"/>
        <v>#VALUE!</v>
      </c>
      <c r="L947" s="50" t="e">
        <f t="shared" si="230"/>
        <v>#VALUE!</v>
      </c>
      <c r="M947" s="50" t="e">
        <f t="shared" si="230"/>
        <v>#VALUE!</v>
      </c>
      <c r="N947" s="50" t="e">
        <f t="shared" si="219"/>
        <v>#VALUE!</v>
      </c>
      <c r="O947" s="50" t="e">
        <f t="shared" si="220"/>
        <v>#VALUE!</v>
      </c>
      <c r="P947" s="50">
        <f t="shared" si="221"/>
        <v>0</v>
      </c>
      <c r="R947" s="55" t="e">
        <f t="shared" si="222"/>
        <v>#VALUE!</v>
      </c>
      <c r="S947" s="55" t="e">
        <f t="shared" si="223"/>
        <v>#VALUE!</v>
      </c>
      <c r="T947" s="55" t="e">
        <f t="shared" si="228"/>
        <v>#VALUE!</v>
      </c>
      <c r="U947" s="50" t="e">
        <f t="shared" si="224"/>
        <v>#VALUE!</v>
      </c>
      <c r="V947" s="50" t="e">
        <f t="shared" si="225"/>
        <v>#VALUE!</v>
      </c>
      <c r="W947" s="50" t="e">
        <f t="shared" si="226"/>
        <v>#VALUE!</v>
      </c>
    </row>
    <row r="948" spans="2:23" x14ac:dyDescent="0.25">
      <c r="B948" s="50" t="b">
        <f t="shared" si="229"/>
        <v>0</v>
      </c>
      <c r="C948" s="50" t="e">
        <f t="shared" si="216"/>
        <v>#VALUE!</v>
      </c>
      <c r="E948" s="56">
        <v>944</v>
      </c>
      <c r="G948" s="138"/>
      <c r="H948" s="135">
        <v>1</v>
      </c>
      <c r="I948" s="57" t="str">
        <f t="shared" si="227"/>
        <v/>
      </c>
      <c r="J948" s="58" t="e">
        <f t="shared" si="217"/>
        <v>#VALUE!</v>
      </c>
      <c r="K948" s="50" t="e">
        <f t="shared" si="218"/>
        <v>#VALUE!</v>
      </c>
      <c r="L948" s="50" t="e">
        <f t="shared" si="230"/>
        <v>#VALUE!</v>
      </c>
      <c r="M948" s="50" t="e">
        <f t="shared" si="230"/>
        <v>#VALUE!</v>
      </c>
      <c r="N948" s="50" t="e">
        <f t="shared" si="219"/>
        <v>#VALUE!</v>
      </c>
      <c r="O948" s="50" t="e">
        <f t="shared" si="220"/>
        <v>#VALUE!</v>
      </c>
      <c r="P948" s="50">
        <f t="shared" si="221"/>
        <v>0</v>
      </c>
      <c r="R948" s="55" t="e">
        <f t="shared" si="222"/>
        <v>#VALUE!</v>
      </c>
      <c r="S948" s="55" t="e">
        <f t="shared" si="223"/>
        <v>#VALUE!</v>
      </c>
      <c r="T948" s="55" t="e">
        <f t="shared" si="228"/>
        <v>#VALUE!</v>
      </c>
      <c r="U948" s="50" t="e">
        <f t="shared" si="224"/>
        <v>#VALUE!</v>
      </c>
      <c r="V948" s="50" t="e">
        <f t="shared" si="225"/>
        <v>#VALUE!</v>
      </c>
      <c r="W948" s="50" t="e">
        <f t="shared" si="226"/>
        <v>#VALUE!</v>
      </c>
    </row>
    <row r="949" spans="2:23" x14ac:dyDescent="0.25">
      <c r="B949" s="50" t="b">
        <f t="shared" si="229"/>
        <v>0</v>
      </c>
      <c r="C949" s="50" t="e">
        <f t="shared" si="216"/>
        <v>#VALUE!</v>
      </c>
      <c r="E949" s="56">
        <v>945</v>
      </c>
      <c r="G949" s="138"/>
      <c r="H949" s="135">
        <v>1</v>
      </c>
      <c r="I949" s="57" t="str">
        <f t="shared" si="227"/>
        <v/>
      </c>
      <c r="J949" s="58" t="e">
        <f t="shared" si="217"/>
        <v>#VALUE!</v>
      </c>
      <c r="K949" s="50" t="e">
        <f t="shared" si="218"/>
        <v>#VALUE!</v>
      </c>
      <c r="L949" s="50" t="e">
        <f t="shared" si="230"/>
        <v>#VALUE!</v>
      </c>
      <c r="M949" s="50" t="e">
        <f t="shared" si="230"/>
        <v>#VALUE!</v>
      </c>
      <c r="N949" s="50" t="e">
        <f t="shared" si="219"/>
        <v>#VALUE!</v>
      </c>
      <c r="O949" s="50" t="e">
        <f t="shared" si="220"/>
        <v>#VALUE!</v>
      </c>
      <c r="P949" s="50">
        <f t="shared" si="221"/>
        <v>0</v>
      </c>
      <c r="R949" s="55" t="e">
        <f t="shared" si="222"/>
        <v>#VALUE!</v>
      </c>
      <c r="S949" s="55" t="e">
        <f t="shared" si="223"/>
        <v>#VALUE!</v>
      </c>
      <c r="T949" s="55" t="e">
        <f t="shared" si="228"/>
        <v>#VALUE!</v>
      </c>
      <c r="U949" s="50" t="e">
        <f t="shared" si="224"/>
        <v>#VALUE!</v>
      </c>
      <c r="V949" s="50" t="e">
        <f t="shared" si="225"/>
        <v>#VALUE!</v>
      </c>
      <c r="W949" s="50" t="e">
        <f t="shared" si="226"/>
        <v>#VALUE!</v>
      </c>
    </row>
    <row r="950" spans="2:23" x14ac:dyDescent="0.25">
      <c r="B950" s="50" t="b">
        <f t="shared" si="229"/>
        <v>0</v>
      </c>
      <c r="C950" s="50" t="e">
        <f t="shared" ref="C950:C1004" si="231">SUM(U950:W950)</f>
        <v>#VALUE!</v>
      </c>
      <c r="E950" s="56">
        <v>946</v>
      </c>
      <c r="G950" s="138"/>
      <c r="H950" s="135">
        <v>1</v>
      </c>
      <c r="I950" s="57" t="str">
        <f t="shared" si="227"/>
        <v/>
      </c>
      <c r="J950" s="58" t="e">
        <f t="shared" si="217"/>
        <v>#VALUE!</v>
      </c>
      <c r="K950" s="50" t="e">
        <f t="shared" si="218"/>
        <v>#VALUE!</v>
      </c>
      <c r="L950" s="50" t="e">
        <f t="shared" si="230"/>
        <v>#VALUE!</v>
      </c>
      <c r="M950" s="50" t="e">
        <f t="shared" si="230"/>
        <v>#VALUE!</v>
      </c>
      <c r="N950" s="50" t="e">
        <f t="shared" si="219"/>
        <v>#VALUE!</v>
      </c>
      <c r="O950" s="50" t="e">
        <f t="shared" si="220"/>
        <v>#VALUE!</v>
      </c>
      <c r="P950" s="50">
        <f t="shared" si="221"/>
        <v>0</v>
      </c>
      <c r="R950" s="55" t="e">
        <f t="shared" si="222"/>
        <v>#VALUE!</v>
      </c>
      <c r="S950" s="55" t="e">
        <f t="shared" si="223"/>
        <v>#VALUE!</v>
      </c>
      <c r="T950" s="55" t="e">
        <f t="shared" si="228"/>
        <v>#VALUE!</v>
      </c>
      <c r="U950" s="50" t="e">
        <f t="shared" si="224"/>
        <v>#VALUE!</v>
      </c>
      <c r="V950" s="50" t="e">
        <f t="shared" si="225"/>
        <v>#VALUE!</v>
      </c>
      <c r="W950" s="50" t="e">
        <f t="shared" si="226"/>
        <v>#VALUE!</v>
      </c>
    </row>
    <row r="951" spans="2:23" x14ac:dyDescent="0.25">
      <c r="B951" s="50" t="b">
        <f t="shared" si="229"/>
        <v>0</v>
      </c>
      <c r="C951" s="50" t="e">
        <f t="shared" si="231"/>
        <v>#VALUE!</v>
      </c>
      <c r="E951" s="56">
        <v>947</v>
      </c>
      <c r="G951" s="138"/>
      <c r="H951" s="135">
        <v>1</v>
      </c>
      <c r="I951" s="57" t="str">
        <f t="shared" si="227"/>
        <v/>
      </c>
      <c r="J951" s="58" t="e">
        <f t="shared" si="217"/>
        <v>#VALUE!</v>
      </c>
      <c r="K951" s="50" t="e">
        <f t="shared" si="218"/>
        <v>#VALUE!</v>
      </c>
      <c r="L951" s="50" t="e">
        <f t="shared" si="230"/>
        <v>#VALUE!</v>
      </c>
      <c r="M951" s="50" t="e">
        <f t="shared" si="230"/>
        <v>#VALUE!</v>
      </c>
      <c r="N951" s="50" t="e">
        <f t="shared" si="219"/>
        <v>#VALUE!</v>
      </c>
      <c r="O951" s="50" t="e">
        <f t="shared" si="220"/>
        <v>#VALUE!</v>
      </c>
      <c r="P951" s="50">
        <f t="shared" si="221"/>
        <v>0</v>
      </c>
      <c r="R951" s="55" t="e">
        <f t="shared" si="222"/>
        <v>#VALUE!</v>
      </c>
      <c r="S951" s="55" t="e">
        <f t="shared" si="223"/>
        <v>#VALUE!</v>
      </c>
      <c r="T951" s="55" t="e">
        <f t="shared" si="228"/>
        <v>#VALUE!</v>
      </c>
      <c r="U951" s="50" t="e">
        <f t="shared" si="224"/>
        <v>#VALUE!</v>
      </c>
      <c r="V951" s="50" t="e">
        <f t="shared" si="225"/>
        <v>#VALUE!</v>
      </c>
      <c r="W951" s="50" t="e">
        <f t="shared" si="226"/>
        <v>#VALUE!</v>
      </c>
    </row>
    <row r="952" spans="2:23" x14ac:dyDescent="0.25">
      <c r="B952" s="50" t="b">
        <f t="shared" si="229"/>
        <v>0</v>
      </c>
      <c r="C952" s="50" t="e">
        <f t="shared" si="231"/>
        <v>#VALUE!</v>
      </c>
      <c r="E952" s="56">
        <v>948</v>
      </c>
      <c r="G952" s="138"/>
      <c r="H952" s="135">
        <v>1</v>
      </c>
      <c r="I952" s="57" t="str">
        <f t="shared" si="227"/>
        <v/>
      </c>
      <c r="J952" s="58" t="e">
        <f t="shared" si="217"/>
        <v>#VALUE!</v>
      </c>
      <c r="K952" s="50" t="e">
        <f t="shared" si="218"/>
        <v>#VALUE!</v>
      </c>
      <c r="L952" s="50" t="e">
        <f t="shared" si="230"/>
        <v>#VALUE!</v>
      </c>
      <c r="M952" s="50" t="e">
        <f t="shared" si="230"/>
        <v>#VALUE!</v>
      </c>
      <c r="N952" s="50" t="e">
        <f t="shared" si="219"/>
        <v>#VALUE!</v>
      </c>
      <c r="O952" s="50" t="e">
        <f t="shared" si="220"/>
        <v>#VALUE!</v>
      </c>
      <c r="P952" s="50">
        <f t="shared" si="221"/>
        <v>0</v>
      </c>
      <c r="R952" s="55" t="e">
        <f t="shared" si="222"/>
        <v>#VALUE!</v>
      </c>
      <c r="S952" s="55" t="e">
        <f t="shared" si="223"/>
        <v>#VALUE!</v>
      </c>
      <c r="T952" s="55" t="e">
        <f t="shared" si="228"/>
        <v>#VALUE!</v>
      </c>
      <c r="U952" s="50" t="e">
        <f t="shared" si="224"/>
        <v>#VALUE!</v>
      </c>
      <c r="V952" s="50" t="e">
        <f t="shared" si="225"/>
        <v>#VALUE!</v>
      </c>
      <c r="W952" s="50" t="e">
        <f t="shared" si="226"/>
        <v>#VALUE!</v>
      </c>
    </row>
    <row r="953" spans="2:23" x14ac:dyDescent="0.25">
      <c r="B953" s="50" t="b">
        <f t="shared" si="229"/>
        <v>0</v>
      </c>
      <c r="C953" s="50" t="e">
        <f t="shared" si="231"/>
        <v>#VALUE!</v>
      </c>
      <c r="E953" s="56">
        <v>949</v>
      </c>
      <c r="G953" s="138"/>
      <c r="H953" s="135">
        <v>1</v>
      </c>
      <c r="I953" s="57" t="str">
        <f t="shared" si="227"/>
        <v/>
      </c>
      <c r="J953" s="58" t="e">
        <f t="shared" si="217"/>
        <v>#VALUE!</v>
      </c>
      <c r="K953" s="50" t="e">
        <f t="shared" si="218"/>
        <v>#VALUE!</v>
      </c>
      <c r="L953" s="50" t="e">
        <f t="shared" si="230"/>
        <v>#VALUE!</v>
      </c>
      <c r="M953" s="50" t="e">
        <f t="shared" si="230"/>
        <v>#VALUE!</v>
      </c>
      <c r="N953" s="50" t="e">
        <f t="shared" si="219"/>
        <v>#VALUE!</v>
      </c>
      <c r="O953" s="50" t="e">
        <f t="shared" si="220"/>
        <v>#VALUE!</v>
      </c>
      <c r="P953" s="50">
        <f t="shared" si="221"/>
        <v>0</v>
      </c>
      <c r="R953" s="55" t="e">
        <f t="shared" si="222"/>
        <v>#VALUE!</v>
      </c>
      <c r="S953" s="55" t="e">
        <f t="shared" si="223"/>
        <v>#VALUE!</v>
      </c>
      <c r="T953" s="55" t="e">
        <f t="shared" si="228"/>
        <v>#VALUE!</v>
      </c>
      <c r="U953" s="50" t="e">
        <f t="shared" si="224"/>
        <v>#VALUE!</v>
      </c>
      <c r="V953" s="50" t="e">
        <f t="shared" si="225"/>
        <v>#VALUE!</v>
      </c>
      <c r="W953" s="50" t="e">
        <f t="shared" si="226"/>
        <v>#VALUE!</v>
      </c>
    </row>
    <row r="954" spans="2:23" x14ac:dyDescent="0.25">
      <c r="B954" s="50" t="b">
        <f t="shared" si="229"/>
        <v>0</v>
      </c>
      <c r="C954" s="50" t="e">
        <f t="shared" si="231"/>
        <v>#VALUE!</v>
      </c>
      <c r="E954" s="56">
        <v>950</v>
      </c>
      <c r="G954" s="138"/>
      <c r="H954" s="135">
        <v>1</v>
      </c>
      <c r="I954" s="57" t="str">
        <f t="shared" si="227"/>
        <v/>
      </c>
      <c r="J954" s="58" t="e">
        <f t="shared" si="217"/>
        <v>#VALUE!</v>
      </c>
      <c r="K954" s="50" t="e">
        <f t="shared" si="218"/>
        <v>#VALUE!</v>
      </c>
      <c r="L954" s="50" t="e">
        <f t="shared" si="230"/>
        <v>#VALUE!</v>
      </c>
      <c r="M954" s="50" t="e">
        <f t="shared" si="230"/>
        <v>#VALUE!</v>
      </c>
      <c r="N954" s="50" t="e">
        <f t="shared" si="219"/>
        <v>#VALUE!</v>
      </c>
      <c r="O954" s="50" t="e">
        <f t="shared" si="220"/>
        <v>#VALUE!</v>
      </c>
      <c r="P954" s="50">
        <f t="shared" si="221"/>
        <v>0</v>
      </c>
      <c r="R954" s="55" t="e">
        <f t="shared" si="222"/>
        <v>#VALUE!</v>
      </c>
      <c r="S954" s="55" t="e">
        <f t="shared" si="223"/>
        <v>#VALUE!</v>
      </c>
      <c r="T954" s="55" t="e">
        <f t="shared" si="228"/>
        <v>#VALUE!</v>
      </c>
      <c r="U954" s="50" t="e">
        <f t="shared" si="224"/>
        <v>#VALUE!</v>
      </c>
      <c r="V954" s="50" t="e">
        <f t="shared" si="225"/>
        <v>#VALUE!</v>
      </c>
      <c r="W954" s="50" t="e">
        <f t="shared" si="226"/>
        <v>#VALUE!</v>
      </c>
    </row>
    <row r="955" spans="2:23" x14ac:dyDescent="0.25">
      <c r="B955" s="50" t="b">
        <f t="shared" si="229"/>
        <v>0</v>
      </c>
      <c r="C955" s="50" t="e">
        <f t="shared" si="231"/>
        <v>#VALUE!</v>
      </c>
      <c r="E955" s="56">
        <v>951</v>
      </c>
      <c r="G955" s="138"/>
      <c r="H955" s="135">
        <v>1</v>
      </c>
      <c r="I955" s="57" t="str">
        <f t="shared" si="227"/>
        <v/>
      </c>
      <c r="J955" s="58" t="e">
        <f t="shared" si="217"/>
        <v>#VALUE!</v>
      </c>
      <c r="K955" s="50" t="e">
        <f t="shared" si="218"/>
        <v>#VALUE!</v>
      </c>
      <c r="L955" s="50" t="e">
        <f t="shared" si="230"/>
        <v>#VALUE!</v>
      </c>
      <c r="M955" s="50" t="e">
        <f t="shared" si="230"/>
        <v>#VALUE!</v>
      </c>
      <c r="N955" s="50" t="e">
        <f t="shared" si="219"/>
        <v>#VALUE!</v>
      </c>
      <c r="O955" s="50" t="e">
        <f t="shared" si="220"/>
        <v>#VALUE!</v>
      </c>
      <c r="P955" s="50">
        <f t="shared" si="221"/>
        <v>0</v>
      </c>
      <c r="R955" s="55" t="e">
        <f t="shared" si="222"/>
        <v>#VALUE!</v>
      </c>
      <c r="S955" s="55" t="e">
        <f t="shared" si="223"/>
        <v>#VALUE!</v>
      </c>
      <c r="T955" s="55" t="e">
        <f t="shared" si="228"/>
        <v>#VALUE!</v>
      </c>
      <c r="U955" s="50" t="e">
        <f t="shared" si="224"/>
        <v>#VALUE!</v>
      </c>
      <c r="V955" s="50" t="e">
        <f t="shared" si="225"/>
        <v>#VALUE!</v>
      </c>
      <c r="W955" s="50" t="e">
        <f t="shared" si="226"/>
        <v>#VALUE!</v>
      </c>
    </row>
    <row r="956" spans="2:23" x14ac:dyDescent="0.25">
      <c r="B956" s="50" t="b">
        <f t="shared" si="229"/>
        <v>0</v>
      </c>
      <c r="C956" s="50" t="e">
        <f t="shared" si="231"/>
        <v>#VALUE!</v>
      </c>
      <c r="E956" s="56">
        <v>952</v>
      </c>
      <c r="G956" s="138"/>
      <c r="H956" s="135">
        <v>1</v>
      </c>
      <c r="I956" s="57" t="str">
        <f t="shared" si="227"/>
        <v/>
      </c>
      <c r="J956" s="58" t="e">
        <f t="shared" si="217"/>
        <v>#VALUE!</v>
      </c>
      <c r="K956" s="50" t="e">
        <f t="shared" si="218"/>
        <v>#VALUE!</v>
      </c>
      <c r="L956" s="50" t="e">
        <f t="shared" si="230"/>
        <v>#VALUE!</v>
      </c>
      <c r="M956" s="50" t="e">
        <f t="shared" si="230"/>
        <v>#VALUE!</v>
      </c>
      <c r="N956" s="50" t="e">
        <f t="shared" si="219"/>
        <v>#VALUE!</v>
      </c>
      <c r="O956" s="50" t="e">
        <f t="shared" si="220"/>
        <v>#VALUE!</v>
      </c>
      <c r="P956" s="50">
        <f t="shared" si="221"/>
        <v>0</v>
      </c>
      <c r="R956" s="55" t="e">
        <f t="shared" si="222"/>
        <v>#VALUE!</v>
      </c>
      <c r="S956" s="55" t="e">
        <f t="shared" si="223"/>
        <v>#VALUE!</v>
      </c>
      <c r="T956" s="55" t="e">
        <f t="shared" si="228"/>
        <v>#VALUE!</v>
      </c>
      <c r="U956" s="50" t="e">
        <f t="shared" si="224"/>
        <v>#VALUE!</v>
      </c>
      <c r="V956" s="50" t="e">
        <f t="shared" si="225"/>
        <v>#VALUE!</v>
      </c>
      <c r="W956" s="50" t="e">
        <f t="shared" si="226"/>
        <v>#VALUE!</v>
      </c>
    </row>
    <row r="957" spans="2:23" x14ac:dyDescent="0.25">
      <c r="B957" s="50" t="b">
        <f t="shared" si="229"/>
        <v>0</v>
      </c>
      <c r="C957" s="50" t="e">
        <f t="shared" si="231"/>
        <v>#VALUE!</v>
      </c>
      <c r="E957" s="56">
        <v>953</v>
      </c>
      <c r="G957" s="138"/>
      <c r="H957" s="135">
        <v>1</v>
      </c>
      <c r="I957" s="57" t="str">
        <f t="shared" si="227"/>
        <v/>
      </c>
      <c r="J957" s="58" t="e">
        <f t="shared" si="217"/>
        <v>#VALUE!</v>
      </c>
      <c r="K957" s="50" t="e">
        <f t="shared" si="218"/>
        <v>#VALUE!</v>
      </c>
      <c r="L957" s="50" t="e">
        <f t="shared" si="230"/>
        <v>#VALUE!</v>
      </c>
      <c r="M957" s="50" t="e">
        <f t="shared" si="230"/>
        <v>#VALUE!</v>
      </c>
      <c r="N957" s="50" t="e">
        <f t="shared" si="219"/>
        <v>#VALUE!</v>
      </c>
      <c r="O957" s="50" t="e">
        <f t="shared" si="220"/>
        <v>#VALUE!</v>
      </c>
      <c r="P957" s="50">
        <f t="shared" si="221"/>
        <v>0</v>
      </c>
      <c r="R957" s="55" t="e">
        <f t="shared" si="222"/>
        <v>#VALUE!</v>
      </c>
      <c r="S957" s="55" t="e">
        <f t="shared" si="223"/>
        <v>#VALUE!</v>
      </c>
      <c r="T957" s="55" t="e">
        <f t="shared" si="228"/>
        <v>#VALUE!</v>
      </c>
      <c r="U957" s="50" t="e">
        <f t="shared" si="224"/>
        <v>#VALUE!</v>
      </c>
      <c r="V957" s="50" t="e">
        <f t="shared" si="225"/>
        <v>#VALUE!</v>
      </c>
      <c r="W957" s="50" t="e">
        <f t="shared" si="226"/>
        <v>#VALUE!</v>
      </c>
    </row>
    <row r="958" spans="2:23" x14ac:dyDescent="0.25">
      <c r="B958" s="50" t="b">
        <f t="shared" si="229"/>
        <v>0</v>
      </c>
      <c r="C958" s="50" t="e">
        <f t="shared" si="231"/>
        <v>#VALUE!</v>
      </c>
      <c r="E958" s="56">
        <v>954</v>
      </c>
      <c r="G958" s="138"/>
      <c r="H958" s="135">
        <v>1</v>
      </c>
      <c r="I958" s="57" t="str">
        <f t="shared" si="227"/>
        <v/>
      </c>
      <c r="J958" s="58" t="e">
        <f t="shared" si="217"/>
        <v>#VALUE!</v>
      </c>
      <c r="K958" s="50" t="e">
        <f t="shared" si="218"/>
        <v>#VALUE!</v>
      </c>
      <c r="L958" s="50" t="e">
        <f t="shared" si="230"/>
        <v>#VALUE!</v>
      </c>
      <c r="M958" s="50" t="e">
        <f t="shared" si="230"/>
        <v>#VALUE!</v>
      </c>
      <c r="N958" s="50" t="e">
        <f t="shared" si="219"/>
        <v>#VALUE!</v>
      </c>
      <c r="O958" s="50" t="e">
        <f t="shared" si="220"/>
        <v>#VALUE!</v>
      </c>
      <c r="P958" s="50">
        <f t="shared" si="221"/>
        <v>0</v>
      </c>
      <c r="R958" s="55" t="e">
        <f t="shared" si="222"/>
        <v>#VALUE!</v>
      </c>
      <c r="S958" s="55" t="e">
        <f t="shared" si="223"/>
        <v>#VALUE!</v>
      </c>
      <c r="T958" s="55" t="e">
        <f t="shared" si="228"/>
        <v>#VALUE!</v>
      </c>
      <c r="U958" s="50" t="e">
        <f t="shared" si="224"/>
        <v>#VALUE!</v>
      </c>
      <c r="V958" s="50" t="e">
        <f t="shared" si="225"/>
        <v>#VALUE!</v>
      </c>
      <c r="W958" s="50" t="e">
        <f t="shared" si="226"/>
        <v>#VALUE!</v>
      </c>
    </row>
    <row r="959" spans="2:23" x14ac:dyDescent="0.25">
      <c r="B959" s="50" t="b">
        <f t="shared" si="229"/>
        <v>0</v>
      </c>
      <c r="C959" s="50" t="e">
        <f t="shared" si="231"/>
        <v>#VALUE!</v>
      </c>
      <c r="E959" s="56">
        <v>955</v>
      </c>
      <c r="G959" s="138"/>
      <c r="H959" s="135">
        <v>1</v>
      </c>
      <c r="I959" s="57" t="str">
        <f t="shared" si="227"/>
        <v/>
      </c>
      <c r="J959" s="58" t="e">
        <f t="shared" si="217"/>
        <v>#VALUE!</v>
      </c>
      <c r="K959" s="50" t="e">
        <f t="shared" si="218"/>
        <v>#VALUE!</v>
      </c>
      <c r="L959" s="50" t="e">
        <f t="shared" si="230"/>
        <v>#VALUE!</v>
      </c>
      <c r="M959" s="50" t="e">
        <f t="shared" si="230"/>
        <v>#VALUE!</v>
      </c>
      <c r="N959" s="50" t="e">
        <f t="shared" si="219"/>
        <v>#VALUE!</v>
      </c>
      <c r="O959" s="50" t="e">
        <f t="shared" si="220"/>
        <v>#VALUE!</v>
      </c>
      <c r="P959" s="50">
        <f t="shared" si="221"/>
        <v>0</v>
      </c>
      <c r="R959" s="55" t="e">
        <f t="shared" si="222"/>
        <v>#VALUE!</v>
      </c>
      <c r="S959" s="55" t="e">
        <f t="shared" si="223"/>
        <v>#VALUE!</v>
      </c>
      <c r="T959" s="55" t="e">
        <f t="shared" si="228"/>
        <v>#VALUE!</v>
      </c>
      <c r="U959" s="50" t="e">
        <f t="shared" si="224"/>
        <v>#VALUE!</v>
      </c>
      <c r="V959" s="50" t="e">
        <f t="shared" si="225"/>
        <v>#VALUE!</v>
      </c>
      <c r="W959" s="50" t="e">
        <f t="shared" si="226"/>
        <v>#VALUE!</v>
      </c>
    </row>
    <row r="960" spans="2:23" x14ac:dyDescent="0.25">
      <c r="B960" s="50" t="b">
        <f t="shared" si="229"/>
        <v>0</v>
      </c>
      <c r="C960" s="50" t="e">
        <f t="shared" si="231"/>
        <v>#VALUE!</v>
      </c>
      <c r="E960" s="56">
        <v>956</v>
      </c>
      <c r="G960" s="138"/>
      <c r="H960" s="135">
        <v>1</v>
      </c>
      <c r="I960" s="57" t="str">
        <f t="shared" si="227"/>
        <v/>
      </c>
      <c r="J960" s="58" t="e">
        <f t="shared" si="217"/>
        <v>#VALUE!</v>
      </c>
      <c r="K960" s="50" t="e">
        <f t="shared" si="218"/>
        <v>#VALUE!</v>
      </c>
      <c r="L960" s="50" t="e">
        <f t="shared" si="230"/>
        <v>#VALUE!</v>
      </c>
      <c r="M960" s="50" t="e">
        <f t="shared" si="230"/>
        <v>#VALUE!</v>
      </c>
      <c r="N960" s="50" t="e">
        <f t="shared" si="219"/>
        <v>#VALUE!</v>
      </c>
      <c r="O960" s="50" t="e">
        <f t="shared" si="220"/>
        <v>#VALUE!</v>
      </c>
      <c r="P960" s="50">
        <f t="shared" si="221"/>
        <v>0</v>
      </c>
      <c r="R960" s="55" t="e">
        <f t="shared" si="222"/>
        <v>#VALUE!</v>
      </c>
      <c r="S960" s="55" t="e">
        <f t="shared" si="223"/>
        <v>#VALUE!</v>
      </c>
      <c r="T960" s="55" t="e">
        <f t="shared" si="228"/>
        <v>#VALUE!</v>
      </c>
      <c r="U960" s="50" t="e">
        <f t="shared" si="224"/>
        <v>#VALUE!</v>
      </c>
      <c r="V960" s="50" t="e">
        <f t="shared" si="225"/>
        <v>#VALUE!</v>
      </c>
      <c r="W960" s="50" t="e">
        <f t="shared" si="226"/>
        <v>#VALUE!</v>
      </c>
    </row>
    <row r="961" spans="2:23" x14ac:dyDescent="0.25">
      <c r="B961" s="50" t="b">
        <f t="shared" si="229"/>
        <v>0</v>
      </c>
      <c r="C961" s="50" t="e">
        <f t="shared" si="231"/>
        <v>#VALUE!</v>
      </c>
      <c r="E961" s="56">
        <v>957</v>
      </c>
      <c r="G961" s="138"/>
      <c r="H961" s="135">
        <v>1</v>
      </c>
      <c r="I961" s="57" t="str">
        <f t="shared" si="227"/>
        <v/>
      </c>
      <c r="J961" s="58" t="e">
        <f t="shared" si="217"/>
        <v>#VALUE!</v>
      </c>
      <c r="K961" s="50" t="e">
        <f t="shared" si="218"/>
        <v>#VALUE!</v>
      </c>
      <c r="L961" s="50" t="e">
        <f t="shared" si="230"/>
        <v>#VALUE!</v>
      </c>
      <c r="M961" s="50" t="e">
        <f t="shared" si="230"/>
        <v>#VALUE!</v>
      </c>
      <c r="N961" s="50" t="e">
        <f t="shared" si="219"/>
        <v>#VALUE!</v>
      </c>
      <c r="O961" s="50" t="e">
        <f t="shared" si="220"/>
        <v>#VALUE!</v>
      </c>
      <c r="P961" s="50">
        <f t="shared" si="221"/>
        <v>0</v>
      </c>
      <c r="R961" s="55" t="e">
        <f t="shared" si="222"/>
        <v>#VALUE!</v>
      </c>
      <c r="S961" s="55" t="e">
        <f t="shared" si="223"/>
        <v>#VALUE!</v>
      </c>
      <c r="T961" s="55" t="e">
        <f t="shared" si="228"/>
        <v>#VALUE!</v>
      </c>
      <c r="U961" s="50" t="e">
        <f t="shared" si="224"/>
        <v>#VALUE!</v>
      </c>
      <c r="V961" s="50" t="e">
        <f t="shared" si="225"/>
        <v>#VALUE!</v>
      </c>
      <c r="W961" s="50" t="e">
        <f t="shared" si="226"/>
        <v>#VALUE!</v>
      </c>
    </row>
    <row r="962" spans="2:23" x14ac:dyDescent="0.25">
      <c r="B962" s="50" t="b">
        <f t="shared" si="229"/>
        <v>0</v>
      </c>
      <c r="C962" s="50" t="e">
        <f t="shared" si="231"/>
        <v>#VALUE!</v>
      </c>
      <c r="E962" s="56">
        <v>958</v>
      </c>
      <c r="G962" s="138"/>
      <c r="H962" s="135">
        <v>1</v>
      </c>
      <c r="I962" s="57" t="str">
        <f t="shared" si="227"/>
        <v/>
      </c>
      <c r="J962" s="58" t="e">
        <f t="shared" si="217"/>
        <v>#VALUE!</v>
      </c>
      <c r="K962" s="50" t="e">
        <f t="shared" si="218"/>
        <v>#VALUE!</v>
      </c>
      <c r="L962" s="50" t="e">
        <f t="shared" si="230"/>
        <v>#VALUE!</v>
      </c>
      <c r="M962" s="50" t="e">
        <f t="shared" si="230"/>
        <v>#VALUE!</v>
      </c>
      <c r="N962" s="50" t="e">
        <f t="shared" si="219"/>
        <v>#VALUE!</v>
      </c>
      <c r="O962" s="50" t="e">
        <f t="shared" si="220"/>
        <v>#VALUE!</v>
      </c>
      <c r="P962" s="50">
        <f t="shared" si="221"/>
        <v>0</v>
      </c>
      <c r="R962" s="55" t="e">
        <f t="shared" si="222"/>
        <v>#VALUE!</v>
      </c>
      <c r="S962" s="55" t="e">
        <f t="shared" si="223"/>
        <v>#VALUE!</v>
      </c>
      <c r="T962" s="55" t="e">
        <f t="shared" si="228"/>
        <v>#VALUE!</v>
      </c>
      <c r="U962" s="50" t="e">
        <f t="shared" si="224"/>
        <v>#VALUE!</v>
      </c>
      <c r="V962" s="50" t="e">
        <f t="shared" si="225"/>
        <v>#VALUE!</v>
      </c>
      <c r="W962" s="50" t="e">
        <f t="shared" si="226"/>
        <v>#VALUE!</v>
      </c>
    </row>
    <row r="963" spans="2:23" x14ac:dyDescent="0.25">
      <c r="B963" s="50" t="b">
        <f t="shared" si="229"/>
        <v>0</v>
      </c>
      <c r="C963" s="50" t="e">
        <f t="shared" si="231"/>
        <v>#VALUE!</v>
      </c>
      <c r="E963" s="56">
        <v>959</v>
      </c>
      <c r="G963" s="138"/>
      <c r="H963" s="135">
        <v>1</v>
      </c>
      <c r="I963" s="57" t="str">
        <f t="shared" si="227"/>
        <v/>
      </c>
      <c r="J963" s="58" t="e">
        <f t="shared" si="217"/>
        <v>#VALUE!</v>
      </c>
      <c r="K963" s="50" t="e">
        <f t="shared" si="218"/>
        <v>#VALUE!</v>
      </c>
      <c r="L963" s="50" t="e">
        <f t="shared" si="230"/>
        <v>#VALUE!</v>
      </c>
      <c r="M963" s="50" t="e">
        <f t="shared" si="230"/>
        <v>#VALUE!</v>
      </c>
      <c r="N963" s="50" t="e">
        <f t="shared" si="219"/>
        <v>#VALUE!</v>
      </c>
      <c r="O963" s="50" t="e">
        <f t="shared" si="220"/>
        <v>#VALUE!</v>
      </c>
      <c r="P963" s="50">
        <f t="shared" si="221"/>
        <v>0</v>
      </c>
      <c r="R963" s="55" t="e">
        <f t="shared" si="222"/>
        <v>#VALUE!</v>
      </c>
      <c r="S963" s="55" t="e">
        <f t="shared" si="223"/>
        <v>#VALUE!</v>
      </c>
      <c r="T963" s="55" t="e">
        <f t="shared" si="228"/>
        <v>#VALUE!</v>
      </c>
      <c r="U963" s="50" t="e">
        <f t="shared" si="224"/>
        <v>#VALUE!</v>
      </c>
      <c r="V963" s="50" t="e">
        <f t="shared" si="225"/>
        <v>#VALUE!</v>
      </c>
      <c r="W963" s="50" t="e">
        <f t="shared" si="226"/>
        <v>#VALUE!</v>
      </c>
    </row>
    <row r="964" spans="2:23" x14ac:dyDescent="0.25">
      <c r="B964" s="50" t="b">
        <f t="shared" si="229"/>
        <v>0</v>
      </c>
      <c r="C964" s="50" t="e">
        <f t="shared" si="231"/>
        <v>#VALUE!</v>
      </c>
      <c r="E964" s="56">
        <v>960</v>
      </c>
      <c r="G964" s="138"/>
      <c r="H964" s="135">
        <v>1</v>
      </c>
      <c r="I964" s="57" t="str">
        <f t="shared" si="227"/>
        <v/>
      </c>
      <c r="J964" s="58" t="e">
        <f t="shared" si="217"/>
        <v>#VALUE!</v>
      </c>
      <c r="K964" s="50" t="e">
        <f t="shared" si="218"/>
        <v>#VALUE!</v>
      </c>
      <c r="L964" s="50" t="e">
        <f t="shared" si="230"/>
        <v>#VALUE!</v>
      </c>
      <c r="M964" s="50" t="e">
        <f t="shared" si="230"/>
        <v>#VALUE!</v>
      </c>
      <c r="N964" s="50" t="e">
        <f t="shared" si="219"/>
        <v>#VALUE!</v>
      </c>
      <c r="O964" s="50" t="e">
        <f t="shared" si="220"/>
        <v>#VALUE!</v>
      </c>
      <c r="P964" s="50">
        <f t="shared" si="221"/>
        <v>0</v>
      </c>
      <c r="R964" s="55" t="e">
        <f t="shared" si="222"/>
        <v>#VALUE!</v>
      </c>
      <c r="S964" s="55" t="e">
        <f t="shared" si="223"/>
        <v>#VALUE!</v>
      </c>
      <c r="T964" s="55" t="e">
        <f t="shared" si="228"/>
        <v>#VALUE!</v>
      </c>
      <c r="U964" s="50" t="e">
        <f t="shared" si="224"/>
        <v>#VALUE!</v>
      </c>
      <c r="V964" s="50" t="e">
        <f t="shared" si="225"/>
        <v>#VALUE!</v>
      </c>
      <c r="W964" s="50" t="e">
        <f t="shared" si="226"/>
        <v>#VALUE!</v>
      </c>
    </row>
    <row r="965" spans="2:23" x14ac:dyDescent="0.25">
      <c r="B965" s="50" t="b">
        <f t="shared" si="229"/>
        <v>0</v>
      </c>
      <c r="C965" s="50" t="e">
        <f t="shared" si="231"/>
        <v>#VALUE!</v>
      </c>
      <c r="E965" s="56">
        <v>961</v>
      </c>
      <c r="G965" s="138"/>
      <c r="H965" s="135">
        <v>1</v>
      </c>
      <c r="I965" s="57" t="str">
        <f t="shared" si="227"/>
        <v/>
      </c>
      <c r="J965" s="58" t="e">
        <f t="shared" ref="J965:J1004" si="232">RIGHT(I965,K965)</f>
        <v>#VALUE!</v>
      </c>
      <c r="K965" s="50" t="e">
        <f t="shared" ref="K965:K1004" si="233">P965-N965</f>
        <v>#VALUE!</v>
      </c>
      <c r="L965" s="50" t="e">
        <f t="shared" si="230"/>
        <v>#VALUE!</v>
      </c>
      <c r="M965" s="50" t="e">
        <f t="shared" si="230"/>
        <v>#VALUE!</v>
      </c>
      <c r="N965" s="50" t="e">
        <f t="shared" ref="N965:N1004" si="234">SEARCH("-",I965,2)</f>
        <v>#VALUE!</v>
      </c>
      <c r="O965" s="50" t="e">
        <f t="shared" ref="O965:O1004" si="235">SEARCH("-",I965,N965+1)</f>
        <v>#VALUE!</v>
      </c>
      <c r="P965" s="50">
        <f t="shared" ref="P965:P1004" si="236">LEN(I965)</f>
        <v>0</v>
      </c>
      <c r="R965" s="55" t="e">
        <f t="shared" ref="R965:R1004" si="237">LEFT(I965,N965-1)</f>
        <v>#VALUE!</v>
      </c>
      <c r="S965" s="55" t="e">
        <f t="shared" ref="S965:S1004" si="238">LEFT(J965,L965-1)</f>
        <v>#VALUE!</v>
      </c>
      <c r="T965" s="55" t="e">
        <f t="shared" si="228"/>
        <v>#VALUE!</v>
      </c>
      <c r="U965" s="50" t="e">
        <f t="shared" ref="U965:U1004" si="239">R965*1*$H965</f>
        <v>#VALUE!</v>
      </c>
      <c r="V965" s="50" t="e">
        <f t="shared" ref="V965:V1004" si="240">S965*1*$H965</f>
        <v>#VALUE!</v>
      </c>
      <c r="W965" s="50" t="e">
        <f t="shared" ref="W965:W1004" si="241">T965*1*$H965</f>
        <v>#VALUE!</v>
      </c>
    </row>
    <row r="966" spans="2:23" x14ac:dyDescent="0.25">
      <c r="B966" s="50" t="b">
        <f t="shared" si="229"/>
        <v>0</v>
      </c>
      <c r="C966" s="50" t="e">
        <f t="shared" si="231"/>
        <v>#VALUE!</v>
      </c>
      <c r="E966" s="56">
        <v>962</v>
      </c>
      <c r="G966" s="138"/>
      <c r="H966" s="135">
        <v>1</v>
      </c>
      <c r="I966" s="57" t="str">
        <f t="shared" ref="I966:I1004" si="242">IF(G966="","",G966&amp;""&amp;"-0")</f>
        <v/>
      </c>
      <c r="J966" s="58" t="e">
        <f t="shared" si="232"/>
        <v>#VALUE!</v>
      </c>
      <c r="K966" s="50" t="e">
        <f t="shared" si="233"/>
        <v>#VALUE!</v>
      </c>
      <c r="L966" s="50" t="e">
        <f t="shared" si="230"/>
        <v>#VALUE!</v>
      </c>
      <c r="M966" s="50" t="e">
        <f t="shared" si="230"/>
        <v>#VALUE!</v>
      </c>
      <c r="N966" s="50" t="e">
        <f t="shared" si="234"/>
        <v>#VALUE!</v>
      </c>
      <c r="O966" s="50" t="e">
        <f t="shared" si="235"/>
        <v>#VALUE!</v>
      </c>
      <c r="P966" s="50">
        <f t="shared" si="236"/>
        <v>0</v>
      </c>
      <c r="R966" s="55" t="e">
        <f t="shared" si="237"/>
        <v>#VALUE!</v>
      </c>
      <c r="S966" s="55" t="e">
        <f t="shared" si="238"/>
        <v>#VALUE!</v>
      </c>
      <c r="T966" s="55" t="e">
        <f t="shared" ref="T966:T1004" si="243">RIGHT(I966,M966)</f>
        <v>#VALUE!</v>
      </c>
      <c r="U966" s="50" t="e">
        <f t="shared" si="239"/>
        <v>#VALUE!</v>
      </c>
      <c r="V966" s="50" t="e">
        <f t="shared" si="240"/>
        <v>#VALUE!</v>
      </c>
      <c r="W966" s="50" t="e">
        <f t="shared" si="241"/>
        <v>#VALUE!</v>
      </c>
    </row>
    <row r="967" spans="2:23" x14ac:dyDescent="0.25">
      <c r="B967" s="50" t="b">
        <f t="shared" si="229"/>
        <v>0</v>
      </c>
      <c r="C967" s="50" t="e">
        <f t="shared" si="231"/>
        <v>#VALUE!</v>
      </c>
      <c r="E967" s="56">
        <v>963</v>
      </c>
      <c r="G967" s="138"/>
      <c r="H967" s="135">
        <v>1</v>
      </c>
      <c r="I967" s="57" t="str">
        <f t="shared" si="242"/>
        <v/>
      </c>
      <c r="J967" s="58" t="e">
        <f t="shared" si="232"/>
        <v>#VALUE!</v>
      </c>
      <c r="K967" s="50" t="e">
        <f t="shared" si="233"/>
        <v>#VALUE!</v>
      </c>
      <c r="L967" s="50" t="e">
        <f t="shared" si="230"/>
        <v>#VALUE!</v>
      </c>
      <c r="M967" s="50" t="e">
        <f t="shared" si="230"/>
        <v>#VALUE!</v>
      </c>
      <c r="N967" s="50" t="e">
        <f t="shared" si="234"/>
        <v>#VALUE!</v>
      </c>
      <c r="O967" s="50" t="e">
        <f t="shared" si="235"/>
        <v>#VALUE!</v>
      </c>
      <c r="P967" s="50">
        <f t="shared" si="236"/>
        <v>0</v>
      </c>
      <c r="R967" s="55" t="e">
        <f t="shared" si="237"/>
        <v>#VALUE!</v>
      </c>
      <c r="S967" s="55" t="e">
        <f t="shared" si="238"/>
        <v>#VALUE!</v>
      </c>
      <c r="T967" s="55" t="e">
        <f t="shared" si="243"/>
        <v>#VALUE!</v>
      </c>
      <c r="U967" s="50" t="e">
        <f t="shared" si="239"/>
        <v>#VALUE!</v>
      </c>
      <c r="V967" s="50" t="e">
        <f t="shared" si="240"/>
        <v>#VALUE!</v>
      </c>
      <c r="W967" s="50" t="e">
        <f t="shared" si="241"/>
        <v>#VALUE!</v>
      </c>
    </row>
    <row r="968" spans="2:23" x14ac:dyDescent="0.25">
      <c r="B968" s="50" t="b">
        <f t="shared" si="229"/>
        <v>0</v>
      </c>
      <c r="C968" s="50" t="e">
        <f t="shared" si="231"/>
        <v>#VALUE!</v>
      </c>
      <c r="E968" s="56">
        <v>964</v>
      </c>
      <c r="G968" s="138"/>
      <c r="H968" s="135">
        <v>1</v>
      </c>
      <c r="I968" s="57" t="str">
        <f t="shared" si="242"/>
        <v/>
      </c>
      <c r="J968" s="58" t="e">
        <f t="shared" si="232"/>
        <v>#VALUE!</v>
      </c>
      <c r="K968" s="50" t="e">
        <f t="shared" si="233"/>
        <v>#VALUE!</v>
      </c>
      <c r="L968" s="50" t="e">
        <f t="shared" si="230"/>
        <v>#VALUE!</v>
      </c>
      <c r="M968" s="50" t="e">
        <f t="shared" si="230"/>
        <v>#VALUE!</v>
      </c>
      <c r="N968" s="50" t="e">
        <f t="shared" si="234"/>
        <v>#VALUE!</v>
      </c>
      <c r="O968" s="50" t="e">
        <f t="shared" si="235"/>
        <v>#VALUE!</v>
      </c>
      <c r="P968" s="50">
        <f t="shared" si="236"/>
        <v>0</v>
      </c>
      <c r="R968" s="55" t="e">
        <f t="shared" si="237"/>
        <v>#VALUE!</v>
      </c>
      <c r="S968" s="55" t="e">
        <f t="shared" si="238"/>
        <v>#VALUE!</v>
      </c>
      <c r="T968" s="55" t="e">
        <f t="shared" si="243"/>
        <v>#VALUE!</v>
      </c>
      <c r="U968" s="50" t="e">
        <f t="shared" si="239"/>
        <v>#VALUE!</v>
      </c>
      <c r="V968" s="50" t="e">
        <f t="shared" si="240"/>
        <v>#VALUE!</v>
      </c>
      <c r="W968" s="50" t="e">
        <f t="shared" si="241"/>
        <v>#VALUE!</v>
      </c>
    </row>
    <row r="969" spans="2:23" x14ac:dyDescent="0.25">
      <c r="B969" s="50" t="b">
        <f t="shared" si="229"/>
        <v>0</v>
      </c>
      <c r="C969" s="50" t="e">
        <f t="shared" si="231"/>
        <v>#VALUE!</v>
      </c>
      <c r="E969" s="56">
        <v>965</v>
      </c>
      <c r="G969" s="138"/>
      <c r="H969" s="135">
        <v>1</v>
      </c>
      <c r="I969" s="57" t="str">
        <f t="shared" si="242"/>
        <v/>
      </c>
      <c r="J969" s="58" t="e">
        <f t="shared" si="232"/>
        <v>#VALUE!</v>
      </c>
      <c r="K969" s="50" t="e">
        <f t="shared" si="233"/>
        <v>#VALUE!</v>
      </c>
      <c r="L969" s="50" t="e">
        <f t="shared" si="230"/>
        <v>#VALUE!</v>
      </c>
      <c r="M969" s="50" t="e">
        <f t="shared" si="230"/>
        <v>#VALUE!</v>
      </c>
      <c r="N969" s="50" t="e">
        <f t="shared" si="234"/>
        <v>#VALUE!</v>
      </c>
      <c r="O969" s="50" t="e">
        <f t="shared" si="235"/>
        <v>#VALUE!</v>
      </c>
      <c r="P969" s="50">
        <f t="shared" si="236"/>
        <v>0</v>
      </c>
      <c r="R969" s="55" t="e">
        <f t="shared" si="237"/>
        <v>#VALUE!</v>
      </c>
      <c r="S969" s="55" t="e">
        <f t="shared" si="238"/>
        <v>#VALUE!</v>
      </c>
      <c r="T969" s="55" t="e">
        <f t="shared" si="243"/>
        <v>#VALUE!</v>
      </c>
      <c r="U969" s="50" t="e">
        <f t="shared" si="239"/>
        <v>#VALUE!</v>
      </c>
      <c r="V969" s="50" t="e">
        <f t="shared" si="240"/>
        <v>#VALUE!</v>
      </c>
      <c r="W969" s="50" t="e">
        <f t="shared" si="241"/>
        <v>#VALUE!</v>
      </c>
    </row>
    <row r="970" spans="2:23" x14ac:dyDescent="0.25">
      <c r="B970" s="50" t="b">
        <f t="shared" si="229"/>
        <v>0</v>
      </c>
      <c r="C970" s="50" t="e">
        <f t="shared" si="231"/>
        <v>#VALUE!</v>
      </c>
      <c r="E970" s="56">
        <v>966</v>
      </c>
      <c r="G970" s="138"/>
      <c r="H970" s="135">
        <v>1</v>
      </c>
      <c r="I970" s="57" t="str">
        <f t="shared" si="242"/>
        <v/>
      </c>
      <c r="J970" s="58" t="e">
        <f t="shared" si="232"/>
        <v>#VALUE!</v>
      </c>
      <c r="K970" s="50" t="e">
        <f t="shared" si="233"/>
        <v>#VALUE!</v>
      </c>
      <c r="L970" s="50" t="e">
        <f t="shared" si="230"/>
        <v>#VALUE!</v>
      </c>
      <c r="M970" s="50" t="e">
        <f t="shared" si="230"/>
        <v>#VALUE!</v>
      </c>
      <c r="N970" s="50" t="e">
        <f t="shared" si="234"/>
        <v>#VALUE!</v>
      </c>
      <c r="O970" s="50" t="e">
        <f t="shared" si="235"/>
        <v>#VALUE!</v>
      </c>
      <c r="P970" s="50">
        <f t="shared" si="236"/>
        <v>0</v>
      </c>
      <c r="R970" s="55" t="e">
        <f t="shared" si="237"/>
        <v>#VALUE!</v>
      </c>
      <c r="S970" s="55" t="e">
        <f t="shared" si="238"/>
        <v>#VALUE!</v>
      </c>
      <c r="T970" s="55" t="e">
        <f t="shared" si="243"/>
        <v>#VALUE!</v>
      </c>
      <c r="U970" s="50" t="e">
        <f t="shared" si="239"/>
        <v>#VALUE!</v>
      </c>
      <c r="V970" s="50" t="e">
        <f t="shared" si="240"/>
        <v>#VALUE!</v>
      </c>
      <c r="W970" s="50" t="e">
        <f t="shared" si="241"/>
        <v>#VALUE!</v>
      </c>
    </row>
    <row r="971" spans="2:23" x14ac:dyDescent="0.25">
      <c r="B971" s="50" t="b">
        <f t="shared" si="229"/>
        <v>0</v>
      </c>
      <c r="C971" s="50" t="e">
        <f t="shared" si="231"/>
        <v>#VALUE!</v>
      </c>
      <c r="E971" s="56">
        <v>967</v>
      </c>
      <c r="G971" s="138"/>
      <c r="H971" s="135">
        <v>1</v>
      </c>
      <c r="I971" s="57" t="str">
        <f t="shared" si="242"/>
        <v/>
      </c>
      <c r="J971" s="58" t="e">
        <f t="shared" si="232"/>
        <v>#VALUE!</v>
      </c>
      <c r="K971" s="50" t="e">
        <f t="shared" si="233"/>
        <v>#VALUE!</v>
      </c>
      <c r="L971" s="50" t="e">
        <f t="shared" si="230"/>
        <v>#VALUE!</v>
      </c>
      <c r="M971" s="50" t="e">
        <f t="shared" si="230"/>
        <v>#VALUE!</v>
      </c>
      <c r="N971" s="50" t="e">
        <f t="shared" si="234"/>
        <v>#VALUE!</v>
      </c>
      <c r="O971" s="50" t="e">
        <f t="shared" si="235"/>
        <v>#VALUE!</v>
      </c>
      <c r="P971" s="50">
        <f t="shared" si="236"/>
        <v>0</v>
      </c>
      <c r="R971" s="55" t="e">
        <f t="shared" si="237"/>
        <v>#VALUE!</v>
      </c>
      <c r="S971" s="55" t="e">
        <f t="shared" si="238"/>
        <v>#VALUE!</v>
      </c>
      <c r="T971" s="55" t="e">
        <f t="shared" si="243"/>
        <v>#VALUE!</v>
      </c>
      <c r="U971" s="50" t="e">
        <f t="shared" si="239"/>
        <v>#VALUE!</v>
      </c>
      <c r="V971" s="50" t="e">
        <f t="shared" si="240"/>
        <v>#VALUE!</v>
      </c>
      <c r="W971" s="50" t="e">
        <f t="shared" si="241"/>
        <v>#VALUE!</v>
      </c>
    </row>
    <row r="972" spans="2:23" x14ac:dyDescent="0.25">
      <c r="B972" s="50" t="b">
        <f t="shared" si="229"/>
        <v>0</v>
      </c>
      <c r="C972" s="50" t="e">
        <f t="shared" si="231"/>
        <v>#VALUE!</v>
      </c>
      <c r="E972" s="56">
        <v>968</v>
      </c>
      <c r="G972" s="138"/>
      <c r="H972" s="135">
        <v>1</v>
      </c>
      <c r="I972" s="57" t="str">
        <f t="shared" si="242"/>
        <v/>
      </c>
      <c r="J972" s="58" t="e">
        <f t="shared" si="232"/>
        <v>#VALUE!</v>
      </c>
      <c r="K972" s="50" t="e">
        <f t="shared" si="233"/>
        <v>#VALUE!</v>
      </c>
      <c r="L972" s="50" t="e">
        <f t="shared" si="230"/>
        <v>#VALUE!</v>
      </c>
      <c r="M972" s="50" t="e">
        <f t="shared" si="230"/>
        <v>#VALUE!</v>
      </c>
      <c r="N972" s="50" t="e">
        <f t="shared" si="234"/>
        <v>#VALUE!</v>
      </c>
      <c r="O972" s="50" t="e">
        <f t="shared" si="235"/>
        <v>#VALUE!</v>
      </c>
      <c r="P972" s="50">
        <f t="shared" si="236"/>
        <v>0</v>
      </c>
      <c r="R972" s="55" t="e">
        <f t="shared" si="237"/>
        <v>#VALUE!</v>
      </c>
      <c r="S972" s="55" t="e">
        <f t="shared" si="238"/>
        <v>#VALUE!</v>
      </c>
      <c r="T972" s="55" t="e">
        <f t="shared" si="243"/>
        <v>#VALUE!</v>
      </c>
      <c r="U972" s="50" t="e">
        <f t="shared" si="239"/>
        <v>#VALUE!</v>
      </c>
      <c r="V972" s="50" t="e">
        <f t="shared" si="240"/>
        <v>#VALUE!</v>
      </c>
      <c r="W972" s="50" t="e">
        <f t="shared" si="241"/>
        <v>#VALUE!</v>
      </c>
    </row>
    <row r="973" spans="2:23" x14ac:dyDescent="0.25">
      <c r="B973" s="50" t="b">
        <f t="shared" si="229"/>
        <v>0</v>
      </c>
      <c r="C973" s="50" t="e">
        <f t="shared" si="231"/>
        <v>#VALUE!</v>
      </c>
      <c r="E973" s="56">
        <v>969</v>
      </c>
      <c r="G973" s="138"/>
      <c r="H973" s="135">
        <v>1</v>
      </c>
      <c r="I973" s="57" t="str">
        <f t="shared" si="242"/>
        <v/>
      </c>
      <c r="J973" s="58" t="e">
        <f t="shared" si="232"/>
        <v>#VALUE!</v>
      </c>
      <c r="K973" s="50" t="e">
        <f t="shared" si="233"/>
        <v>#VALUE!</v>
      </c>
      <c r="L973" s="50" t="e">
        <f t="shared" si="230"/>
        <v>#VALUE!</v>
      </c>
      <c r="M973" s="50" t="e">
        <f t="shared" si="230"/>
        <v>#VALUE!</v>
      </c>
      <c r="N973" s="50" t="e">
        <f t="shared" si="234"/>
        <v>#VALUE!</v>
      </c>
      <c r="O973" s="50" t="e">
        <f t="shared" si="235"/>
        <v>#VALUE!</v>
      </c>
      <c r="P973" s="50">
        <f t="shared" si="236"/>
        <v>0</v>
      </c>
      <c r="R973" s="55" t="e">
        <f t="shared" si="237"/>
        <v>#VALUE!</v>
      </c>
      <c r="S973" s="55" t="e">
        <f t="shared" si="238"/>
        <v>#VALUE!</v>
      </c>
      <c r="T973" s="55" t="e">
        <f t="shared" si="243"/>
        <v>#VALUE!</v>
      </c>
      <c r="U973" s="50" t="e">
        <f t="shared" si="239"/>
        <v>#VALUE!</v>
      </c>
      <c r="V973" s="50" t="e">
        <f t="shared" si="240"/>
        <v>#VALUE!</v>
      </c>
      <c r="W973" s="50" t="e">
        <f t="shared" si="241"/>
        <v>#VALUE!</v>
      </c>
    </row>
    <row r="974" spans="2:23" x14ac:dyDescent="0.25">
      <c r="B974" s="50" t="b">
        <f t="shared" ref="B974:B1004" si="244">ISNUMBER(C974)</f>
        <v>0</v>
      </c>
      <c r="C974" s="50" t="e">
        <f t="shared" si="231"/>
        <v>#VALUE!</v>
      </c>
      <c r="E974" s="56">
        <v>970</v>
      </c>
      <c r="G974" s="138"/>
      <c r="H974" s="135">
        <v>1</v>
      </c>
      <c r="I974" s="57" t="str">
        <f t="shared" si="242"/>
        <v/>
      </c>
      <c r="J974" s="58" t="e">
        <f t="shared" si="232"/>
        <v>#VALUE!</v>
      </c>
      <c r="K974" s="50" t="e">
        <f t="shared" si="233"/>
        <v>#VALUE!</v>
      </c>
      <c r="L974" s="50" t="e">
        <f t="shared" si="230"/>
        <v>#VALUE!</v>
      </c>
      <c r="M974" s="50" t="e">
        <f t="shared" si="230"/>
        <v>#VALUE!</v>
      </c>
      <c r="N974" s="50" t="e">
        <f t="shared" si="234"/>
        <v>#VALUE!</v>
      </c>
      <c r="O974" s="50" t="e">
        <f t="shared" si="235"/>
        <v>#VALUE!</v>
      </c>
      <c r="P974" s="50">
        <f t="shared" si="236"/>
        <v>0</v>
      </c>
      <c r="R974" s="55" t="e">
        <f t="shared" si="237"/>
        <v>#VALUE!</v>
      </c>
      <c r="S974" s="55" t="e">
        <f t="shared" si="238"/>
        <v>#VALUE!</v>
      </c>
      <c r="T974" s="55" t="e">
        <f t="shared" si="243"/>
        <v>#VALUE!</v>
      </c>
      <c r="U974" s="50" t="e">
        <f t="shared" si="239"/>
        <v>#VALUE!</v>
      </c>
      <c r="V974" s="50" t="e">
        <f t="shared" si="240"/>
        <v>#VALUE!</v>
      </c>
      <c r="W974" s="50" t="e">
        <f t="shared" si="241"/>
        <v>#VALUE!</v>
      </c>
    </row>
    <row r="975" spans="2:23" x14ac:dyDescent="0.25">
      <c r="B975" s="50" t="b">
        <f t="shared" si="244"/>
        <v>0</v>
      </c>
      <c r="C975" s="50" t="e">
        <f t="shared" si="231"/>
        <v>#VALUE!</v>
      </c>
      <c r="E975" s="56">
        <v>971</v>
      </c>
      <c r="G975" s="138"/>
      <c r="H975" s="135">
        <v>1</v>
      </c>
      <c r="I975" s="57" t="str">
        <f t="shared" si="242"/>
        <v/>
      </c>
      <c r="J975" s="58" t="e">
        <f t="shared" si="232"/>
        <v>#VALUE!</v>
      </c>
      <c r="K975" s="50" t="e">
        <f t="shared" si="233"/>
        <v>#VALUE!</v>
      </c>
      <c r="L975" s="50" t="e">
        <f t="shared" si="230"/>
        <v>#VALUE!</v>
      </c>
      <c r="M975" s="50" t="e">
        <f t="shared" si="230"/>
        <v>#VALUE!</v>
      </c>
      <c r="N975" s="50" t="e">
        <f t="shared" si="234"/>
        <v>#VALUE!</v>
      </c>
      <c r="O975" s="50" t="e">
        <f t="shared" si="235"/>
        <v>#VALUE!</v>
      </c>
      <c r="P975" s="50">
        <f t="shared" si="236"/>
        <v>0</v>
      </c>
      <c r="R975" s="55" t="e">
        <f t="shared" si="237"/>
        <v>#VALUE!</v>
      </c>
      <c r="S975" s="55" t="e">
        <f t="shared" si="238"/>
        <v>#VALUE!</v>
      </c>
      <c r="T975" s="55" t="e">
        <f t="shared" si="243"/>
        <v>#VALUE!</v>
      </c>
      <c r="U975" s="50" t="e">
        <f t="shared" si="239"/>
        <v>#VALUE!</v>
      </c>
      <c r="V975" s="50" t="e">
        <f t="shared" si="240"/>
        <v>#VALUE!</v>
      </c>
      <c r="W975" s="50" t="e">
        <f t="shared" si="241"/>
        <v>#VALUE!</v>
      </c>
    </row>
    <row r="976" spans="2:23" x14ac:dyDescent="0.25">
      <c r="B976" s="50" t="b">
        <f t="shared" si="244"/>
        <v>0</v>
      </c>
      <c r="C976" s="50" t="e">
        <f t="shared" si="231"/>
        <v>#VALUE!</v>
      </c>
      <c r="E976" s="56">
        <v>972</v>
      </c>
      <c r="G976" s="138"/>
      <c r="H976" s="135">
        <v>1</v>
      </c>
      <c r="I976" s="57" t="str">
        <f t="shared" si="242"/>
        <v/>
      </c>
      <c r="J976" s="58" t="e">
        <f t="shared" si="232"/>
        <v>#VALUE!</v>
      </c>
      <c r="K976" s="50" t="e">
        <f t="shared" si="233"/>
        <v>#VALUE!</v>
      </c>
      <c r="L976" s="50" t="e">
        <f t="shared" si="230"/>
        <v>#VALUE!</v>
      </c>
      <c r="M976" s="50" t="e">
        <f t="shared" si="230"/>
        <v>#VALUE!</v>
      </c>
      <c r="N976" s="50" t="e">
        <f t="shared" si="234"/>
        <v>#VALUE!</v>
      </c>
      <c r="O976" s="50" t="e">
        <f t="shared" si="235"/>
        <v>#VALUE!</v>
      </c>
      <c r="P976" s="50">
        <f t="shared" si="236"/>
        <v>0</v>
      </c>
      <c r="R976" s="55" t="e">
        <f t="shared" si="237"/>
        <v>#VALUE!</v>
      </c>
      <c r="S976" s="55" t="e">
        <f t="shared" si="238"/>
        <v>#VALUE!</v>
      </c>
      <c r="T976" s="55" t="e">
        <f t="shared" si="243"/>
        <v>#VALUE!</v>
      </c>
      <c r="U976" s="50" t="e">
        <f t="shared" si="239"/>
        <v>#VALUE!</v>
      </c>
      <c r="V976" s="50" t="e">
        <f t="shared" si="240"/>
        <v>#VALUE!</v>
      </c>
      <c r="W976" s="50" t="e">
        <f t="shared" si="241"/>
        <v>#VALUE!</v>
      </c>
    </row>
    <row r="977" spans="2:23" x14ac:dyDescent="0.25">
      <c r="B977" s="50" t="b">
        <f t="shared" si="244"/>
        <v>0</v>
      </c>
      <c r="C977" s="50" t="e">
        <f t="shared" si="231"/>
        <v>#VALUE!</v>
      </c>
      <c r="E977" s="56">
        <v>973</v>
      </c>
      <c r="G977" s="138"/>
      <c r="H977" s="135">
        <v>1</v>
      </c>
      <c r="I977" s="57" t="str">
        <f t="shared" si="242"/>
        <v/>
      </c>
      <c r="J977" s="58" t="e">
        <f t="shared" si="232"/>
        <v>#VALUE!</v>
      </c>
      <c r="K977" s="50" t="e">
        <f t="shared" si="233"/>
        <v>#VALUE!</v>
      </c>
      <c r="L977" s="50" t="e">
        <f t="shared" si="230"/>
        <v>#VALUE!</v>
      </c>
      <c r="M977" s="50" t="e">
        <f t="shared" si="230"/>
        <v>#VALUE!</v>
      </c>
      <c r="N977" s="50" t="e">
        <f t="shared" si="234"/>
        <v>#VALUE!</v>
      </c>
      <c r="O977" s="50" t="e">
        <f t="shared" si="235"/>
        <v>#VALUE!</v>
      </c>
      <c r="P977" s="50">
        <f t="shared" si="236"/>
        <v>0</v>
      </c>
      <c r="R977" s="55" t="e">
        <f t="shared" si="237"/>
        <v>#VALUE!</v>
      </c>
      <c r="S977" s="55" t="e">
        <f t="shared" si="238"/>
        <v>#VALUE!</v>
      </c>
      <c r="T977" s="55" t="e">
        <f t="shared" si="243"/>
        <v>#VALUE!</v>
      </c>
      <c r="U977" s="50" t="e">
        <f t="shared" si="239"/>
        <v>#VALUE!</v>
      </c>
      <c r="V977" s="50" t="e">
        <f t="shared" si="240"/>
        <v>#VALUE!</v>
      </c>
      <c r="W977" s="50" t="e">
        <f t="shared" si="241"/>
        <v>#VALUE!</v>
      </c>
    </row>
    <row r="978" spans="2:23" x14ac:dyDescent="0.25">
      <c r="B978" s="50" t="b">
        <f t="shared" si="244"/>
        <v>0</v>
      </c>
      <c r="C978" s="50" t="e">
        <f t="shared" si="231"/>
        <v>#VALUE!</v>
      </c>
      <c r="E978" s="56">
        <v>974</v>
      </c>
      <c r="G978" s="138"/>
      <c r="H978" s="135">
        <v>1</v>
      </c>
      <c r="I978" s="57" t="str">
        <f t="shared" si="242"/>
        <v/>
      </c>
      <c r="J978" s="58" t="e">
        <f t="shared" si="232"/>
        <v>#VALUE!</v>
      </c>
      <c r="K978" s="50" t="e">
        <f t="shared" si="233"/>
        <v>#VALUE!</v>
      </c>
      <c r="L978" s="50" t="e">
        <f t="shared" si="230"/>
        <v>#VALUE!</v>
      </c>
      <c r="M978" s="50" t="e">
        <f t="shared" si="230"/>
        <v>#VALUE!</v>
      </c>
      <c r="N978" s="50" t="e">
        <f t="shared" si="234"/>
        <v>#VALUE!</v>
      </c>
      <c r="O978" s="50" t="e">
        <f t="shared" si="235"/>
        <v>#VALUE!</v>
      </c>
      <c r="P978" s="50">
        <f t="shared" si="236"/>
        <v>0</v>
      </c>
      <c r="R978" s="55" t="e">
        <f t="shared" si="237"/>
        <v>#VALUE!</v>
      </c>
      <c r="S978" s="55" t="e">
        <f t="shared" si="238"/>
        <v>#VALUE!</v>
      </c>
      <c r="T978" s="55" t="e">
        <f t="shared" si="243"/>
        <v>#VALUE!</v>
      </c>
      <c r="U978" s="50" t="e">
        <f t="shared" si="239"/>
        <v>#VALUE!</v>
      </c>
      <c r="V978" s="50" t="e">
        <f t="shared" si="240"/>
        <v>#VALUE!</v>
      </c>
      <c r="W978" s="50" t="e">
        <f t="shared" si="241"/>
        <v>#VALUE!</v>
      </c>
    </row>
    <row r="979" spans="2:23" x14ac:dyDescent="0.25">
      <c r="B979" s="50" t="b">
        <f t="shared" si="244"/>
        <v>0</v>
      </c>
      <c r="C979" s="50" t="e">
        <f t="shared" si="231"/>
        <v>#VALUE!</v>
      </c>
      <c r="E979" s="56">
        <v>975</v>
      </c>
      <c r="G979" s="138"/>
      <c r="H979" s="135">
        <v>1</v>
      </c>
      <c r="I979" s="57" t="str">
        <f t="shared" si="242"/>
        <v/>
      </c>
      <c r="J979" s="58" t="e">
        <f t="shared" si="232"/>
        <v>#VALUE!</v>
      </c>
      <c r="K979" s="50" t="e">
        <f t="shared" si="233"/>
        <v>#VALUE!</v>
      </c>
      <c r="L979" s="50" t="e">
        <f t="shared" si="230"/>
        <v>#VALUE!</v>
      </c>
      <c r="M979" s="50" t="e">
        <f t="shared" si="230"/>
        <v>#VALUE!</v>
      </c>
      <c r="N979" s="50" t="e">
        <f t="shared" si="234"/>
        <v>#VALUE!</v>
      </c>
      <c r="O979" s="50" t="e">
        <f t="shared" si="235"/>
        <v>#VALUE!</v>
      </c>
      <c r="P979" s="50">
        <f t="shared" si="236"/>
        <v>0</v>
      </c>
      <c r="R979" s="55" t="e">
        <f t="shared" si="237"/>
        <v>#VALUE!</v>
      </c>
      <c r="S979" s="55" t="e">
        <f t="shared" si="238"/>
        <v>#VALUE!</v>
      </c>
      <c r="T979" s="55" t="e">
        <f t="shared" si="243"/>
        <v>#VALUE!</v>
      </c>
      <c r="U979" s="50" t="e">
        <f t="shared" si="239"/>
        <v>#VALUE!</v>
      </c>
      <c r="V979" s="50" t="e">
        <f t="shared" si="240"/>
        <v>#VALUE!</v>
      </c>
      <c r="W979" s="50" t="e">
        <f t="shared" si="241"/>
        <v>#VALUE!</v>
      </c>
    </row>
    <row r="980" spans="2:23" x14ac:dyDescent="0.25">
      <c r="B980" s="50" t="b">
        <f t="shared" si="244"/>
        <v>0</v>
      </c>
      <c r="C980" s="50" t="e">
        <f t="shared" si="231"/>
        <v>#VALUE!</v>
      </c>
      <c r="E980" s="56">
        <v>976</v>
      </c>
      <c r="G980" s="138"/>
      <c r="H980" s="135">
        <v>1</v>
      </c>
      <c r="I980" s="57" t="str">
        <f t="shared" si="242"/>
        <v/>
      </c>
      <c r="J980" s="58" t="e">
        <f t="shared" si="232"/>
        <v>#VALUE!</v>
      </c>
      <c r="K980" s="50" t="e">
        <f t="shared" si="233"/>
        <v>#VALUE!</v>
      </c>
      <c r="L980" s="50" t="e">
        <f t="shared" si="230"/>
        <v>#VALUE!</v>
      </c>
      <c r="M980" s="50" t="e">
        <f t="shared" si="230"/>
        <v>#VALUE!</v>
      </c>
      <c r="N980" s="50" t="e">
        <f t="shared" si="234"/>
        <v>#VALUE!</v>
      </c>
      <c r="O980" s="50" t="e">
        <f t="shared" si="235"/>
        <v>#VALUE!</v>
      </c>
      <c r="P980" s="50">
        <f t="shared" si="236"/>
        <v>0</v>
      </c>
      <c r="R980" s="55" t="e">
        <f t="shared" si="237"/>
        <v>#VALUE!</v>
      </c>
      <c r="S980" s="55" t="e">
        <f t="shared" si="238"/>
        <v>#VALUE!</v>
      </c>
      <c r="T980" s="55" t="e">
        <f t="shared" si="243"/>
        <v>#VALUE!</v>
      </c>
      <c r="U980" s="50" t="e">
        <f t="shared" si="239"/>
        <v>#VALUE!</v>
      </c>
      <c r="V980" s="50" t="e">
        <f t="shared" si="240"/>
        <v>#VALUE!</v>
      </c>
      <c r="W980" s="50" t="e">
        <f t="shared" si="241"/>
        <v>#VALUE!</v>
      </c>
    </row>
    <row r="981" spans="2:23" x14ac:dyDescent="0.25">
      <c r="B981" s="50" t="b">
        <f t="shared" si="244"/>
        <v>0</v>
      </c>
      <c r="C981" s="50" t="e">
        <f t="shared" si="231"/>
        <v>#VALUE!</v>
      </c>
      <c r="E981" s="56">
        <v>977</v>
      </c>
      <c r="G981" s="138"/>
      <c r="H981" s="135">
        <v>1</v>
      </c>
      <c r="I981" s="57" t="str">
        <f t="shared" si="242"/>
        <v/>
      </c>
      <c r="J981" s="58" t="e">
        <f t="shared" si="232"/>
        <v>#VALUE!</v>
      </c>
      <c r="K981" s="50" t="e">
        <f t="shared" si="233"/>
        <v>#VALUE!</v>
      </c>
      <c r="L981" s="50" t="e">
        <f t="shared" si="230"/>
        <v>#VALUE!</v>
      </c>
      <c r="M981" s="50" t="e">
        <f t="shared" si="230"/>
        <v>#VALUE!</v>
      </c>
      <c r="N981" s="50" t="e">
        <f t="shared" si="234"/>
        <v>#VALUE!</v>
      </c>
      <c r="O981" s="50" t="e">
        <f t="shared" si="235"/>
        <v>#VALUE!</v>
      </c>
      <c r="P981" s="50">
        <f t="shared" si="236"/>
        <v>0</v>
      </c>
      <c r="R981" s="55" t="e">
        <f t="shared" si="237"/>
        <v>#VALUE!</v>
      </c>
      <c r="S981" s="55" t="e">
        <f t="shared" si="238"/>
        <v>#VALUE!</v>
      </c>
      <c r="T981" s="55" t="e">
        <f t="shared" si="243"/>
        <v>#VALUE!</v>
      </c>
      <c r="U981" s="50" t="e">
        <f t="shared" si="239"/>
        <v>#VALUE!</v>
      </c>
      <c r="V981" s="50" t="e">
        <f t="shared" si="240"/>
        <v>#VALUE!</v>
      </c>
      <c r="W981" s="50" t="e">
        <f t="shared" si="241"/>
        <v>#VALUE!</v>
      </c>
    </row>
    <row r="982" spans="2:23" x14ac:dyDescent="0.25">
      <c r="B982" s="50" t="b">
        <f t="shared" si="244"/>
        <v>0</v>
      </c>
      <c r="C982" s="50" t="e">
        <f t="shared" si="231"/>
        <v>#VALUE!</v>
      </c>
      <c r="E982" s="56">
        <v>978</v>
      </c>
      <c r="G982" s="138"/>
      <c r="H982" s="135">
        <v>1</v>
      </c>
      <c r="I982" s="57" t="str">
        <f t="shared" si="242"/>
        <v/>
      </c>
      <c r="J982" s="58" t="e">
        <f t="shared" si="232"/>
        <v>#VALUE!</v>
      </c>
      <c r="K982" s="50" t="e">
        <f t="shared" si="233"/>
        <v>#VALUE!</v>
      </c>
      <c r="L982" s="50" t="e">
        <f t="shared" si="230"/>
        <v>#VALUE!</v>
      </c>
      <c r="M982" s="50" t="e">
        <f t="shared" si="230"/>
        <v>#VALUE!</v>
      </c>
      <c r="N982" s="50" t="e">
        <f t="shared" si="234"/>
        <v>#VALUE!</v>
      </c>
      <c r="O982" s="50" t="e">
        <f t="shared" si="235"/>
        <v>#VALUE!</v>
      </c>
      <c r="P982" s="50">
        <f t="shared" si="236"/>
        <v>0</v>
      </c>
      <c r="R982" s="55" t="e">
        <f t="shared" si="237"/>
        <v>#VALUE!</v>
      </c>
      <c r="S982" s="55" t="e">
        <f t="shared" si="238"/>
        <v>#VALUE!</v>
      </c>
      <c r="T982" s="55" t="e">
        <f t="shared" si="243"/>
        <v>#VALUE!</v>
      </c>
      <c r="U982" s="50" t="e">
        <f t="shared" si="239"/>
        <v>#VALUE!</v>
      </c>
      <c r="V982" s="50" t="e">
        <f t="shared" si="240"/>
        <v>#VALUE!</v>
      </c>
      <c r="W982" s="50" t="e">
        <f t="shared" si="241"/>
        <v>#VALUE!</v>
      </c>
    </row>
    <row r="983" spans="2:23" x14ac:dyDescent="0.25">
      <c r="B983" s="50" t="b">
        <f t="shared" si="244"/>
        <v>0</v>
      </c>
      <c r="C983" s="50" t="e">
        <f t="shared" si="231"/>
        <v>#VALUE!</v>
      </c>
      <c r="E983" s="56">
        <v>979</v>
      </c>
      <c r="G983" s="138"/>
      <c r="H983" s="135">
        <v>1</v>
      </c>
      <c r="I983" s="57" t="str">
        <f t="shared" si="242"/>
        <v/>
      </c>
      <c r="J983" s="58" t="e">
        <f t="shared" si="232"/>
        <v>#VALUE!</v>
      </c>
      <c r="K983" s="50" t="e">
        <f t="shared" si="233"/>
        <v>#VALUE!</v>
      </c>
      <c r="L983" s="50" t="e">
        <f t="shared" si="230"/>
        <v>#VALUE!</v>
      </c>
      <c r="M983" s="50" t="e">
        <f t="shared" si="230"/>
        <v>#VALUE!</v>
      </c>
      <c r="N983" s="50" t="e">
        <f t="shared" si="234"/>
        <v>#VALUE!</v>
      </c>
      <c r="O983" s="50" t="e">
        <f t="shared" si="235"/>
        <v>#VALUE!</v>
      </c>
      <c r="P983" s="50">
        <f t="shared" si="236"/>
        <v>0</v>
      </c>
      <c r="R983" s="55" t="e">
        <f t="shared" si="237"/>
        <v>#VALUE!</v>
      </c>
      <c r="S983" s="55" t="e">
        <f t="shared" si="238"/>
        <v>#VALUE!</v>
      </c>
      <c r="T983" s="55" t="e">
        <f t="shared" si="243"/>
        <v>#VALUE!</v>
      </c>
      <c r="U983" s="50" t="e">
        <f t="shared" si="239"/>
        <v>#VALUE!</v>
      </c>
      <c r="V983" s="50" t="e">
        <f t="shared" si="240"/>
        <v>#VALUE!</v>
      </c>
      <c r="W983" s="50" t="e">
        <f t="shared" si="241"/>
        <v>#VALUE!</v>
      </c>
    </row>
    <row r="984" spans="2:23" x14ac:dyDescent="0.25">
      <c r="B984" s="50" t="b">
        <f t="shared" si="244"/>
        <v>0</v>
      </c>
      <c r="C984" s="50" t="e">
        <f t="shared" si="231"/>
        <v>#VALUE!</v>
      </c>
      <c r="E984" s="56">
        <v>980</v>
      </c>
      <c r="G984" s="138"/>
      <c r="H984" s="135">
        <v>1</v>
      </c>
      <c r="I984" s="57" t="str">
        <f t="shared" si="242"/>
        <v/>
      </c>
      <c r="J984" s="58" t="e">
        <f t="shared" si="232"/>
        <v>#VALUE!</v>
      </c>
      <c r="K984" s="50" t="e">
        <f t="shared" si="233"/>
        <v>#VALUE!</v>
      </c>
      <c r="L984" s="50" t="e">
        <f t="shared" si="230"/>
        <v>#VALUE!</v>
      </c>
      <c r="M984" s="50" t="e">
        <f t="shared" si="230"/>
        <v>#VALUE!</v>
      </c>
      <c r="N984" s="50" t="e">
        <f t="shared" si="234"/>
        <v>#VALUE!</v>
      </c>
      <c r="O984" s="50" t="e">
        <f t="shared" si="235"/>
        <v>#VALUE!</v>
      </c>
      <c r="P984" s="50">
        <f t="shared" si="236"/>
        <v>0</v>
      </c>
      <c r="R984" s="55" t="e">
        <f t="shared" si="237"/>
        <v>#VALUE!</v>
      </c>
      <c r="S984" s="55" t="e">
        <f t="shared" si="238"/>
        <v>#VALUE!</v>
      </c>
      <c r="T984" s="55" t="e">
        <f t="shared" si="243"/>
        <v>#VALUE!</v>
      </c>
      <c r="U984" s="50" t="e">
        <f t="shared" si="239"/>
        <v>#VALUE!</v>
      </c>
      <c r="V984" s="50" t="e">
        <f t="shared" si="240"/>
        <v>#VALUE!</v>
      </c>
      <c r="W984" s="50" t="e">
        <f t="shared" si="241"/>
        <v>#VALUE!</v>
      </c>
    </row>
    <row r="985" spans="2:23" x14ac:dyDescent="0.25">
      <c r="B985" s="50" t="b">
        <f t="shared" si="244"/>
        <v>0</v>
      </c>
      <c r="C985" s="50" t="e">
        <f t="shared" si="231"/>
        <v>#VALUE!</v>
      </c>
      <c r="E985" s="56">
        <v>981</v>
      </c>
      <c r="G985" s="138"/>
      <c r="H985" s="135">
        <v>1</v>
      </c>
      <c r="I985" s="57" t="str">
        <f t="shared" si="242"/>
        <v/>
      </c>
      <c r="J985" s="58" t="e">
        <f t="shared" si="232"/>
        <v>#VALUE!</v>
      </c>
      <c r="K985" s="50" t="e">
        <f t="shared" si="233"/>
        <v>#VALUE!</v>
      </c>
      <c r="L985" s="50" t="e">
        <f t="shared" si="230"/>
        <v>#VALUE!</v>
      </c>
      <c r="M985" s="50" t="e">
        <f t="shared" si="230"/>
        <v>#VALUE!</v>
      </c>
      <c r="N985" s="50" t="e">
        <f t="shared" si="234"/>
        <v>#VALUE!</v>
      </c>
      <c r="O985" s="50" t="e">
        <f t="shared" si="235"/>
        <v>#VALUE!</v>
      </c>
      <c r="P985" s="50">
        <f t="shared" si="236"/>
        <v>0</v>
      </c>
      <c r="R985" s="55" t="e">
        <f t="shared" si="237"/>
        <v>#VALUE!</v>
      </c>
      <c r="S985" s="55" t="e">
        <f t="shared" si="238"/>
        <v>#VALUE!</v>
      </c>
      <c r="T985" s="55" t="e">
        <f t="shared" si="243"/>
        <v>#VALUE!</v>
      </c>
      <c r="U985" s="50" t="e">
        <f t="shared" si="239"/>
        <v>#VALUE!</v>
      </c>
      <c r="V985" s="50" t="e">
        <f t="shared" si="240"/>
        <v>#VALUE!</v>
      </c>
      <c r="W985" s="50" t="e">
        <f t="shared" si="241"/>
        <v>#VALUE!</v>
      </c>
    </row>
    <row r="986" spans="2:23" x14ac:dyDescent="0.25">
      <c r="B986" s="50" t="b">
        <f t="shared" si="244"/>
        <v>0</v>
      </c>
      <c r="C986" s="50" t="e">
        <f t="shared" si="231"/>
        <v>#VALUE!</v>
      </c>
      <c r="E986" s="56">
        <v>982</v>
      </c>
      <c r="G986" s="138"/>
      <c r="H986" s="135">
        <v>1</v>
      </c>
      <c r="I986" s="57" t="str">
        <f t="shared" si="242"/>
        <v/>
      </c>
      <c r="J986" s="58" t="e">
        <f t="shared" si="232"/>
        <v>#VALUE!</v>
      </c>
      <c r="K986" s="50" t="e">
        <f t="shared" si="233"/>
        <v>#VALUE!</v>
      </c>
      <c r="L986" s="50" t="e">
        <f t="shared" si="230"/>
        <v>#VALUE!</v>
      </c>
      <c r="M986" s="50" t="e">
        <f t="shared" si="230"/>
        <v>#VALUE!</v>
      </c>
      <c r="N986" s="50" t="e">
        <f t="shared" si="234"/>
        <v>#VALUE!</v>
      </c>
      <c r="O986" s="50" t="e">
        <f t="shared" si="235"/>
        <v>#VALUE!</v>
      </c>
      <c r="P986" s="50">
        <f t="shared" si="236"/>
        <v>0</v>
      </c>
      <c r="R986" s="55" t="e">
        <f t="shared" si="237"/>
        <v>#VALUE!</v>
      </c>
      <c r="S986" s="55" t="e">
        <f t="shared" si="238"/>
        <v>#VALUE!</v>
      </c>
      <c r="T986" s="55" t="e">
        <f t="shared" si="243"/>
        <v>#VALUE!</v>
      </c>
      <c r="U986" s="50" t="e">
        <f t="shared" si="239"/>
        <v>#VALUE!</v>
      </c>
      <c r="V986" s="50" t="e">
        <f t="shared" si="240"/>
        <v>#VALUE!</v>
      </c>
      <c r="W986" s="50" t="e">
        <f t="shared" si="241"/>
        <v>#VALUE!</v>
      </c>
    </row>
    <row r="987" spans="2:23" x14ac:dyDescent="0.25">
      <c r="B987" s="50" t="b">
        <f t="shared" si="244"/>
        <v>0</v>
      </c>
      <c r="C987" s="50" t="e">
        <f t="shared" si="231"/>
        <v>#VALUE!</v>
      </c>
      <c r="E987" s="56">
        <v>983</v>
      </c>
      <c r="G987" s="138"/>
      <c r="H987" s="135">
        <v>1</v>
      </c>
      <c r="I987" s="57" t="str">
        <f t="shared" si="242"/>
        <v/>
      </c>
      <c r="J987" s="58" t="e">
        <f t="shared" si="232"/>
        <v>#VALUE!</v>
      </c>
      <c r="K987" s="50" t="e">
        <f t="shared" si="233"/>
        <v>#VALUE!</v>
      </c>
      <c r="L987" s="50" t="e">
        <f t="shared" si="230"/>
        <v>#VALUE!</v>
      </c>
      <c r="M987" s="50" t="e">
        <f t="shared" si="230"/>
        <v>#VALUE!</v>
      </c>
      <c r="N987" s="50" t="e">
        <f t="shared" si="234"/>
        <v>#VALUE!</v>
      </c>
      <c r="O987" s="50" t="e">
        <f t="shared" si="235"/>
        <v>#VALUE!</v>
      </c>
      <c r="P987" s="50">
        <f t="shared" si="236"/>
        <v>0</v>
      </c>
      <c r="R987" s="55" t="e">
        <f t="shared" si="237"/>
        <v>#VALUE!</v>
      </c>
      <c r="S987" s="55" t="e">
        <f t="shared" si="238"/>
        <v>#VALUE!</v>
      </c>
      <c r="T987" s="55" t="e">
        <f t="shared" si="243"/>
        <v>#VALUE!</v>
      </c>
      <c r="U987" s="50" t="e">
        <f t="shared" si="239"/>
        <v>#VALUE!</v>
      </c>
      <c r="V987" s="50" t="e">
        <f t="shared" si="240"/>
        <v>#VALUE!</v>
      </c>
      <c r="W987" s="50" t="e">
        <f t="shared" si="241"/>
        <v>#VALUE!</v>
      </c>
    </row>
    <row r="988" spans="2:23" x14ac:dyDescent="0.25">
      <c r="B988" s="50" t="b">
        <f t="shared" si="244"/>
        <v>0</v>
      </c>
      <c r="C988" s="50" t="e">
        <f t="shared" si="231"/>
        <v>#VALUE!</v>
      </c>
      <c r="E988" s="56">
        <v>984</v>
      </c>
      <c r="G988" s="138"/>
      <c r="H988" s="135">
        <v>1</v>
      </c>
      <c r="I988" s="57" t="str">
        <f t="shared" si="242"/>
        <v/>
      </c>
      <c r="J988" s="58" t="e">
        <f t="shared" si="232"/>
        <v>#VALUE!</v>
      </c>
      <c r="K988" s="50" t="e">
        <f t="shared" si="233"/>
        <v>#VALUE!</v>
      </c>
      <c r="L988" s="50" t="e">
        <f t="shared" si="230"/>
        <v>#VALUE!</v>
      </c>
      <c r="M988" s="50" t="e">
        <f t="shared" si="230"/>
        <v>#VALUE!</v>
      </c>
      <c r="N988" s="50" t="e">
        <f t="shared" si="234"/>
        <v>#VALUE!</v>
      </c>
      <c r="O988" s="50" t="e">
        <f t="shared" si="235"/>
        <v>#VALUE!</v>
      </c>
      <c r="P988" s="50">
        <f t="shared" si="236"/>
        <v>0</v>
      </c>
      <c r="R988" s="55" t="e">
        <f t="shared" si="237"/>
        <v>#VALUE!</v>
      </c>
      <c r="S988" s="55" t="e">
        <f t="shared" si="238"/>
        <v>#VALUE!</v>
      </c>
      <c r="T988" s="55" t="e">
        <f t="shared" si="243"/>
        <v>#VALUE!</v>
      </c>
      <c r="U988" s="50" t="e">
        <f t="shared" si="239"/>
        <v>#VALUE!</v>
      </c>
      <c r="V988" s="50" t="e">
        <f t="shared" si="240"/>
        <v>#VALUE!</v>
      </c>
      <c r="W988" s="50" t="e">
        <f t="shared" si="241"/>
        <v>#VALUE!</v>
      </c>
    </row>
    <row r="989" spans="2:23" x14ac:dyDescent="0.25">
      <c r="B989" s="50" t="b">
        <f t="shared" si="244"/>
        <v>0</v>
      </c>
      <c r="C989" s="50" t="e">
        <f t="shared" si="231"/>
        <v>#VALUE!</v>
      </c>
      <c r="E989" s="56">
        <v>985</v>
      </c>
      <c r="G989" s="138"/>
      <c r="H989" s="135">
        <v>1</v>
      </c>
      <c r="I989" s="57" t="str">
        <f t="shared" si="242"/>
        <v/>
      </c>
      <c r="J989" s="58" t="e">
        <f t="shared" si="232"/>
        <v>#VALUE!</v>
      </c>
      <c r="K989" s="50" t="e">
        <f t="shared" si="233"/>
        <v>#VALUE!</v>
      </c>
      <c r="L989" s="50" t="e">
        <f t="shared" si="230"/>
        <v>#VALUE!</v>
      </c>
      <c r="M989" s="50" t="e">
        <f t="shared" si="230"/>
        <v>#VALUE!</v>
      </c>
      <c r="N989" s="50" t="e">
        <f t="shared" si="234"/>
        <v>#VALUE!</v>
      </c>
      <c r="O989" s="50" t="e">
        <f t="shared" si="235"/>
        <v>#VALUE!</v>
      </c>
      <c r="P989" s="50">
        <f t="shared" si="236"/>
        <v>0</v>
      </c>
      <c r="R989" s="55" t="e">
        <f t="shared" si="237"/>
        <v>#VALUE!</v>
      </c>
      <c r="S989" s="55" t="e">
        <f t="shared" si="238"/>
        <v>#VALUE!</v>
      </c>
      <c r="T989" s="55" t="e">
        <f t="shared" si="243"/>
        <v>#VALUE!</v>
      </c>
      <c r="U989" s="50" t="e">
        <f t="shared" si="239"/>
        <v>#VALUE!</v>
      </c>
      <c r="V989" s="50" t="e">
        <f t="shared" si="240"/>
        <v>#VALUE!</v>
      </c>
      <c r="W989" s="50" t="e">
        <f t="shared" si="241"/>
        <v>#VALUE!</v>
      </c>
    </row>
    <row r="990" spans="2:23" x14ac:dyDescent="0.25">
      <c r="B990" s="50" t="b">
        <f t="shared" si="244"/>
        <v>0</v>
      </c>
      <c r="C990" s="50" t="e">
        <f t="shared" si="231"/>
        <v>#VALUE!</v>
      </c>
      <c r="E990" s="56">
        <v>986</v>
      </c>
      <c r="G990" s="138"/>
      <c r="H990" s="135">
        <v>1</v>
      </c>
      <c r="I990" s="57" t="str">
        <f t="shared" si="242"/>
        <v/>
      </c>
      <c r="J990" s="58" t="e">
        <f t="shared" si="232"/>
        <v>#VALUE!</v>
      </c>
      <c r="K990" s="50" t="e">
        <f t="shared" si="233"/>
        <v>#VALUE!</v>
      </c>
      <c r="L990" s="50" t="e">
        <f t="shared" si="230"/>
        <v>#VALUE!</v>
      </c>
      <c r="M990" s="50" t="e">
        <f t="shared" si="230"/>
        <v>#VALUE!</v>
      </c>
      <c r="N990" s="50" t="e">
        <f t="shared" si="234"/>
        <v>#VALUE!</v>
      </c>
      <c r="O990" s="50" t="e">
        <f t="shared" si="235"/>
        <v>#VALUE!</v>
      </c>
      <c r="P990" s="50">
        <f t="shared" si="236"/>
        <v>0</v>
      </c>
      <c r="R990" s="55" t="e">
        <f t="shared" si="237"/>
        <v>#VALUE!</v>
      </c>
      <c r="S990" s="55" t="e">
        <f t="shared" si="238"/>
        <v>#VALUE!</v>
      </c>
      <c r="T990" s="55" t="e">
        <f t="shared" si="243"/>
        <v>#VALUE!</v>
      </c>
      <c r="U990" s="50" t="e">
        <f t="shared" si="239"/>
        <v>#VALUE!</v>
      </c>
      <c r="V990" s="50" t="e">
        <f t="shared" si="240"/>
        <v>#VALUE!</v>
      </c>
      <c r="W990" s="50" t="e">
        <f t="shared" si="241"/>
        <v>#VALUE!</v>
      </c>
    </row>
    <row r="991" spans="2:23" x14ac:dyDescent="0.25">
      <c r="B991" s="50" t="b">
        <f t="shared" si="244"/>
        <v>0</v>
      </c>
      <c r="C991" s="50" t="e">
        <f t="shared" si="231"/>
        <v>#VALUE!</v>
      </c>
      <c r="E991" s="56">
        <v>987</v>
      </c>
      <c r="G991" s="138"/>
      <c r="H991" s="135">
        <v>1</v>
      </c>
      <c r="I991" s="57" t="str">
        <f t="shared" si="242"/>
        <v/>
      </c>
      <c r="J991" s="58" t="e">
        <f t="shared" si="232"/>
        <v>#VALUE!</v>
      </c>
      <c r="K991" s="50" t="e">
        <f t="shared" si="233"/>
        <v>#VALUE!</v>
      </c>
      <c r="L991" s="50" t="e">
        <f t="shared" si="230"/>
        <v>#VALUE!</v>
      </c>
      <c r="M991" s="50" t="e">
        <f t="shared" si="230"/>
        <v>#VALUE!</v>
      </c>
      <c r="N991" s="50" t="e">
        <f t="shared" si="234"/>
        <v>#VALUE!</v>
      </c>
      <c r="O991" s="50" t="e">
        <f t="shared" si="235"/>
        <v>#VALUE!</v>
      </c>
      <c r="P991" s="50">
        <f t="shared" si="236"/>
        <v>0</v>
      </c>
      <c r="R991" s="55" t="e">
        <f t="shared" si="237"/>
        <v>#VALUE!</v>
      </c>
      <c r="S991" s="55" t="e">
        <f t="shared" si="238"/>
        <v>#VALUE!</v>
      </c>
      <c r="T991" s="55" t="e">
        <f t="shared" si="243"/>
        <v>#VALUE!</v>
      </c>
      <c r="U991" s="50" t="e">
        <f t="shared" si="239"/>
        <v>#VALUE!</v>
      </c>
      <c r="V991" s="50" t="e">
        <f t="shared" si="240"/>
        <v>#VALUE!</v>
      </c>
      <c r="W991" s="50" t="e">
        <f t="shared" si="241"/>
        <v>#VALUE!</v>
      </c>
    </row>
    <row r="992" spans="2:23" x14ac:dyDescent="0.25">
      <c r="B992" s="50" t="b">
        <f t="shared" si="244"/>
        <v>0</v>
      </c>
      <c r="C992" s="50" t="e">
        <f t="shared" si="231"/>
        <v>#VALUE!</v>
      </c>
      <c r="E992" s="56">
        <v>988</v>
      </c>
      <c r="G992" s="138"/>
      <c r="H992" s="135">
        <v>1</v>
      </c>
      <c r="I992" s="57" t="str">
        <f t="shared" si="242"/>
        <v/>
      </c>
      <c r="J992" s="58" t="e">
        <f t="shared" si="232"/>
        <v>#VALUE!</v>
      </c>
      <c r="K992" s="50" t="e">
        <f t="shared" si="233"/>
        <v>#VALUE!</v>
      </c>
      <c r="L992" s="50" t="e">
        <f t="shared" ref="L992:M1004" si="245">O992-N992</f>
        <v>#VALUE!</v>
      </c>
      <c r="M992" s="50" t="e">
        <f t="shared" si="245"/>
        <v>#VALUE!</v>
      </c>
      <c r="N992" s="50" t="e">
        <f t="shared" si="234"/>
        <v>#VALUE!</v>
      </c>
      <c r="O992" s="50" t="e">
        <f t="shared" si="235"/>
        <v>#VALUE!</v>
      </c>
      <c r="P992" s="50">
        <f t="shared" si="236"/>
        <v>0</v>
      </c>
      <c r="R992" s="55" t="e">
        <f t="shared" si="237"/>
        <v>#VALUE!</v>
      </c>
      <c r="S992" s="55" t="e">
        <f t="shared" si="238"/>
        <v>#VALUE!</v>
      </c>
      <c r="T992" s="55" t="e">
        <f t="shared" si="243"/>
        <v>#VALUE!</v>
      </c>
      <c r="U992" s="50" t="e">
        <f t="shared" si="239"/>
        <v>#VALUE!</v>
      </c>
      <c r="V992" s="50" t="e">
        <f t="shared" si="240"/>
        <v>#VALUE!</v>
      </c>
      <c r="W992" s="50" t="e">
        <f t="shared" si="241"/>
        <v>#VALUE!</v>
      </c>
    </row>
    <row r="993" spans="2:23" x14ac:dyDescent="0.25">
      <c r="B993" s="50" t="b">
        <f t="shared" si="244"/>
        <v>0</v>
      </c>
      <c r="C993" s="50" t="e">
        <f t="shared" si="231"/>
        <v>#VALUE!</v>
      </c>
      <c r="E993" s="56">
        <v>989</v>
      </c>
      <c r="G993" s="138"/>
      <c r="H993" s="135">
        <v>1</v>
      </c>
      <c r="I993" s="57" t="str">
        <f t="shared" si="242"/>
        <v/>
      </c>
      <c r="J993" s="58" t="e">
        <f t="shared" si="232"/>
        <v>#VALUE!</v>
      </c>
      <c r="K993" s="50" t="e">
        <f t="shared" si="233"/>
        <v>#VALUE!</v>
      </c>
      <c r="L993" s="50" t="e">
        <f t="shared" si="245"/>
        <v>#VALUE!</v>
      </c>
      <c r="M993" s="50" t="e">
        <f t="shared" si="245"/>
        <v>#VALUE!</v>
      </c>
      <c r="N993" s="50" t="e">
        <f t="shared" si="234"/>
        <v>#VALUE!</v>
      </c>
      <c r="O993" s="50" t="e">
        <f t="shared" si="235"/>
        <v>#VALUE!</v>
      </c>
      <c r="P993" s="50">
        <f t="shared" si="236"/>
        <v>0</v>
      </c>
      <c r="R993" s="55" t="e">
        <f t="shared" si="237"/>
        <v>#VALUE!</v>
      </c>
      <c r="S993" s="55" t="e">
        <f t="shared" si="238"/>
        <v>#VALUE!</v>
      </c>
      <c r="T993" s="55" t="e">
        <f t="shared" si="243"/>
        <v>#VALUE!</v>
      </c>
      <c r="U993" s="50" t="e">
        <f t="shared" si="239"/>
        <v>#VALUE!</v>
      </c>
      <c r="V993" s="50" t="e">
        <f t="shared" si="240"/>
        <v>#VALUE!</v>
      </c>
      <c r="W993" s="50" t="e">
        <f t="shared" si="241"/>
        <v>#VALUE!</v>
      </c>
    </row>
    <row r="994" spans="2:23" x14ac:dyDescent="0.25">
      <c r="B994" s="50" t="b">
        <f t="shared" si="244"/>
        <v>0</v>
      </c>
      <c r="C994" s="50" t="e">
        <f t="shared" si="231"/>
        <v>#VALUE!</v>
      </c>
      <c r="E994" s="56">
        <v>990</v>
      </c>
      <c r="G994" s="138"/>
      <c r="H994" s="135">
        <v>1</v>
      </c>
      <c r="I994" s="57" t="str">
        <f t="shared" si="242"/>
        <v/>
      </c>
      <c r="J994" s="58" t="e">
        <f t="shared" si="232"/>
        <v>#VALUE!</v>
      </c>
      <c r="K994" s="50" t="e">
        <f t="shared" si="233"/>
        <v>#VALUE!</v>
      </c>
      <c r="L994" s="50" t="e">
        <f t="shared" si="245"/>
        <v>#VALUE!</v>
      </c>
      <c r="M994" s="50" t="e">
        <f t="shared" si="245"/>
        <v>#VALUE!</v>
      </c>
      <c r="N994" s="50" t="e">
        <f t="shared" si="234"/>
        <v>#VALUE!</v>
      </c>
      <c r="O994" s="50" t="e">
        <f t="shared" si="235"/>
        <v>#VALUE!</v>
      </c>
      <c r="P994" s="50">
        <f t="shared" si="236"/>
        <v>0</v>
      </c>
      <c r="R994" s="55" t="e">
        <f t="shared" si="237"/>
        <v>#VALUE!</v>
      </c>
      <c r="S994" s="55" t="e">
        <f t="shared" si="238"/>
        <v>#VALUE!</v>
      </c>
      <c r="T994" s="55" t="e">
        <f t="shared" si="243"/>
        <v>#VALUE!</v>
      </c>
      <c r="U994" s="50" t="e">
        <f t="shared" si="239"/>
        <v>#VALUE!</v>
      </c>
      <c r="V994" s="50" t="e">
        <f t="shared" si="240"/>
        <v>#VALUE!</v>
      </c>
      <c r="W994" s="50" t="e">
        <f t="shared" si="241"/>
        <v>#VALUE!</v>
      </c>
    </row>
    <row r="995" spans="2:23" x14ac:dyDescent="0.25">
      <c r="B995" s="50" t="b">
        <f t="shared" si="244"/>
        <v>0</v>
      </c>
      <c r="C995" s="50" t="e">
        <f t="shared" si="231"/>
        <v>#VALUE!</v>
      </c>
      <c r="E995" s="56">
        <v>991</v>
      </c>
      <c r="G995" s="138"/>
      <c r="H995" s="135">
        <v>1</v>
      </c>
      <c r="I995" s="57" t="str">
        <f t="shared" si="242"/>
        <v/>
      </c>
      <c r="J995" s="58" t="e">
        <f t="shared" si="232"/>
        <v>#VALUE!</v>
      </c>
      <c r="K995" s="50" t="e">
        <f t="shared" si="233"/>
        <v>#VALUE!</v>
      </c>
      <c r="L995" s="50" t="e">
        <f t="shared" si="245"/>
        <v>#VALUE!</v>
      </c>
      <c r="M995" s="50" t="e">
        <f t="shared" si="245"/>
        <v>#VALUE!</v>
      </c>
      <c r="N995" s="50" t="e">
        <f t="shared" si="234"/>
        <v>#VALUE!</v>
      </c>
      <c r="O995" s="50" t="e">
        <f t="shared" si="235"/>
        <v>#VALUE!</v>
      </c>
      <c r="P995" s="50">
        <f t="shared" si="236"/>
        <v>0</v>
      </c>
      <c r="R995" s="55" t="e">
        <f t="shared" si="237"/>
        <v>#VALUE!</v>
      </c>
      <c r="S995" s="55" t="e">
        <f t="shared" si="238"/>
        <v>#VALUE!</v>
      </c>
      <c r="T995" s="55" t="e">
        <f t="shared" si="243"/>
        <v>#VALUE!</v>
      </c>
      <c r="U995" s="50" t="e">
        <f t="shared" si="239"/>
        <v>#VALUE!</v>
      </c>
      <c r="V995" s="50" t="e">
        <f t="shared" si="240"/>
        <v>#VALUE!</v>
      </c>
      <c r="W995" s="50" t="e">
        <f t="shared" si="241"/>
        <v>#VALUE!</v>
      </c>
    </row>
    <row r="996" spans="2:23" x14ac:dyDescent="0.25">
      <c r="B996" s="50" t="b">
        <f t="shared" si="244"/>
        <v>0</v>
      </c>
      <c r="C996" s="50" t="e">
        <f t="shared" si="231"/>
        <v>#VALUE!</v>
      </c>
      <c r="E996" s="56">
        <v>992</v>
      </c>
      <c r="G996" s="138"/>
      <c r="H996" s="135">
        <v>1</v>
      </c>
      <c r="I996" s="57" t="str">
        <f t="shared" si="242"/>
        <v/>
      </c>
      <c r="J996" s="58" t="e">
        <f t="shared" si="232"/>
        <v>#VALUE!</v>
      </c>
      <c r="K996" s="50" t="e">
        <f t="shared" si="233"/>
        <v>#VALUE!</v>
      </c>
      <c r="L996" s="50" t="e">
        <f t="shared" si="245"/>
        <v>#VALUE!</v>
      </c>
      <c r="M996" s="50" t="e">
        <f t="shared" si="245"/>
        <v>#VALUE!</v>
      </c>
      <c r="N996" s="50" t="e">
        <f t="shared" si="234"/>
        <v>#VALUE!</v>
      </c>
      <c r="O996" s="50" t="e">
        <f t="shared" si="235"/>
        <v>#VALUE!</v>
      </c>
      <c r="P996" s="50">
        <f t="shared" si="236"/>
        <v>0</v>
      </c>
      <c r="R996" s="55" t="e">
        <f t="shared" si="237"/>
        <v>#VALUE!</v>
      </c>
      <c r="S996" s="55" t="e">
        <f t="shared" si="238"/>
        <v>#VALUE!</v>
      </c>
      <c r="T996" s="55" t="e">
        <f t="shared" si="243"/>
        <v>#VALUE!</v>
      </c>
      <c r="U996" s="50" t="e">
        <f t="shared" si="239"/>
        <v>#VALUE!</v>
      </c>
      <c r="V996" s="50" t="e">
        <f t="shared" si="240"/>
        <v>#VALUE!</v>
      </c>
      <c r="W996" s="50" t="e">
        <f t="shared" si="241"/>
        <v>#VALUE!</v>
      </c>
    </row>
    <row r="997" spans="2:23" x14ac:dyDescent="0.25">
      <c r="B997" s="50" t="b">
        <f t="shared" si="244"/>
        <v>0</v>
      </c>
      <c r="C997" s="50" t="e">
        <f t="shared" si="231"/>
        <v>#VALUE!</v>
      </c>
      <c r="E997" s="56">
        <v>993</v>
      </c>
      <c r="G997" s="138"/>
      <c r="H997" s="135">
        <v>1</v>
      </c>
      <c r="I997" s="57" t="str">
        <f t="shared" si="242"/>
        <v/>
      </c>
      <c r="J997" s="58" t="e">
        <f t="shared" si="232"/>
        <v>#VALUE!</v>
      </c>
      <c r="K997" s="50" t="e">
        <f t="shared" si="233"/>
        <v>#VALUE!</v>
      </c>
      <c r="L997" s="50" t="e">
        <f t="shared" si="245"/>
        <v>#VALUE!</v>
      </c>
      <c r="M997" s="50" t="e">
        <f t="shared" si="245"/>
        <v>#VALUE!</v>
      </c>
      <c r="N997" s="50" t="e">
        <f t="shared" si="234"/>
        <v>#VALUE!</v>
      </c>
      <c r="O997" s="50" t="e">
        <f t="shared" si="235"/>
        <v>#VALUE!</v>
      </c>
      <c r="P997" s="50">
        <f t="shared" si="236"/>
        <v>0</v>
      </c>
      <c r="R997" s="55" t="e">
        <f t="shared" si="237"/>
        <v>#VALUE!</v>
      </c>
      <c r="S997" s="55" t="e">
        <f t="shared" si="238"/>
        <v>#VALUE!</v>
      </c>
      <c r="T997" s="55" t="e">
        <f t="shared" si="243"/>
        <v>#VALUE!</v>
      </c>
      <c r="U997" s="50" t="e">
        <f t="shared" si="239"/>
        <v>#VALUE!</v>
      </c>
      <c r="V997" s="50" t="e">
        <f t="shared" si="240"/>
        <v>#VALUE!</v>
      </c>
      <c r="W997" s="50" t="e">
        <f t="shared" si="241"/>
        <v>#VALUE!</v>
      </c>
    </row>
    <row r="998" spans="2:23" x14ac:dyDescent="0.25">
      <c r="B998" s="50" t="b">
        <f t="shared" si="244"/>
        <v>0</v>
      </c>
      <c r="C998" s="50" t="e">
        <f t="shared" si="231"/>
        <v>#VALUE!</v>
      </c>
      <c r="E998" s="56">
        <v>994</v>
      </c>
      <c r="G998" s="138"/>
      <c r="H998" s="135">
        <v>1</v>
      </c>
      <c r="I998" s="57" t="str">
        <f t="shared" si="242"/>
        <v/>
      </c>
      <c r="J998" s="58" t="e">
        <f t="shared" si="232"/>
        <v>#VALUE!</v>
      </c>
      <c r="K998" s="50" t="e">
        <f t="shared" si="233"/>
        <v>#VALUE!</v>
      </c>
      <c r="L998" s="50" t="e">
        <f t="shared" si="245"/>
        <v>#VALUE!</v>
      </c>
      <c r="M998" s="50" t="e">
        <f t="shared" si="245"/>
        <v>#VALUE!</v>
      </c>
      <c r="N998" s="50" t="e">
        <f t="shared" si="234"/>
        <v>#VALUE!</v>
      </c>
      <c r="O998" s="50" t="e">
        <f t="shared" si="235"/>
        <v>#VALUE!</v>
      </c>
      <c r="P998" s="50">
        <f t="shared" si="236"/>
        <v>0</v>
      </c>
      <c r="R998" s="55" t="e">
        <f t="shared" si="237"/>
        <v>#VALUE!</v>
      </c>
      <c r="S998" s="55" t="e">
        <f t="shared" si="238"/>
        <v>#VALUE!</v>
      </c>
      <c r="T998" s="55" t="e">
        <f t="shared" si="243"/>
        <v>#VALUE!</v>
      </c>
      <c r="U998" s="50" t="e">
        <f t="shared" si="239"/>
        <v>#VALUE!</v>
      </c>
      <c r="V998" s="50" t="e">
        <f t="shared" si="240"/>
        <v>#VALUE!</v>
      </c>
      <c r="W998" s="50" t="e">
        <f t="shared" si="241"/>
        <v>#VALUE!</v>
      </c>
    </row>
    <row r="999" spans="2:23" x14ac:dyDescent="0.25">
      <c r="B999" s="50" t="b">
        <f t="shared" si="244"/>
        <v>0</v>
      </c>
      <c r="C999" s="50" t="e">
        <f t="shared" si="231"/>
        <v>#VALUE!</v>
      </c>
      <c r="E999" s="56">
        <v>995</v>
      </c>
      <c r="G999" s="138"/>
      <c r="H999" s="135">
        <v>1</v>
      </c>
      <c r="I999" s="57" t="str">
        <f t="shared" si="242"/>
        <v/>
      </c>
      <c r="J999" s="58" t="e">
        <f t="shared" si="232"/>
        <v>#VALUE!</v>
      </c>
      <c r="K999" s="50" t="e">
        <f t="shared" si="233"/>
        <v>#VALUE!</v>
      </c>
      <c r="L999" s="50" t="e">
        <f t="shared" si="245"/>
        <v>#VALUE!</v>
      </c>
      <c r="M999" s="50" t="e">
        <f t="shared" si="245"/>
        <v>#VALUE!</v>
      </c>
      <c r="N999" s="50" t="e">
        <f t="shared" si="234"/>
        <v>#VALUE!</v>
      </c>
      <c r="O999" s="50" t="e">
        <f t="shared" si="235"/>
        <v>#VALUE!</v>
      </c>
      <c r="P999" s="50">
        <f t="shared" si="236"/>
        <v>0</v>
      </c>
      <c r="R999" s="55" t="e">
        <f t="shared" si="237"/>
        <v>#VALUE!</v>
      </c>
      <c r="S999" s="55" t="e">
        <f t="shared" si="238"/>
        <v>#VALUE!</v>
      </c>
      <c r="T999" s="55" t="e">
        <f t="shared" si="243"/>
        <v>#VALUE!</v>
      </c>
      <c r="U999" s="50" t="e">
        <f t="shared" si="239"/>
        <v>#VALUE!</v>
      </c>
      <c r="V999" s="50" t="e">
        <f t="shared" si="240"/>
        <v>#VALUE!</v>
      </c>
      <c r="W999" s="50" t="e">
        <f t="shared" si="241"/>
        <v>#VALUE!</v>
      </c>
    </row>
    <row r="1000" spans="2:23" x14ac:dyDescent="0.25">
      <c r="B1000" s="50" t="b">
        <f t="shared" si="244"/>
        <v>0</v>
      </c>
      <c r="C1000" s="50" t="e">
        <f t="shared" si="231"/>
        <v>#VALUE!</v>
      </c>
      <c r="E1000" s="56">
        <v>996</v>
      </c>
      <c r="G1000" s="138"/>
      <c r="H1000" s="135">
        <v>1</v>
      </c>
      <c r="I1000" s="57" t="str">
        <f t="shared" si="242"/>
        <v/>
      </c>
      <c r="J1000" s="58" t="e">
        <f t="shared" si="232"/>
        <v>#VALUE!</v>
      </c>
      <c r="K1000" s="50" t="e">
        <f t="shared" si="233"/>
        <v>#VALUE!</v>
      </c>
      <c r="L1000" s="50" t="e">
        <f t="shared" si="245"/>
        <v>#VALUE!</v>
      </c>
      <c r="M1000" s="50" t="e">
        <f t="shared" si="245"/>
        <v>#VALUE!</v>
      </c>
      <c r="N1000" s="50" t="e">
        <f t="shared" si="234"/>
        <v>#VALUE!</v>
      </c>
      <c r="O1000" s="50" t="e">
        <f t="shared" si="235"/>
        <v>#VALUE!</v>
      </c>
      <c r="P1000" s="50">
        <f t="shared" si="236"/>
        <v>0</v>
      </c>
      <c r="R1000" s="55" t="e">
        <f t="shared" si="237"/>
        <v>#VALUE!</v>
      </c>
      <c r="S1000" s="55" t="e">
        <f t="shared" si="238"/>
        <v>#VALUE!</v>
      </c>
      <c r="T1000" s="55" t="e">
        <f t="shared" si="243"/>
        <v>#VALUE!</v>
      </c>
      <c r="U1000" s="50" t="e">
        <f t="shared" si="239"/>
        <v>#VALUE!</v>
      </c>
      <c r="V1000" s="50" t="e">
        <f t="shared" si="240"/>
        <v>#VALUE!</v>
      </c>
      <c r="W1000" s="50" t="e">
        <f t="shared" si="241"/>
        <v>#VALUE!</v>
      </c>
    </row>
    <row r="1001" spans="2:23" x14ac:dyDescent="0.25">
      <c r="B1001" s="50" t="b">
        <f t="shared" si="244"/>
        <v>0</v>
      </c>
      <c r="C1001" s="50" t="e">
        <f t="shared" si="231"/>
        <v>#VALUE!</v>
      </c>
      <c r="E1001" s="56">
        <v>997</v>
      </c>
      <c r="G1001" s="138"/>
      <c r="H1001" s="135">
        <v>1</v>
      </c>
      <c r="I1001" s="57" t="str">
        <f t="shared" si="242"/>
        <v/>
      </c>
      <c r="J1001" s="58" t="e">
        <f t="shared" si="232"/>
        <v>#VALUE!</v>
      </c>
      <c r="K1001" s="50" t="e">
        <f t="shared" si="233"/>
        <v>#VALUE!</v>
      </c>
      <c r="L1001" s="50" t="e">
        <f t="shared" si="245"/>
        <v>#VALUE!</v>
      </c>
      <c r="M1001" s="50" t="e">
        <f t="shared" si="245"/>
        <v>#VALUE!</v>
      </c>
      <c r="N1001" s="50" t="e">
        <f t="shared" si="234"/>
        <v>#VALUE!</v>
      </c>
      <c r="O1001" s="50" t="e">
        <f t="shared" si="235"/>
        <v>#VALUE!</v>
      </c>
      <c r="P1001" s="50">
        <f t="shared" si="236"/>
        <v>0</v>
      </c>
      <c r="R1001" s="55" t="e">
        <f t="shared" si="237"/>
        <v>#VALUE!</v>
      </c>
      <c r="S1001" s="55" t="e">
        <f t="shared" si="238"/>
        <v>#VALUE!</v>
      </c>
      <c r="T1001" s="55" t="e">
        <f t="shared" si="243"/>
        <v>#VALUE!</v>
      </c>
      <c r="U1001" s="50" t="e">
        <f t="shared" si="239"/>
        <v>#VALUE!</v>
      </c>
      <c r="V1001" s="50" t="e">
        <f t="shared" si="240"/>
        <v>#VALUE!</v>
      </c>
      <c r="W1001" s="50" t="e">
        <f t="shared" si="241"/>
        <v>#VALUE!</v>
      </c>
    </row>
    <row r="1002" spans="2:23" x14ac:dyDescent="0.25">
      <c r="B1002" s="50" t="b">
        <f t="shared" si="244"/>
        <v>0</v>
      </c>
      <c r="C1002" s="50" t="e">
        <f t="shared" si="231"/>
        <v>#VALUE!</v>
      </c>
      <c r="E1002" s="56">
        <v>998</v>
      </c>
      <c r="G1002" s="138"/>
      <c r="H1002" s="135">
        <v>1</v>
      </c>
      <c r="I1002" s="57" t="str">
        <f t="shared" si="242"/>
        <v/>
      </c>
      <c r="J1002" s="58" t="e">
        <f t="shared" si="232"/>
        <v>#VALUE!</v>
      </c>
      <c r="K1002" s="50" t="e">
        <f t="shared" si="233"/>
        <v>#VALUE!</v>
      </c>
      <c r="L1002" s="50" t="e">
        <f t="shared" si="245"/>
        <v>#VALUE!</v>
      </c>
      <c r="M1002" s="50" t="e">
        <f t="shared" si="245"/>
        <v>#VALUE!</v>
      </c>
      <c r="N1002" s="50" t="e">
        <f t="shared" si="234"/>
        <v>#VALUE!</v>
      </c>
      <c r="O1002" s="50" t="e">
        <f t="shared" si="235"/>
        <v>#VALUE!</v>
      </c>
      <c r="P1002" s="50">
        <f t="shared" si="236"/>
        <v>0</v>
      </c>
      <c r="R1002" s="55" t="e">
        <f t="shared" si="237"/>
        <v>#VALUE!</v>
      </c>
      <c r="S1002" s="55" t="e">
        <f t="shared" si="238"/>
        <v>#VALUE!</v>
      </c>
      <c r="T1002" s="55" t="e">
        <f t="shared" si="243"/>
        <v>#VALUE!</v>
      </c>
      <c r="U1002" s="50" t="e">
        <f t="shared" si="239"/>
        <v>#VALUE!</v>
      </c>
      <c r="V1002" s="50" t="e">
        <f t="shared" si="240"/>
        <v>#VALUE!</v>
      </c>
      <c r="W1002" s="50" t="e">
        <f t="shared" si="241"/>
        <v>#VALUE!</v>
      </c>
    </row>
    <row r="1003" spans="2:23" x14ac:dyDescent="0.25">
      <c r="B1003" s="50" t="b">
        <f t="shared" si="244"/>
        <v>0</v>
      </c>
      <c r="C1003" s="50" t="e">
        <f t="shared" si="231"/>
        <v>#VALUE!</v>
      </c>
      <c r="E1003" s="56">
        <v>999</v>
      </c>
      <c r="G1003" s="138"/>
      <c r="H1003" s="135">
        <v>1</v>
      </c>
      <c r="I1003" s="57" t="str">
        <f t="shared" si="242"/>
        <v/>
      </c>
      <c r="J1003" s="58" t="e">
        <f t="shared" si="232"/>
        <v>#VALUE!</v>
      </c>
      <c r="K1003" s="50" t="e">
        <f t="shared" si="233"/>
        <v>#VALUE!</v>
      </c>
      <c r="L1003" s="50" t="e">
        <f t="shared" si="245"/>
        <v>#VALUE!</v>
      </c>
      <c r="M1003" s="50" t="e">
        <f t="shared" si="245"/>
        <v>#VALUE!</v>
      </c>
      <c r="N1003" s="50" t="e">
        <f t="shared" si="234"/>
        <v>#VALUE!</v>
      </c>
      <c r="O1003" s="50" t="e">
        <f t="shared" si="235"/>
        <v>#VALUE!</v>
      </c>
      <c r="P1003" s="50">
        <f t="shared" si="236"/>
        <v>0</v>
      </c>
      <c r="R1003" s="55" t="e">
        <f t="shared" si="237"/>
        <v>#VALUE!</v>
      </c>
      <c r="S1003" s="55" t="e">
        <f t="shared" si="238"/>
        <v>#VALUE!</v>
      </c>
      <c r="T1003" s="55" t="e">
        <f t="shared" si="243"/>
        <v>#VALUE!</v>
      </c>
      <c r="U1003" s="50" t="e">
        <f t="shared" si="239"/>
        <v>#VALUE!</v>
      </c>
      <c r="V1003" s="50" t="e">
        <f t="shared" si="240"/>
        <v>#VALUE!</v>
      </c>
      <c r="W1003" s="50" t="e">
        <f t="shared" si="241"/>
        <v>#VALUE!</v>
      </c>
    </row>
    <row r="1004" spans="2:23" ht="15.75" thickBot="1" x14ac:dyDescent="0.3">
      <c r="B1004" s="50" t="b">
        <f t="shared" si="244"/>
        <v>0</v>
      </c>
      <c r="C1004" s="50" t="e">
        <f t="shared" si="231"/>
        <v>#VALUE!</v>
      </c>
      <c r="E1004" s="56">
        <v>1000</v>
      </c>
      <c r="G1004" s="139"/>
      <c r="H1004" s="135">
        <v>1</v>
      </c>
      <c r="I1004" s="57" t="str">
        <f t="shared" si="242"/>
        <v/>
      </c>
      <c r="J1004" s="58" t="e">
        <f t="shared" si="232"/>
        <v>#VALUE!</v>
      </c>
      <c r="K1004" s="50" t="e">
        <f t="shared" si="233"/>
        <v>#VALUE!</v>
      </c>
      <c r="L1004" s="50" t="e">
        <f t="shared" si="245"/>
        <v>#VALUE!</v>
      </c>
      <c r="M1004" s="50" t="e">
        <f t="shared" si="245"/>
        <v>#VALUE!</v>
      </c>
      <c r="N1004" s="50" t="e">
        <f t="shared" si="234"/>
        <v>#VALUE!</v>
      </c>
      <c r="O1004" s="50" t="e">
        <f t="shared" si="235"/>
        <v>#VALUE!</v>
      </c>
      <c r="P1004" s="50">
        <f t="shared" si="236"/>
        <v>0</v>
      </c>
      <c r="R1004" s="55" t="e">
        <f t="shared" si="237"/>
        <v>#VALUE!</v>
      </c>
      <c r="S1004" s="55" t="e">
        <f t="shared" si="238"/>
        <v>#VALUE!</v>
      </c>
      <c r="T1004" s="55" t="e">
        <f t="shared" si="243"/>
        <v>#VALUE!</v>
      </c>
      <c r="U1004" s="50" t="e">
        <f t="shared" si="239"/>
        <v>#VALUE!</v>
      </c>
      <c r="V1004" s="50" t="e">
        <f t="shared" si="240"/>
        <v>#VALUE!</v>
      </c>
      <c r="W1004" s="50" t="e">
        <f t="shared" si="241"/>
        <v>#VALUE!</v>
      </c>
    </row>
  </sheetData>
  <sheetProtection password="E8B5" sheet="1" objects="1" scenarios="1"/>
  <mergeCells count="2">
    <mergeCell ref="F2:G2"/>
    <mergeCell ref="H1:H2"/>
  </mergeCells>
  <conditionalFormatting sqref="G5:G14">
    <cfRule type="dataBar" priority="16">
      <dataBar>
        <cfvo type="min"/>
        <cfvo type="max"/>
        <color rgb="FF008AEF"/>
      </dataBar>
    </cfRule>
    <cfRule type="notContainsBlanks" dxfId="26" priority="17">
      <formula>LEN(TRIM(G5))&gt;0</formula>
    </cfRule>
    <cfRule type="notContainsBlanks" priority="18">
      <formula>LEN(TRIM(G5))&gt;0</formula>
    </cfRule>
  </conditionalFormatting>
  <conditionalFormatting sqref="G5:G607">
    <cfRule type="dataBar" priority="13">
      <dataBar>
        <cfvo type="min"/>
        <cfvo type="max"/>
        <color rgb="FF008AEF"/>
      </dataBar>
    </cfRule>
    <cfRule type="notContainsBlanks" dxfId="25" priority="14">
      <formula>LEN(TRIM(G5))&gt;0</formula>
    </cfRule>
    <cfRule type="notContainsBlanks" priority="15">
      <formula>LEN(TRIM(G5))&gt;0</formula>
    </cfRule>
  </conditionalFormatting>
  <conditionalFormatting sqref="AD4">
    <cfRule type="dataBar" priority="10">
      <dataBar>
        <cfvo type="min"/>
        <cfvo type="max"/>
        <color rgb="FF008AEF"/>
      </dataBar>
    </cfRule>
    <cfRule type="notContainsBlanks" dxfId="24" priority="11">
      <formula>LEN(TRIM(AD4))&gt;0</formula>
    </cfRule>
    <cfRule type="notContainsBlanks" priority="12">
      <formula>LEN(TRIM(AD4))&gt;0</formula>
    </cfRule>
  </conditionalFormatting>
  <conditionalFormatting sqref="AD5">
    <cfRule type="dataBar" priority="7">
      <dataBar>
        <cfvo type="min"/>
        <cfvo type="max"/>
        <color rgb="FF008AEF"/>
      </dataBar>
    </cfRule>
    <cfRule type="notContainsBlanks" dxfId="23" priority="8">
      <formula>LEN(TRIM(AD5))&gt;0</formula>
    </cfRule>
    <cfRule type="notContainsBlanks" priority="9">
      <formula>LEN(TRIM(AD5))&gt;0</formula>
    </cfRule>
  </conditionalFormatting>
  <conditionalFormatting sqref="AD5:AD130">
    <cfRule type="dataBar" priority="4">
      <dataBar>
        <cfvo type="min"/>
        <cfvo type="max"/>
        <color rgb="FF008AEF"/>
      </dataBar>
    </cfRule>
    <cfRule type="notContainsBlanks" dxfId="22" priority="5">
      <formula>LEN(TRIM(AD5))&gt;0</formula>
    </cfRule>
    <cfRule type="notContainsBlanks" priority="6">
      <formula>LEN(TRIM(AD5))&gt;0</formula>
    </cfRule>
  </conditionalFormatting>
  <conditionalFormatting sqref="I4:I1004">
    <cfRule type="dataBar" priority="25">
      <dataBar>
        <cfvo type="min"/>
        <cfvo type="max"/>
        <color rgb="FF008AEF"/>
      </dataBar>
    </cfRule>
    <cfRule type="notContainsBlanks" dxfId="21" priority="26">
      <formula>LEN(TRIM(I4))&gt;0</formula>
    </cfRule>
    <cfRule type="notContainsBlanks" priority="27">
      <formula>LEN(TRIM(I4))&gt;0</formula>
    </cfRule>
  </conditionalFormatting>
  <conditionalFormatting sqref="G4:G1004">
    <cfRule type="dataBar" priority="28">
      <dataBar>
        <cfvo type="min"/>
        <cfvo type="max"/>
        <color rgb="FF008AEF"/>
      </dataBar>
    </cfRule>
    <cfRule type="notContainsBlanks" dxfId="20" priority="29">
      <formula>LEN(TRIM(G4))&gt;0</formula>
    </cfRule>
    <cfRule type="notContainsBlanks" priority="30">
      <formula>LEN(TRIM(G4))&gt;0</formula>
    </cfRule>
  </conditionalFormatting>
  <conditionalFormatting sqref="H3">
    <cfRule type="cellIs" dxfId="19" priority="3" stopIfTrue="1" operator="equal">
      <formula>"Negative"</formula>
    </cfRule>
  </conditionalFormatting>
  <conditionalFormatting sqref="H4:H1004">
    <cfRule type="cellIs" dxfId="18" priority="2" stopIfTrue="1" operator="equal">
      <formula>-1</formula>
    </cfRule>
  </conditionalFormatting>
  <dataValidations count="5">
    <dataValidation type="custom" allowBlank="1" showInputMessage="1" showErrorMessage="1" errorTitle="Invalid Entry" error="Put the Data in the Correct Form of data._x000a_Example:  12-18-0" sqref="I3" xr:uid="{00000000-0002-0000-0200-000000000000}">
      <formula1>IF(B3="TRUE",A3,C3)</formula1>
    </dataValidation>
    <dataValidation type="custom" allowBlank="1" showInputMessage="1" showErrorMessage="1" sqref="AD4:AD130" xr:uid="{00000000-0002-0000-0200-000001000000}">
      <formula1>IF(AA4="TRUE",Z4,AB4)</formula1>
    </dataValidation>
    <dataValidation type="custom" allowBlank="1" showInputMessage="1" showErrorMessage="1" errorTitle="Invlalid Entry" error="Please Enter in That Formate. &quot;K-M-S&quot;" sqref="I4:I1004" xr:uid="{00000000-0002-0000-0200-000002000000}">
      <formula1>IF(B4="TRUE",A4,C4)</formula1>
    </dataValidation>
    <dataValidation type="custom" allowBlank="1" showErrorMessage="1" errorTitle="Invalid Entry" error="You can Enter The Value In this Fomate &quot;K-M&quot;" sqref="G4:G1004" xr:uid="{00000000-0002-0000-0200-000003000000}">
      <formula1>IF(B4="TRUE",A4,C4)</formula1>
    </dataValidation>
    <dataValidation type="list" allowBlank="1" showInputMessage="1" showErrorMessage="1" sqref="H4:H1004" xr:uid="{00000000-0002-0000-0200-000004000000}">
      <formula1>"1,-1"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6" tint="-0.249977111117893"/>
  </sheetPr>
  <dimension ref="B1:AD1004"/>
  <sheetViews>
    <sheetView showGridLines="0" showRowColHeaders="0" topLeftCell="E1" zoomScale="120" zoomScaleNormal="120" workbookViewId="0">
      <pane ySplit="3" topLeftCell="A4" activePane="bottomLeft" state="frozen"/>
      <selection activeCell="B67" sqref="B67"/>
      <selection pane="bottomLeft" activeCell="G6" sqref="G6"/>
    </sheetView>
  </sheetViews>
  <sheetFormatPr defaultColWidth="0" defaultRowHeight="15" zeroHeight="1" x14ac:dyDescent="0.25"/>
  <cols>
    <col min="1" max="4" width="9.140625" style="50" hidden="1" customWidth="1"/>
    <col min="5" max="5" width="9.140625" style="50" customWidth="1"/>
    <col min="6" max="6" width="7.140625" style="50" hidden="1" customWidth="1"/>
    <col min="7" max="7" width="34" style="50" customWidth="1"/>
    <col min="8" max="8" width="9.140625" style="50" customWidth="1"/>
    <col min="9" max="11" width="9.140625" style="50" hidden="1" customWidth="1"/>
    <col min="12" max="12" width="10.42578125" style="50" hidden="1" customWidth="1"/>
    <col min="13" max="19" width="9.140625" style="50" hidden="1" customWidth="1"/>
    <col min="20" max="20" width="12" style="50" hidden="1" customWidth="1"/>
    <col min="21" max="28" width="9.140625" style="50" hidden="1" customWidth="1"/>
    <col min="29" max="30" width="12.85546875" style="50" hidden="1" customWidth="1"/>
    <col min="31" max="16384" width="9.140625" style="50" hidden="1"/>
  </cols>
  <sheetData>
    <row r="1" spans="2:30" ht="32.25" customHeight="1" thickBot="1" x14ac:dyDescent="0.3">
      <c r="H1" s="182" t="s">
        <v>190</v>
      </c>
      <c r="Y1" s="125">
        <v>8</v>
      </c>
      <c r="Z1" s="125"/>
      <c r="AA1" s="125"/>
      <c r="AB1" s="125">
        <v>16</v>
      </c>
      <c r="AC1" s="125"/>
      <c r="AD1" s="125">
        <v>8</v>
      </c>
    </row>
    <row r="2" spans="2:30" ht="60.75" customHeight="1" thickBot="1" x14ac:dyDescent="0.3">
      <c r="E2" s="91" t="s">
        <v>27</v>
      </c>
      <c r="F2" s="184" t="s">
        <v>30</v>
      </c>
      <c r="G2" s="185"/>
      <c r="H2" s="183"/>
      <c r="T2" s="52">
        <f>T3*20*9</f>
        <v>0</v>
      </c>
      <c r="U2" s="50">
        <f>U3*9</f>
        <v>0</v>
      </c>
      <c r="V2" s="52">
        <f>V3</f>
        <v>0</v>
      </c>
      <c r="W2" s="52">
        <f>SUM(T2:V2)</f>
        <v>0</v>
      </c>
      <c r="X2" s="43">
        <f>IF(W2&lt;0,W2*-1,W2)</f>
        <v>0</v>
      </c>
      <c r="Y2" s="125"/>
      <c r="Z2" s="125"/>
      <c r="AA2" s="125"/>
      <c r="AB2" s="125"/>
      <c r="AC2" s="125"/>
      <c r="AD2" s="125"/>
    </row>
    <row r="3" spans="2:30" x14ac:dyDescent="0.25">
      <c r="C3" s="50" t="s">
        <v>25</v>
      </c>
      <c r="E3" s="53" t="s">
        <v>26</v>
      </c>
      <c r="F3" s="136" t="s">
        <v>192</v>
      </c>
      <c r="G3" s="137" t="str">
        <f>CONCATENATE(Y3,"-",AB3,"-",AD3)</f>
        <v>0-0-0</v>
      </c>
      <c r="H3" s="134" t="str">
        <f>IF(W2&lt;0,"Negative","Positive")</f>
        <v>Positive</v>
      </c>
      <c r="Q3" s="55"/>
      <c r="T3" s="43">
        <f>SUM(SUMIF(T4:T1004,"&gt;0",T4:T1004),SUMIF(T4:T1004,"&lt;0",T4:T1004))</f>
        <v>0</v>
      </c>
      <c r="U3" s="43">
        <f t="shared" ref="U3:V3" si="0">SUM(SUMIF(U4:U1004,"&gt;0",U4:U1004),SUMIF(U4:U1004,"&lt;0",U4:U1004))</f>
        <v>0</v>
      </c>
      <c r="V3" s="43">
        <f t="shared" si="0"/>
        <v>0</v>
      </c>
      <c r="X3" s="50">
        <f>X2/20/9</f>
        <v>0</v>
      </c>
      <c r="Y3" s="125">
        <f>INT(X3)</f>
        <v>0</v>
      </c>
      <c r="Z3" s="125">
        <f>X3-Y3</f>
        <v>0</v>
      </c>
      <c r="AA3" s="125">
        <f>Z3*20</f>
        <v>0</v>
      </c>
      <c r="AB3" s="125">
        <f>INT(AA3)</f>
        <v>0</v>
      </c>
      <c r="AC3" s="125">
        <f>AA3-AB3</f>
        <v>0</v>
      </c>
      <c r="AD3" s="125">
        <f>ROUND(AC3*9,0)</f>
        <v>0</v>
      </c>
    </row>
    <row r="4" spans="2:30" x14ac:dyDescent="0.25">
      <c r="B4" s="50" t="b">
        <f t="shared" ref="B4:B12" si="1">ISNUMBER(C4)</f>
        <v>0</v>
      </c>
      <c r="C4" s="50" t="e">
        <f t="shared" ref="C4:C12" si="2">SUM(T4:V4)</f>
        <v>#VALUE!</v>
      </c>
      <c r="E4" s="56">
        <v>1</v>
      </c>
      <c r="G4" s="175"/>
      <c r="H4" s="135">
        <v>1</v>
      </c>
      <c r="I4" s="58" t="e">
        <f t="shared" ref="I4:I67" si="3">RIGHT(G4,J4)</f>
        <v>#VALUE!</v>
      </c>
      <c r="J4" s="50" t="e">
        <f>O4-M4</f>
        <v>#VALUE!</v>
      </c>
      <c r="K4" s="50" t="e">
        <f>N4-M4</f>
        <v>#VALUE!</v>
      </c>
      <c r="L4" s="50" t="e">
        <f>O4-N4</f>
        <v>#VALUE!</v>
      </c>
      <c r="M4" s="50" t="e">
        <f t="shared" ref="M4:M67" si="4">SEARCH("-",G4,2)</f>
        <v>#VALUE!</v>
      </c>
      <c r="N4" s="50" t="e">
        <f t="shared" ref="N4:N67" si="5">SEARCH("-",G4,M4+1)</f>
        <v>#VALUE!</v>
      </c>
      <c r="O4" s="50">
        <f t="shared" ref="O4:O67" si="6">LEN(G4)</f>
        <v>0</v>
      </c>
      <c r="Q4" s="55" t="e">
        <f t="shared" ref="Q4:Q67" si="7">LEFT(G4,M4-1)</f>
        <v>#VALUE!</v>
      </c>
      <c r="R4" s="55" t="e">
        <f>LEFT(I4,K4-1)</f>
        <v>#VALUE!</v>
      </c>
      <c r="S4" s="55" t="e">
        <f t="shared" ref="S4:S67" si="8">RIGHT(G4,L4)</f>
        <v>#VALUE!</v>
      </c>
      <c r="T4" s="50" t="e">
        <f>Q4*1*$H4</f>
        <v>#VALUE!</v>
      </c>
      <c r="U4" s="50" t="e">
        <f t="shared" ref="U4:V4" si="9">R4*1*$H4</f>
        <v>#VALUE!</v>
      </c>
      <c r="V4" s="50" t="e">
        <f t="shared" si="9"/>
        <v>#VALUE!</v>
      </c>
      <c r="AC4" s="59"/>
    </row>
    <row r="5" spans="2:30" x14ac:dyDescent="0.25">
      <c r="B5" s="50" t="b">
        <f t="shared" si="1"/>
        <v>0</v>
      </c>
      <c r="C5" s="50" t="e">
        <f t="shared" si="2"/>
        <v>#VALUE!</v>
      </c>
      <c r="E5" s="56">
        <v>2</v>
      </c>
      <c r="G5" s="175"/>
      <c r="H5" s="135">
        <v>1</v>
      </c>
      <c r="I5" s="58" t="e">
        <f t="shared" si="3"/>
        <v>#VALUE!</v>
      </c>
      <c r="J5" s="50" t="e">
        <f t="shared" ref="J5:J68" si="10">O5-M5</f>
        <v>#VALUE!</v>
      </c>
      <c r="K5" s="50" t="e">
        <f t="shared" ref="K5:L20" si="11">N5-M5</f>
        <v>#VALUE!</v>
      </c>
      <c r="L5" s="50" t="e">
        <f t="shared" si="11"/>
        <v>#VALUE!</v>
      </c>
      <c r="M5" s="50" t="e">
        <f t="shared" si="4"/>
        <v>#VALUE!</v>
      </c>
      <c r="N5" s="50" t="e">
        <f t="shared" si="5"/>
        <v>#VALUE!</v>
      </c>
      <c r="O5" s="50">
        <f t="shared" si="6"/>
        <v>0</v>
      </c>
      <c r="Q5" s="55" t="e">
        <f t="shared" si="7"/>
        <v>#VALUE!</v>
      </c>
      <c r="R5" s="55" t="e">
        <f t="shared" ref="R5:R68" si="12">LEFT(I5,K5-1)</f>
        <v>#VALUE!</v>
      </c>
      <c r="S5" s="55" t="e">
        <f t="shared" si="8"/>
        <v>#VALUE!</v>
      </c>
      <c r="T5" s="50" t="e">
        <f t="shared" ref="T5:T68" si="13">Q5*1*$H5</f>
        <v>#VALUE!</v>
      </c>
      <c r="U5" s="50" t="e">
        <f t="shared" ref="U5:U68" si="14">R5*1*$H5</f>
        <v>#VALUE!</v>
      </c>
      <c r="V5" s="50" t="e">
        <f t="shared" ref="V5:V68" si="15">S5*1*$H5</f>
        <v>#VALUE!</v>
      </c>
      <c r="AC5" s="59"/>
    </row>
    <row r="6" spans="2:30" x14ac:dyDescent="0.25">
      <c r="B6" s="50" t="b">
        <f t="shared" si="1"/>
        <v>0</v>
      </c>
      <c r="C6" s="50" t="e">
        <f t="shared" si="2"/>
        <v>#VALUE!</v>
      </c>
      <c r="E6" s="56">
        <v>3</v>
      </c>
      <c r="G6" s="175"/>
      <c r="H6" s="135">
        <v>1</v>
      </c>
      <c r="I6" s="58" t="e">
        <f t="shared" si="3"/>
        <v>#VALUE!</v>
      </c>
      <c r="J6" s="50" t="e">
        <f t="shared" si="10"/>
        <v>#VALUE!</v>
      </c>
      <c r="K6" s="50" t="e">
        <f t="shared" si="11"/>
        <v>#VALUE!</v>
      </c>
      <c r="L6" s="50" t="e">
        <f t="shared" si="11"/>
        <v>#VALUE!</v>
      </c>
      <c r="M6" s="50" t="e">
        <f t="shared" si="4"/>
        <v>#VALUE!</v>
      </c>
      <c r="N6" s="50" t="e">
        <f t="shared" si="5"/>
        <v>#VALUE!</v>
      </c>
      <c r="O6" s="50">
        <f t="shared" si="6"/>
        <v>0</v>
      </c>
      <c r="Q6" s="55" t="e">
        <f t="shared" si="7"/>
        <v>#VALUE!</v>
      </c>
      <c r="R6" s="55" t="e">
        <f t="shared" si="12"/>
        <v>#VALUE!</v>
      </c>
      <c r="S6" s="55" t="e">
        <f t="shared" si="8"/>
        <v>#VALUE!</v>
      </c>
      <c r="T6" s="50" t="e">
        <f t="shared" si="13"/>
        <v>#VALUE!</v>
      </c>
      <c r="U6" s="50" t="e">
        <f t="shared" si="14"/>
        <v>#VALUE!</v>
      </c>
      <c r="V6" s="50" t="e">
        <f t="shared" si="15"/>
        <v>#VALUE!</v>
      </c>
      <c r="AC6" s="59"/>
    </row>
    <row r="7" spans="2:30" x14ac:dyDescent="0.25">
      <c r="B7" s="50" t="b">
        <f t="shared" si="1"/>
        <v>0</v>
      </c>
      <c r="C7" s="50" t="e">
        <f t="shared" si="2"/>
        <v>#VALUE!</v>
      </c>
      <c r="E7" s="56">
        <v>4</v>
      </c>
      <c r="G7" s="175"/>
      <c r="H7" s="135">
        <v>1</v>
      </c>
      <c r="I7" s="58" t="e">
        <f t="shared" si="3"/>
        <v>#VALUE!</v>
      </c>
      <c r="J7" s="50" t="e">
        <f t="shared" si="10"/>
        <v>#VALUE!</v>
      </c>
      <c r="K7" s="50" t="e">
        <f t="shared" si="11"/>
        <v>#VALUE!</v>
      </c>
      <c r="L7" s="50" t="e">
        <f t="shared" si="11"/>
        <v>#VALUE!</v>
      </c>
      <c r="M7" s="50" t="e">
        <f t="shared" si="4"/>
        <v>#VALUE!</v>
      </c>
      <c r="N7" s="50" t="e">
        <f t="shared" si="5"/>
        <v>#VALUE!</v>
      </c>
      <c r="O7" s="50">
        <f t="shared" si="6"/>
        <v>0</v>
      </c>
      <c r="Q7" s="55" t="e">
        <f t="shared" si="7"/>
        <v>#VALUE!</v>
      </c>
      <c r="R7" s="55" t="e">
        <f t="shared" si="12"/>
        <v>#VALUE!</v>
      </c>
      <c r="S7" s="55" t="e">
        <f t="shared" si="8"/>
        <v>#VALUE!</v>
      </c>
      <c r="T7" s="50" t="e">
        <f t="shared" si="13"/>
        <v>#VALUE!</v>
      </c>
      <c r="U7" s="50" t="e">
        <f t="shared" si="14"/>
        <v>#VALUE!</v>
      </c>
      <c r="V7" s="50" t="e">
        <f t="shared" si="15"/>
        <v>#VALUE!</v>
      </c>
      <c r="AC7" s="59"/>
    </row>
    <row r="8" spans="2:30" x14ac:dyDescent="0.25">
      <c r="B8" s="50" t="b">
        <f t="shared" si="1"/>
        <v>0</v>
      </c>
      <c r="C8" s="50" t="e">
        <f t="shared" si="2"/>
        <v>#VALUE!</v>
      </c>
      <c r="E8" s="56">
        <v>5</v>
      </c>
      <c r="G8" s="175"/>
      <c r="H8" s="135">
        <v>1</v>
      </c>
      <c r="I8" s="58" t="e">
        <f t="shared" si="3"/>
        <v>#VALUE!</v>
      </c>
      <c r="J8" s="50" t="e">
        <f t="shared" si="10"/>
        <v>#VALUE!</v>
      </c>
      <c r="K8" s="50" t="e">
        <f t="shared" si="11"/>
        <v>#VALUE!</v>
      </c>
      <c r="L8" s="50" t="e">
        <f t="shared" si="11"/>
        <v>#VALUE!</v>
      </c>
      <c r="M8" s="50" t="e">
        <f t="shared" si="4"/>
        <v>#VALUE!</v>
      </c>
      <c r="N8" s="50" t="e">
        <f t="shared" si="5"/>
        <v>#VALUE!</v>
      </c>
      <c r="O8" s="50">
        <f t="shared" si="6"/>
        <v>0</v>
      </c>
      <c r="Q8" s="55" t="e">
        <f t="shared" si="7"/>
        <v>#VALUE!</v>
      </c>
      <c r="R8" s="55" t="e">
        <f t="shared" si="12"/>
        <v>#VALUE!</v>
      </c>
      <c r="S8" s="55" t="e">
        <f t="shared" si="8"/>
        <v>#VALUE!</v>
      </c>
      <c r="T8" s="50" t="e">
        <f t="shared" si="13"/>
        <v>#VALUE!</v>
      </c>
      <c r="U8" s="50" t="e">
        <f t="shared" si="14"/>
        <v>#VALUE!</v>
      </c>
      <c r="V8" s="50" t="e">
        <f t="shared" si="15"/>
        <v>#VALUE!</v>
      </c>
      <c r="AC8" s="59"/>
    </row>
    <row r="9" spans="2:30" x14ac:dyDescent="0.25">
      <c r="B9" s="50" t="b">
        <f t="shared" si="1"/>
        <v>0</v>
      </c>
      <c r="C9" s="50" t="e">
        <f t="shared" si="2"/>
        <v>#VALUE!</v>
      </c>
      <c r="E9" s="56">
        <v>6</v>
      </c>
      <c r="G9" s="175"/>
      <c r="H9" s="135">
        <v>1</v>
      </c>
      <c r="I9" s="58" t="e">
        <f t="shared" si="3"/>
        <v>#VALUE!</v>
      </c>
      <c r="J9" s="50" t="e">
        <f t="shared" si="10"/>
        <v>#VALUE!</v>
      </c>
      <c r="K9" s="50" t="e">
        <f t="shared" si="11"/>
        <v>#VALUE!</v>
      </c>
      <c r="L9" s="50" t="e">
        <f t="shared" si="11"/>
        <v>#VALUE!</v>
      </c>
      <c r="M9" s="50" t="e">
        <f t="shared" si="4"/>
        <v>#VALUE!</v>
      </c>
      <c r="N9" s="50" t="e">
        <f t="shared" si="5"/>
        <v>#VALUE!</v>
      </c>
      <c r="O9" s="50">
        <f t="shared" si="6"/>
        <v>0</v>
      </c>
      <c r="Q9" s="55" t="e">
        <f t="shared" si="7"/>
        <v>#VALUE!</v>
      </c>
      <c r="R9" s="55" t="e">
        <f t="shared" si="12"/>
        <v>#VALUE!</v>
      </c>
      <c r="S9" s="55" t="e">
        <f t="shared" si="8"/>
        <v>#VALUE!</v>
      </c>
      <c r="T9" s="50" t="e">
        <f t="shared" si="13"/>
        <v>#VALUE!</v>
      </c>
      <c r="U9" s="50" t="e">
        <f t="shared" si="14"/>
        <v>#VALUE!</v>
      </c>
      <c r="V9" s="50" t="e">
        <f t="shared" si="15"/>
        <v>#VALUE!</v>
      </c>
      <c r="AC9" s="59"/>
    </row>
    <row r="10" spans="2:30" x14ac:dyDescent="0.25">
      <c r="B10" s="50" t="b">
        <f t="shared" si="1"/>
        <v>0</v>
      </c>
      <c r="C10" s="50" t="e">
        <f t="shared" si="2"/>
        <v>#VALUE!</v>
      </c>
      <c r="E10" s="56">
        <v>7</v>
      </c>
      <c r="G10" s="175"/>
      <c r="H10" s="135">
        <v>1</v>
      </c>
      <c r="I10" s="58" t="e">
        <f t="shared" si="3"/>
        <v>#VALUE!</v>
      </c>
      <c r="J10" s="50" t="e">
        <f t="shared" si="10"/>
        <v>#VALUE!</v>
      </c>
      <c r="K10" s="50" t="e">
        <f t="shared" si="11"/>
        <v>#VALUE!</v>
      </c>
      <c r="L10" s="50" t="e">
        <f t="shared" si="11"/>
        <v>#VALUE!</v>
      </c>
      <c r="M10" s="50" t="e">
        <f t="shared" si="4"/>
        <v>#VALUE!</v>
      </c>
      <c r="N10" s="50" t="e">
        <f t="shared" si="5"/>
        <v>#VALUE!</v>
      </c>
      <c r="O10" s="50">
        <f t="shared" si="6"/>
        <v>0</v>
      </c>
      <c r="Q10" s="55" t="e">
        <f t="shared" si="7"/>
        <v>#VALUE!</v>
      </c>
      <c r="R10" s="55" t="e">
        <f t="shared" si="12"/>
        <v>#VALUE!</v>
      </c>
      <c r="S10" s="55" t="e">
        <f t="shared" si="8"/>
        <v>#VALUE!</v>
      </c>
      <c r="T10" s="50" t="e">
        <f t="shared" si="13"/>
        <v>#VALUE!</v>
      </c>
      <c r="U10" s="50" t="e">
        <f t="shared" si="14"/>
        <v>#VALUE!</v>
      </c>
      <c r="V10" s="50" t="e">
        <f t="shared" si="15"/>
        <v>#VALUE!</v>
      </c>
      <c r="AC10" s="59"/>
    </row>
    <row r="11" spans="2:30" x14ac:dyDescent="0.25">
      <c r="B11" s="50" t="b">
        <f t="shared" si="1"/>
        <v>0</v>
      </c>
      <c r="C11" s="50" t="e">
        <f t="shared" si="2"/>
        <v>#VALUE!</v>
      </c>
      <c r="E11" s="56">
        <v>8</v>
      </c>
      <c r="G11" s="175"/>
      <c r="H11" s="135">
        <v>1</v>
      </c>
      <c r="I11" s="58" t="e">
        <f t="shared" si="3"/>
        <v>#VALUE!</v>
      </c>
      <c r="J11" s="50" t="e">
        <f t="shared" si="10"/>
        <v>#VALUE!</v>
      </c>
      <c r="K11" s="50" t="e">
        <f t="shared" si="11"/>
        <v>#VALUE!</v>
      </c>
      <c r="L11" s="50" t="e">
        <f t="shared" si="11"/>
        <v>#VALUE!</v>
      </c>
      <c r="M11" s="50" t="e">
        <f t="shared" si="4"/>
        <v>#VALUE!</v>
      </c>
      <c r="N11" s="50" t="e">
        <f t="shared" si="5"/>
        <v>#VALUE!</v>
      </c>
      <c r="O11" s="50">
        <f t="shared" si="6"/>
        <v>0</v>
      </c>
      <c r="Q11" s="55" t="e">
        <f t="shared" si="7"/>
        <v>#VALUE!</v>
      </c>
      <c r="R11" s="55" t="e">
        <f t="shared" si="12"/>
        <v>#VALUE!</v>
      </c>
      <c r="S11" s="55" t="e">
        <f t="shared" si="8"/>
        <v>#VALUE!</v>
      </c>
      <c r="T11" s="50" t="e">
        <f t="shared" si="13"/>
        <v>#VALUE!</v>
      </c>
      <c r="U11" s="50" t="e">
        <f t="shared" si="14"/>
        <v>#VALUE!</v>
      </c>
      <c r="V11" s="50" t="e">
        <f t="shared" si="15"/>
        <v>#VALUE!</v>
      </c>
      <c r="AC11" s="59"/>
    </row>
    <row r="12" spans="2:30" x14ac:dyDescent="0.25">
      <c r="B12" s="50" t="b">
        <f t="shared" si="1"/>
        <v>0</v>
      </c>
      <c r="C12" s="50" t="e">
        <f t="shared" si="2"/>
        <v>#VALUE!</v>
      </c>
      <c r="E12" s="56">
        <v>9</v>
      </c>
      <c r="G12" s="175"/>
      <c r="H12" s="135">
        <v>1</v>
      </c>
      <c r="I12" s="58" t="e">
        <f t="shared" si="3"/>
        <v>#VALUE!</v>
      </c>
      <c r="J12" s="50" t="e">
        <f t="shared" si="10"/>
        <v>#VALUE!</v>
      </c>
      <c r="K12" s="50" t="e">
        <f t="shared" si="11"/>
        <v>#VALUE!</v>
      </c>
      <c r="L12" s="50" t="e">
        <f t="shared" si="11"/>
        <v>#VALUE!</v>
      </c>
      <c r="M12" s="50" t="e">
        <f t="shared" si="4"/>
        <v>#VALUE!</v>
      </c>
      <c r="N12" s="50" t="e">
        <f t="shared" si="5"/>
        <v>#VALUE!</v>
      </c>
      <c r="O12" s="50">
        <f t="shared" si="6"/>
        <v>0</v>
      </c>
      <c r="Q12" s="55" t="e">
        <f t="shared" si="7"/>
        <v>#VALUE!</v>
      </c>
      <c r="R12" s="55" t="e">
        <f t="shared" si="12"/>
        <v>#VALUE!</v>
      </c>
      <c r="S12" s="55" t="e">
        <f t="shared" si="8"/>
        <v>#VALUE!</v>
      </c>
      <c r="T12" s="50" t="e">
        <f t="shared" si="13"/>
        <v>#VALUE!</v>
      </c>
      <c r="U12" s="50" t="e">
        <f t="shared" si="14"/>
        <v>#VALUE!</v>
      </c>
      <c r="V12" s="50" t="e">
        <f t="shared" si="15"/>
        <v>#VALUE!</v>
      </c>
      <c r="AC12" s="59"/>
    </row>
    <row r="13" spans="2:30" x14ac:dyDescent="0.25">
      <c r="B13" s="50" t="b">
        <f>ISNUMBER(C13)</f>
        <v>0</v>
      </c>
      <c r="C13" s="50" t="e">
        <f>SUM(T13:V13)</f>
        <v>#VALUE!</v>
      </c>
      <c r="E13" s="56">
        <v>10</v>
      </c>
      <c r="G13" s="175"/>
      <c r="H13" s="135">
        <v>1</v>
      </c>
      <c r="I13" s="58" t="e">
        <f t="shared" si="3"/>
        <v>#VALUE!</v>
      </c>
      <c r="J13" s="50" t="e">
        <f t="shared" si="10"/>
        <v>#VALUE!</v>
      </c>
      <c r="K13" s="50" t="e">
        <f t="shared" si="11"/>
        <v>#VALUE!</v>
      </c>
      <c r="L13" s="50" t="e">
        <f t="shared" si="11"/>
        <v>#VALUE!</v>
      </c>
      <c r="M13" s="50" t="e">
        <f t="shared" si="4"/>
        <v>#VALUE!</v>
      </c>
      <c r="N13" s="50" t="e">
        <f t="shared" si="5"/>
        <v>#VALUE!</v>
      </c>
      <c r="O13" s="50">
        <f t="shared" si="6"/>
        <v>0</v>
      </c>
      <c r="Q13" s="55" t="e">
        <f t="shared" si="7"/>
        <v>#VALUE!</v>
      </c>
      <c r="R13" s="55" t="e">
        <f t="shared" si="12"/>
        <v>#VALUE!</v>
      </c>
      <c r="S13" s="55" t="e">
        <f t="shared" si="8"/>
        <v>#VALUE!</v>
      </c>
      <c r="T13" s="50" t="e">
        <f t="shared" si="13"/>
        <v>#VALUE!</v>
      </c>
      <c r="U13" s="50" t="e">
        <f t="shared" si="14"/>
        <v>#VALUE!</v>
      </c>
      <c r="V13" s="50" t="e">
        <f t="shared" si="15"/>
        <v>#VALUE!</v>
      </c>
      <c r="AC13" s="59"/>
    </row>
    <row r="14" spans="2:30" x14ac:dyDescent="0.25">
      <c r="B14" s="50" t="b">
        <f t="shared" ref="B14:B77" si="16">ISNUMBER(C14)</f>
        <v>0</v>
      </c>
      <c r="C14" s="50" t="e">
        <f t="shared" ref="C14:C77" si="17">SUM(T14:V14)</f>
        <v>#VALUE!</v>
      </c>
      <c r="E14" s="56">
        <v>11</v>
      </c>
      <c r="G14" s="175"/>
      <c r="H14" s="135">
        <v>1</v>
      </c>
      <c r="I14" s="58" t="e">
        <f t="shared" si="3"/>
        <v>#VALUE!</v>
      </c>
      <c r="J14" s="50" t="e">
        <f t="shared" si="10"/>
        <v>#VALUE!</v>
      </c>
      <c r="K14" s="50" t="e">
        <f t="shared" si="11"/>
        <v>#VALUE!</v>
      </c>
      <c r="L14" s="50" t="e">
        <f t="shared" si="11"/>
        <v>#VALUE!</v>
      </c>
      <c r="M14" s="50" t="e">
        <f t="shared" si="4"/>
        <v>#VALUE!</v>
      </c>
      <c r="N14" s="50" t="e">
        <f t="shared" si="5"/>
        <v>#VALUE!</v>
      </c>
      <c r="O14" s="50">
        <f t="shared" si="6"/>
        <v>0</v>
      </c>
      <c r="Q14" s="55" t="e">
        <f t="shared" si="7"/>
        <v>#VALUE!</v>
      </c>
      <c r="R14" s="55" t="e">
        <f t="shared" si="12"/>
        <v>#VALUE!</v>
      </c>
      <c r="S14" s="55" t="e">
        <f t="shared" si="8"/>
        <v>#VALUE!</v>
      </c>
      <c r="T14" s="50" t="e">
        <f t="shared" si="13"/>
        <v>#VALUE!</v>
      </c>
      <c r="U14" s="50" t="e">
        <f t="shared" si="14"/>
        <v>#VALUE!</v>
      </c>
      <c r="V14" s="50" t="e">
        <f t="shared" si="15"/>
        <v>#VALUE!</v>
      </c>
      <c r="AC14" s="59"/>
    </row>
    <row r="15" spans="2:30" x14ac:dyDescent="0.25">
      <c r="B15" s="50" t="b">
        <f t="shared" si="16"/>
        <v>0</v>
      </c>
      <c r="C15" s="50" t="e">
        <f t="shared" si="17"/>
        <v>#VALUE!</v>
      </c>
      <c r="E15" s="56">
        <v>12</v>
      </c>
      <c r="G15" s="175"/>
      <c r="H15" s="135">
        <v>1</v>
      </c>
      <c r="I15" s="58" t="e">
        <f t="shared" si="3"/>
        <v>#VALUE!</v>
      </c>
      <c r="J15" s="50" t="e">
        <f t="shared" si="10"/>
        <v>#VALUE!</v>
      </c>
      <c r="K15" s="50" t="e">
        <f t="shared" si="11"/>
        <v>#VALUE!</v>
      </c>
      <c r="L15" s="50" t="e">
        <f t="shared" si="11"/>
        <v>#VALUE!</v>
      </c>
      <c r="M15" s="50" t="e">
        <f t="shared" si="4"/>
        <v>#VALUE!</v>
      </c>
      <c r="N15" s="50" t="e">
        <f t="shared" si="5"/>
        <v>#VALUE!</v>
      </c>
      <c r="O15" s="50">
        <f t="shared" si="6"/>
        <v>0</v>
      </c>
      <c r="Q15" s="55" t="e">
        <f t="shared" si="7"/>
        <v>#VALUE!</v>
      </c>
      <c r="R15" s="55" t="e">
        <f t="shared" si="12"/>
        <v>#VALUE!</v>
      </c>
      <c r="S15" s="55" t="e">
        <f t="shared" si="8"/>
        <v>#VALUE!</v>
      </c>
      <c r="T15" s="50" t="e">
        <f t="shared" si="13"/>
        <v>#VALUE!</v>
      </c>
      <c r="U15" s="50" t="e">
        <f t="shared" si="14"/>
        <v>#VALUE!</v>
      </c>
      <c r="V15" s="50" t="e">
        <f t="shared" si="15"/>
        <v>#VALUE!</v>
      </c>
      <c r="AC15" s="59"/>
    </row>
    <row r="16" spans="2:30" x14ac:dyDescent="0.25">
      <c r="B16" s="50" t="b">
        <f t="shared" si="16"/>
        <v>0</v>
      </c>
      <c r="C16" s="50" t="e">
        <f t="shared" si="17"/>
        <v>#VALUE!</v>
      </c>
      <c r="E16" s="56">
        <v>13</v>
      </c>
      <c r="G16" s="175"/>
      <c r="H16" s="135">
        <v>1</v>
      </c>
      <c r="I16" s="58" t="e">
        <f t="shared" si="3"/>
        <v>#VALUE!</v>
      </c>
      <c r="J16" s="50" t="e">
        <f t="shared" si="10"/>
        <v>#VALUE!</v>
      </c>
      <c r="K16" s="50" t="e">
        <f t="shared" si="11"/>
        <v>#VALUE!</v>
      </c>
      <c r="L16" s="50" t="e">
        <f t="shared" si="11"/>
        <v>#VALUE!</v>
      </c>
      <c r="M16" s="50" t="e">
        <f t="shared" si="4"/>
        <v>#VALUE!</v>
      </c>
      <c r="N16" s="50" t="e">
        <f t="shared" si="5"/>
        <v>#VALUE!</v>
      </c>
      <c r="O16" s="50">
        <f t="shared" si="6"/>
        <v>0</v>
      </c>
      <c r="Q16" s="55" t="e">
        <f t="shared" si="7"/>
        <v>#VALUE!</v>
      </c>
      <c r="R16" s="55" t="e">
        <f t="shared" si="12"/>
        <v>#VALUE!</v>
      </c>
      <c r="S16" s="55" t="e">
        <f t="shared" si="8"/>
        <v>#VALUE!</v>
      </c>
      <c r="T16" s="50" t="e">
        <f t="shared" si="13"/>
        <v>#VALUE!</v>
      </c>
      <c r="U16" s="50" t="e">
        <f t="shared" si="14"/>
        <v>#VALUE!</v>
      </c>
      <c r="V16" s="50" t="e">
        <f t="shared" si="15"/>
        <v>#VALUE!</v>
      </c>
      <c r="AC16" s="59"/>
    </row>
    <row r="17" spans="2:29" x14ac:dyDescent="0.25">
      <c r="B17" s="50" t="b">
        <f t="shared" si="16"/>
        <v>0</v>
      </c>
      <c r="C17" s="50" t="e">
        <f t="shared" si="17"/>
        <v>#VALUE!</v>
      </c>
      <c r="E17" s="56">
        <v>14</v>
      </c>
      <c r="G17" s="144"/>
      <c r="H17" s="135">
        <v>1</v>
      </c>
      <c r="I17" s="58" t="e">
        <f t="shared" si="3"/>
        <v>#VALUE!</v>
      </c>
      <c r="J17" s="50" t="e">
        <f t="shared" si="10"/>
        <v>#VALUE!</v>
      </c>
      <c r="K17" s="50" t="e">
        <f t="shared" si="11"/>
        <v>#VALUE!</v>
      </c>
      <c r="L17" s="50" t="e">
        <f t="shared" si="11"/>
        <v>#VALUE!</v>
      </c>
      <c r="M17" s="50" t="e">
        <f t="shared" si="4"/>
        <v>#VALUE!</v>
      </c>
      <c r="N17" s="50" t="e">
        <f t="shared" si="5"/>
        <v>#VALUE!</v>
      </c>
      <c r="O17" s="50">
        <f t="shared" si="6"/>
        <v>0</v>
      </c>
      <c r="Q17" s="55" t="e">
        <f t="shared" si="7"/>
        <v>#VALUE!</v>
      </c>
      <c r="R17" s="55" t="e">
        <f t="shared" si="12"/>
        <v>#VALUE!</v>
      </c>
      <c r="S17" s="55" t="e">
        <f t="shared" si="8"/>
        <v>#VALUE!</v>
      </c>
      <c r="T17" s="50" t="e">
        <f t="shared" si="13"/>
        <v>#VALUE!</v>
      </c>
      <c r="U17" s="50" t="e">
        <f t="shared" si="14"/>
        <v>#VALUE!</v>
      </c>
      <c r="V17" s="50" t="e">
        <f t="shared" si="15"/>
        <v>#VALUE!</v>
      </c>
      <c r="AC17" s="59"/>
    </row>
    <row r="18" spans="2:29" x14ac:dyDescent="0.25">
      <c r="B18" s="50" t="b">
        <f t="shared" si="16"/>
        <v>0</v>
      </c>
      <c r="C18" s="50" t="e">
        <f t="shared" si="17"/>
        <v>#VALUE!</v>
      </c>
      <c r="E18" s="56">
        <v>15</v>
      </c>
      <c r="G18" s="144"/>
      <c r="H18" s="135">
        <v>1</v>
      </c>
      <c r="I18" s="58" t="e">
        <f t="shared" si="3"/>
        <v>#VALUE!</v>
      </c>
      <c r="J18" s="50" t="e">
        <f t="shared" si="10"/>
        <v>#VALUE!</v>
      </c>
      <c r="K18" s="50" t="e">
        <f t="shared" si="11"/>
        <v>#VALUE!</v>
      </c>
      <c r="L18" s="50" t="e">
        <f t="shared" si="11"/>
        <v>#VALUE!</v>
      </c>
      <c r="M18" s="50" t="e">
        <f t="shared" si="4"/>
        <v>#VALUE!</v>
      </c>
      <c r="N18" s="50" t="e">
        <f t="shared" si="5"/>
        <v>#VALUE!</v>
      </c>
      <c r="O18" s="50">
        <f t="shared" si="6"/>
        <v>0</v>
      </c>
      <c r="Q18" s="55" t="e">
        <f t="shared" si="7"/>
        <v>#VALUE!</v>
      </c>
      <c r="R18" s="55" t="e">
        <f t="shared" si="12"/>
        <v>#VALUE!</v>
      </c>
      <c r="S18" s="55" t="e">
        <f t="shared" si="8"/>
        <v>#VALUE!</v>
      </c>
      <c r="T18" s="50" t="e">
        <f t="shared" si="13"/>
        <v>#VALUE!</v>
      </c>
      <c r="U18" s="50" t="e">
        <f t="shared" si="14"/>
        <v>#VALUE!</v>
      </c>
      <c r="V18" s="50" t="e">
        <f t="shared" si="15"/>
        <v>#VALUE!</v>
      </c>
      <c r="AC18" s="59"/>
    </row>
    <row r="19" spans="2:29" x14ac:dyDescent="0.25">
      <c r="B19" s="50" t="b">
        <f t="shared" si="16"/>
        <v>0</v>
      </c>
      <c r="C19" s="50" t="e">
        <f t="shared" si="17"/>
        <v>#VALUE!</v>
      </c>
      <c r="E19" s="56">
        <v>16</v>
      </c>
      <c r="G19" s="144"/>
      <c r="H19" s="135">
        <v>1</v>
      </c>
      <c r="I19" s="58" t="e">
        <f t="shared" si="3"/>
        <v>#VALUE!</v>
      </c>
      <c r="J19" s="50" t="e">
        <f t="shared" si="10"/>
        <v>#VALUE!</v>
      </c>
      <c r="K19" s="50" t="e">
        <f t="shared" si="11"/>
        <v>#VALUE!</v>
      </c>
      <c r="L19" s="50" t="e">
        <f t="shared" si="11"/>
        <v>#VALUE!</v>
      </c>
      <c r="M19" s="50" t="e">
        <f t="shared" si="4"/>
        <v>#VALUE!</v>
      </c>
      <c r="N19" s="50" t="e">
        <f t="shared" si="5"/>
        <v>#VALUE!</v>
      </c>
      <c r="O19" s="50">
        <f t="shared" si="6"/>
        <v>0</v>
      </c>
      <c r="Q19" s="55" t="e">
        <f t="shared" si="7"/>
        <v>#VALUE!</v>
      </c>
      <c r="R19" s="55" t="e">
        <f t="shared" si="12"/>
        <v>#VALUE!</v>
      </c>
      <c r="S19" s="55" t="e">
        <f t="shared" si="8"/>
        <v>#VALUE!</v>
      </c>
      <c r="T19" s="50" t="e">
        <f t="shared" si="13"/>
        <v>#VALUE!</v>
      </c>
      <c r="U19" s="50" t="e">
        <f t="shared" si="14"/>
        <v>#VALUE!</v>
      </c>
      <c r="V19" s="50" t="e">
        <f t="shared" si="15"/>
        <v>#VALUE!</v>
      </c>
      <c r="AC19" s="59"/>
    </row>
    <row r="20" spans="2:29" x14ac:dyDescent="0.25">
      <c r="B20" s="50" t="b">
        <f t="shared" si="16"/>
        <v>0</v>
      </c>
      <c r="C20" s="50" t="e">
        <f t="shared" si="17"/>
        <v>#VALUE!</v>
      </c>
      <c r="E20" s="56">
        <v>17</v>
      </c>
      <c r="G20" s="144"/>
      <c r="H20" s="135">
        <v>1</v>
      </c>
      <c r="I20" s="58" t="e">
        <f t="shared" si="3"/>
        <v>#VALUE!</v>
      </c>
      <c r="J20" s="50" t="e">
        <f t="shared" si="10"/>
        <v>#VALUE!</v>
      </c>
      <c r="K20" s="50" t="e">
        <f t="shared" si="11"/>
        <v>#VALUE!</v>
      </c>
      <c r="L20" s="50" t="e">
        <f t="shared" si="11"/>
        <v>#VALUE!</v>
      </c>
      <c r="M20" s="50" t="e">
        <f t="shared" si="4"/>
        <v>#VALUE!</v>
      </c>
      <c r="N20" s="50" t="e">
        <f t="shared" si="5"/>
        <v>#VALUE!</v>
      </c>
      <c r="O20" s="50">
        <f t="shared" si="6"/>
        <v>0</v>
      </c>
      <c r="Q20" s="55" t="e">
        <f t="shared" si="7"/>
        <v>#VALUE!</v>
      </c>
      <c r="R20" s="55" t="e">
        <f t="shared" si="12"/>
        <v>#VALUE!</v>
      </c>
      <c r="S20" s="55" t="e">
        <f t="shared" si="8"/>
        <v>#VALUE!</v>
      </c>
      <c r="T20" s="50" t="e">
        <f t="shared" si="13"/>
        <v>#VALUE!</v>
      </c>
      <c r="U20" s="50" t="e">
        <f t="shared" si="14"/>
        <v>#VALUE!</v>
      </c>
      <c r="V20" s="50" t="e">
        <f t="shared" si="15"/>
        <v>#VALUE!</v>
      </c>
      <c r="AC20" s="59"/>
    </row>
    <row r="21" spans="2:29" x14ac:dyDescent="0.25">
      <c r="B21" s="50" t="b">
        <f t="shared" si="16"/>
        <v>0</v>
      </c>
      <c r="C21" s="50" t="e">
        <f t="shared" si="17"/>
        <v>#VALUE!</v>
      </c>
      <c r="E21" s="56">
        <v>18</v>
      </c>
      <c r="G21" s="143"/>
      <c r="H21" s="135">
        <v>1</v>
      </c>
      <c r="I21" s="58" t="e">
        <f t="shared" si="3"/>
        <v>#VALUE!</v>
      </c>
      <c r="J21" s="50" t="e">
        <f t="shared" si="10"/>
        <v>#VALUE!</v>
      </c>
      <c r="K21" s="50" t="e">
        <f t="shared" ref="K21:L84" si="18">N21-M21</f>
        <v>#VALUE!</v>
      </c>
      <c r="L21" s="50" t="e">
        <f t="shared" si="18"/>
        <v>#VALUE!</v>
      </c>
      <c r="M21" s="50" t="e">
        <f t="shared" si="4"/>
        <v>#VALUE!</v>
      </c>
      <c r="N21" s="50" t="e">
        <f t="shared" si="5"/>
        <v>#VALUE!</v>
      </c>
      <c r="O21" s="50">
        <f t="shared" si="6"/>
        <v>0</v>
      </c>
      <c r="Q21" s="55" t="e">
        <f t="shared" si="7"/>
        <v>#VALUE!</v>
      </c>
      <c r="R21" s="55" t="e">
        <f t="shared" si="12"/>
        <v>#VALUE!</v>
      </c>
      <c r="S21" s="55" t="e">
        <f t="shared" si="8"/>
        <v>#VALUE!</v>
      </c>
      <c r="T21" s="50" t="e">
        <f t="shared" si="13"/>
        <v>#VALUE!</v>
      </c>
      <c r="U21" s="50" t="e">
        <f t="shared" si="14"/>
        <v>#VALUE!</v>
      </c>
      <c r="V21" s="50" t="e">
        <f t="shared" si="15"/>
        <v>#VALUE!</v>
      </c>
      <c r="AC21" s="59"/>
    </row>
    <row r="22" spans="2:29" x14ac:dyDescent="0.25">
      <c r="B22" s="50" t="b">
        <f t="shared" si="16"/>
        <v>0</v>
      </c>
      <c r="C22" s="50" t="e">
        <f t="shared" si="17"/>
        <v>#VALUE!</v>
      </c>
      <c r="E22" s="56">
        <v>19</v>
      </c>
      <c r="G22" s="143"/>
      <c r="H22" s="135">
        <v>1</v>
      </c>
      <c r="I22" s="58" t="e">
        <f t="shared" si="3"/>
        <v>#VALUE!</v>
      </c>
      <c r="J22" s="50" t="e">
        <f t="shared" si="10"/>
        <v>#VALUE!</v>
      </c>
      <c r="K22" s="50" t="e">
        <f t="shared" si="18"/>
        <v>#VALUE!</v>
      </c>
      <c r="L22" s="50" t="e">
        <f t="shared" si="18"/>
        <v>#VALUE!</v>
      </c>
      <c r="M22" s="50" t="e">
        <f t="shared" si="4"/>
        <v>#VALUE!</v>
      </c>
      <c r="N22" s="50" t="e">
        <f t="shared" si="5"/>
        <v>#VALUE!</v>
      </c>
      <c r="O22" s="50">
        <f t="shared" si="6"/>
        <v>0</v>
      </c>
      <c r="Q22" s="55" t="e">
        <f t="shared" si="7"/>
        <v>#VALUE!</v>
      </c>
      <c r="R22" s="55" t="e">
        <f t="shared" si="12"/>
        <v>#VALUE!</v>
      </c>
      <c r="S22" s="55" t="e">
        <f t="shared" si="8"/>
        <v>#VALUE!</v>
      </c>
      <c r="T22" s="50" t="e">
        <f t="shared" si="13"/>
        <v>#VALUE!</v>
      </c>
      <c r="U22" s="50" t="e">
        <f t="shared" si="14"/>
        <v>#VALUE!</v>
      </c>
      <c r="V22" s="50" t="e">
        <f t="shared" si="15"/>
        <v>#VALUE!</v>
      </c>
      <c r="AC22" s="59"/>
    </row>
    <row r="23" spans="2:29" x14ac:dyDescent="0.25">
      <c r="B23" s="50" t="b">
        <f t="shared" si="16"/>
        <v>0</v>
      </c>
      <c r="C23" s="50" t="e">
        <f t="shared" si="17"/>
        <v>#VALUE!</v>
      </c>
      <c r="E23" s="56">
        <v>20</v>
      </c>
      <c r="G23" s="143"/>
      <c r="H23" s="135">
        <v>1</v>
      </c>
      <c r="I23" s="58" t="e">
        <f t="shared" si="3"/>
        <v>#VALUE!</v>
      </c>
      <c r="J23" s="50" t="e">
        <f t="shared" si="10"/>
        <v>#VALUE!</v>
      </c>
      <c r="K23" s="50" t="e">
        <f t="shared" si="18"/>
        <v>#VALUE!</v>
      </c>
      <c r="L23" s="50" t="e">
        <f t="shared" si="18"/>
        <v>#VALUE!</v>
      </c>
      <c r="M23" s="50" t="e">
        <f t="shared" si="4"/>
        <v>#VALUE!</v>
      </c>
      <c r="N23" s="50" t="e">
        <f t="shared" si="5"/>
        <v>#VALUE!</v>
      </c>
      <c r="O23" s="50">
        <f t="shared" si="6"/>
        <v>0</v>
      </c>
      <c r="Q23" s="55" t="e">
        <f t="shared" si="7"/>
        <v>#VALUE!</v>
      </c>
      <c r="R23" s="55" t="e">
        <f t="shared" si="12"/>
        <v>#VALUE!</v>
      </c>
      <c r="S23" s="55" t="e">
        <f t="shared" si="8"/>
        <v>#VALUE!</v>
      </c>
      <c r="T23" s="50" t="e">
        <f t="shared" si="13"/>
        <v>#VALUE!</v>
      </c>
      <c r="U23" s="50" t="e">
        <f t="shared" si="14"/>
        <v>#VALUE!</v>
      </c>
      <c r="V23" s="50" t="e">
        <f t="shared" si="15"/>
        <v>#VALUE!</v>
      </c>
      <c r="AC23" s="59"/>
    </row>
    <row r="24" spans="2:29" x14ac:dyDescent="0.25">
      <c r="B24" s="50" t="b">
        <f t="shared" si="16"/>
        <v>0</v>
      </c>
      <c r="C24" s="50" t="e">
        <f t="shared" si="17"/>
        <v>#VALUE!</v>
      </c>
      <c r="E24" s="56">
        <v>21</v>
      </c>
      <c r="G24" s="143"/>
      <c r="H24" s="135">
        <v>1</v>
      </c>
      <c r="I24" s="58" t="e">
        <f t="shared" si="3"/>
        <v>#VALUE!</v>
      </c>
      <c r="J24" s="50" t="e">
        <f t="shared" si="10"/>
        <v>#VALUE!</v>
      </c>
      <c r="K24" s="50" t="e">
        <f t="shared" si="18"/>
        <v>#VALUE!</v>
      </c>
      <c r="L24" s="50" t="e">
        <f t="shared" si="18"/>
        <v>#VALUE!</v>
      </c>
      <c r="M24" s="50" t="e">
        <f t="shared" si="4"/>
        <v>#VALUE!</v>
      </c>
      <c r="N24" s="50" t="e">
        <f t="shared" si="5"/>
        <v>#VALUE!</v>
      </c>
      <c r="O24" s="50">
        <f t="shared" si="6"/>
        <v>0</v>
      </c>
      <c r="Q24" s="55" t="e">
        <f t="shared" si="7"/>
        <v>#VALUE!</v>
      </c>
      <c r="R24" s="55" t="e">
        <f t="shared" si="12"/>
        <v>#VALUE!</v>
      </c>
      <c r="S24" s="55" t="e">
        <f t="shared" si="8"/>
        <v>#VALUE!</v>
      </c>
      <c r="T24" s="50" t="e">
        <f t="shared" si="13"/>
        <v>#VALUE!</v>
      </c>
      <c r="U24" s="50" t="e">
        <f t="shared" si="14"/>
        <v>#VALUE!</v>
      </c>
      <c r="V24" s="50" t="e">
        <f t="shared" si="15"/>
        <v>#VALUE!</v>
      </c>
      <c r="AC24" s="59"/>
    </row>
    <row r="25" spans="2:29" x14ac:dyDescent="0.25">
      <c r="B25" s="50" t="b">
        <f t="shared" si="16"/>
        <v>0</v>
      </c>
      <c r="C25" s="50" t="e">
        <f t="shared" si="17"/>
        <v>#VALUE!</v>
      </c>
      <c r="E25" s="56">
        <v>22</v>
      </c>
      <c r="G25" s="143"/>
      <c r="H25" s="135">
        <v>1</v>
      </c>
      <c r="I25" s="58" t="e">
        <f t="shared" si="3"/>
        <v>#VALUE!</v>
      </c>
      <c r="J25" s="50" t="e">
        <f t="shared" si="10"/>
        <v>#VALUE!</v>
      </c>
      <c r="K25" s="50" t="e">
        <f t="shared" si="18"/>
        <v>#VALUE!</v>
      </c>
      <c r="L25" s="50" t="e">
        <f t="shared" si="18"/>
        <v>#VALUE!</v>
      </c>
      <c r="M25" s="50" t="e">
        <f t="shared" si="4"/>
        <v>#VALUE!</v>
      </c>
      <c r="N25" s="50" t="e">
        <f t="shared" si="5"/>
        <v>#VALUE!</v>
      </c>
      <c r="O25" s="50">
        <f t="shared" si="6"/>
        <v>0</v>
      </c>
      <c r="Q25" s="55" t="e">
        <f t="shared" si="7"/>
        <v>#VALUE!</v>
      </c>
      <c r="R25" s="55" t="e">
        <f t="shared" si="12"/>
        <v>#VALUE!</v>
      </c>
      <c r="S25" s="55" t="e">
        <f t="shared" si="8"/>
        <v>#VALUE!</v>
      </c>
      <c r="T25" s="50" t="e">
        <f t="shared" si="13"/>
        <v>#VALUE!</v>
      </c>
      <c r="U25" s="50" t="e">
        <f t="shared" si="14"/>
        <v>#VALUE!</v>
      </c>
      <c r="V25" s="50" t="e">
        <f t="shared" si="15"/>
        <v>#VALUE!</v>
      </c>
      <c r="AC25" s="59"/>
    </row>
    <row r="26" spans="2:29" x14ac:dyDescent="0.25">
      <c r="B26" s="50" t="b">
        <f t="shared" si="16"/>
        <v>0</v>
      </c>
      <c r="C26" s="50" t="e">
        <f t="shared" si="17"/>
        <v>#VALUE!</v>
      </c>
      <c r="E26" s="56">
        <v>23</v>
      </c>
      <c r="G26" s="143"/>
      <c r="H26" s="135">
        <v>1</v>
      </c>
      <c r="I26" s="58" t="e">
        <f t="shared" si="3"/>
        <v>#VALUE!</v>
      </c>
      <c r="J26" s="50" t="e">
        <f t="shared" si="10"/>
        <v>#VALUE!</v>
      </c>
      <c r="K26" s="50" t="e">
        <f t="shared" si="18"/>
        <v>#VALUE!</v>
      </c>
      <c r="L26" s="50" t="e">
        <f t="shared" si="18"/>
        <v>#VALUE!</v>
      </c>
      <c r="M26" s="50" t="e">
        <f t="shared" si="4"/>
        <v>#VALUE!</v>
      </c>
      <c r="N26" s="50" t="e">
        <f t="shared" si="5"/>
        <v>#VALUE!</v>
      </c>
      <c r="O26" s="50">
        <f t="shared" si="6"/>
        <v>0</v>
      </c>
      <c r="Q26" s="55" t="e">
        <f t="shared" si="7"/>
        <v>#VALUE!</v>
      </c>
      <c r="R26" s="55" t="e">
        <f t="shared" si="12"/>
        <v>#VALUE!</v>
      </c>
      <c r="S26" s="55" t="e">
        <f t="shared" si="8"/>
        <v>#VALUE!</v>
      </c>
      <c r="T26" s="50" t="e">
        <f t="shared" si="13"/>
        <v>#VALUE!</v>
      </c>
      <c r="U26" s="50" t="e">
        <f t="shared" si="14"/>
        <v>#VALUE!</v>
      </c>
      <c r="V26" s="50" t="e">
        <f t="shared" si="15"/>
        <v>#VALUE!</v>
      </c>
      <c r="AC26" s="59"/>
    </row>
    <row r="27" spans="2:29" x14ac:dyDescent="0.25">
      <c r="B27" s="50" t="b">
        <f t="shared" si="16"/>
        <v>0</v>
      </c>
      <c r="C27" s="50" t="e">
        <f t="shared" si="17"/>
        <v>#VALUE!</v>
      </c>
      <c r="E27" s="56">
        <v>24</v>
      </c>
      <c r="G27" s="143"/>
      <c r="H27" s="135">
        <v>1</v>
      </c>
      <c r="I27" s="58" t="e">
        <f t="shared" si="3"/>
        <v>#VALUE!</v>
      </c>
      <c r="J27" s="50" t="e">
        <f t="shared" si="10"/>
        <v>#VALUE!</v>
      </c>
      <c r="K27" s="50" t="e">
        <f t="shared" si="18"/>
        <v>#VALUE!</v>
      </c>
      <c r="L27" s="50" t="e">
        <f t="shared" si="18"/>
        <v>#VALUE!</v>
      </c>
      <c r="M27" s="50" t="e">
        <f t="shared" si="4"/>
        <v>#VALUE!</v>
      </c>
      <c r="N27" s="50" t="e">
        <f t="shared" si="5"/>
        <v>#VALUE!</v>
      </c>
      <c r="O27" s="50">
        <f t="shared" si="6"/>
        <v>0</v>
      </c>
      <c r="Q27" s="55" t="e">
        <f t="shared" si="7"/>
        <v>#VALUE!</v>
      </c>
      <c r="R27" s="55" t="e">
        <f t="shared" si="12"/>
        <v>#VALUE!</v>
      </c>
      <c r="S27" s="55" t="e">
        <f t="shared" si="8"/>
        <v>#VALUE!</v>
      </c>
      <c r="T27" s="50" t="e">
        <f t="shared" si="13"/>
        <v>#VALUE!</v>
      </c>
      <c r="U27" s="50" t="e">
        <f t="shared" si="14"/>
        <v>#VALUE!</v>
      </c>
      <c r="V27" s="50" t="e">
        <f t="shared" si="15"/>
        <v>#VALUE!</v>
      </c>
      <c r="AC27" s="59"/>
    </row>
    <row r="28" spans="2:29" x14ac:dyDescent="0.25">
      <c r="B28" s="50" t="b">
        <f t="shared" si="16"/>
        <v>0</v>
      </c>
      <c r="C28" s="50" t="e">
        <f t="shared" si="17"/>
        <v>#VALUE!</v>
      </c>
      <c r="E28" s="56">
        <v>25</v>
      </c>
      <c r="G28" s="143"/>
      <c r="H28" s="135">
        <v>1</v>
      </c>
      <c r="I28" s="58" t="e">
        <f t="shared" si="3"/>
        <v>#VALUE!</v>
      </c>
      <c r="J28" s="50" t="e">
        <f t="shared" si="10"/>
        <v>#VALUE!</v>
      </c>
      <c r="K28" s="50" t="e">
        <f t="shared" si="18"/>
        <v>#VALUE!</v>
      </c>
      <c r="L28" s="50" t="e">
        <f t="shared" si="18"/>
        <v>#VALUE!</v>
      </c>
      <c r="M28" s="50" t="e">
        <f t="shared" si="4"/>
        <v>#VALUE!</v>
      </c>
      <c r="N28" s="50" t="e">
        <f t="shared" si="5"/>
        <v>#VALUE!</v>
      </c>
      <c r="O28" s="50">
        <f t="shared" si="6"/>
        <v>0</v>
      </c>
      <c r="Q28" s="55" t="e">
        <f t="shared" si="7"/>
        <v>#VALUE!</v>
      </c>
      <c r="R28" s="55" t="e">
        <f t="shared" si="12"/>
        <v>#VALUE!</v>
      </c>
      <c r="S28" s="55" t="e">
        <f t="shared" si="8"/>
        <v>#VALUE!</v>
      </c>
      <c r="T28" s="50" t="e">
        <f t="shared" si="13"/>
        <v>#VALUE!</v>
      </c>
      <c r="U28" s="50" t="e">
        <f t="shared" si="14"/>
        <v>#VALUE!</v>
      </c>
      <c r="V28" s="50" t="e">
        <f t="shared" si="15"/>
        <v>#VALUE!</v>
      </c>
      <c r="AC28" s="59"/>
    </row>
    <row r="29" spans="2:29" x14ac:dyDescent="0.25">
      <c r="B29" s="50" t="b">
        <f t="shared" si="16"/>
        <v>0</v>
      </c>
      <c r="C29" s="50" t="e">
        <f t="shared" si="17"/>
        <v>#VALUE!</v>
      </c>
      <c r="E29" s="56">
        <v>26</v>
      </c>
      <c r="G29" s="143"/>
      <c r="H29" s="135">
        <v>1</v>
      </c>
      <c r="I29" s="58" t="e">
        <f t="shared" si="3"/>
        <v>#VALUE!</v>
      </c>
      <c r="J29" s="50" t="e">
        <f t="shared" si="10"/>
        <v>#VALUE!</v>
      </c>
      <c r="K29" s="50" t="e">
        <f t="shared" si="18"/>
        <v>#VALUE!</v>
      </c>
      <c r="L29" s="50" t="e">
        <f t="shared" si="18"/>
        <v>#VALUE!</v>
      </c>
      <c r="M29" s="50" t="e">
        <f t="shared" si="4"/>
        <v>#VALUE!</v>
      </c>
      <c r="N29" s="50" t="e">
        <f t="shared" si="5"/>
        <v>#VALUE!</v>
      </c>
      <c r="O29" s="50">
        <f t="shared" si="6"/>
        <v>0</v>
      </c>
      <c r="Q29" s="55" t="e">
        <f t="shared" si="7"/>
        <v>#VALUE!</v>
      </c>
      <c r="R29" s="55" t="e">
        <f t="shared" si="12"/>
        <v>#VALUE!</v>
      </c>
      <c r="S29" s="55" t="e">
        <f t="shared" si="8"/>
        <v>#VALUE!</v>
      </c>
      <c r="T29" s="50" t="e">
        <f t="shared" si="13"/>
        <v>#VALUE!</v>
      </c>
      <c r="U29" s="50" t="e">
        <f t="shared" si="14"/>
        <v>#VALUE!</v>
      </c>
      <c r="V29" s="50" t="e">
        <f t="shared" si="15"/>
        <v>#VALUE!</v>
      </c>
      <c r="AC29" s="59"/>
    </row>
    <row r="30" spans="2:29" x14ac:dyDescent="0.25">
      <c r="B30" s="50" t="b">
        <f t="shared" si="16"/>
        <v>0</v>
      </c>
      <c r="C30" s="50" t="e">
        <f t="shared" si="17"/>
        <v>#VALUE!</v>
      </c>
      <c r="E30" s="56">
        <v>27</v>
      </c>
      <c r="G30" s="143"/>
      <c r="H30" s="135">
        <v>1</v>
      </c>
      <c r="I30" s="58" t="e">
        <f t="shared" si="3"/>
        <v>#VALUE!</v>
      </c>
      <c r="J30" s="50" t="e">
        <f t="shared" si="10"/>
        <v>#VALUE!</v>
      </c>
      <c r="K30" s="50" t="e">
        <f t="shared" si="18"/>
        <v>#VALUE!</v>
      </c>
      <c r="L30" s="50" t="e">
        <f t="shared" si="18"/>
        <v>#VALUE!</v>
      </c>
      <c r="M30" s="50" t="e">
        <f t="shared" si="4"/>
        <v>#VALUE!</v>
      </c>
      <c r="N30" s="50" t="e">
        <f t="shared" si="5"/>
        <v>#VALUE!</v>
      </c>
      <c r="O30" s="50">
        <f t="shared" si="6"/>
        <v>0</v>
      </c>
      <c r="Q30" s="55" t="e">
        <f t="shared" si="7"/>
        <v>#VALUE!</v>
      </c>
      <c r="R30" s="55" t="e">
        <f t="shared" si="12"/>
        <v>#VALUE!</v>
      </c>
      <c r="S30" s="55" t="e">
        <f t="shared" si="8"/>
        <v>#VALUE!</v>
      </c>
      <c r="T30" s="50" t="e">
        <f t="shared" si="13"/>
        <v>#VALUE!</v>
      </c>
      <c r="U30" s="50" t="e">
        <f t="shared" si="14"/>
        <v>#VALUE!</v>
      </c>
      <c r="V30" s="50" t="e">
        <f t="shared" si="15"/>
        <v>#VALUE!</v>
      </c>
      <c r="AC30" s="59"/>
    </row>
    <row r="31" spans="2:29" x14ac:dyDescent="0.25">
      <c r="B31" s="50" t="b">
        <f t="shared" si="16"/>
        <v>0</v>
      </c>
      <c r="C31" s="50" t="e">
        <f t="shared" si="17"/>
        <v>#VALUE!</v>
      </c>
      <c r="E31" s="56">
        <v>28</v>
      </c>
      <c r="G31" s="143"/>
      <c r="H31" s="135">
        <v>1</v>
      </c>
      <c r="I31" s="58" t="e">
        <f t="shared" si="3"/>
        <v>#VALUE!</v>
      </c>
      <c r="J31" s="50" t="e">
        <f t="shared" si="10"/>
        <v>#VALUE!</v>
      </c>
      <c r="K31" s="50" t="e">
        <f t="shared" si="18"/>
        <v>#VALUE!</v>
      </c>
      <c r="L31" s="50" t="e">
        <f t="shared" si="18"/>
        <v>#VALUE!</v>
      </c>
      <c r="M31" s="50" t="e">
        <f t="shared" si="4"/>
        <v>#VALUE!</v>
      </c>
      <c r="N31" s="50" t="e">
        <f t="shared" si="5"/>
        <v>#VALUE!</v>
      </c>
      <c r="O31" s="50">
        <f t="shared" si="6"/>
        <v>0</v>
      </c>
      <c r="Q31" s="55" t="e">
        <f t="shared" si="7"/>
        <v>#VALUE!</v>
      </c>
      <c r="R31" s="55" t="e">
        <f t="shared" si="12"/>
        <v>#VALUE!</v>
      </c>
      <c r="S31" s="55" t="e">
        <f t="shared" si="8"/>
        <v>#VALUE!</v>
      </c>
      <c r="T31" s="50" t="e">
        <f t="shared" si="13"/>
        <v>#VALUE!</v>
      </c>
      <c r="U31" s="50" t="e">
        <f t="shared" si="14"/>
        <v>#VALUE!</v>
      </c>
      <c r="V31" s="50" t="e">
        <f t="shared" si="15"/>
        <v>#VALUE!</v>
      </c>
      <c r="AC31" s="59"/>
    </row>
    <row r="32" spans="2:29" x14ac:dyDescent="0.25">
      <c r="B32" s="50" t="b">
        <f t="shared" si="16"/>
        <v>0</v>
      </c>
      <c r="C32" s="50" t="e">
        <f t="shared" si="17"/>
        <v>#VALUE!</v>
      </c>
      <c r="E32" s="56">
        <v>29</v>
      </c>
      <c r="G32" s="143"/>
      <c r="H32" s="135">
        <v>1</v>
      </c>
      <c r="I32" s="58" t="e">
        <f t="shared" si="3"/>
        <v>#VALUE!</v>
      </c>
      <c r="J32" s="50" t="e">
        <f t="shared" si="10"/>
        <v>#VALUE!</v>
      </c>
      <c r="K32" s="50" t="e">
        <f t="shared" si="18"/>
        <v>#VALUE!</v>
      </c>
      <c r="L32" s="50" t="e">
        <f t="shared" si="18"/>
        <v>#VALUE!</v>
      </c>
      <c r="M32" s="50" t="e">
        <f t="shared" si="4"/>
        <v>#VALUE!</v>
      </c>
      <c r="N32" s="50" t="e">
        <f t="shared" si="5"/>
        <v>#VALUE!</v>
      </c>
      <c r="O32" s="50">
        <f t="shared" si="6"/>
        <v>0</v>
      </c>
      <c r="Q32" s="55" t="e">
        <f t="shared" si="7"/>
        <v>#VALUE!</v>
      </c>
      <c r="R32" s="55" t="e">
        <f t="shared" si="12"/>
        <v>#VALUE!</v>
      </c>
      <c r="S32" s="55" t="e">
        <f t="shared" si="8"/>
        <v>#VALUE!</v>
      </c>
      <c r="T32" s="50" t="e">
        <f t="shared" si="13"/>
        <v>#VALUE!</v>
      </c>
      <c r="U32" s="50" t="e">
        <f t="shared" si="14"/>
        <v>#VALUE!</v>
      </c>
      <c r="V32" s="50" t="e">
        <f t="shared" si="15"/>
        <v>#VALUE!</v>
      </c>
      <c r="AC32" s="59"/>
    </row>
    <row r="33" spans="2:29" x14ac:dyDescent="0.25">
      <c r="B33" s="50" t="b">
        <f t="shared" si="16"/>
        <v>0</v>
      </c>
      <c r="C33" s="50" t="e">
        <f t="shared" si="17"/>
        <v>#VALUE!</v>
      </c>
      <c r="E33" s="56">
        <v>30</v>
      </c>
      <c r="G33" s="143"/>
      <c r="H33" s="135">
        <v>1</v>
      </c>
      <c r="I33" s="58" t="e">
        <f t="shared" si="3"/>
        <v>#VALUE!</v>
      </c>
      <c r="J33" s="50" t="e">
        <f t="shared" si="10"/>
        <v>#VALUE!</v>
      </c>
      <c r="K33" s="50" t="e">
        <f t="shared" si="18"/>
        <v>#VALUE!</v>
      </c>
      <c r="L33" s="50" t="e">
        <f t="shared" si="18"/>
        <v>#VALUE!</v>
      </c>
      <c r="M33" s="50" t="e">
        <f t="shared" si="4"/>
        <v>#VALUE!</v>
      </c>
      <c r="N33" s="50" t="e">
        <f t="shared" si="5"/>
        <v>#VALUE!</v>
      </c>
      <c r="O33" s="50">
        <f t="shared" si="6"/>
        <v>0</v>
      </c>
      <c r="Q33" s="55" t="e">
        <f t="shared" si="7"/>
        <v>#VALUE!</v>
      </c>
      <c r="R33" s="55" t="e">
        <f t="shared" si="12"/>
        <v>#VALUE!</v>
      </c>
      <c r="S33" s="55" t="e">
        <f t="shared" si="8"/>
        <v>#VALUE!</v>
      </c>
      <c r="T33" s="50" t="e">
        <f t="shared" si="13"/>
        <v>#VALUE!</v>
      </c>
      <c r="U33" s="50" t="e">
        <f t="shared" si="14"/>
        <v>#VALUE!</v>
      </c>
      <c r="V33" s="50" t="e">
        <f t="shared" si="15"/>
        <v>#VALUE!</v>
      </c>
      <c r="AC33" s="59"/>
    </row>
    <row r="34" spans="2:29" x14ac:dyDescent="0.25">
      <c r="B34" s="50" t="b">
        <f t="shared" si="16"/>
        <v>0</v>
      </c>
      <c r="C34" s="50" t="e">
        <f t="shared" si="17"/>
        <v>#VALUE!</v>
      </c>
      <c r="E34" s="56">
        <v>31</v>
      </c>
      <c r="G34" s="143"/>
      <c r="H34" s="135">
        <v>1</v>
      </c>
      <c r="I34" s="58" t="e">
        <f t="shared" si="3"/>
        <v>#VALUE!</v>
      </c>
      <c r="J34" s="50" t="e">
        <f t="shared" si="10"/>
        <v>#VALUE!</v>
      </c>
      <c r="K34" s="50" t="e">
        <f t="shared" si="18"/>
        <v>#VALUE!</v>
      </c>
      <c r="L34" s="50" t="e">
        <f t="shared" si="18"/>
        <v>#VALUE!</v>
      </c>
      <c r="M34" s="50" t="e">
        <f t="shared" si="4"/>
        <v>#VALUE!</v>
      </c>
      <c r="N34" s="50" t="e">
        <f t="shared" si="5"/>
        <v>#VALUE!</v>
      </c>
      <c r="O34" s="50">
        <f t="shared" si="6"/>
        <v>0</v>
      </c>
      <c r="Q34" s="55" t="e">
        <f t="shared" si="7"/>
        <v>#VALUE!</v>
      </c>
      <c r="R34" s="55" t="e">
        <f t="shared" si="12"/>
        <v>#VALUE!</v>
      </c>
      <c r="S34" s="55" t="e">
        <f t="shared" si="8"/>
        <v>#VALUE!</v>
      </c>
      <c r="T34" s="50" t="e">
        <f t="shared" si="13"/>
        <v>#VALUE!</v>
      </c>
      <c r="U34" s="50" t="e">
        <f t="shared" si="14"/>
        <v>#VALUE!</v>
      </c>
      <c r="V34" s="50" t="e">
        <f t="shared" si="15"/>
        <v>#VALUE!</v>
      </c>
      <c r="AC34" s="59"/>
    </row>
    <row r="35" spans="2:29" x14ac:dyDescent="0.25">
      <c r="B35" s="50" t="b">
        <f t="shared" si="16"/>
        <v>0</v>
      </c>
      <c r="C35" s="50" t="e">
        <f t="shared" si="17"/>
        <v>#VALUE!</v>
      </c>
      <c r="E35" s="56">
        <v>32</v>
      </c>
      <c r="G35" s="143"/>
      <c r="H35" s="135">
        <v>1</v>
      </c>
      <c r="I35" s="58" t="e">
        <f t="shared" si="3"/>
        <v>#VALUE!</v>
      </c>
      <c r="J35" s="50" t="e">
        <f t="shared" si="10"/>
        <v>#VALUE!</v>
      </c>
      <c r="K35" s="50" t="e">
        <f t="shared" si="18"/>
        <v>#VALUE!</v>
      </c>
      <c r="L35" s="50" t="e">
        <f t="shared" si="18"/>
        <v>#VALUE!</v>
      </c>
      <c r="M35" s="50" t="e">
        <f t="shared" si="4"/>
        <v>#VALUE!</v>
      </c>
      <c r="N35" s="50" t="e">
        <f t="shared" si="5"/>
        <v>#VALUE!</v>
      </c>
      <c r="O35" s="50">
        <f t="shared" si="6"/>
        <v>0</v>
      </c>
      <c r="Q35" s="55" t="e">
        <f t="shared" si="7"/>
        <v>#VALUE!</v>
      </c>
      <c r="R35" s="55" t="e">
        <f t="shared" si="12"/>
        <v>#VALUE!</v>
      </c>
      <c r="S35" s="55" t="e">
        <f t="shared" si="8"/>
        <v>#VALUE!</v>
      </c>
      <c r="T35" s="50" t="e">
        <f t="shared" si="13"/>
        <v>#VALUE!</v>
      </c>
      <c r="U35" s="50" t="e">
        <f t="shared" si="14"/>
        <v>#VALUE!</v>
      </c>
      <c r="V35" s="50" t="e">
        <f t="shared" si="15"/>
        <v>#VALUE!</v>
      </c>
      <c r="AC35" s="59"/>
    </row>
    <row r="36" spans="2:29" x14ac:dyDescent="0.25">
      <c r="B36" s="50" t="b">
        <f t="shared" si="16"/>
        <v>0</v>
      </c>
      <c r="C36" s="50" t="e">
        <f t="shared" si="17"/>
        <v>#VALUE!</v>
      </c>
      <c r="E36" s="56">
        <v>33</v>
      </c>
      <c r="G36" s="143"/>
      <c r="H36" s="135">
        <v>1</v>
      </c>
      <c r="I36" s="58" t="e">
        <f t="shared" si="3"/>
        <v>#VALUE!</v>
      </c>
      <c r="J36" s="50" t="e">
        <f t="shared" si="10"/>
        <v>#VALUE!</v>
      </c>
      <c r="K36" s="50" t="e">
        <f t="shared" si="18"/>
        <v>#VALUE!</v>
      </c>
      <c r="L36" s="50" t="e">
        <f t="shared" si="18"/>
        <v>#VALUE!</v>
      </c>
      <c r="M36" s="50" t="e">
        <f t="shared" si="4"/>
        <v>#VALUE!</v>
      </c>
      <c r="N36" s="50" t="e">
        <f t="shared" si="5"/>
        <v>#VALUE!</v>
      </c>
      <c r="O36" s="50">
        <f t="shared" si="6"/>
        <v>0</v>
      </c>
      <c r="Q36" s="55" t="e">
        <f t="shared" si="7"/>
        <v>#VALUE!</v>
      </c>
      <c r="R36" s="55" t="e">
        <f t="shared" si="12"/>
        <v>#VALUE!</v>
      </c>
      <c r="S36" s="55" t="e">
        <f t="shared" si="8"/>
        <v>#VALUE!</v>
      </c>
      <c r="T36" s="50" t="e">
        <f t="shared" si="13"/>
        <v>#VALUE!</v>
      </c>
      <c r="U36" s="50" t="e">
        <f t="shared" si="14"/>
        <v>#VALUE!</v>
      </c>
      <c r="V36" s="50" t="e">
        <f t="shared" si="15"/>
        <v>#VALUE!</v>
      </c>
      <c r="AC36" s="59"/>
    </row>
    <row r="37" spans="2:29" x14ac:dyDescent="0.25">
      <c r="B37" s="50" t="b">
        <f t="shared" si="16"/>
        <v>0</v>
      </c>
      <c r="C37" s="50" t="e">
        <f t="shared" si="17"/>
        <v>#VALUE!</v>
      </c>
      <c r="E37" s="56">
        <v>34</v>
      </c>
      <c r="G37" s="143"/>
      <c r="H37" s="135">
        <v>1</v>
      </c>
      <c r="I37" s="58" t="e">
        <f t="shared" si="3"/>
        <v>#VALUE!</v>
      </c>
      <c r="J37" s="50" t="e">
        <f t="shared" si="10"/>
        <v>#VALUE!</v>
      </c>
      <c r="K37" s="50" t="e">
        <f t="shared" si="18"/>
        <v>#VALUE!</v>
      </c>
      <c r="L37" s="50" t="e">
        <f t="shared" si="18"/>
        <v>#VALUE!</v>
      </c>
      <c r="M37" s="50" t="e">
        <f t="shared" si="4"/>
        <v>#VALUE!</v>
      </c>
      <c r="N37" s="50" t="e">
        <f t="shared" si="5"/>
        <v>#VALUE!</v>
      </c>
      <c r="O37" s="50">
        <f t="shared" si="6"/>
        <v>0</v>
      </c>
      <c r="Q37" s="55" t="e">
        <f t="shared" si="7"/>
        <v>#VALUE!</v>
      </c>
      <c r="R37" s="55" t="e">
        <f t="shared" si="12"/>
        <v>#VALUE!</v>
      </c>
      <c r="S37" s="55" t="e">
        <f t="shared" si="8"/>
        <v>#VALUE!</v>
      </c>
      <c r="T37" s="50" t="e">
        <f t="shared" si="13"/>
        <v>#VALUE!</v>
      </c>
      <c r="U37" s="50" t="e">
        <f t="shared" si="14"/>
        <v>#VALUE!</v>
      </c>
      <c r="V37" s="50" t="e">
        <f t="shared" si="15"/>
        <v>#VALUE!</v>
      </c>
      <c r="AC37" s="59"/>
    </row>
    <row r="38" spans="2:29" x14ac:dyDescent="0.25">
      <c r="B38" s="50" t="b">
        <f t="shared" si="16"/>
        <v>0</v>
      </c>
      <c r="C38" s="50" t="e">
        <f t="shared" si="17"/>
        <v>#VALUE!</v>
      </c>
      <c r="E38" s="56">
        <v>35</v>
      </c>
      <c r="G38" s="143"/>
      <c r="H38" s="135">
        <v>1</v>
      </c>
      <c r="I38" s="58" t="e">
        <f t="shared" si="3"/>
        <v>#VALUE!</v>
      </c>
      <c r="J38" s="50" t="e">
        <f t="shared" si="10"/>
        <v>#VALUE!</v>
      </c>
      <c r="K38" s="50" t="e">
        <f t="shared" si="18"/>
        <v>#VALUE!</v>
      </c>
      <c r="L38" s="50" t="e">
        <f t="shared" si="18"/>
        <v>#VALUE!</v>
      </c>
      <c r="M38" s="50" t="e">
        <f t="shared" si="4"/>
        <v>#VALUE!</v>
      </c>
      <c r="N38" s="50" t="e">
        <f t="shared" si="5"/>
        <v>#VALUE!</v>
      </c>
      <c r="O38" s="50">
        <f t="shared" si="6"/>
        <v>0</v>
      </c>
      <c r="Q38" s="55" t="e">
        <f t="shared" si="7"/>
        <v>#VALUE!</v>
      </c>
      <c r="R38" s="55" t="e">
        <f t="shared" si="12"/>
        <v>#VALUE!</v>
      </c>
      <c r="S38" s="55" t="e">
        <f t="shared" si="8"/>
        <v>#VALUE!</v>
      </c>
      <c r="T38" s="50" t="e">
        <f t="shared" si="13"/>
        <v>#VALUE!</v>
      </c>
      <c r="U38" s="50" t="e">
        <f t="shared" si="14"/>
        <v>#VALUE!</v>
      </c>
      <c r="V38" s="50" t="e">
        <f t="shared" si="15"/>
        <v>#VALUE!</v>
      </c>
      <c r="AC38" s="59"/>
    </row>
    <row r="39" spans="2:29" x14ac:dyDescent="0.25">
      <c r="B39" s="50" t="b">
        <f t="shared" si="16"/>
        <v>0</v>
      </c>
      <c r="C39" s="50" t="e">
        <f t="shared" si="17"/>
        <v>#VALUE!</v>
      </c>
      <c r="E39" s="56">
        <v>36</v>
      </c>
      <c r="G39" s="143"/>
      <c r="H39" s="135">
        <v>1</v>
      </c>
      <c r="I39" s="58" t="e">
        <f t="shared" si="3"/>
        <v>#VALUE!</v>
      </c>
      <c r="J39" s="50" t="e">
        <f t="shared" si="10"/>
        <v>#VALUE!</v>
      </c>
      <c r="K39" s="50" t="e">
        <f t="shared" si="18"/>
        <v>#VALUE!</v>
      </c>
      <c r="L39" s="50" t="e">
        <f t="shared" si="18"/>
        <v>#VALUE!</v>
      </c>
      <c r="M39" s="50" t="e">
        <f t="shared" si="4"/>
        <v>#VALUE!</v>
      </c>
      <c r="N39" s="50" t="e">
        <f t="shared" si="5"/>
        <v>#VALUE!</v>
      </c>
      <c r="O39" s="50">
        <f t="shared" si="6"/>
        <v>0</v>
      </c>
      <c r="Q39" s="55" t="e">
        <f t="shared" si="7"/>
        <v>#VALUE!</v>
      </c>
      <c r="R39" s="55" t="e">
        <f t="shared" si="12"/>
        <v>#VALUE!</v>
      </c>
      <c r="S39" s="55" t="e">
        <f t="shared" si="8"/>
        <v>#VALUE!</v>
      </c>
      <c r="T39" s="50" t="e">
        <f t="shared" si="13"/>
        <v>#VALUE!</v>
      </c>
      <c r="U39" s="50" t="e">
        <f t="shared" si="14"/>
        <v>#VALUE!</v>
      </c>
      <c r="V39" s="50" t="e">
        <f t="shared" si="15"/>
        <v>#VALUE!</v>
      </c>
      <c r="AC39" s="59"/>
    </row>
    <row r="40" spans="2:29" x14ac:dyDescent="0.25">
      <c r="B40" s="50" t="b">
        <f t="shared" si="16"/>
        <v>0</v>
      </c>
      <c r="C40" s="50" t="e">
        <f t="shared" si="17"/>
        <v>#VALUE!</v>
      </c>
      <c r="E40" s="56">
        <v>37</v>
      </c>
      <c r="G40" s="143"/>
      <c r="H40" s="135">
        <v>1</v>
      </c>
      <c r="I40" s="58" t="e">
        <f t="shared" si="3"/>
        <v>#VALUE!</v>
      </c>
      <c r="J40" s="50" t="e">
        <f t="shared" si="10"/>
        <v>#VALUE!</v>
      </c>
      <c r="K40" s="50" t="e">
        <f t="shared" si="18"/>
        <v>#VALUE!</v>
      </c>
      <c r="L40" s="50" t="e">
        <f t="shared" si="18"/>
        <v>#VALUE!</v>
      </c>
      <c r="M40" s="50" t="e">
        <f t="shared" si="4"/>
        <v>#VALUE!</v>
      </c>
      <c r="N40" s="50" t="e">
        <f t="shared" si="5"/>
        <v>#VALUE!</v>
      </c>
      <c r="O40" s="50">
        <f t="shared" si="6"/>
        <v>0</v>
      </c>
      <c r="Q40" s="55" t="e">
        <f t="shared" si="7"/>
        <v>#VALUE!</v>
      </c>
      <c r="R40" s="55" t="e">
        <f t="shared" si="12"/>
        <v>#VALUE!</v>
      </c>
      <c r="S40" s="55" t="e">
        <f t="shared" si="8"/>
        <v>#VALUE!</v>
      </c>
      <c r="T40" s="50" t="e">
        <f t="shared" si="13"/>
        <v>#VALUE!</v>
      </c>
      <c r="U40" s="50" t="e">
        <f t="shared" si="14"/>
        <v>#VALUE!</v>
      </c>
      <c r="V40" s="50" t="e">
        <f t="shared" si="15"/>
        <v>#VALUE!</v>
      </c>
      <c r="AC40" s="59"/>
    </row>
    <row r="41" spans="2:29" x14ac:dyDescent="0.25">
      <c r="B41" s="50" t="b">
        <f t="shared" si="16"/>
        <v>0</v>
      </c>
      <c r="C41" s="50" t="e">
        <f t="shared" si="17"/>
        <v>#VALUE!</v>
      </c>
      <c r="E41" s="56">
        <v>38</v>
      </c>
      <c r="G41" s="143"/>
      <c r="H41" s="135">
        <v>1</v>
      </c>
      <c r="I41" s="58" t="e">
        <f t="shared" si="3"/>
        <v>#VALUE!</v>
      </c>
      <c r="J41" s="50" t="e">
        <f t="shared" si="10"/>
        <v>#VALUE!</v>
      </c>
      <c r="K41" s="50" t="e">
        <f t="shared" si="18"/>
        <v>#VALUE!</v>
      </c>
      <c r="L41" s="50" t="e">
        <f t="shared" si="18"/>
        <v>#VALUE!</v>
      </c>
      <c r="M41" s="50" t="e">
        <f t="shared" si="4"/>
        <v>#VALUE!</v>
      </c>
      <c r="N41" s="50" t="e">
        <f t="shared" si="5"/>
        <v>#VALUE!</v>
      </c>
      <c r="O41" s="50">
        <f t="shared" si="6"/>
        <v>0</v>
      </c>
      <c r="Q41" s="55" t="e">
        <f t="shared" si="7"/>
        <v>#VALUE!</v>
      </c>
      <c r="R41" s="55" t="e">
        <f t="shared" si="12"/>
        <v>#VALUE!</v>
      </c>
      <c r="S41" s="55" t="e">
        <f t="shared" si="8"/>
        <v>#VALUE!</v>
      </c>
      <c r="T41" s="50" t="e">
        <f t="shared" si="13"/>
        <v>#VALUE!</v>
      </c>
      <c r="U41" s="50" t="e">
        <f t="shared" si="14"/>
        <v>#VALUE!</v>
      </c>
      <c r="V41" s="50" t="e">
        <f t="shared" si="15"/>
        <v>#VALUE!</v>
      </c>
      <c r="AC41" s="59"/>
    </row>
    <row r="42" spans="2:29" x14ac:dyDescent="0.25">
      <c r="B42" s="50" t="b">
        <f t="shared" si="16"/>
        <v>0</v>
      </c>
      <c r="C42" s="50" t="e">
        <f t="shared" si="17"/>
        <v>#VALUE!</v>
      </c>
      <c r="E42" s="56">
        <v>39</v>
      </c>
      <c r="G42" s="143"/>
      <c r="H42" s="135">
        <v>1</v>
      </c>
      <c r="I42" s="58" t="e">
        <f t="shared" si="3"/>
        <v>#VALUE!</v>
      </c>
      <c r="J42" s="50" t="e">
        <f t="shared" si="10"/>
        <v>#VALUE!</v>
      </c>
      <c r="K42" s="50" t="e">
        <f t="shared" si="18"/>
        <v>#VALUE!</v>
      </c>
      <c r="L42" s="50" t="e">
        <f t="shared" si="18"/>
        <v>#VALUE!</v>
      </c>
      <c r="M42" s="50" t="e">
        <f t="shared" si="4"/>
        <v>#VALUE!</v>
      </c>
      <c r="N42" s="50" t="e">
        <f t="shared" si="5"/>
        <v>#VALUE!</v>
      </c>
      <c r="O42" s="50">
        <f t="shared" si="6"/>
        <v>0</v>
      </c>
      <c r="Q42" s="55" t="e">
        <f t="shared" si="7"/>
        <v>#VALUE!</v>
      </c>
      <c r="R42" s="55" t="e">
        <f t="shared" si="12"/>
        <v>#VALUE!</v>
      </c>
      <c r="S42" s="55" t="e">
        <f t="shared" si="8"/>
        <v>#VALUE!</v>
      </c>
      <c r="T42" s="50" t="e">
        <f t="shared" si="13"/>
        <v>#VALUE!</v>
      </c>
      <c r="U42" s="50" t="e">
        <f t="shared" si="14"/>
        <v>#VALUE!</v>
      </c>
      <c r="V42" s="50" t="e">
        <f t="shared" si="15"/>
        <v>#VALUE!</v>
      </c>
      <c r="AC42" s="59"/>
    </row>
    <row r="43" spans="2:29" x14ac:dyDescent="0.25">
      <c r="B43" s="50" t="b">
        <f t="shared" si="16"/>
        <v>0</v>
      </c>
      <c r="C43" s="50" t="e">
        <f t="shared" si="17"/>
        <v>#VALUE!</v>
      </c>
      <c r="E43" s="56">
        <v>40</v>
      </c>
      <c r="G43" s="143"/>
      <c r="H43" s="135">
        <v>1</v>
      </c>
      <c r="I43" s="58" t="e">
        <f t="shared" si="3"/>
        <v>#VALUE!</v>
      </c>
      <c r="J43" s="50" t="e">
        <f t="shared" si="10"/>
        <v>#VALUE!</v>
      </c>
      <c r="K43" s="50" t="e">
        <f t="shared" si="18"/>
        <v>#VALUE!</v>
      </c>
      <c r="L43" s="50" t="e">
        <f t="shared" si="18"/>
        <v>#VALUE!</v>
      </c>
      <c r="M43" s="50" t="e">
        <f t="shared" si="4"/>
        <v>#VALUE!</v>
      </c>
      <c r="N43" s="50" t="e">
        <f t="shared" si="5"/>
        <v>#VALUE!</v>
      </c>
      <c r="O43" s="50">
        <f t="shared" si="6"/>
        <v>0</v>
      </c>
      <c r="Q43" s="55" t="e">
        <f t="shared" si="7"/>
        <v>#VALUE!</v>
      </c>
      <c r="R43" s="55" t="e">
        <f t="shared" si="12"/>
        <v>#VALUE!</v>
      </c>
      <c r="S43" s="55" t="e">
        <f t="shared" si="8"/>
        <v>#VALUE!</v>
      </c>
      <c r="T43" s="50" t="e">
        <f t="shared" si="13"/>
        <v>#VALUE!</v>
      </c>
      <c r="U43" s="50" t="e">
        <f t="shared" si="14"/>
        <v>#VALUE!</v>
      </c>
      <c r="V43" s="50" t="e">
        <f t="shared" si="15"/>
        <v>#VALUE!</v>
      </c>
      <c r="AC43" s="59"/>
    </row>
    <row r="44" spans="2:29" x14ac:dyDescent="0.25">
      <c r="B44" s="50" t="b">
        <f t="shared" si="16"/>
        <v>0</v>
      </c>
      <c r="C44" s="50" t="e">
        <f t="shared" si="17"/>
        <v>#VALUE!</v>
      </c>
      <c r="E44" s="56">
        <v>41</v>
      </c>
      <c r="G44" s="143"/>
      <c r="H44" s="135">
        <v>1</v>
      </c>
      <c r="I44" s="58" t="e">
        <f t="shared" si="3"/>
        <v>#VALUE!</v>
      </c>
      <c r="J44" s="50" t="e">
        <f t="shared" si="10"/>
        <v>#VALUE!</v>
      </c>
      <c r="K44" s="50" t="e">
        <f t="shared" si="18"/>
        <v>#VALUE!</v>
      </c>
      <c r="L44" s="50" t="e">
        <f t="shared" si="18"/>
        <v>#VALUE!</v>
      </c>
      <c r="M44" s="50" t="e">
        <f t="shared" si="4"/>
        <v>#VALUE!</v>
      </c>
      <c r="N44" s="50" t="e">
        <f t="shared" si="5"/>
        <v>#VALUE!</v>
      </c>
      <c r="O44" s="50">
        <f t="shared" si="6"/>
        <v>0</v>
      </c>
      <c r="Q44" s="55" t="e">
        <f t="shared" si="7"/>
        <v>#VALUE!</v>
      </c>
      <c r="R44" s="55" t="e">
        <f t="shared" si="12"/>
        <v>#VALUE!</v>
      </c>
      <c r="S44" s="55" t="e">
        <f t="shared" si="8"/>
        <v>#VALUE!</v>
      </c>
      <c r="T44" s="50" t="e">
        <f t="shared" si="13"/>
        <v>#VALUE!</v>
      </c>
      <c r="U44" s="50" t="e">
        <f t="shared" si="14"/>
        <v>#VALUE!</v>
      </c>
      <c r="V44" s="50" t="e">
        <f t="shared" si="15"/>
        <v>#VALUE!</v>
      </c>
      <c r="AC44" s="59"/>
    </row>
    <row r="45" spans="2:29" x14ac:dyDescent="0.25">
      <c r="B45" s="50" t="b">
        <f t="shared" si="16"/>
        <v>0</v>
      </c>
      <c r="C45" s="50" t="e">
        <f t="shared" si="17"/>
        <v>#VALUE!</v>
      </c>
      <c r="E45" s="56">
        <v>42</v>
      </c>
      <c r="G45" s="143"/>
      <c r="H45" s="135">
        <v>1</v>
      </c>
      <c r="I45" s="58" t="e">
        <f t="shared" si="3"/>
        <v>#VALUE!</v>
      </c>
      <c r="J45" s="50" t="e">
        <f t="shared" si="10"/>
        <v>#VALUE!</v>
      </c>
      <c r="K45" s="50" t="e">
        <f t="shared" si="18"/>
        <v>#VALUE!</v>
      </c>
      <c r="L45" s="50" t="e">
        <f t="shared" si="18"/>
        <v>#VALUE!</v>
      </c>
      <c r="M45" s="50" t="e">
        <f t="shared" si="4"/>
        <v>#VALUE!</v>
      </c>
      <c r="N45" s="50" t="e">
        <f t="shared" si="5"/>
        <v>#VALUE!</v>
      </c>
      <c r="O45" s="50">
        <f t="shared" si="6"/>
        <v>0</v>
      </c>
      <c r="Q45" s="55" t="e">
        <f t="shared" si="7"/>
        <v>#VALUE!</v>
      </c>
      <c r="R45" s="55" t="e">
        <f t="shared" si="12"/>
        <v>#VALUE!</v>
      </c>
      <c r="S45" s="55" t="e">
        <f t="shared" si="8"/>
        <v>#VALUE!</v>
      </c>
      <c r="T45" s="50" t="e">
        <f t="shared" si="13"/>
        <v>#VALUE!</v>
      </c>
      <c r="U45" s="50" t="e">
        <f t="shared" si="14"/>
        <v>#VALUE!</v>
      </c>
      <c r="V45" s="50" t="e">
        <f t="shared" si="15"/>
        <v>#VALUE!</v>
      </c>
      <c r="AC45" s="59"/>
    </row>
    <row r="46" spans="2:29" x14ac:dyDescent="0.25">
      <c r="B46" s="50" t="b">
        <f t="shared" si="16"/>
        <v>0</v>
      </c>
      <c r="C46" s="50" t="e">
        <f t="shared" si="17"/>
        <v>#VALUE!</v>
      </c>
      <c r="E46" s="56">
        <v>43</v>
      </c>
      <c r="G46" s="143"/>
      <c r="H46" s="135">
        <v>1</v>
      </c>
      <c r="I46" s="58" t="e">
        <f t="shared" si="3"/>
        <v>#VALUE!</v>
      </c>
      <c r="J46" s="50" t="e">
        <f t="shared" si="10"/>
        <v>#VALUE!</v>
      </c>
      <c r="K46" s="50" t="e">
        <f t="shared" si="18"/>
        <v>#VALUE!</v>
      </c>
      <c r="L46" s="50" t="e">
        <f t="shared" si="18"/>
        <v>#VALUE!</v>
      </c>
      <c r="M46" s="50" t="e">
        <f t="shared" si="4"/>
        <v>#VALUE!</v>
      </c>
      <c r="N46" s="50" t="e">
        <f t="shared" si="5"/>
        <v>#VALUE!</v>
      </c>
      <c r="O46" s="50">
        <f t="shared" si="6"/>
        <v>0</v>
      </c>
      <c r="Q46" s="55" t="e">
        <f t="shared" si="7"/>
        <v>#VALUE!</v>
      </c>
      <c r="R46" s="55" t="e">
        <f t="shared" si="12"/>
        <v>#VALUE!</v>
      </c>
      <c r="S46" s="55" t="e">
        <f t="shared" si="8"/>
        <v>#VALUE!</v>
      </c>
      <c r="T46" s="50" t="e">
        <f t="shared" si="13"/>
        <v>#VALUE!</v>
      </c>
      <c r="U46" s="50" t="e">
        <f t="shared" si="14"/>
        <v>#VALUE!</v>
      </c>
      <c r="V46" s="50" t="e">
        <f t="shared" si="15"/>
        <v>#VALUE!</v>
      </c>
      <c r="AC46" s="59"/>
    </row>
    <row r="47" spans="2:29" x14ac:dyDescent="0.25">
      <c r="B47" s="50" t="b">
        <f t="shared" si="16"/>
        <v>0</v>
      </c>
      <c r="C47" s="50" t="e">
        <f t="shared" si="17"/>
        <v>#VALUE!</v>
      </c>
      <c r="E47" s="56">
        <v>44</v>
      </c>
      <c r="G47" s="143"/>
      <c r="H47" s="135">
        <v>1</v>
      </c>
      <c r="I47" s="58" t="e">
        <f t="shared" si="3"/>
        <v>#VALUE!</v>
      </c>
      <c r="J47" s="50" t="e">
        <f t="shared" si="10"/>
        <v>#VALUE!</v>
      </c>
      <c r="K47" s="50" t="e">
        <f t="shared" si="18"/>
        <v>#VALUE!</v>
      </c>
      <c r="L47" s="50" t="e">
        <f t="shared" si="18"/>
        <v>#VALUE!</v>
      </c>
      <c r="M47" s="50" t="e">
        <f t="shared" si="4"/>
        <v>#VALUE!</v>
      </c>
      <c r="N47" s="50" t="e">
        <f t="shared" si="5"/>
        <v>#VALUE!</v>
      </c>
      <c r="O47" s="50">
        <f t="shared" si="6"/>
        <v>0</v>
      </c>
      <c r="Q47" s="55" t="e">
        <f t="shared" si="7"/>
        <v>#VALUE!</v>
      </c>
      <c r="R47" s="55" t="e">
        <f t="shared" si="12"/>
        <v>#VALUE!</v>
      </c>
      <c r="S47" s="55" t="e">
        <f t="shared" si="8"/>
        <v>#VALUE!</v>
      </c>
      <c r="T47" s="50" t="e">
        <f t="shared" si="13"/>
        <v>#VALUE!</v>
      </c>
      <c r="U47" s="50" t="e">
        <f t="shared" si="14"/>
        <v>#VALUE!</v>
      </c>
      <c r="V47" s="50" t="e">
        <f t="shared" si="15"/>
        <v>#VALUE!</v>
      </c>
      <c r="AC47" s="59"/>
    </row>
    <row r="48" spans="2:29" x14ac:dyDescent="0.25">
      <c r="B48" s="50" t="b">
        <f t="shared" si="16"/>
        <v>0</v>
      </c>
      <c r="C48" s="50" t="e">
        <f t="shared" si="17"/>
        <v>#VALUE!</v>
      </c>
      <c r="E48" s="56">
        <v>45</v>
      </c>
      <c r="G48" s="143"/>
      <c r="H48" s="135">
        <v>1</v>
      </c>
      <c r="I48" s="58" t="e">
        <f t="shared" si="3"/>
        <v>#VALUE!</v>
      </c>
      <c r="J48" s="50" t="e">
        <f t="shared" si="10"/>
        <v>#VALUE!</v>
      </c>
      <c r="K48" s="50" t="e">
        <f t="shared" si="18"/>
        <v>#VALUE!</v>
      </c>
      <c r="L48" s="50" t="e">
        <f t="shared" si="18"/>
        <v>#VALUE!</v>
      </c>
      <c r="M48" s="50" t="e">
        <f t="shared" si="4"/>
        <v>#VALUE!</v>
      </c>
      <c r="N48" s="50" t="e">
        <f t="shared" si="5"/>
        <v>#VALUE!</v>
      </c>
      <c r="O48" s="50">
        <f t="shared" si="6"/>
        <v>0</v>
      </c>
      <c r="Q48" s="55" t="e">
        <f t="shared" si="7"/>
        <v>#VALUE!</v>
      </c>
      <c r="R48" s="55" t="e">
        <f t="shared" si="12"/>
        <v>#VALUE!</v>
      </c>
      <c r="S48" s="55" t="e">
        <f t="shared" si="8"/>
        <v>#VALUE!</v>
      </c>
      <c r="T48" s="50" t="e">
        <f t="shared" si="13"/>
        <v>#VALUE!</v>
      </c>
      <c r="U48" s="50" t="e">
        <f t="shared" si="14"/>
        <v>#VALUE!</v>
      </c>
      <c r="V48" s="50" t="e">
        <f t="shared" si="15"/>
        <v>#VALUE!</v>
      </c>
      <c r="AC48" s="59"/>
    </row>
    <row r="49" spans="2:29" x14ac:dyDescent="0.25">
      <c r="B49" s="50" t="b">
        <f t="shared" si="16"/>
        <v>0</v>
      </c>
      <c r="C49" s="50" t="e">
        <f t="shared" si="17"/>
        <v>#VALUE!</v>
      </c>
      <c r="E49" s="56">
        <v>46</v>
      </c>
      <c r="G49" s="143"/>
      <c r="H49" s="135">
        <v>1</v>
      </c>
      <c r="I49" s="58" t="e">
        <f t="shared" si="3"/>
        <v>#VALUE!</v>
      </c>
      <c r="J49" s="50" t="e">
        <f t="shared" si="10"/>
        <v>#VALUE!</v>
      </c>
      <c r="K49" s="50" t="e">
        <f t="shared" si="18"/>
        <v>#VALUE!</v>
      </c>
      <c r="L49" s="50" t="e">
        <f t="shared" si="18"/>
        <v>#VALUE!</v>
      </c>
      <c r="M49" s="50" t="e">
        <f t="shared" si="4"/>
        <v>#VALUE!</v>
      </c>
      <c r="N49" s="50" t="e">
        <f t="shared" si="5"/>
        <v>#VALUE!</v>
      </c>
      <c r="O49" s="50">
        <f t="shared" si="6"/>
        <v>0</v>
      </c>
      <c r="Q49" s="55" t="e">
        <f t="shared" si="7"/>
        <v>#VALUE!</v>
      </c>
      <c r="R49" s="55" t="e">
        <f t="shared" si="12"/>
        <v>#VALUE!</v>
      </c>
      <c r="S49" s="55" t="e">
        <f t="shared" si="8"/>
        <v>#VALUE!</v>
      </c>
      <c r="T49" s="50" t="e">
        <f t="shared" si="13"/>
        <v>#VALUE!</v>
      </c>
      <c r="U49" s="50" t="e">
        <f t="shared" si="14"/>
        <v>#VALUE!</v>
      </c>
      <c r="V49" s="50" t="e">
        <f t="shared" si="15"/>
        <v>#VALUE!</v>
      </c>
      <c r="AC49" s="59"/>
    </row>
    <row r="50" spans="2:29" x14ac:dyDescent="0.25">
      <c r="B50" s="50" t="b">
        <f t="shared" si="16"/>
        <v>0</v>
      </c>
      <c r="C50" s="50" t="e">
        <f t="shared" si="17"/>
        <v>#VALUE!</v>
      </c>
      <c r="E50" s="56">
        <v>47</v>
      </c>
      <c r="G50" s="143"/>
      <c r="H50" s="135">
        <v>1</v>
      </c>
      <c r="I50" s="58" t="e">
        <f t="shared" si="3"/>
        <v>#VALUE!</v>
      </c>
      <c r="J50" s="50" t="e">
        <f t="shared" si="10"/>
        <v>#VALUE!</v>
      </c>
      <c r="K50" s="50" t="e">
        <f t="shared" si="18"/>
        <v>#VALUE!</v>
      </c>
      <c r="L50" s="50" t="e">
        <f t="shared" si="18"/>
        <v>#VALUE!</v>
      </c>
      <c r="M50" s="50" t="e">
        <f t="shared" si="4"/>
        <v>#VALUE!</v>
      </c>
      <c r="N50" s="50" t="e">
        <f t="shared" si="5"/>
        <v>#VALUE!</v>
      </c>
      <c r="O50" s="50">
        <f t="shared" si="6"/>
        <v>0</v>
      </c>
      <c r="Q50" s="55" t="e">
        <f t="shared" si="7"/>
        <v>#VALUE!</v>
      </c>
      <c r="R50" s="55" t="e">
        <f t="shared" si="12"/>
        <v>#VALUE!</v>
      </c>
      <c r="S50" s="55" t="e">
        <f t="shared" si="8"/>
        <v>#VALUE!</v>
      </c>
      <c r="T50" s="50" t="e">
        <f t="shared" si="13"/>
        <v>#VALUE!</v>
      </c>
      <c r="U50" s="50" t="e">
        <f t="shared" si="14"/>
        <v>#VALUE!</v>
      </c>
      <c r="V50" s="50" t="e">
        <f t="shared" si="15"/>
        <v>#VALUE!</v>
      </c>
      <c r="AC50" s="59"/>
    </row>
    <row r="51" spans="2:29" x14ac:dyDescent="0.25">
      <c r="B51" s="50" t="b">
        <f t="shared" si="16"/>
        <v>0</v>
      </c>
      <c r="C51" s="50" t="e">
        <f t="shared" si="17"/>
        <v>#VALUE!</v>
      </c>
      <c r="E51" s="56">
        <v>48</v>
      </c>
      <c r="G51" s="143"/>
      <c r="H51" s="135">
        <v>1</v>
      </c>
      <c r="I51" s="58" t="e">
        <f t="shared" si="3"/>
        <v>#VALUE!</v>
      </c>
      <c r="J51" s="50" t="e">
        <f t="shared" si="10"/>
        <v>#VALUE!</v>
      </c>
      <c r="K51" s="50" t="e">
        <f t="shared" si="18"/>
        <v>#VALUE!</v>
      </c>
      <c r="L51" s="50" t="e">
        <f t="shared" si="18"/>
        <v>#VALUE!</v>
      </c>
      <c r="M51" s="50" t="e">
        <f t="shared" si="4"/>
        <v>#VALUE!</v>
      </c>
      <c r="N51" s="50" t="e">
        <f t="shared" si="5"/>
        <v>#VALUE!</v>
      </c>
      <c r="O51" s="50">
        <f t="shared" si="6"/>
        <v>0</v>
      </c>
      <c r="Q51" s="55" t="e">
        <f t="shared" si="7"/>
        <v>#VALUE!</v>
      </c>
      <c r="R51" s="55" t="e">
        <f t="shared" si="12"/>
        <v>#VALUE!</v>
      </c>
      <c r="S51" s="55" t="e">
        <f t="shared" si="8"/>
        <v>#VALUE!</v>
      </c>
      <c r="T51" s="50" t="e">
        <f t="shared" si="13"/>
        <v>#VALUE!</v>
      </c>
      <c r="U51" s="50" t="e">
        <f t="shared" si="14"/>
        <v>#VALUE!</v>
      </c>
      <c r="V51" s="50" t="e">
        <f t="shared" si="15"/>
        <v>#VALUE!</v>
      </c>
      <c r="AC51" s="59"/>
    </row>
    <row r="52" spans="2:29" x14ac:dyDescent="0.25">
      <c r="B52" s="50" t="b">
        <f t="shared" si="16"/>
        <v>0</v>
      </c>
      <c r="C52" s="50" t="e">
        <f t="shared" si="17"/>
        <v>#VALUE!</v>
      </c>
      <c r="E52" s="56">
        <v>49</v>
      </c>
      <c r="G52" s="143"/>
      <c r="H52" s="135">
        <v>1</v>
      </c>
      <c r="I52" s="58" t="e">
        <f t="shared" si="3"/>
        <v>#VALUE!</v>
      </c>
      <c r="J52" s="50" t="e">
        <f t="shared" si="10"/>
        <v>#VALUE!</v>
      </c>
      <c r="K52" s="50" t="e">
        <f t="shared" si="18"/>
        <v>#VALUE!</v>
      </c>
      <c r="L52" s="50" t="e">
        <f t="shared" si="18"/>
        <v>#VALUE!</v>
      </c>
      <c r="M52" s="50" t="e">
        <f t="shared" si="4"/>
        <v>#VALUE!</v>
      </c>
      <c r="N52" s="50" t="e">
        <f t="shared" si="5"/>
        <v>#VALUE!</v>
      </c>
      <c r="O52" s="50">
        <f t="shared" si="6"/>
        <v>0</v>
      </c>
      <c r="Q52" s="55" t="e">
        <f t="shared" si="7"/>
        <v>#VALUE!</v>
      </c>
      <c r="R52" s="55" t="e">
        <f t="shared" si="12"/>
        <v>#VALUE!</v>
      </c>
      <c r="S52" s="55" t="e">
        <f t="shared" si="8"/>
        <v>#VALUE!</v>
      </c>
      <c r="T52" s="50" t="e">
        <f t="shared" si="13"/>
        <v>#VALUE!</v>
      </c>
      <c r="U52" s="50" t="e">
        <f t="shared" si="14"/>
        <v>#VALUE!</v>
      </c>
      <c r="V52" s="50" t="e">
        <f t="shared" si="15"/>
        <v>#VALUE!</v>
      </c>
      <c r="AC52" s="59"/>
    </row>
    <row r="53" spans="2:29" x14ac:dyDescent="0.25">
      <c r="B53" s="50" t="b">
        <f t="shared" si="16"/>
        <v>0</v>
      </c>
      <c r="C53" s="50" t="e">
        <f t="shared" si="17"/>
        <v>#VALUE!</v>
      </c>
      <c r="E53" s="56">
        <v>50</v>
      </c>
      <c r="G53" s="143"/>
      <c r="H53" s="135">
        <v>1</v>
      </c>
      <c r="I53" s="58" t="e">
        <f t="shared" si="3"/>
        <v>#VALUE!</v>
      </c>
      <c r="J53" s="50" t="e">
        <f t="shared" si="10"/>
        <v>#VALUE!</v>
      </c>
      <c r="K53" s="50" t="e">
        <f t="shared" si="18"/>
        <v>#VALUE!</v>
      </c>
      <c r="L53" s="50" t="e">
        <f t="shared" si="18"/>
        <v>#VALUE!</v>
      </c>
      <c r="M53" s="50" t="e">
        <f t="shared" si="4"/>
        <v>#VALUE!</v>
      </c>
      <c r="N53" s="50" t="e">
        <f t="shared" si="5"/>
        <v>#VALUE!</v>
      </c>
      <c r="O53" s="50">
        <f t="shared" si="6"/>
        <v>0</v>
      </c>
      <c r="Q53" s="55" t="e">
        <f t="shared" si="7"/>
        <v>#VALUE!</v>
      </c>
      <c r="R53" s="55" t="e">
        <f t="shared" si="12"/>
        <v>#VALUE!</v>
      </c>
      <c r="S53" s="55" t="e">
        <f t="shared" si="8"/>
        <v>#VALUE!</v>
      </c>
      <c r="T53" s="50" t="e">
        <f t="shared" si="13"/>
        <v>#VALUE!</v>
      </c>
      <c r="U53" s="50" t="e">
        <f t="shared" si="14"/>
        <v>#VALUE!</v>
      </c>
      <c r="V53" s="50" t="e">
        <f t="shared" si="15"/>
        <v>#VALUE!</v>
      </c>
      <c r="AC53" s="59"/>
    </row>
    <row r="54" spans="2:29" x14ac:dyDescent="0.25">
      <c r="B54" s="50" t="b">
        <f t="shared" si="16"/>
        <v>0</v>
      </c>
      <c r="C54" s="50" t="e">
        <f t="shared" si="17"/>
        <v>#VALUE!</v>
      </c>
      <c r="E54" s="56">
        <v>51</v>
      </c>
      <c r="G54" s="143"/>
      <c r="H54" s="135">
        <v>1</v>
      </c>
      <c r="I54" s="58" t="e">
        <f t="shared" si="3"/>
        <v>#VALUE!</v>
      </c>
      <c r="J54" s="50" t="e">
        <f t="shared" si="10"/>
        <v>#VALUE!</v>
      </c>
      <c r="K54" s="50" t="e">
        <f t="shared" si="18"/>
        <v>#VALUE!</v>
      </c>
      <c r="L54" s="50" t="e">
        <f t="shared" si="18"/>
        <v>#VALUE!</v>
      </c>
      <c r="M54" s="50" t="e">
        <f t="shared" si="4"/>
        <v>#VALUE!</v>
      </c>
      <c r="N54" s="50" t="e">
        <f t="shared" si="5"/>
        <v>#VALUE!</v>
      </c>
      <c r="O54" s="50">
        <f t="shared" si="6"/>
        <v>0</v>
      </c>
      <c r="Q54" s="55" t="e">
        <f t="shared" si="7"/>
        <v>#VALUE!</v>
      </c>
      <c r="R54" s="55" t="e">
        <f t="shared" si="12"/>
        <v>#VALUE!</v>
      </c>
      <c r="S54" s="55" t="e">
        <f t="shared" si="8"/>
        <v>#VALUE!</v>
      </c>
      <c r="T54" s="50" t="e">
        <f t="shared" si="13"/>
        <v>#VALUE!</v>
      </c>
      <c r="U54" s="50" t="e">
        <f t="shared" si="14"/>
        <v>#VALUE!</v>
      </c>
      <c r="V54" s="50" t="e">
        <f t="shared" si="15"/>
        <v>#VALUE!</v>
      </c>
      <c r="AC54" s="59"/>
    </row>
    <row r="55" spans="2:29" x14ac:dyDescent="0.25">
      <c r="B55" s="50" t="b">
        <f t="shared" si="16"/>
        <v>0</v>
      </c>
      <c r="C55" s="50" t="e">
        <f t="shared" si="17"/>
        <v>#VALUE!</v>
      </c>
      <c r="E55" s="56">
        <v>52</v>
      </c>
      <c r="G55" s="143"/>
      <c r="H55" s="135">
        <v>1</v>
      </c>
      <c r="I55" s="58" t="e">
        <f t="shared" si="3"/>
        <v>#VALUE!</v>
      </c>
      <c r="J55" s="50" t="e">
        <f t="shared" si="10"/>
        <v>#VALUE!</v>
      </c>
      <c r="K55" s="50" t="e">
        <f t="shared" si="18"/>
        <v>#VALUE!</v>
      </c>
      <c r="L55" s="50" t="e">
        <f t="shared" si="18"/>
        <v>#VALUE!</v>
      </c>
      <c r="M55" s="50" t="e">
        <f t="shared" si="4"/>
        <v>#VALUE!</v>
      </c>
      <c r="N55" s="50" t="e">
        <f t="shared" si="5"/>
        <v>#VALUE!</v>
      </c>
      <c r="O55" s="50">
        <f t="shared" si="6"/>
        <v>0</v>
      </c>
      <c r="Q55" s="55" t="e">
        <f t="shared" si="7"/>
        <v>#VALUE!</v>
      </c>
      <c r="R55" s="55" t="e">
        <f t="shared" si="12"/>
        <v>#VALUE!</v>
      </c>
      <c r="S55" s="55" t="e">
        <f t="shared" si="8"/>
        <v>#VALUE!</v>
      </c>
      <c r="T55" s="50" t="e">
        <f t="shared" si="13"/>
        <v>#VALUE!</v>
      </c>
      <c r="U55" s="50" t="e">
        <f t="shared" si="14"/>
        <v>#VALUE!</v>
      </c>
      <c r="V55" s="50" t="e">
        <f t="shared" si="15"/>
        <v>#VALUE!</v>
      </c>
      <c r="AC55" s="59"/>
    </row>
    <row r="56" spans="2:29" x14ac:dyDescent="0.25">
      <c r="B56" s="50" t="b">
        <f t="shared" si="16"/>
        <v>0</v>
      </c>
      <c r="C56" s="50" t="e">
        <f t="shared" si="17"/>
        <v>#VALUE!</v>
      </c>
      <c r="E56" s="56">
        <v>53</v>
      </c>
      <c r="G56" s="138"/>
      <c r="H56" s="135">
        <v>1</v>
      </c>
      <c r="I56" s="58" t="e">
        <f t="shared" si="3"/>
        <v>#VALUE!</v>
      </c>
      <c r="J56" s="50" t="e">
        <f t="shared" si="10"/>
        <v>#VALUE!</v>
      </c>
      <c r="K56" s="50" t="e">
        <f t="shared" si="18"/>
        <v>#VALUE!</v>
      </c>
      <c r="L56" s="50" t="e">
        <f t="shared" si="18"/>
        <v>#VALUE!</v>
      </c>
      <c r="M56" s="50" t="e">
        <f t="shared" si="4"/>
        <v>#VALUE!</v>
      </c>
      <c r="N56" s="50" t="e">
        <f t="shared" si="5"/>
        <v>#VALUE!</v>
      </c>
      <c r="O56" s="50">
        <f t="shared" si="6"/>
        <v>0</v>
      </c>
      <c r="Q56" s="55" t="e">
        <f t="shared" si="7"/>
        <v>#VALUE!</v>
      </c>
      <c r="R56" s="55" t="e">
        <f t="shared" si="12"/>
        <v>#VALUE!</v>
      </c>
      <c r="S56" s="55" t="e">
        <f t="shared" si="8"/>
        <v>#VALUE!</v>
      </c>
      <c r="T56" s="50" t="e">
        <f t="shared" si="13"/>
        <v>#VALUE!</v>
      </c>
      <c r="U56" s="50" t="e">
        <f t="shared" si="14"/>
        <v>#VALUE!</v>
      </c>
      <c r="V56" s="50" t="e">
        <f t="shared" si="15"/>
        <v>#VALUE!</v>
      </c>
      <c r="AC56" s="59"/>
    </row>
    <row r="57" spans="2:29" x14ac:dyDescent="0.25">
      <c r="B57" s="50" t="b">
        <f t="shared" si="16"/>
        <v>0</v>
      </c>
      <c r="C57" s="50" t="e">
        <f t="shared" si="17"/>
        <v>#VALUE!</v>
      </c>
      <c r="E57" s="56">
        <v>54</v>
      </c>
      <c r="G57" s="138"/>
      <c r="H57" s="135">
        <v>1</v>
      </c>
      <c r="I57" s="58" t="e">
        <f t="shared" si="3"/>
        <v>#VALUE!</v>
      </c>
      <c r="J57" s="50" t="e">
        <f t="shared" si="10"/>
        <v>#VALUE!</v>
      </c>
      <c r="K57" s="50" t="e">
        <f t="shared" si="18"/>
        <v>#VALUE!</v>
      </c>
      <c r="L57" s="50" t="e">
        <f t="shared" si="18"/>
        <v>#VALUE!</v>
      </c>
      <c r="M57" s="50" t="e">
        <f t="shared" si="4"/>
        <v>#VALUE!</v>
      </c>
      <c r="N57" s="50" t="e">
        <f t="shared" si="5"/>
        <v>#VALUE!</v>
      </c>
      <c r="O57" s="50">
        <f t="shared" si="6"/>
        <v>0</v>
      </c>
      <c r="Q57" s="55" t="e">
        <f t="shared" si="7"/>
        <v>#VALUE!</v>
      </c>
      <c r="R57" s="55" t="e">
        <f t="shared" si="12"/>
        <v>#VALUE!</v>
      </c>
      <c r="S57" s="55" t="e">
        <f t="shared" si="8"/>
        <v>#VALUE!</v>
      </c>
      <c r="T57" s="50" t="e">
        <f t="shared" si="13"/>
        <v>#VALUE!</v>
      </c>
      <c r="U57" s="50" t="e">
        <f t="shared" si="14"/>
        <v>#VALUE!</v>
      </c>
      <c r="V57" s="50" t="e">
        <f t="shared" si="15"/>
        <v>#VALUE!</v>
      </c>
      <c r="AC57" s="59"/>
    </row>
    <row r="58" spans="2:29" x14ac:dyDescent="0.25">
      <c r="B58" s="50" t="b">
        <f t="shared" si="16"/>
        <v>0</v>
      </c>
      <c r="C58" s="50" t="e">
        <f t="shared" si="17"/>
        <v>#VALUE!</v>
      </c>
      <c r="E58" s="56">
        <v>55</v>
      </c>
      <c r="G58" s="138"/>
      <c r="H58" s="135">
        <v>1</v>
      </c>
      <c r="I58" s="58" t="e">
        <f t="shared" si="3"/>
        <v>#VALUE!</v>
      </c>
      <c r="J58" s="50" t="e">
        <f t="shared" si="10"/>
        <v>#VALUE!</v>
      </c>
      <c r="K58" s="50" t="e">
        <f t="shared" si="18"/>
        <v>#VALUE!</v>
      </c>
      <c r="L58" s="50" t="e">
        <f t="shared" si="18"/>
        <v>#VALUE!</v>
      </c>
      <c r="M58" s="50" t="e">
        <f t="shared" si="4"/>
        <v>#VALUE!</v>
      </c>
      <c r="N58" s="50" t="e">
        <f t="shared" si="5"/>
        <v>#VALUE!</v>
      </c>
      <c r="O58" s="50">
        <f t="shared" si="6"/>
        <v>0</v>
      </c>
      <c r="Q58" s="55" t="e">
        <f t="shared" si="7"/>
        <v>#VALUE!</v>
      </c>
      <c r="R58" s="55" t="e">
        <f t="shared" si="12"/>
        <v>#VALUE!</v>
      </c>
      <c r="S58" s="55" t="e">
        <f t="shared" si="8"/>
        <v>#VALUE!</v>
      </c>
      <c r="T58" s="50" t="e">
        <f t="shared" si="13"/>
        <v>#VALUE!</v>
      </c>
      <c r="U58" s="50" t="e">
        <f t="shared" si="14"/>
        <v>#VALUE!</v>
      </c>
      <c r="V58" s="50" t="e">
        <f t="shared" si="15"/>
        <v>#VALUE!</v>
      </c>
      <c r="AC58" s="59"/>
    </row>
    <row r="59" spans="2:29" x14ac:dyDescent="0.25">
      <c r="B59" s="50" t="b">
        <f t="shared" si="16"/>
        <v>0</v>
      </c>
      <c r="C59" s="50" t="e">
        <f t="shared" si="17"/>
        <v>#VALUE!</v>
      </c>
      <c r="E59" s="56">
        <v>56</v>
      </c>
      <c r="G59" s="138"/>
      <c r="H59" s="135">
        <v>1</v>
      </c>
      <c r="I59" s="58" t="e">
        <f t="shared" si="3"/>
        <v>#VALUE!</v>
      </c>
      <c r="J59" s="50" t="e">
        <f t="shared" si="10"/>
        <v>#VALUE!</v>
      </c>
      <c r="K59" s="50" t="e">
        <f t="shared" si="18"/>
        <v>#VALUE!</v>
      </c>
      <c r="L59" s="50" t="e">
        <f t="shared" si="18"/>
        <v>#VALUE!</v>
      </c>
      <c r="M59" s="50" t="e">
        <f t="shared" si="4"/>
        <v>#VALUE!</v>
      </c>
      <c r="N59" s="50" t="e">
        <f t="shared" si="5"/>
        <v>#VALUE!</v>
      </c>
      <c r="O59" s="50">
        <f t="shared" si="6"/>
        <v>0</v>
      </c>
      <c r="Q59" s="55" t="e">
        <f t="shared" si="7"/>
        <v>#VALUE!</v>
      </c>
      <c r="R59" s="55" t="e">
        <f t="shared" si="12"/>
        <v>#VALUE!</v>
      </c>
      <c r="S59" s="55" t="e">
        <f t="shared" si="8"/>
        <v>#VALUE!</v>
      </c>
      <c r="T59" s="50" t="e">
        <f t="shared" si="13"/>
        <v>#VALUE!</v>
      </c>
      <c r="U59" s="50" t="e">
        <f t="shared" si="14"/>
        <v>#VALUE!</v>
      </c>
      <c r="V59" s="50" t="e">
        <f t="shared" si="15"/>
        <v>#VALUE!</v>
      </c>
      <c r="AC59" s="59"/>
    </row>
    <row r="60" spans="2:29" x14ac:dyDescent="0.25">
      <c r="B60" s="50" t="b">
        <f t="shared" si="16"/>
        <v>0</v>
      </c>
      <c r="C60" s="50" t="e">
        <f t="shared" si="17"/>
        <v>#VALUE!</v>
      </c>
      <c r="E60" s="56">
        <v>57</v>
      </c>
      <c r="G60" s="138"/>
      <c r="H60" s="135">
        <v>1</v>
      </c>
      <c r="I60" s="58" t="e">
        <f t="shared" si="3"/>
        <v>#VALUE!</v>
      </c>
      <c r="J60" s="50" t="e">
        <f t="shared" si="10"/>
        <v>#VALUE!</v>
      </c>
      <c r="K60" s="50" t="e">
        <f t="shared" si="18"/>
        <v>#VALUE!</v>
      </c>
      <c r="L60" s="50" t="e">
        <f t="shared" si="18"/>
        <v>#VALUE!</v>
      </c>
      <c r="M60" s="50" t="e">
        <f t="shared" si="4"/>
        <v>#VALUE!</v>
      </c>
      <c r="N60" s="50" t="e">
        <f t="shared" si="5"/>
        <v>#VALUE!</v>
      </c>
      <c r="O60" s="50">
        <f t="shared" si="6"/>
        <v>0</v>
      </c>
      <c r="Q60" s="55" t="e">
        <f t="shared" si="7"/>
        <v>#VALUE!</v>
      </c>
      <c r="R60" s="55" t="e">
        <f t="shared" si="12"/>
        <v>#VALUE!</v>
      </c>
      <c r="S60" s="55" t="e">
        <f t="shared" si="8"/>
        <v>#VALUE!</v>
      </c>
      <c r="T60" s="50" t="e">
        <f t="shared" si="13"/>
        <v>#VALUE!</v>
      </c>
      <c r="U60" s="50" t="e">
        <f t="shared" si="14"/>
        <v>#VALUE!</v>
      </c>
      <c r="V60" s="50" t="e">
        <f t="shared" si="15"/>
        <v>#VALUE!</v>
      </c>
      <c r="AC60" s="59"/>
    </row>
    <row r="61" spans="2:29" x14ac:dyDescent="0.25">
      <c r="B61" s="50" t="b">
        <f t="shared" si="16"/>
        <v>0</v>
      </c>
      <c r="C61" s="50" t="e">
        <f t="shared" si="17"/>
        <v>#VALUE!</v>
      </c>
      <c r="E61" s="56">
        <v>58</v>
      </c>
      <c r="G61" s="138"/>
      <c r="H61" s="135">
        <v>1</v>
      </c>
      <c r="I61" s="58" t="e">
        <f t="shared" si="3"/>
        <v>#VALUE!</v>
      </c>
      <c r="J61" s="50" t="e">
        <f t="shared" si="10"/>
        <v>#VALUE!</v>
      </c>
      <c r="K61" s="50" t="e">
        <f t="shared" si="18"/>
        <v>#VALUE!</v>
      </c>
      <c r="L61" s="50" t="e">
        <f t="shared" si="18"/>
        <v>#VALUE!</v>
      </c>
      <c r="M61" s="50" t="e">
        <f t="shared" si="4"/>
        <v>#VALUE!</v>
      </c>
      <c r="N61" s="50" t="e">
        <f t="shared" si="5"/>
        <v>#VALUE!</v>
      </c>
      <c r="O61" s="50">
        <f t="shared" si="6"/>
        <v>0</v>
      </c>
      <c r="Q61" s="55" t="e">
        <f t="shared" si="7"/>
        <v>#VALUE!</v>
      </c>
      <c r="R61" s="55" t="e">
        <f t="shared" si="12"/>
        <v>#VALUE!</v>
      </c>
      <c r="S61" s="55" t="e">
        <f t="shared" si="8"/>
        <v>#VALUE!</v>
      </c>
      <c r="T61" s="50" t="e">
        <f t="shared" si="13"/>
        <v>#VALUE!</v>
      </c>
      <c r="U61" s="50" t="e">
        <f t="shared" si="14"/>
        <v>#VALUE!</v>
      </c>
      <c r="V61" s="50" t="e">
        <f t="shared" si="15"/>
        <v>#VALUE!</v>
      </c>
      <c r="AC61" s="59"/>
    </row>
    <row r="62" spans="2:29" x14ac:dyDescent="0.25">
      <c r="B62" s="50" t="b">
        <f t="shared" si="16"/>
        <v>0</v>
      </c>
      <c r="C62" s="50" t="e">
        <f t="shared" si="17"/>
        <v>#VALUE!</v>
      </c>
      <c r="E62" s="56">
        <v>59</v>
      </c>
      <c r="G62" s="138"/>
      <c r="H62" s="135">
        <v>1</v>
      </c>
      <c r="I62" s="58" t="e">
        <f t="shared" si="3"/>
        <v>#VALUE!</v>
      </c>
      <c r="J62" s="50" t="e">
        <f t="shared" si="10"/>
        <v>#VALUE!</v>
      </c>
      <c r="K62" s="50" t="e">
        <f t="shared" si="18"/>
        <v>#VALUE!</v>
      </c>
      <c r="L62" s="50" t="e">
        <f t="shared" si="18"/>
        <v>#VALUE!</v>
      </c>
      <c r="M62" s="50" t="e">
        <f t="shared" si="4"/>
        <v>#VALUE!</v>
      </c>
      <c r="N62" s="50" t="e">
        <f t="shared" si="5"/>
        <v>#VALUE!</v>
      </c>
      <c r="O62" s="50">
        <f t="shared" si="6"/>
        <v>0</v>
      </c>
      <c r="Q62" s="55" t="e">
        <f t="shared" si="7"/>
        <v>#VALUE!</v>
      </c>
      <c r="R62" s="55" t="e">
        <f t="shared" si="12"/>
        <v>#VALUE!</v>
      </c>
      <c r="S62" s="55" t="e">
        <f t="shared" si="8"/>
        <v>#VALUE!</v>
      </c>
      <c r="T62" s="50" t="e">
        <f t="shared" si="13"/>
        <v>#VALUE!</v>
      </c>
      <c r="U62" s="50" t="e">
        <f t="shared" si="14"/>
        <v>#VALUE!</v>
      </c>
      <c r="V62" s="50" t="e">
        <f t="shared" si="15"/>
        <v>#VALUE!</v>
      </c>
      <c r="AC62" s="59"/>
    </row>
    <row r="63" spans="2:29" x14ac:dyDescent="0.25">
      <c r="B63" s="50" t="b">
        <f t="shared" si="16"/>
        <v>0</v>
      </c>
      <c r="C63" s="50" t="e">
        <f t="shared" si="17"/>
        <v>#VALUE!</v>
      </c>
      <c r="E63" s="56">
        <v>60</v>
      </c>
      <c r="G63" s="138"/>
      <c r="H63" s="135">
        <v>1</v>
      </c>
      <c r="I63" s="58" t="e">
        <f t="shared" si="3"/>
        <v>#VALUE!</v>
      </c>
      <c r="J63" s="50" t="e">
        <f t="shared" si="10"/>
        <v>#VALUE!</v>
      </c>
      <c r="K63" s="50" t="e">
        <f t="shared" si="18"/>
        <v>#VALUE!</v>
      </c>
      <c r="L63" s="50" t="e">
        <f t="shared" si="18"/>
        <v>#VALUE!</v>
      </c>
      <c r="M63" s="50" t="e">
        <f t="shared" si="4"/>
        <v>#VALUE!</v>
      </c>
      <c r="N63" s="50" t="e">
        <f t="shared" si="5"/>
        <v>#VALUE!</v>
      </c>
      <c r="O63" s="50">
        <f t="shared" si="6"/>
        <v>0</v>
      </c>
      <c r="Q63" s="55" t="e">
        <f t="shared" si="7"/>
        <v>#VALUE!</v>
      </c>
      <c r="R63" s="55" t="e">
        <f t="shared" si="12"/>
        <v>#VALUE!</v>
      </c>
      <c r="S63" s="55" t="e">
        <f t="shared" si="8"/>
        <v>#VALUE!</v>
      </c>
      <c r="T63" s="50" t="e">
        <f t="shared" si="13"/>
        <v>#VALUE!</v>
      </c>
      <c r="U63" s="50" t="e">
        <f t="shared" si="14"/>
        <v>#VALUE!</v>
      </c>
      <c r="V63" s="50" t="e">
        <f t="shared" si="15"/>
        <v>#VALUE!</v>
      </c>
      <c r="AC63" s="59"/>
    </row>
    <row r="64" spans="2:29" x14ac:dyDescent="0.25">
      <c r="B64" s="50" t="b">
        <f t="shared" si="16"/>
        <v>0</v>
      </c>
      <c r="C64" s="50" t="e">
        <f t="shared" si="17"/>
        <v>#VALUE!</v>
      </c>
      <c r="E64" s="56">
        <v>61</v>
      </c>
      <c r="G64" s="138"/>
      <c r="H64" s="135">
        <v>1</v>
      </c>
      <c r="I64" s="58" t="e">
        <f t="shared" si="3"/>
        <v>#VALUE!</v>
      </c>
      <c r="J64" s="50" t="e">
        <f t="shared" si="10"/>
        <v>#VALUE!</v>
      </c>
      <c r="K64" s="50" t="e">
        <f t="shared" si="18"/>
        <v>#VALUE!</v>
      </c>
      <c r="L64" s="50" t="e">
        <f t="shared" si="18"/>
        <v>#VALUE!</v>
      </c>
      <c r="M64" s="50" t="e">
        <f t="shared" si="4"/>
        <v>#VALUE!</v>
      </c>
      <c r="N64" s="50" t="e">
        <f t="shared" si="5"/>
        <v>#VALUE!</v>
      </c>
      <c r="O64" s="50">
        <f t="shared" si="6"/>
        <v>0</v>
      </c>
      <c r="Q64" s="55" t="e">
        <f t="shared" si="7"/>
        <v>#VALUE!</v>
      </c>
      <c r="R64" s="55" t="e">
        <f t="shared" si="12"/>
        <v>#VALUE!</v>
      </c>
      <c r="S64" s="55" t="e">
        <f t="shared" si="8"/>
        <v>#VALUE!</v>
      </c>
      <c r="T64" s="50" t="e">
        <f t="shared" si="13"/>
        <v>#VALUE!</v>
      </c>
      <c r="U64" s="50" t="e">
        <f t="shared" si="14"/>
        <v>#VALUE!</v>
      </c>
      <c r="V64" s="50" t="e">
        <f t="shared" si="15"/>
        <v>#VALUE!</v>
      </c>
      <c r="AC64" s="59"/>
    </row>
    <row r="65" spans="2:29" x14ac:dyDescent="0.25">
      <c r="B65" s="50" t="b">
        <f t="shared" si="16"/>
        <v>0</v>
      </c>
      <c r="C65" s="50" t="e">
        <f t="shared" si="17"/>
        <v>#VALUE!</v>
      </c>
      <c r="E65" s="56">
        <v>62</v>
      </c>
      <c r="G65" s="138"/>
      <c r="H65" s="135">
        <v>1</v>
      </c>
      <c r="I65" s="58" t="e">
        <f t="shared" si="3"/>
        <v>#VALUE!</v>
      </c>
      <c r="J65" s="50" t="e">
        <f t="shared" si="10"/>
        <v>#VALUE!</v>
      </c>
      <c r="K65" s="50" t="e">
        <f t="shared" si="18"/>
        <v>#VALUE!</v>
      </c>
      <c r="L65" s="50" t="e">
        <f t="shared" si="18"/>
        <v>#VALUE!</v>
      </c>
      <c r="M65" s="50" t="e">
        <f t="shared" si="4"/>
        <v>#VALUE!</v>
      </c>
      <c r="N65" s="50" t="e">
        <f t="shared" si="5"/>
        <v>#VALUE!</v>
      </c>
      <c r="O65" s="50">
        <f t="shared" si="6"/>
        <v>0</v>
      </c>
      <c r="Q65" s="55" t="e">
        <f t="shared" si="7"/>
        <v>#VALUE!</v>
      </c>
      <c r="R65" s="55" t="e">
        <f t="shared" si="12"/>
        <v>#VALUE!</v>
      </c>
      <c r="S65" s="55" t="e">
        <f t="shared" si="8"/>
        <v>#VALUE!</v>
      </c>
      <c r="T65" s="50" t="e">
        <f t="shared" si="13"/>
        <v>#VALUE!</v>
      </c>
      <c r="U65" s="50" t="e">
        <f t="shared" si="14"/>
        <v>#VALUE!</v>
      </c>
      <c r="V65" s="50" t="e">
        <f t="shared" si="15"/>
        <v>#VALUE!</v>
      </c>
      <c r="AC65" s="59"/>
    </row>
    <row r="66" spans="2:29" x14ac:dyDescent="0.25">
      <c r="B66" s="50" t="b">
        <f t="shared" si="16"/>
        <v>0</v>
      </c>
      <c r="C66" s="50" t="e">
        <f t="shared" si="17"/>
        <v>#VALUE!</v>
      </c>
      <c r="E66" s="56">
        <v>63</v>
      </c>
      <c r="G66" s="138"/>
      <c r="H66" s="135">
        <v>1</v>
      </c>
      <c r="I66" s="58" t="e">
        <f t="shared" si="3"/>
        <v>#VALUE!</v>
      </c>
      <c r="J66" s="50" t="e">
        <f t="shared" si="10"/>
        <v>#VALUE!</v>
      </c>
      <c r="K66" s="50" t="e">
        <f t="shared" si="18"/>
        <v>#VALUE!</v>
      </c>
      <c r="L66" s="50" t="e">
        <f t="shared" si="18"/>
        <v>#VALUE!</v>
      </c>
      <c r="M66" s="50" t="e">
        <f t="shared" si="4"/>
        <v>#VALUE!</v>
      </c>
      <c r="N66" s="50" t="e">
        <f t="shared" si="5"/>
        <v>#VALUE!</v>
      </c>
      <c r="O66" s="50">
        <f t="shared" si="6"/>
        <v>0</v>
      </c>
      <c r="Q66" s="55" t="e">
        <f t="shared" si="7"/>
        <v>#VALUE!</v>
      </c>
      <c r="R66" s="55" t="e">
        <f t="shared" si="12"/>
        <v>#VALUE!</v>
      </c>
      <c r="S66" s="55" t="e">
        <f t="shared" si="8"/>
        <v>#VALUE!</v>
      </c>
      <c r="T66" s="50" t="e">
        <f t="shared" si="13"/>
        <v>#VALUE!</v>
      </c>
      <c r="U66" s="50" t="e">
        <f t="shared" si="14"/>
        <v>#VALUE!</v>
      </c>
      <c r="V66" s="50" t="e">
        <f t="shared" si="15"/>
        <v>#VALUE!</v>
      </c>
      <c r="AC66" s="59"/>
    </row>
    <row r="67" spans="2:29" x14ac:dyDescent="0.25">
      <c r="B67" s="50" t="b">
        <f t="shared" si="16"/>
        <v>0</v>
      </c>
      <c r="C67" s="50" t="e">
        <f t="shared" si="17"/>
        <v>#VALUE!</v>
      </c>
      <c r="E67" s="56">
        <v>64</v>
      </c>
      <c r="G67" s="138"/>
      <c r="H67" s="135">
        <v>1</v>
      </c>
      <c r="I67" s="58" t="e">
        <f t="shared" si="3"/>
        <v>#VALUE!</v>
      </c>
      <c r="J67" s="50" t="e">
        <f t="shared" si="10"/>
        <v>#VALUE!</v>
      </c>
      <c r="K67" s="50" t="e">
        <f t="shared" si="18"/>
        <v>#VALUE!</v>
      </c>
      <c r="L67" s="50" t="e">
        <f t="shared" si="18"/>
        <v>#VALUE!</v>
      </c>
      <c r="M67" s="50" t="e">
        <f t="shared" si="4"/>
        <v>#VALUE!</v>
      </c>
      <c r="N67" s="50" t="e">
        <f t="shared" si="5"/>
        <v>#VALUE!</v>
      </c>
      <c r="O67" s="50">
        <f t="shared" si="6"/>
        <v>0</v>
      </c>
      <c r="Q67" s="55" t="e">
        <f t="shared" si="7"/>
        <v>#VALUE!</v>
      </c>
      <c r="R67" s="55" t="e">
        <f t="shared" si="12"/>
        <v>#VALUE!</v>
      </c>
      <c r="S67" s="55" t="e">
        <f t="shared" si="8"/>
        <v>#VALUE!</v>
      </c>
      <c r="T67" s="50" t="e">
        <f t="shared" si="13"/>
        <v>#VALUE!</v>
      </c>
      <c r="U67" s="50" t="e">
        <f t="shared" si="14"/>
        <v>#VALUE!</v>
      </c>
      <c r="V67" s="50" t="e">
        <f t="shared" si="15"/>
        <v>#VALUE!</v>
      </c>
      <c r="AC67" s="59"/>
    </row>
    <row r="68" spans="2:29" x14ac:dyDescent="0.25">
      <c r="B68" s="50" t="b">
        <f t="shared" si="16"/>
        <v>0</v>
      </c>
      <c r="C68" s="50" t="e">
        <f t="shared" si="17"/>
        <v>#VALUE!</v>
      </c>
      <c r="E68" s="56">
        <v>65</v>
      </c>
      <c r="G68" s="138"/>
      <c r="H68" s="135">
        <v>1</v>
      </c>
      <c r="I68" s="58" t="e">
        <f t="shared" ref="I68:I131" si="19">RIGHT(G68,J68)</f>
        <v>#VALUE!</v>
      </c>
      <c r="J68" s="50" t="e">
        <f t="shared" si="10"/>
        <v>#VALUE!</v>
      </c>
      <c r="K68" s="50" t="e">
        <f t="shared" si="18"/>
        <v>#VALUE!</v>
      </c>
      <c r="L68" s="50" t="e">
        <f t="shared" si="18"/>
        <v>#VALUE!</v>
      </c>
      <c r="M68" s="50" t="e">
        <f t="shared" ref="M68:M131" si="20">SEARCH("-",G68,2)</f>
        <v>#VALUE!</v>
      </c>
      <c r="N68" s="50" t="e">
        <f t="shared" ref="N68:N131" si="21">SEARCH("-",G68,M68+1)</f>
        <v>#VALUE!</v>
      </c>
      <c r="O68" s="50">
        <f t="shared" ref="O68:O131" si="22">LEN(G68)</f>
        <v>0</v>
      </c>
      <c r="Q68" s="55" t="e">
        <f t="shared" ref="Q68:Q131" si="23">LEFT(G68,M68-1)</f>
        <v>#VALUE!</v>
      </c>
      <c r="R68" s="55" t="e">
        <f t="shared" si="12"/>
        <v>#VALUE!</v>
      </c>
      <c r="S68" s="55" t="e">
        <f t="shared" ref="S68:S131" si="24">RIGHT(G68,L68)</f>
        <v>#VALUE!</v>
      </c>
      <c r="T68" s="50" t="e">
        <f t="shared" si="13"/>
        <v>#VALUE!</v>
      </c>
      <c r="U68" s="50" t="e">
        <f t="shared" si="14"/>
        <v>#VALUE!</v>
      </c>
      <c r="V68" s="50" t="e">
        <f t="shared" si="15"/>
        <v>#VALUE!</v>
      </c>
      <c r="AC68" s="59"/>
    </row>
    <row r="69" spans="2:29" x14ac:dyDescent="0.25">
      <c r="B69" s="50" t="b">
        <f t="shared" si="16"/>
        <v>0</v>
      </c>
      <c r="C69" s="50" t="e">
        <f t="shared" si="17"/>
        <v>#VALUE!</v>
      </c>
      <c r="E69" s="56">
        <v>66</v>
      </c>
      <c r="G69" s="138"/>
      <c r="H69" s="135">
        <v>1</v>
      </c>
      <c r="I69" s="58" t="e">
        <f t="shared" si="19"/>
        <v>#VALUE!</v>
      </c>
      <c r="J69" s="50" t="e">
        <f t="shared" ref="J69:J132" si="25">O69-M69</f>
        <v>#VALUE!</v>
      </c>
      <c r="K69" s="50" t="e">
        <f t="shared" si="18"/>
        <v>#VALUE!</v>
      </c>
      <c r="L69" s="50" t="e">
        <f t="shared" si="18"/>
        <v>#VALUE!</v>
      </c>
      <c r="M69" s="50" t="e">
        <f t="shared" si="20"/>
        <v>#VALUE!</v>
      </c>
      <c r="N69" s="50" t="e">
        <f t="shared" si="21"/>
        <v>#VALUE!</v>
      </c>
      <c r="O69" s="50">
        <f t="shared" si="22"/>
        <v>0</v>
      </c>
      <c r="Q69" s="55" t="e">
        <f t="shared" si="23"/>
        <v>#VALUE!</v>
      </c>
      <c r="R69" s="55" t="e">
        <f t="shared" ref="R69:R132" si="26">LEFT(I69,K69-1)</f>
        <v>#VALUE!</v>
      </c>
      <c r="S69" s="55" t="e">
        <f t="shared" si="24"/>
        <v>#VALUE!</v>
      </c>
      <c r="T69" s="50" t="e">
        <f t="shared" ref="T69:T132" si="27">Q69*1*$H69</f>
        <v>#VALUE!</v>
      </c>
      <c r="U69" s="50" t="e">
        <f t="shared" ref="U69:U132" si="28">R69*1*$H69</f>
        <v>#VALUE!</v>
      </c>
      <c r="V69" s="50" t="e">
        <f t="shared" ref="V69:V132" si="29">S69*1*$H69</f>
        <v>#VALUE!</v>
      </c>
      <c r="AC69" s="59"/>
    </row>
    <row r="70" spans="2:29" x14ac:dyDescent="0.25">
      <c r="B70" s="50" t="b">
        <f t="shared" si="16"/>
        <v>0</v>
      </c>
      <c r="C70" s="50" t="e">
        <f t="shared" si="17"/>
        <v>#VALUE!</v>
      </c>
      <c r="E70" s="56">
        <v>67</v>
      </c>
      <c r="G70" s="138"/>
      <c r="H70" s="135">
        <v>1</v>
      </c>
      <c r="I70" s="58" t="e">
        <f t="shared" si="19"/>
        <v>#VALUE!</v>
      </c>
      <c r="J70" s="50" t="e">
        <f t="shared" si="25"/>
        <v>#VALUE!</v>
      </c>
      <c r="K70" s="50" t="e">
        <f t="shared" si="18"/>
        <v>#VALUE!</v>
      </c>
      <c r="L70" s="50" t="e">
        <f t="shared" si="18"/>
        <v>#VALUE!</v>
      </c>
      <c r="M70" s="50" t="e">
        <f t="shared" si="20"/>
        <v>#VALUE!</v>
      </c>
      <c r="N70" s="50" t="e">
        <f t="shared" si="21"/>
        <v>#VALUE!</v>
      </c>
      <c r="O70" s="50">
        <f t="shared" si="22"/>
        <v>0</v>
      </c>
      <c r="Q70" s="55" t="e">
        <f t="shared" si="23"/>
        <v>#VALUE!</v>
      </c>
      <c r="R70" s="55" t="e">
        <f t="shared" si="26"/>
        <v>#VALUE!</v>
      </c>
      <c r="S70" s="55" t="e">
        <f t="shared" si="24"/>
        <v>#VALUE!</v>
      </c>
      <c r="T70" s="50" t="e">
        <f t="shared" si="27"/>
        <v>#VALUE!</v>
      </c>
      <c r="U70" s="50" t="e">
        <f t="shared" si="28"/>
        <v>#VALUE!</v>
      </c>
      <c r="V70" s="50" t="e">
        <f t="shared" si="29"/>
        <v>#VALUE!</v>
      </c>
      <c r="AC70" s="59"/>
    </row>
    <row r="71" spans="2:29" x14ac:dyDescent="0.25">
      <c r="B71" s="50" t="b">
        <f t="shared" si="16"/>
        <v>0</v>
      </c>
      <c r="C71" s="50" t="e">
        <f t="shared" si="17"/>
        <v>#VALUE!</v>
      </c>
      <c r="E71" s="56">
        <v>68</v>
      </c>
      <c r="G71" s="138"/>
      <c r="H71" s="135">
        <v>1</v>
      </c>
      <c r="I71" s="58" t="e">
        <f t="shared" si="19"/>
        <v>#VALUE!</v>
      </c>
      <c r="J71" s="50" t="e">
        <f t="shared" si="25"/>
        <v>#VALUE!</v>
      </c>
      <c r="K71" s="50" t="e">
        <f t="shared" si="18"/>
        <v>#VALUE!</v>
      </c>
      <c r="L71" s="50" t="e">
        <f t="shared" si="18"/>
        <v>#VALUE!</v>
      </c>
      <c r="M71" s="50" t="e">
        <f t="shared" si="20"/>
        <v>#VALUE!</v>
      </c>
      <c r="N71" s="50" t="e">
        <f t="shared" si="21"/>
        <v>#VALUE!</v>
      </c>
      <c r="O71" s="50">
        <f t="shared" si="22"/>
        <v>0</v>
      </c>
      <c r="Q71" s="55" t="e">
        <f t="shared" si="23"/>
        <v>#VALUE!</v>
      </c>
      <c r="R71" s="55" t="e">
        <f t="shared" si="26"/>
        <v>#VALUE!</v>
      </c>
      <c r="S71" s="55" t="e">
        <f t="shared" si="24"/>
        <v>#VALUE!</v>
      </c>
      <c r="T71" s="50" t="e">
        <f t="shared" si="27"/>
        <v>#VALUE!</v>
      </c>
      <c r="U71" s="50" t="e">
        <f t="shared" si="28"/>
        <v>#VALUE!</v>
      </c>
      <c r="V71" s="50" t="e">
        <f t="shared" si="29"/>
        <v>#VALUE!</v>
      </c>
      <c r="AC71" s="59"/>
    </row>
    <row r="72" spans="2:29" x14ac:dyDescent="0.25">
      <c r="B72" s="50" t="b">
        <f t="shared" si="16"/>
        <v>0</v>
      </c>
      <c r="C72" s="50" t="e">
        <f t="shared" si="17"/>
        <v>#VALUE!</v>
      </c>
      <c r="E72" s="56">
        <v>69</v>
      </c>
      <c r="G72" s="138"/>
      <c r="H72" s="135">
        <v>1</v>
      </c>
      <c r="I72" s="58" t="e">
        <f t="shared" si="19"/>
        <v>#VALUE!</v>
      </c>
      <c r="J72" s="50" t="e">
        <f t="shared" si="25"/>
        <v>#VALUE!</v>
      </c>
      <c r="K72" s="50" t="e">
        <f t="shared" si="18"/>
        <v>#VALUE!</v>
      </c>
      <c r="L72" s="50" t="e">
        <f t="shared" si="18"/>
        <v>#VALUE!</v>
      </c>
      <c r="M72" s="50" t="e">
        <f t="shared" si="20"/>
        <v>#VALUE!</v>
      </c>
      <c r="N72" s="50" t="e">
        <f t="shared" si="21"/>
        <v>#VALUE!</v>
      </c>
      <c r="O72" s="50">
        <f t="shared" si="22"/>
        <v>0</v>
      </c>
      <c r="Q72" s="55" t="e">
        <f t="shared" si="23"/>
        <v>#VALUE!</v>
      </c>
      <c r="R72" s="55" t="e">
        <f t="shared" si="26"/>
        <v>#VALUE!</v>
      </c>
      <c r="S72" s="55" t="e">
        <f t="shared" si="24"/>
        <v>#VALUE!</v>
      </c>
      <c r="T72" s="50" t="e">
        <f t="shared" si="27"/>
        <v>#VALUE!</v>
      </c>
      <c r="U72" s="50" t="e">
        <f t="shared" si="28"/>
        <v>#VALUE!</v>
      </c>
      <c r="V72" s="50" t="e">
        <f t="shared" si="29"/>
        <v>#VALUE!</v>
      </c>
      <c r="AC72" s="59"/>
    </row>
    <row r="73" spans="2:29" x14ac:dyDescent="0.25">
      <c r="B73" s="50" t="b">
        <f t="shared" si="16"/>
        <v>0</v>
      </c>
      <c r="C73" s="50" t="e">
        <f t="shared" si="17"/>
        <v>#VALUE!</v>
      </c>
      <c r="E73" s="56">
        <v>70</v>
      </c>
      <c r="G73" s="138"/>
      <c r="H73" s="135">
        <v>1</v>
      </c>
      <c r="I73" s="58" t="e">
        <f t="shared" si="19"/>
        <v>#VALUE!</v>
      </c>
      <c r="J73" s="50" t="e">
        <f t="shared" si="25"/>
        <v>#VALUE!</v>
      </c>
      <c r="K73" s="50" t="e">
        <f t="shared" si="18"/>
        <v>#VALUE!</v>
      </c>
      <c r="L73" s="50" t="e">
        <f t="shared" si="18"/>
        <v>#VALUE!</v>
      </c>
      <c r="M73" s="50" t="e">
        <f t="shared" si="20"/>
        <v>#VALUE!</v>
      </c>
      <c r="N73" s="50" t="e">
        <f t="shared" si="21"/>
        <v>#VALUE!</v>
      </c>
      <c r="O73" s="50">
        <f t="shared" si="22"/>
        <v>0</v>
      </c>
      <c r="Q73" s="55" t="e">
        <f t="shared" si="23"/>
        <v>#VALUE!</v>
      </c>
      <c r="R73" s="55" t="e">
        <f t="shared" si="26"/>
        <v>#VALUE!</v>
      </c>
      <c r="S73" s="55" t="e">
        <f t="shared" si="24"/>
        <v>#VALUE!</v>
      </c>
      <c r="T73" s="50" t="e">
        <f t="shared" si="27"/>
        <v>#VALUE!</v>
      </c>
      <c r="U73" s="50" t="e">
        <f t="shared" si="28"/>
        <v>#VALUE!</v>
      </c>
      <c r="V73" s="50" t="e">
        <f t="shared" si="29"/>
        <v>#VALUE!</v>
      </c>
      <c r="AC73" s="59"/>
    </row>
    <row r="74" spans="2:29" x14ac:dyDescent="0.25">
      <c r="B74" s="50" t="b">
        <f t="shared" si="16"/>
        <v>0</v>
      </c>
      <c r="C74" s="50" t="e">
        <f t="shared" si="17"/>
        <v>#VALUE!</v>
      </c>
      <c r="E74" s="56">
        <v>71</v>
      </c>
      <c r="G74" s="138"/>
      <c r="H74" s="135">
        <v>1</v>
      </c>
      <c r="I74" s="58" t="e">
        <f t="shared" si="19"/>
        <v>#VALUE!</v>
      </c>
      <c r="J74" s="50" t="e">
        <f t="shared" si="25"/>
        <v>#VALUE!</v>
      </c>
      <c r="K74" s="50" t="e">
        <f t="shared" si="18"/>
        <v>#VALUE!</v>
      </c>
      <c r="L74" s="50" t="e">
        <f t="shared" si="18"/>
        <v>#VALUE!</v>
      </c>
      <c r="M74" s="50" t="e">
        <f t="shared" si="20"/>
        <v>#VALUE!</v>
      </c>
      <c r="N74" s="50" t="e">
        <f t="shared" si="21"/>
        <v>#VALUE!</v>
      </c>
      <c r="O74" s="50">
        <f t="shared" si="22"/>
        <v>0</v>
      </c>
      <c r="Q74" s="55" t="e">
        <f t="shared" si="23"/>
        <v>#VALUE!</v>
      </c>
      <c r="R74" s="55" t="e">
        <f t="shared" si="26"/>
        <v>#VALUE!</v>
      </c>
      <c r="S74" s="55" t="e">
        <f t="shared" si="24"/>
        <v>#VALUE!</v>
      </c>
      <c r="T74" s="50" t="e">
        <f t="shared" si="27"/>
        <v>#VALUE!</v>
      </c>
      <c r="U74" s="50" t="e">
        <f t="shared" si="28"/>
        <v>#VALUE!</v>
      </c>
      <c r="V74" s="50" t="e">
        <f t="shared" si="29"/>
        <v>#VALUE!</v>
      </c>
      <c r="AC74" s="59"/>
    </row>
    <row r="75" spans="2:29" x14ac:dyDescent="0.25">
      <c r="B75" s="50" t="b">
        <f t="shared" si="16"/>
        <v>0</v>
      </c>
      <c r="C75" s="50" t="e">
        <f t="shared" si="17"/>
        <v>#VALUE!</v>
      </c>
      <c r="E75" s="56">
        <v>72</v>
      </c>
      <c r="G75" s="138"/>
      <c r="H75" s="135">
        <v>1</v>
      </c>
      <c r="I75" s="58" t="e">
        <f t="shared" si="19"/>
        <v>#VALUE!</v>
      </c>
      <c r="J75" s="50" t="e">
        <f t="shared" si="25"/>
        <v>#VALUE!</v>
      </c>
      <c r="K75" s="50" t="e">
        <f t="shared" si="18"/>
        <v>#VALUE!</v>
      </c>
      <c r="L75" s="50" t="e">
        <f t="shared" si="18"/>
        <v>#VALUE!</v>
      </c>
      <c r="M75" s="50" t="e">
        <f t="shared" si="20"/>
        <v>#VALUE!</v>
      </c>
      <c r="N75" s="50" t="e">
        <f t="shared" si="21"/>
        <v>#VALUE!</v>
      </c>
      <c r="O75" s="50">
        <f t="shared" si="22"/>
        <v>0</v>
      </c>
      <c r="Q75" s="55" t="e">
        <f t="shared" si="23"/>
        <v>#VALUE!</v>
      </c>
      <c r="R75" s="55" t="e">
        <f t="shared" si="26"/>
        <v>#VALUE!</v>
      </c>
      <c r="S75" s="55" t="e">
        <f t="shared" si="24"/>
        <v>#VALUE!</v>
      </c>
      <c r="T75" s="50" t="e">
        <f t="shared" si="27"/>
        <v>#VALUE!</v>
      </c>
      <c r="U75" s="50" t="e">
        <f t="shared" si="28"/>
        <v>#VALUE!</v>
      </c>
      <c r="V75" s="50" t="e">
        <f t="shared" si="29"/>
        <v>#VALUE!</v>
      </c>
      <c r="AC75" s="59"/>
    </row>
    <row r="76" spans="2:29" x14ac:dyDescent="0.25">
      <c r="B76" s="50" t="b">
        <f t="shared" si="16"/>
        <v>0</v>
      </c>
      <c r="C76" s="50" t="e">
        <f t="shared" si="17"/>
        <v>#VALUE!</v>
      </c>
      <c r="E76" s="56">
        <v>73</v>
      </c>
      <c r="G76" s="138"/>
      <c r="H76" s="135">
        <v>1</v>
      </c>
      <c r="I76" s="58" t="e">
        <f t="shared" si="19"/>
        <v>#VALUE!</v>
      </c>
      <c r="J76" s="50" t="e">
        <f t="shared" si="25"/>
        <v>#VALUE!</v>
      </c>
      <c r="K76" s="50" t="e">
        <f t="shared" si="18"/>
        <v>#VALUE!</v>
      </c>
      <c r="L76" s="50" t="e">
        <f t="shared" si="18"/>
        <v>#VALUE!</v>
      </c>
      <c r="M76" s="50" t="e">
        <f t="shared" si="20"/>
        <v>#VALUE!</v>
      </c>
      <c r="N76" s="50" t="e">
        <f t="shared" si="21"/>
        <v>#VALUE!</v>
      </c>
      <c r="O76" s="50">
        <f t="shared" si="22"/>
        <v>0</v>
      </c>
      <c r="Q76" s="55" t="e">
        <f t="shared" si="23"/>
        <v>#VALUE!</v>
      </c>
      <c r="R76" s="55" t="e">
        <f t="shared" si="26"/>
        <v>#VALUE!</v>
      </c>
      <c r="S76" s="55" t="e">
        <f t="shared" si="24"/>
        <v>#VALUE!</v>
      </c>
      <c r="T76" s="50" t="e">
        <f t="shared" si="27"/>
        <v>#VALUE!</v>
      </c>
      <c r="U76" s="50" t="e">
        <f t="shared" si="28"/>
        <v>#VALUE!</v>
      </c>
      <c r="V76" s="50" t="e">
        <f t="shared" si="29"/>
        <v>#VALUE!</v>
      </c>
      <c r="AC76" s="59"/>
    </row>
    <row r="77" spans="2:29" x14ac:dyDescent="0.25">
      <c r="B77" s="50" t="b">
        <f t="shared" si="16"/>
        <v>0</v>
      </c>
      <c r="C77" s="50" t="e">
        <f t="shared" si="17"/>
        <v>#VALUE!</v>
      </c>
      <c r="E77" s="56">
        <v>74</v>
      </c>
      <c r="G77" s="138"/>
      <c r="H77" s="135">
        <v>1</v>
      </c>
      <c r="I77" s="58" t="e">
        <f t="shared" si="19"/>
        <v>#VALUE!</v>
      </c>
      <c r="J77" s="50" t="e">
        <f t="shared" si="25"/>
        <v>#VALUE!</v>
      </c>
      <c r="K77" s="50" t="e">
        <f t="shared" si="18"/>
        <v>#VALUE!</v>
      </c>
      <c r="L77" s="50" t="e">
        <f t="shared" si="18"/>
        <v>#VALUE!</v>
      </c>
      <c r="M77" s="50" t="e">
        <f t="shared" si="20"/>
        <v>#VALUE!</v>
      </c>
      <c r="N77" s="50" t="e">
        <f t="shared" si="21"/>
        <v>#VALUE!</v>
      </c>
      <c r="O77" s="50">
        <f t="shared" si="22"/>
        <v>0</v>
      </c>
      <c r="Q77" s="55" t="e">
        <f t="shared" si="23"/>
        <v>#VALUE!</v>
      </c>
      <c r="R77" s="55" t="e">
        <f t="shared" si="26"/>
        <v>#VALUE!</v>
      </c>
      <c r="S77" s="55" t="e">
        <f t="shared" si="24"/>
        <v>#VALUE!</v>
      </c>
      <c r="T77" s="50" t="e">
        <f t="shared" si="27"/>
        <v>#VALUE!</v>
      </c>
      <c r="U77" s="50" t="e">
        <f t="shared" si="28"/>
        <v>#VALUE!</v>
      </c>
      <c r="V77" s="50" t="e">
        <f t="shared" si="29"/>
        <v>#VALUE!</v>
      </c>
      <c r="AC77" s="59"/>
    </row>
    <row r="78" spans="2:29" x14ac:dyDescent="0.25">
      <c r="B78" s="50" t="b">
        <f t="shared" ref="B78:B141" si="30">ISNUMBER(C78)</f>
        <v>0</v>
      </c>
      <c r="C78" s="50" t="e">
        <f t="shared" ref="C78:C141" si="31">SUM(T78:V78)</f>
        <v>#VALUE!</v>
      </c>
      <c r="E78" s="56">
        <v>75</v>
      </c>
      <c r="G78" s="138"/>
      <c r="H78" s="135">
        <v>1</v>
      </c>
      <c r="I78" s="58" t="e">
        <f t="shared" si="19"/>
        <v>#VALUE!</v>
      </c>
      <c r="J78" s="50" t="e">
        <f t="shared" si="25"/>
        <v>#VALUE!</v>
      </c>
      <c r="K78" s="50" t="e">
        <f t="shared" si="18"/>
        <v>#VALUE!</v>
      </c>
      <c r="L78" s="50" t="e">
        <f t="shared" si="18"/>
        <v>#VALUE!</v>
      </c>
      <c r="M78" s="50" t="e">
        <f t="shared" si="20"/>
        <v>#VALUE!</v>
      </c>
      <c r="N78" s="50" t="e">
        <f t="shared" si="21"/>
        <v>#VALUE!</v>
      </c>
      <c r="O78" s="50">
        <f t="shared" si="22"/>
        <v>0</v>
      </c>
      <c r="Q78" s="55" t="e">
        <f t="shared" si="23"/>
        <v>#VALUE!</v>
      </c>
      <c r="R78" s="55" t="e">
        <f t="shared" si="26"/>
        <v>#VALUE!</v>
      </c>
      <c r="S78" s="55" t="e">
        <f t="shared" si="24"/>
        <v>#VALUE!</v>
      </c>
      <c r="T78" s="50" t="e">
        <f t="shared" si="27"/>
        <v>#VALUE!</v>
      </c>
      <c r="U78" s="50" t="e">
        <f t="shared" si="28"/>
        <v>#VALUE!</v>
      </c>
      <c r="V78" s="50" t="e">
        <f t="shared" si="29"/>
        <v>#VALUE!</v>
      </c>
      <c r="AC78" s="59"/>
    </row>
    <row r="79" spans="2:29" x14ac:dyDescent="0.25">
      <c r="B79" s="50" t="b">
        <f t="shared" si="30"/>
        <v>0</v>
      </c>
      <c r="C79" s="50" t="e">
        <f t="shared" si="31"/>
        <v>#VALUE!</v>
      </c>
      <c r="E79" s="56">
        <v>76</v>
      </c>
      <c r="G79" s="138"/>
      <c r="H79" s="135">
        <v>1</v>
      </c>
      <c r="I79" s="58" t="e">
        <f t="shared" si="19"/>
        <v>#VALUE!</v>
      </c>
      <c r="J79" s="50" t="e">
        <f t="shared" si="25"/>
        <v>#VALUE!</v>
      </c>
      <c r="K79" s="50" t="e">
        <f t="shared" si="18"/>
        <v>#VALUE!</v>
      </c>
      <c r="L79" s="50" t="e">
        <f t="shared" si="18"/>
        <v>#VALUE!</v>
      </c>
      <c r="M79" s="50" t="e">
        <f t="shared" si="20"/>
        <v>#VALUE!</v>
      </c>
      <c r="N79" s="50" t="e">
        <f t="shared" si="21"/>
        <v>#VALUE!</v>
      </c>
      <c r="O79" s="50">
        <f t="shared" si="22"/>
        <v>0</v>
      </c>
      <c r="Q79" s="55" t="e">
        <f t="shared" si="23"/>
        <v>#VALUE!</v>
      </c>
      <c r="R79" s="55" t="e">
        <f t="shared" si="26"/>
        <v>#VALUE!</v>
      </c>
      <c r="S79" s="55" t="e">
        <f t="shared" si="24"/>
        <v>#VALUE!</v>
      </c>
      <c r="T79" s="50" t="e">
        <f t="shared" si="27"/>
        <v>#VALUE!</v>
      </c>
      <c r="U79" s="50" t="e">
        <f t="shared" si="28"/>
        <v>#VALUE!</v>
      </c>
      <c r="V79" s="50" t="e">
        <f t="shared" si="29"/>
        <v>#VALUE!</v>
      </c>
      <c r="AC79" s="59"/>
    </row>
    <row r="80" spans="2:29" x14ac:dyDescent="0.25">
      <c r="B80" s="50" t="b">
        <f t="shared" si="30"/>
        <v>0</v>
      </c>
      <c r="C80" s="50" t="e">
        <f t="shared" si="31"/>
        <v>#VALUE!</v>
      </c>
      <c r="E80" s="56">
        <v>77</v>
      </c>
      <c r="G80" s="138"/>
      <c r="H80" s="135">
        <v>1</v>
      </c>
      <c r="I80" s="58" t="e">
        <f t="shared" si="19"/>
        <v>#VALUE!</v>
      </c>
      <c r="J80" s="50" t="e">
        <f t="shared" si="25"/>
        <v>#VALUE!</v>
      </c>
      <c r="K80" s="50" t="e">
        <f t="shared" si="18"/>
        <v>#VALUE!</v>
      </c>
      <c r="L80" s="50" t="e">
        <f t="shared" si="18"/>
        <v>#VALUE!</v>
      </c>
      <c r="M80" s="50" t="e">
        <f t="shared" si="20"/>
        <v>#VALUE!</v>
      </c>
      <c r="N80" s="50" t="e">
        <f t="shared" si="21"/>
        <v>#VALUE!</v>
      </c>
      <c r="O80" s="50">
        <f t="shared" si="22"/>
        <v>0</v>
      </c>
      <c r="Q80" s="55" t="e">
        <f t="shared" si="23"/>
        <v>#VALUE!</v>
      </c>
      <c r="R80" s="55" t="e">
        <f t="shared" si="26"/>
        <v>#VALUE!</v>
      </c>
      <c r="S80" s="55" t="e">
        <f t="shared" si="24"/>
        <v>#VALUE!</v>
      </c>
      <c r="T80" s="50" t="e">
        <f t="shared" si="27"/>
        <v>#VALUE!</v>
      </c>
      <c r="U80" s="50" t="e">
        <f t="shared" si="28"/>
        <v>#VALUE!</v>
      </c>
      <c r="V80" s="50" t="e">
        <f t="shared" si="29"/>
        <v>#VALUE!</v>
      </c>
      <c r="AC80" s="59"/>
    </row>
    <row r="81" spans="2:29" x14ac:dyDescent="0.25">
      <c r="B81" s="50" t="b">
        <f t="shared" si="30"/>
        <v>0</v>
      </c>
      <c r="C81" s="50" t="e">
        <f t="shared" si="31"/>
        <v>#VALUE!</v>
      </c>
      <c r="E81" s="56">
        <v>78</v>
      </c>
      <c r="G81" s="138"/>
      <c r="H81" s="135">
        <v>1</v>
      </c>
      <c r="I81" s="58" t="e">
        <f t="shared" si="19"/>
        <v>#VALUE!</v>
      </c>
      <c r="J81" s="50" t="e">
        <f t="shared" si="25"/>
        <v>#VALUE!</v>
      </c>
      <c r="K81" s="50" t="e">
        <f t="shared" si="18"/>
        <v>#VALUE!</v>
      </c>
      <c r="L81" s="50" t="e">
        <f t="shared" si="18"/>
        <v>#VALUE!</v>
      </c>
      <c r="M81" s="50" t="e">
        <f t="shared" si="20"/>
        <v>#VALUE!</v>
      </c>
      <c r="N81" s="50" t="e">
        <f t="shared" si="21"/>
        <v>#VALUE!</v>
      </c>
      <c r="O81" s="50">
        <f t="shared" si="22"/>
        <v>0</v>
      </c>
      <c r="Q81" s="55" t="e">
        <f t="shared" si="23"/>
        <v>#VALUE!</v>
      </c>
      <c r="R81" s="55" t="e">
        <f t="shared" si="26"/>
        <v>#VALUE!</v>
      </c>
      <c r="S81" s="55" t="e">
        <f t="shared" si="24"/>
        <v>#VALUE!</v>
      </c>
      <c r="T81" s="50" t="e">
        <f t="shared" si="27"/>
        <v>#VALUE!</v>
      </c>
      <c r="U81" s="50" t="e">
        <f t="shared" si="28"/>
        <v>#VALUE!</v>
      </c>
      <c r="V81" s="50" t="e">
        <f t="shared" si="29"/>
        <v>#VALUE!</v>
      </c>
      <c r="AC81" s="59"/>
    </row>
    <row r="82" spans="2:29" x14ac:dyDescent="0.25">
      <c r="B82" s="50" t="b">
        <f t="shared" si="30"/>
        <v>0</v>
      </c>
      <c r="C82" s="50" t="e">
        <f t="shared" si="31"/>
        <v>#VALUE!</v>
      </c>
      <c r="E82" s="56">
        <v>79</v>
      </c>
      <c r="G82" s="138"/>
      <c r="H82" s="135">
        <v>1</v>
      </c>
      <c r="I82" s="58" t="e">
        <f t="shared" si="19"/>
        <v>#VALUE!</v>
      </c>
      <c r="J82" s="50" t="e">
        <f t="shared" si="25"/>
        <v>#VALUE!</v>
      </c>
      <c r="K82" s="50" t="e">
        <f t="shared" si="18"/>
        <v>#VALUE!</v>
      </c>
      <c r="L82" s="50" t="e">
        <f t="shared" si="18"/>
        <v>#VALUE!</v>
      </c>
      <c r="M82" s="50" t="e">
        <f t="shared" si="20"/>
        <v>#VALUE!</v>
      </c>
      <c r="N82" s="50" t="e">
        <f t="shared" si="21"/>
        <v>#VALUE!</v>
      </c>
      <c r="O82" s="50">
        <f t="shared" si="22"/>
        <v>0</v>
      </c>
      <c r="Q82" s="55" t="e">
        <f t="shared" si="23"/>
        <v>#VALUE!</v>
      </c>
      <c r="R82" s="55" t="e">
        <f t="shared" si="26"/>
        <v>#VALUE!</v>
      </c>
      <c r="S82" s="55" t="e">
        <f t="shared" si="24"/>
        <v>#VALUE!</v>
      </c>
      <c r="T82" s="50" t="e">
        <f t="shared" si="27"/>
        <v>#VALUE!</v>
      </c>
      <c r="U82" s="50" t="e">
        <f t="shared" si="28"/>
        <v>#VALUE!</v>
      </c>
      <c r="V82" s="50" t="e">
        <f t="shared" si="29"/>
        <v>#VALUE!</v>
      </c>
      <c r="AC82" s="59"/>
    </row>
    <row r="83" spans="2:29" x14ac:dyDescent="0.25">
      <c r="B83" s="50" t="b">
        <f t="shared" si="30"/>
        <v>0</v>
      </c>
      <c r="C83" s="50" t="e">
        <f t="shared" si="31"/>
        <v>#VALUE!</v>
      </c>
      <c r="E83" s="56">
        <v>80</v>
      </c>
      <c r="G83" s="138"/>
      <c r="H83" s="135">
        <v>1</v>
      </c>
      <c r="I83" s="58" t="e">
        <f t="shared" si="19"/>
        <v>#VALUE!</v>
      </c>
      <c r="J83" s="50" t="e">
        <f t="shared" si="25"/>
        <v>#VALUE!</v>
      </c>
      <c r="K83" s="50" t="e">
        <f t="shared" si="18"/>
        <v>#VALUE!</v>
      </c>
      <c r="L83" s="50" t="e">
        <f t="shared" si="18"/>
        <v>#VALUE!</v>
      </c>
      <c r="M83" s="50" t="e">
        <f t="shared" si="20"/>
        <v>#VALUE!</v>
      </c>
      <c r="N83" s="50" t="e">
        <f t="shared" si="21"/>
        <v>#VALUE!</v>
      </c>
      <c r="O83" s="50">
        <f t="shared" si="22"/>
        <v>0</v>
      </c>
      <c r="Q83" s="55" t="e">
        <f t="shared" si="23"/>
        <v>#VALUE!</v>
      </c>
      <c r="R83" s="55" t="e">
        <f t="shared" si="26"/>
        <v>#VALUE!</v>
      </c>
      <c r="S83" s="55" t="e">
        <f t="shared" si="24"/>
        <v>#VALUE!</v>
      </c>
      <c r="T83" s="50" t="e">
        <f t="shared" si="27"/>
        <v>#VALUE!</v>
      </c>
      <c r="U83" s="50" t="e">
        <f t="shared" si="28"/>
        <v>#VALUE!</v>
      </c>
      <c r="V83" s="50" t="e">
        <f t="shared" si="29"/>
        <v>#VALUE!</v>
      </c>
      <c r="AC83" s="59"/>
    </row>
    <row r="84" spans="2:29" x14ac:dyDescent="0.25">
      <c r="B84" s="50" t="b">
        <f t="shared" si="30"/>
        <v>0</v>
      </c>
      <c r="C84" s="50" t="e">
        <f t="shared" si="31"/>
        <v>#VALUE!</v>
      </c>
      <c r="E84" s="56">
        <v>81</v>
      </c>
      <c r="G84" s="138"/>
      <c r="H84" s="135">
        <v>1</v>
      </c>
      <c r="I84" s="58" t="e">
        <f t="shared" si="19"/>
        <v>#VALUE!</v>
      </c>
      <c r="J84" s="50" t="e">
        <f t="shared" si="25"/>
        <v>#VALUE!</v>
      </c>
      <c r="K84" s="50" t="e">
        <f t="shared" si="18"/>
        <v>#VALUE!</v>
      </c>
      <c r="L84" s="50" t="e">
        <f t="shared" si="18"/>
        <v>#VALUE!</v>
      </c>
      <c r="M84" s="50" t="e">
        <f t="shared" si="20"/>
        <v>#VALUE!</v>
      </c>
      <c r="N84" s="50" t="e">
        <f t="shared" si="21"/>
        <v>#VALUE!</v>
      </c>
      <c r="O84" s="50">
        <f t="shared" si="22"/>
        <v>0</v>
      </c>
      <c r="Q84" s="55" t="e">
        <f t="shared" si="23"/>
        <v>#VALUE!</v>
      </c>
      <c r="R84" s="55" t="e">
        <f t="shared" si="26"/>
        <v>#VALUE!</v>
      </c>
      <c r="S84" s="55" t="e">
        <f t="shared" si="24"/>
        <v>#VALUE!</v>
      </c>
      <c r="T84" s="50" t="e">
        <f t="shared" si="27"/>
        <v>#VALUE!</v>
      </c>
      <c r="U84" s="50" t="e">
        <f t="shared" si="28"/>
        <v>#VALUE!</v>
      </c>
      <c r="V84" s="50" t="e">
        <f t="shared" si="29"/>
        <v>#VALUE!</v>
      </c>
      <c r="AC84" s="59"/>
    </row>
    <row r="85" spans="2:29" x14ac:dyDescent="0.25">
      <c r="B85" s="50" t="b">
        <f t="shared" si="30"/>
        <v>0</v>
      </c>
      <c r="C85" s="50" t="e">
        <f t="shared" si="31"/>
        <v>#VALUE!</v>
      </c>
      <c r="E85" s="56">
        <v>82</v>
      </c>
      <c r="G85" s="138"/>
      <c r="H85" s="135">
        <v>1</v>
      </c>
      <c r="I85" s="58" t="e">
        <f t="shared" si="19"/>
        <v>#VALUE!</v>
      </c>
      <c r="J85" s="50" t="e">
        <f t="shared" si="25"/>
        <v>#VALUE!</v>
      </c>
      <c r="K85" s="50" t="e">
        <f t="shared" ref="K85:L132" si="32">N85-M85</f>
        <v>#VALUE!</v>
      </c>
      <c r="L85" s="50" t="e">
        <f t="shared" si="32"/>
        <v>#VALUE!</v>
      </c>
      <c r="M85" s="50" t="e">
        <f t="shared" si="20"/>
        <v>#VALUE!</v>
      </c>
      <c r="N85" s="50" t="e">
        <f t="shared" si="21"/>
        <v>#VALUE!</v>
      </c>
      <c r="O85" s="50">
        <f t="shared" si="22"/>
        <v>0</v>
      </c>
      <c r="Q85" s="55" t="e">
        <f t="shared" si="23"/>
        <v>#VALUE!</v>
      </c>
      <c r="R85" s="55" t="e">
        <f t="shared" si="26"/>
        <v>#VALUE!</v>
      </c>
      <c r="S85" s="55" t="e">
        <f t="shared" si="24"/>
        <v>#VALUE!</v>
      </c>
      <c r="T85" s="50" t="e">
        <f t="shared" si="27"/>
        <v>#VALUE!</v>
      </c>
      <c r="U85" s="50" t="e">
        <f t="shared" si="28"/>
        <v>#VALUE!</v>
      </c>
      <c r="V85" s="50" t="e">
        <f t="shared" si="29"/>
        <v>#VALUE!</v>
      </c>
      <c r="AC85" s="59"/>
    </row>
    <row r="86" spans="2:29" x14ac:dyDescent="0.25">
      <c r="B86" s="50" t="b">
        <f t="shared" si="30"/>
        <v>0</v>
      </c>
      <c r="C86" s="50" t="e">
        <f t="shared" si="31"/>
        <v>#VALUE!</v>
      </c>
      <c r="E86" s="56">
        <v>83</v>
      </c>
      <c r="G86" s="138"/>
      <c r="H86" s="135">
        <v>1</v>
      </c>
      <c r="I86" s="58" t="e">
        <f t="shared" si="19"/>
        <v>#VALUE!</v>
      </c>
      <c r="J86" s="50" t="e">
        <f t="shared" si="25"/>
        <v>#VALUE!</v>
      </c>
      <c r="K86" s="50" t="e">
        <f t="shared" si="32"/>
        <v>#VALUE!</v>
      </c>
      <c r="L86" s="50" t="e">
        <f t="shared" si="32"/>
        <v>#VALUE!</v>
      </c>
      <c r="M86" s="50" t="e">
        <f t="shared" si="20"/>
        <v>#VALUE!</v>
      </c>
      <c r="N86" s="50" t="e">
        <f t="shared" si="21"/>
        <v>#VALUE!</v>
      </c>
      <c r="O86" s="50">
        <f t="shared" si="22"/>
        <v>0</v>
      </c>
      <c r="Q86" s="55" t="e">
        <f t="shared" si="23"/>
        <v>#VALUE!</v>
      </c>
      <c r="R86" s="55" t="e">
        <f t="shared" si="26"/>
        <v>#VALUE!</v>
      </c>
      <c r="S86" s="55" t="e">
        <f t="shared" si="24"/>
        <v>#VALUE!</v>
      </c>
      <c r="T86" s="50" t="e">
        <f t="shared" si="27"/>
        <v>#VALUE!</v>
      </c>
      <c r="U86" s="50" t="e">
        <f t="shared" si="28"/>
        <v>#VALUE!</v>
      </c>
      <c r="V86" s="50" t="e">
        <f t="shared" si="29"/>
        <v>#VALUE!</v>
      </c>
      <c r="AC86" s="59"/>
    </row>
    <row r="87" spans="2:29" x14ac:dyDescent="0.25">
      <c r="B87" s="50" t="b">
        <f t="shared" si="30"/>
        <v>0</v>
      </c>
      <c r="C87" s="50" t="e">
        <f t="shared" si="31"/>
        <v>#VALUE!</v>
      </c>
      <c r="E87" s="56">
        <v>84</v>
      </c>
      <c r="G87" s="138"/>
      <c r="H87" s="135">
        <v>1</v>
      </c>
      <c r="I87" s="58" t="e">
        <f t="shared" si="19"/>
        <v>#VALUE!</v>
      </c>
      <c r="J87" s="50" t="e">
        <f t="shared" si="25"/>
        <v>#VALUE!</v>
      </c>
      <c r="K87" s="50" t="e">
        <f t="shared" si="32"/>
        <v>#VALUE!</v>
      </c>
      <c r="L87" s="50" t="e">
        <f t="shared" si="32"/>
        <v>#VALUE!</v>
      </c>
      <c r="M87" s="50" t="e">
        <f t="shared" si="20"/>
        <v>#VALUE!</v>
      </c>
      <c r="N87" s="50" t="e">
        <f t="shared" si="21"/>
        <v>#VALUE!</v>
      </c>
      <c r="O87" s="50">
        <f t="shared" si="22"/>
        <v>0</v>
      </c>
      <c r="Q87" s="55" t="e">
        <f t="shared" si="23"/>
        <v>#VALUE!</v>
      </c>
      <c r="R87" s="55" t="e">
        <f t="shared" si="26"/>
        <v>#VALUE!</v>
      </c>
      <c r="S87" s="55" t="e">
        <f t="shared" si="24"/>
        <v>#VALUE!</v>
      </c>
      <c r="T87" s="50" t="e">
        <f t="shared" si="27"/>
        <v>#VALUE!</v>
      </c>
      <c r="U87" s="50" t="e">
        <f t="shared" si="28"/>
        <v>#VALUE!</v>
      </c>
      <c r="V87" s="50" t="e">
        <f t="shared" si="29"/>
        <v>#VALUE!</v>
      </c>
      <c r="AC87" s="59"/>
    </row>
    <row r="88" spans="2:29" x14ac:dyDescent="0.25">
      <c r="B88" s="50" t="b">
        <f t="shared" si="30"/>
        <v>0</v>
      </c>
      <c r="C88" s="50" t="e">
        <f t="shared" si="31"/>
        <v>#VALUE!</v>
      </c>
      <c r="E88" s="56">
        <v>85</v>
      </c>
      <c r="G88" s="138"/>
      <c r="H88" s="135">
        <v>1</v>
      </c>
      <c r="I88" s="58" t="e">
        <f t="shared" si="19"/>
        <v>#VALUE!</v>
      </c>
      <c r="J88" s="50" t="e">
        <f t="shared" si="25"/>
        <v>#VALUE!</v>
      </c>
      <c r="K88" s="50" t="e">
        <f t="shared" si="32"/>
        <v>#VALUE!</v>
      </c>
      <c r="L88" s="50" t="e">
        <f t="shared" si="32"/>
        <v>#VALUE!</v>
      </c>
      <c r="M88" s="50" t="e">
        <f t="shared" si="20"/>
        <v>#VALUE!</v>
      </c>
      <c r="N88" s="50" t="e">
        <f t="shared" si="21"/>
        <v>#VALUE!</v>
      </c>
      <c r="O88" s="50">
        <f t="shared" si="22"/>
        <v>0</v>
      </c>
      <c r="Q88" s="55" t="e">
        <f t="shared" si="23"/>
        <v>#VALUE!</v>
      </c>
      <c r="R88" s="55" t="e">
        <f t="shared" si="26"/>
        <v>#VALUE!</v>
      </c>
      <c r="S88" s="55" t="e">
        <f t="shared" si="24"/>
        <v>#VALUE!</v>
      </c>
      <c r="T88" s="50" t="e">
        <f t="shared" si="27"/>
        <v>#VALUE!</v>
      </c>
      <c r="U88" s="50" t="e">
        <f t="shared" si="28"/>
        <v>#VALUE!</v>
      </c>
      <c r="V88" s="50" t="e">
        <f t="shared" si="29"/>
        <v>#VALUE!</v>
      </c>
      <c r="AC88" s="59"/>
    </row>
    <row r="89" spans="2:29" x14ac:dyDescent="0.25">
      <c r="B89" s="50" t="b">
        <f t="shared" si="30"/>
        <v>0</v>
      </c>
      <c r="C89" s="50" t="e">
        <f t="shared" si="31"/>
        <v>#VALUE!</v>
      </c>
      <c r="E89" s="56">
        <v>86</v>
      </c>
      <c r="G89" s="138"/>
      <c r="H89" s="135">
        <v>1</v>
      </c>
      <c r="I89" s="58" t="e">
        <f t="shared" si="19"/>
        <v>#VALUE!</v>
      </c>
      <c r="J89" s="50" t="e">
        <f t="shared" si="25"/>
        <v>#VALUE!</v>
      </c>
      <c r="K89" s="50" t="e">
        <f t="shared" si="32"/>
        <v>#VALUE!</v>
      </c>
      <c r="L89" s="50" t="e">
        <f t="shared" si="32"/>
        <v>#VALUE!</v>
      </c>
      <c r="M89" s="50" t="e">
        <f t="shared" si="20"/>
        <v>#VALUE!</v>
      </c>
      <c r="N89" s="50" t="e">
        <f t="shared" si="21"/>
        <v>#VALUE!</v>
      </c>
      <c r="O89" s="50">
        <f t="shared" si="22"/>
        <v>0</v>
      </c>
      <c r="Q89" s="55" t="e">
        <f t="shared" si="23"/>
        <v>#VALUE!</v>
      </c>
      <c r="R89" s="55" t="e">
        <f t="shared" si="26"/>
        <v>#VALUE!</v>
      </c>
      <c r="S89" s="55" t="e">
        <f t="shared" si="24"/>
        <v>#VALUE!</v>
      </c>
      <c r="T89" s="50" t="e">
        <f t="shared" si="27"/>
        <v>#VALUE!</v>
      </c>
      <c r="U89" s="50" t="e">
        <f t="shared" si="28"/>
        <v>#VALUE!</v>
      </c>
      <c r="V89" s="50" t="e">
        <f t="shared" si="29"/>
        <v>#VALUE!</v>
      </c>
      <c r="AC89" s="59"/>
    </row>
    <row r="90" spans="2:29" x14ac:dyDescent="0.25">
      <c r="B90" s="50" t="b">
        <f t="shared" si="30"/>
        <v>0</v>
      </c>
      <c r="C90" s="50" t="e">
        <f t="shared" si="31"/>
        <v>#VALUE!</v>
      </c>
      <c r="E90" s="56">
        <v>87</v>
      </c>
      <c r="G90" s="138"/>
      <c r="H90" s="135">
        <v>1</v>
      </c>
      <c r="I90" s="58" t="e">
        <f t="shared" si="19"/>
        <v>#VALUE!</v>
      </c>
      <c r="J90" s="50" t="e">
        <f t="shared" si="25"/>
        <v>#VALUE!</v>
      </c>
      <c r="K90" s="50" t="e">
        <f t="shared" si="32"/>
        <v>#VALUE!</v>
      </c>
      <c r="L90" s="50" t="e">
        <f t="shared" si="32"/>
        <v>#VALUE!</v>
      </c>
      <c r="M90" s="50" t="e">
        <f t="shared" si="20"/>
        <v>#VALUE!</v>
      </c>
      <c r="N90" s="50" t="e">
        <f t="shared" si="21"/>
        <v>#VALUE!</v>
      </c>
      <c r="O90" s="50">
        <f t="shared" si="22"/>
        <v>0</v>
      </c>
      <c r="Q90" s="55" t="e">
        <f t="shared" si="23"/>
        <v>#VALUE!</v>
      </c>
      <c r="R90" s="55" t="e">
        <f t="shared" si="26"/>
        <v>#VALUE!</v>
      </c>
      <c r="S90" s="55" t="e">
        <f t="shared" si="24"/>
        <v>#VALUE!</v>
      </c>
      <c r="T90" s="50" t="e">
        <f t="shared" si="27"/>
        <v>#VALUE!</v>
      </c>
      <c r="U90" s="50" t="e">
        <f t="shared" si="28"/>
        <v>#VALUE!</v>
      </c>
      <c r="V90" s="50" t="e">
        <f t="shared" si="29"/>
        <v>#VALUE!</v>
      </c>
      <c r="AC90" s="59"/>
    </row>
    <row r="91" spans="2:29" x14ac:dyDescent="0.25">
      <c r="B91" s="50" t="b">
        <f t="shared" si="30"/>
        <v>0</v>
      </c>
      <c r="C91" s="50" t="e">
        <f t="shared" si="31"/>
        <v>#VALUE!</v>
      </c>
      <c r="E91" s="56">
        <v>88</v>
      </c>
      <c r="G91" s="138"/>
      <c r="H91" s="135">
        <v>1</v>
      </c>
      <c r="I91" s="58" t="e">
        <f t="shared" si="19"/>
        <v>#VALUE!</v>
      </c>
      <c r="J91" s="50" t="e">
        <f t="shared" si="25"/>
        <v>#VALUE!</v>
      </c>
      <c r="K91" s="50" t="e">
        <f t="shared" si="32"/>
        <v>#VALUE!</v>
      </c>
      <c r="L91" s="50" t="e">
        <f t="shared" si="32"/>
        <v>#VALUE!</v>
      </c>
      <c r="M91" s="50" t="e">
        <f t="shared" si="20"/>
        <v>#VALUE!</v>
      </c>
      <c r="N91" s="50" t="e">
        <f t="shared" si="21"/>
        <v>#VALUE!</v>
      </c>
      <c r="O91" s="50">
        <f t="shared" si="22"/>
        <v>0</v>
      </c>
      <c r="Q91" s="55" t="e">
        <f t="shared" si="23"/>
        <v>#VALUE!</v>
      </c>
      <c r="R91" s="55" t="e">
        <f t="shared" si="26"/>
        <v>#VALUE!</v>
      </c>
      <c r="S91" s="55" t="e">
        <f t="shared" si="24"/>
        <v>#VALUE!</v>
      </c>
      <c r="T91" s="50" t="e">
        <f t="shared" si="27"/>
        <v>#VALUE!</v>
      </c>
      <c r="U91" s="50" t="e">
        <f t="shared" si="28"/>
        <v>#VALUE!</v>
      </c>
      <c r="V91" s="50" t="e">
        <f t="shared" si="29"/>
        <v>#VALUE!</v>
      </c>
      <c r="AC91" s="59"/>
    </row>
    <row r="92" spans="2:29" x14ac:dyDescent="0.25">
      <c r="B92" s="50" t="b">
        <f t="shared" si="30"/>
        <v>0</v>
      </c>
      <c r="C92" s="50" t="e">
        <f t="shared" si="31"/>
        <v>#VALUE!</v>
      </c>
      <c r="E92" s="56">
        <v>89</v>
      </c>
      <c r="G92" s="138"/>
      <c r="H92" s="135">
        <v>1</v>
      </c>
      <c r="I92" s="58" t="e">
        <f t="shared" si="19"/>
        <v>#VALUE!</v>
      </c>
      <c r="J92" s="50" t="e">
        <f t="shared" si="25"/>
        <v>#VALUE!</v>
      </c>
      <c r="K92" s="50" t="e">
        <f t="shared" si="32"/>
        <v>#VALUE!</v>
      </c>
      <c r="L92" s="50" t="e">
        <f t="shared" si="32"/>
        <v>#VALUE!</v>
      </c>
      <c r="M92" s="50" t="e">
        <f t="shared" si="20"/>
        <v>#VALUE!</v>
      </c>
      <c r="N92" s="50" t="e">
        <f t="shared" si="21"/>
        <v>#VALUE!</v>
      </c>
      <c r="O92" s="50">
        <f t="shared" si="22"/>
        <v>0</v>
      </c>
      <c r="Q92" s="55" t="e">
        <f t="shared" si="23"/>
        <v>#VALUE!</v>
      </c>
      <c r="R92" s="55" t="e">
        <f t="shared" si="26"/>
        <v>#VALUE!</v>
      </c>
      <c r="S92" s="55" t="e">
        <f t="shared" si="24"/>
        <v>#VALUE!</v>
      </c>
      <c r="T92" s="50" t="e">
        <f t="shared" si="27"/>
        <v>#VALUE!</v>
      </c>
      <c r="U92" s="50" t="e">
        <f t="shared" si="28"/>
        <v>#VALUE!</v>
      </c>
      <c r="V92" s="50" t="e">
        <f t="shared" si="29"/>
        <v>#VALUE!</v>
      </c>
      <c r="AC92" s="59"/>
    </row>
    <row r="93" spans="2:29" x14ac:dyDescent="0.25">
      <c r="B93" s="50" t="b">
        <f t="shared" si="30"/>
        <v>0</v>
      </c>
      <c r="C93" s="50" t="e">
        <f t="shared" si="31"/>
        <v>#VALUE!</v>
      </c>
      <c r="E93" s="56">
        <v>90</v>
      </c>
      <c r="G93" s="138"/>
      <c r="H93" s="135">
        <v>1</v>
      </c>
      <c r="I93" s="58" t="e">
        <f t="shared" si="19"/>
        <v>#VALUE!</v>
      </c>
      <c r="J93" s="50" t="e">
        <f t="shared" si="25"/>
        <v>#VALUE!</v>
      </c>
      <c r="K93" s="50" t="e">
        <f t="shared" si="32"/>
        <v>#VALUE!</v>
      </c>
      <c r="L93" s="50" t="e">
        <f t="shared" si="32"/>
        <v>#VALUE!</v>
      </c>
      <c r="M93" s="50" t="e">
        <f t="shared" si="20"/>
        <v>#VALUE!</v>
      </c>
      <c r="N93" s="50" t="e">
        <f t="shared" si="21"/>
        <v>#VALUE!</v>
      </c>
      <c r="O93" s="50">
        <f t="shared" si="22"/>
        <v>0</v>
      </c>
      <c r="Q93" s="55" t="e">
        <f t="shared" si="23"/>
        <v>#VALUE!</v>
      </c>
      <c r="R93" s="55" t="e">
        <f t="shared" si="26"/>
        <v>#VALUE!</v>
      </c>
      <c r="S93" s="55" t="e">
        <f t="shared" si="24"/>
        <v>#VALUE!</v>
      </c>
      <c r="T93" s="50" t="e">
        <f t="shared" si="27"/>
        <v>#VALUE!</v>
      </c>
      <c r="U93" s="50" t="e">
        <f t="shared" si="28"/>
        <v>#VALUE!</v>
      </c>
      <c r="V93" s="50" t="e">
        <f t="shared" si="29"/>
        <v>#VALUE!</v>
      </c>
      <c r="AC93" s="59"/>
    </row>
    <row r="94" spans="2:29" x14ac:dyDescent="0.25">
      <c r="B94" s="50" t="b">
        <f t="shared" si="30"/>
        <v>0</v>
      </c>
      <c r="C94" s="50" t="e">
        <f t="shared" si="31"/>
        <v>#VALUE!</v>
      </c>
      <c r="E94" s="56">
        <v>91</v>
      </c>
      <c r="G94" s="138"/>
      <c r="H94" s="135">
        <v>1</v>
      </c>
      <c r="I94" s="58" t="e">
        <f t="shared" si="19"/>
        <v>#VALUE!</v>
      </c>
      <c r="J94" s="50" t="e">
        <f t="shared" si="25"/>
        <v>#VALUE!</v>
      </c>
      <c r="K94" s="50" t="e">
        <f t="shared" si="32"/>
        <v>#VALUE!</v>
      </c>
      <c r="L94" s="50" t="e">
        <f t="shared" si="32"/>
        <v>#VALUE!</v>
      </c>
      <c r="M94" s="50" t="e">
        <f t="shared" si="20"/>
        <v>#VALUE!</v>
      </c>
      <c r="N94" s="50" t="e">
        <f t="shared" si="21"/>
        <v>#VALUE!</v>
      </c>
      <c r="O94" s="50">
        <f t="shared" si="22"/>
        <v>0</v>
      </c>
      <c r="Q94" s="55" t="e">
        <f t="shared" si="23"/>
        <v>#VALUE!</v>
      </c>
      <c r="R94" s="55" t="e">
        <f t="shared" si="26"/>
        <v>#VALUE!</v>
      </c>
      <c r="S94" s="55" t="e">
        <f t="shared" si="24"/>
        <v>#VALUE!</v>
      </c>
      <c r="T94" s="50" t="e">
        <f t="shared" si="27"/>
        <v>#VALUE!</v>
      </c>
      <c r="U94" s="50" t="e">
        <f t="shared" si="28"/>
        <v>#VALUE!</v>
      </c>
      <c r="V94" s="50" t="e">
        <f t="shared" si="29"/>
        <v>#VALUE!</v>
      </c>
      <c r="AC94" s="59"/>
    </row>
    <row r="95" spans="2:29" x14ac:dyDescent="0.25">
      <c r="B95" s="50" t="b">
        <f t="shared" si="30"/>
        <v>0</v>
      </c>
      <c r="C95" s="50" t="e">
        <f t="shared" si="31"/>
        <v>#VALUE!</v>
      </c>
      <c r="E95" s="56">
        <v>92</v>
      </c>
      <c r="G95" s="138"/>
      <c r="H95" s="135">
        <v>1</v>
      </c>
      <c r="I95" s="58" t="e">
        <f t="shared" si="19"/>
        <v>#VALUE!</v>
      </c>
      <c r="J95" s="50" t="e">
        <f t="shared" si="25"/>
        <v>#VALUE!</v>
      </c>
      <c r="K95" s="50" t="e">
        <f t="shared" si="32"/>
        <v>#VALUE!</v>
      </c>
      <c r="L95" s="50" t="e">
        <f t="shared" si="32"/>
        <v>#VALUE!</v>
      </c>
      <c r="M95" s="50" t="e">
        <f t="shared" si="20"/>
        <v>#VALUE!</v>
      </c>
      <c r="N95" s="50" t="e">
        <f t="shared" si="21"/>
        <v>#VALUE!</v>
      </c>
      <c r="O95" s="50">
        <f t="shared" si="22"/>
        <v>0</v>
      </c>
      <c r="Q95" s="55" t="e">
        <f t="shared" si="23"/>
        <v>#VALUE!</v>
      </c>
      <c r="R95" s="55" t="e">
        <f t="shared" si="26"/>
        <v>#VALUE!</v>
      </c>
      <c r="S95" s="55" t="e">
        <f t="shared" si="24"/>
        <v>#VALUE!</v>
      </c>
      <c r="T95" s="50" t="e">
        <f t="shared" si="27"/>
        <v>#VALUE!</v>
      </c>
      <c r="U95" s="50" t="e">
        <f t="shared" si="28"/>
        <v>#VALUE!</v>
      </c>
      <c r="V95" s="50" t="e">
        <f t="shared" si="29"/>
        <v>#VALUE!</v>
      </c>
      <c r="AC95" s="59"/>
    </row>
    <row r="96" spans="2:29" x14ac:dyDescent="0.25">
      <c r="B96" s="50" t="b">
        <f t="shared" si="30"/>
        <v>0</v>
      </c>
      <c r="C96" s="50" t="e">
        <f t="shared" si="31"/>
        <v>#VALUE!</v>
      </c>
      <c r="E96" s="56">
        <v>93</v>
      </c>
      <c r="G96" s="138"/>
      <c r="H96" s="135">
        <v>1</v>
      </c>
      <c r="I96" s="58" t="e">
        <f t="shared" si="19"/>
        <v>#VALUE!</v>
      </c>
      <c r="J96" s="50" t="e">
        <f t="shared" si="25"/>
        <v>#VALUE!</v>
      </c>
      <c r="K96" s="50" t="e">
        <f t="shared" si="32"/>
        <v>#VALUE!</v>
      </c>
      <c r="L96" s="50" t="e">
        <f t="shared" si="32"/>
        <v>#VALUE!</v>
      </c>
      <c r="M96" s="50" t="e">
        <f t="shared" si="20"/>
        <v>#VALUE!</v>
      </c>
      <c r="N96" s="50" t="e">
        <f t="shared" si="21"/>
        <v>#VALUE!</v>
      </c>
      <c r="O96" s="50">
        <f t="shared" si="22"/>
        <v>0</v>
      </c>
      <c r="Q96" s="55" t="e">
        <f t="shared" si="23"/>
        <v>#VALUE!</v>
      </c>
      <c r="R96" s="55" t="e">
        <f t="shared" si="26"/>
        <v>#VALUE!</v>
      </c>
      <c r="S96" s="55" t="e">
        <f t="shared" si="24"/>
        <v>#VALUE!</v>
      </c>
      <c r="T96" s="50" t="e">
        <f t="shared" si="27"/>
        <v>#VALUE!</v>
      </c>
      <c r="U96" s="50" t="e">
        <f t="shared" si="28"/>
        <v>#VALUE!</v>
      </c>
      <c r="V96" s="50" t="e">
        <f t="shared" si="29"/>
        <v>#VALUE!</v>
      </c>
      <c r="AC96" s="59"/>
    </row>
    <row r="97" spans="2:29" x14ac:dyDescent="0.25">
      <c r="B97" s="50" t="b">
        <f t="shared" si="30"/>
        <v>0</v>
      </c>
      <c r="C97" s="50" t="e">
        <f t="shared" si="31"/>
        <v>#VALUE!</v>
      </c>
      <c r="E97" s="56">
        <v>94</v>
      </c>
      <c r="G97" s="138"/>
      <c r="H97" s="135">
        <v>1</v>
      </c>
      <c r="I97" s="58" t="e">
        <f t="shared" si="19"/>
        <v>#VALUE!</v>
      </c>
      <c r="J97" s="50" t="e">
        <f t="shared" si="25"/>
        <v>#VALUE!</v>
      </c>
      <c r="K97" s="50" t="e">
        <f t="shared" si="32"/>
        <v>#VALUE!</v>
      </c>
      <c r="L97" s="50" t="e">
        <f t="shared" si="32"/>
        <v>#VALUE!</v>
      </c>
      <c r="M97" s="50" t="e">
        <f t="shared" si="20"/>
        <v>#VALUE!</v>
      </c>
      <c r="N97" s="50" t="e">
        <f t="shared" si="21"/>
        <v>#VALUE!</v>
      </c>
      <c r="O97" s="50">
        <f t="shared" si="22"/>
        <v>0</v>
      </c>
      <c r="Q97" s="55" t="e">
        <f t="shared" si="23"/>
        <v>#VALUE!</v>
      </c>
      <c r="R97" s="55" t="e">
        <f t="shared" si="26"/>
        <v>#VALUE!</v>
      </c>
      <c r="S97" s="55" t="e">
        <f t="shared" si="24"/>
        <v>#VALUE!</v>
      </c>
      <c r="T97" s="50" t="e">
        <f t="shared" si="27"/>
        <v>#VALUE!</v>
      </c>
      <c r="U97" s="50" t="e">
        <f t="shared" si="28"/>
        <v>#VALUE!</v>
      </c>
      <c r="V97" s="50" t="e">
        <f t="shared" si="29"/>
        <v>#VALUE!</v>
      </c>
      <c r="AC97" s="59"/>
    </row>
    <row r="98" spans="2:29" x14ac:dyDescent="0.25">
      <c r="B98" s="50" t="b">
        <f t="shared" si="30"/>
        <v>0</v>
      </c>
      <c r="C98" s="50" t="e">
        <f t="shared" si="31"/>
        <v>#VALUE!</v>
      </c>
      <c r="E98" s="56">
        <v>95</v>
      </c>
      <c r="G98" s="138"/>
      <c r="H98" s="135">
        <v>1</v>
      </c>
      <c r="I98" s="58" t="e">
        <f t="shared" si="19"/>
        <v>#VALUE!</v>
      </c>
      <c r="J98" s="50" t="e">
        <f t="shared" si="25"/>
        <v>#VALUE!</v>
      </c>
      <c r="K98" s="50" t="e">
        <f t="shared" si="32"/>
        <v>#VALUE!</v>
      </c>
      <c r="L98" s="50" t="e">
        <f t="shared" si="32"/>
        <v>#VALUE!</v>
      </c>
      <c r="M98" s="50" t="e">
        <f t="shared" si="20"/>
        <v>#VALUE!</v>
      </c>
      <c r="N98" s="50" t="e">
        <f t="shared" si="21"/>
        <v>#VALUE!</v>
      </c>
      <c r="O98" s="50">
        <f t="shared" si="22"/>
        <v>0</v>
      </c>
      <c r="Q98" s="55" t="e">
        <f t="shared" si="23"/>
        <v>#VALUE!</v>
      </c>
      <c r="R98" s="55" t="e">
        <f t="shared" si="26"/>
        <v>#VALUE!</v>
      </c>
      <c r="S98" s="55" t="e">
        <f t="shared" si="24"/>
        <v>#VALUE!</v>
      </c>
      <c r="T98" s="50" t="e">
        <f t="shared" si="27"/>
        <v>#VALUE!</v>
      </c>
      <c r="U98" s="50" t="e">
        <f t="shared" si="28"/>
        <v>#VALUE!</v>
      </c>
      <c r="V98" s="50" t="e">
        <f t="shared" si="29"/>
        <v>#VALUE!</v>
      </c>
      <c r="AC98" s="59"/>
    </row>
    <row r="99" spans="2:29" x14ac:dyDescent="0.25">
      <c r="B99" s="50" t="b">
        <f t="shared" si="30"/>
        <v>0</v>
      </c>
      <c r="C99" s="50" t="e">
        <f t="shared" si="31"/>
        <v>#VALUE!</v>
      </c>
      <c r="E99" s="56">
        <v>96</v>
      </c>
      <c r="G99" s="138"/>
      <c r="H99" s="135">
        <v>1</v>
      </c>
      <c r="I99" s="58" t="e">
        <f t="shared" si="19"/>
        <v>#VALUE!</v>
      </c>
      <c r="J99" s="50" t="e">
        <f t="shared" si="25"/>
        <v>#VALUE!</v>
      </c>
      <c r="K99" s="50" t="e">
        <f t="shared" si="32"/>
        <v>#VALUE!</v>
      </c>
      <c r="L99" s="50" t="e">
        <f t="shared" si="32"/>
        <v>#VALUE!</v>
      </c>
      <c r="M99" s="50" t="e">
        <f t="shared" si="20"/>
        <v>#VALUE!</v>
      </c>
      <c r="N99" s="50" t="e">
        <f t="shared" si="21"/>
        <v>#VALUE!</v>
      </c>
      <c r="O99" s="50">
        <f t="shared" si="22"/>
        <v>0</v>
      </c>
      <c r="Q99" s="55" t="e">
        <f t="shared" si="23"/>
        <v>#VALUE!</v>
      </c>
      <c r="R99" s="55" t="e">
        <f t="shared" si="26"/>
        <v>#VALUE!</v>
      </c>
      <c r="S99" s="55" t="e">
        <f t="shared" si="24"/>
        <v>#VALUE!</v>
      </c>
      <c r="T99" s="50" t="e">
        <f t="shared" si="27"/>
        <v>#VALUE!</v>
      </c>
      <c r="U99" s="50" t="e">
        <f t="shared" si="28"/>
        <v>#VALUE!</v>
      </c>
      <c r="V99" s="50" t="e">
        <f t="shared" si="29"/>
        <v>#VALUE!</v>
      </c>
      <c r="AC99" s="59"/>
    </row>
    <row r="100" spans="2:29" x14ac:dyDescent="0.25">
      <c r="B100" s="50" t="b">
        <f t="shared" si="30"/>
        <v>0</v>
      </c>
      <c r="C100" s="50" t="e">
        <f t="shared" si="31"/>
        <v>#VALUE!</v>
      </c>
      <c r="E100" s="56">
        <v>97</v>
      </c>
      <c r="G100" s="138"/>
      <c r="H100" s="135">
        <v>1</v>
      </c>
      <c r="I100" s="58" t="e">
        <f t="shared" si="19"/>
        <v>#VALUE!</v>
      </c>
      <c r="J100" s="50" t="e">
        <f t="shared" si="25"/>
        <v>#VALUE!</v>
      </c>
      <c r="K100" s="50" t="e">
        <f t="shared" si="32"/>
        <v>#VALUE!</v>
      </c>
      <c r="L100" s="50" t="e">
        <f t="shared" si="32"/>
        <v>#VALUE!</v>
      </c>
      <c r="M100" s="50" t="e">
        <f t="shared" si="20"/>
        <v>#VALUE!</v>
      </c>
      <c r="N100" s="50" t="e">
        <f t="shared" si="21"/>
        <v>#VALUE!</v>
      </c>
      <c r="O100" s="50">
        <f t="shared" si="22"/>
        <v>0</v>
      </c>
      <c r="Q100" s="55" t="e">
        <f t="shared" si="23"/>
        <v>#VALUE!</v>
      </c>
      <c r="R100" s="55" t="e">
        <f t="shared" si="26"/>
        <v>#VALUE!</v>
      </c>
      <c r="S100" s="55" t="e">
        <f t="shared" si="24"/>
        <v>#VALUE!</v>
      </c>
      <c r="T100" s="50" t="e">
        <f t="shared" si="27"/>
        <v>#VALUE!</v>
      </c>
      <c r="U100" s="50" t="e">
        <f t="shared" si="28"/>
        <v>#VALUE!</v>
      </c>
      <c r="V100" s="50" t="e">
        <f t="shared" si="29"/>
        <v>#VALUE!</v>
      </c>
      <c r="AC100" s="59"/>
    </row>
    <row r="101" spans="2:29" x14ac:dyDescent="0.25">
      <c r="B101" s="50" t="b">
        <f t="shared" si="30"/>
        <v>0</v>
      </c>
      <c r="C101" s="50" t="e">
        <f t="shared" si="31"/>
        <v>#VALUE!</v>
      </c>
      <c r="E101" s="56">
        <v>98</v>
      </c>
      <c r="G101" s="138"/>
      <c r="H101" s="135">
        <v>1</v>
      </c>
      <c r="I101" s="58" t="e">
        <f t="shared" si="19"/>
        <v>#VALUE!</v>
      </c>
      <c r="J101" s="50" t="e">
        <f t="shared" si="25"/>
        <v>#VALUE!</v>
      </c>
      <c r="K101" s="50" t="e">
        <f t="shared" si="32"/>
        <v>#VALUE!</v>
      </c>
      <c r="L101" s="50" t="e">
        <f t="shared" si="32"/>
        <v>#VALUE!</v>
      </c>
      <c r="M101" s="50" t="e">
        <f t="shared" si="20"/>
        <v>#VALUE!</v>
      </c>
      <c r="N101" s="50" t="e">
        <f t="shared" si="21"/>
        <v>#VALUE!</v>
      </c>
      <c r="O101" s="50">
        <f t="shared" si="22"/>
        <v>0</v>
      </c>
      <c r="Q101" s="55" t="e">
        <f t="shared" si="23"/>
        <v>#VALUE!</v>
      </c>
      <c r="R101" s="55" t="e">
        <f t="shared" si="26"/>
        <v>#VALUE!</v>
      </c>
      <c r="S101" s="55" t="e">
        <f t="shared" si="24"/>
        <v>#VALUE!</v>
      </c>
      <c r="T101" s="50" t="e">
        <f t="shared" si="27"/>
        <v>#VALUE!</v>
      </c>
      <c r="U101" s="50" t="e">
        <f t="shared" si="28"/>
        <v>#VALUE!</v>
      </c>
      <c r="V101" s="50" t="e">
        <f t="shared" si="29"/>
        <v>#VALUE!</v>
      </c>
      <c r="AC101" s="59"/>
    </row>
    <row r="102" spans="2:29" x14ac:dyDescent="0.25">
      <c r="B102" s="50" t="b">
        <f t="shared" si="30"/>
        <v>0</v>
      </c>
      <c r="C102" s="50" t="e">
        <f t="shared" si="31"/>
        <v>#VALUE!</v>
      </c>
      <c r="E102" s="56">
        <v>99</v>
      </c>
      <c r="G102" s="138"/>
      <c r="H102" s="135">
        <v>1</v>
      </c>
      <c r="I102" s="58" t="e">
        <f t="shared" si="19"/>
        <v>#VALUE!</v>
      </c>
      <c r="J102" s="50" t="e">
        <f t="shared" si="25"/>
        <v>#VALUE!</v>
      </c>
      <c r="K102" s="50" t="e">
        <f t="shared" si="32"/>
        <v>#VALUE!</v>
      </c>
      <c r="L102" s="50" t="e">
        <f t="shared" si="32"/>
        <v>#VALUE!</v>
      </c>
      <c r="M102" s="50" t="e">
        <f t="shared" si="20"/>
        <v>#VALUE!</v>
      </c>
      <c r="N102" s="50" t="e">
        <f t="shared" si="21"/>
        <v>#VALUE!</v>
      </c>
      <c r="O102" s="50">
        <f t="shared" si="22"/>
        <v>0</v>
      </c>
      <c r="Q102" s="55" t="e">
        <f t="shared" si="23"/>
        <v>#VALUE!</v>
      </c>
      <c r="R102" s="55" t="e">
        <f t="shared" si="26"/>
        <v>#VALUE!</v>
      </c>
      <c r="S102" s="55" t="e">
        <f t="shared" si="24"/>
        <v>#VALUE!</v>
      </c>
      <c r="T102" s="50" t="e">
        <f t="shared" si="27"/>
        <v>#VALUE!</v>
      </c>
      <c r="U102" s="50" t="e">
        <f t="shared" si="28"/>
        <v>#VALUE!</v>
      </c>
      <c r="V102" s="50" t="e">
        <f t="shared" si="29"/>
        <v>#VALUE!</v>
      </c>
      <c r="AC102" s="59"/>
    </row>
    <row r="103" spans="2:29" x14ac:dyDescent="0.25">
      <c r="B103" s="50" t="b">
        <f t="shared" si="30"/>
        <v>0</v>
      </c>
      <c r="C103" s="50" t="e">
        <f t="shared" si="31"/>
        <v>#VALUE!</v>
      </c>
      <c r="E103" s="56">
        <v>100</v>
      </c>
      <c r="G103" s="138"/>
      <c r="H103" s="135">
        <v>1</v>
      </c>
      <c r="I103" s="58" t="e">
        <f t="shared" si="19"/>
        <v>#VALUE!</v>
      </c>
      <c r="J103" s="50" t="e">
        <f t="shared" si="25"/>
        <v>#VALUE!</v>
      </c>
      <c r="K103" s="50" t="e">
        <f t="shared" si="32"/>
        <v>#VALUE!</v>
      </c>
      <c r="L103" s="50" t="e">
        <f t="shared" si="32"/>
        <v>#VALUE!</v>
      </c>
      <c r="M103" s="50" t="e">
        <f t="shared" si="20"/>
        <v>#VALUE!</v>
      </c>
      <c r="N103" s="50" t="e">
        <f t="shared" si="21"/>
        <v>#VALUE!</v>
      </c>
      <c r="O103" s="50">
        <f t="shared" si="22"/>
        <v>0</v>
      </c>
      <c r="Q103" s="55" t="e">
        <f t="shared" si="23"/>
        <v>#VALUE!</v>
      </c>
      <c r="R103" s="55" t="e">
        <f t="shared" si="26"/>
        <v>#VALUE!</v>
      </c>
      <c r="S103" s="55" t="e">
        <f t="shared" si="24"/>
        <v>#VALUE!</v>
      </c>
      <c r="T103" s="50" t="e">
        <f t="shared" si="27"/>
        <v>#VALUE!</v>
      </c>
      <c r="U103" s="50" t="e">
        <f t="shared" si="28"/>
        <v>#VALUE!</v>
      </c>
      <c r="V103" s="50" t="e">
        <f t="shared" si="29"/>
        <v>#VALUE!</v>
      </c>
      <c r="AC103" s="59"/>
    </row>
    <row r="104" spans="2:29" x14ac:dyDescent="0.25">
      <c r="B104" s="50" t="b">
        <f t="shared" si="30"/>
        <v>0</v>
      </c>
      <c r="C104" s="50" t="e">
        <f t="shared" si="31"/>
        <v>#VALUE!</v>
      </c>
      <c r="E104" s="56">
        <v>101</v>
      </c>
      <c r="G104" s="138"/>
      <c r="H104" s="135">
        <v>1</v>
      </c>
      <c r="I104" s="58" t="e">
        <f t="shared" si="19"/>
        <v>#VALUE!</v>
      </c>
      <c r="J104" s="50" t="e">
        <f t="shared" si="25"/>
        <v>#VALUE!</v>
      </c>
      <c r="K104" s="50" t="e">
        <f t="shared" si="32"/>
        <v>#VALUE!</v>
      </c>
      <c r="L104" s="50" t="e">
        <f t="shared" si="32"/>
        <v>#VALUE!</v>
      </c>
      <c r="M104" s="50" t="e">
        <f t="shared" si="20"/>
        <v>#VALUE!</v>
      </c>
      <c r="N104" s="50" t="e">
        <f t="shared" si="21"/>
        <v>#VALUE!</v>
      </c>
      <c r="O104" s="50">
        <f t="shared" si="22"/>
        <v>0</v>
      </c>
      <c r="Q104" s="55" t="e">
        <f t="shared" si="23"/>
        <v>#VALUE!</v>
      </c>
      <c r="R104" s="55" t="e">
        <f t="shared" si="26"/>
        <v>#VALUE!</v>
      </c>
      <c r="S104" s="55" t="e">
        <f t="shared" si="24"/>
        <v>#VALUE!</v>
      </c>
      <c r="T104" s="50" t="e">
        <f t="shared" si="27"/>
        <v>#VALUE!</v>
      </c>
      <c r="U104" s="50" t="e">
        <f t="shared" si="28"/>
        <v>#VALUE!</v>
      </c>
      <c r="V104" s="50" t="e">
        <f t="shared" si="29"/>
        <v>#VALUE!</v>
      </c>
      <c r="AC104" s="59"/>
    </row>
    <row r="105" spans="2:29" x14ac:dyDescent="0.25">
      <c r="B105" s="50" t="b">
        <f t="shared" si="30"/>
        <v>0</v>
      </c>
      <c r="C105" s="50" t="e">
        <f t="shared" si="31"/>
        <v>#VALUE!</v>
      </c>
      <c r="E105" s="56">
        <v>102</v>
      </c>
      <c r="G105" s="138"/>
      <c r="H105" s="135">
        <v>1</v>
      </c>
      <c r="I105" s="58" t="e">
        <f t="shared" si="19"/>
        <v>#VALUE!</v>
      </c>
      <c r="J105" s="50" t="e">
        <f t="shared" si="25"/>
        <v>#VALUE!</v>
      </c>
      <c r="K105" s="50" t="e">
        <f t="shared" si="32"/>
        <v>#VALUE!</v>
      </c>
      <c r="L105" s="50" t="e">
        <f t="shared" si="32"/>
        <v>#VALUE!</v>
      </c>
      <c r="M105" s="50" t="e">
        <f t="shared" si="20"/>
        <v>#VALUE!</v>
      </c>
      <c r="N105" s="50" t="e">
        <f t="shared" si="21"/>
        <v>#VALUE!</v>
      </c>
      <c r="O105" s="50">
        <f t="shared" si="22"/>
        <v>0</v>
      </c>
      <c r="Q105" s="55" t="e">
        <f t="shared" si="23"/>
        <v>#VALUE!</v>
      </c>
      <c r="R105" s="55" t="e">
        <f t="shared" si="26"/>
        <v>#VALUE!</v>
      </c>
      <c r="S105" s="55" t="e">
        <f t="shared" si="24"/>
        <v>#VALUE!</v>
      </c>
      <c r="T105" s="50" t="e">
        <f t="shared" si="27"/>
        <v>#VALUE!</v>
      </c>
      <c r="U105" s="50" t="e">
        <f t="shared" si="28"/>
        <v>#VALUE!</v>
      </c>
      <c r="V105" s="50" t="e">
        <f t="shared" si="29"/>
        <v>#VALUE!</v>
      </c>
      <c r="AC105" s="59"/>
    </row>
    <row r="106" spans="2:29" x14ac:dyDescent="0.25">
      <c r="B106" s="50" t="b">
        <f t="shared" si="30"/>
        <v>0</v>
      </c>
      <c r="C106" s="50" t="e">
        <f t="shared" si="31"/>
        <v>#VALUE!</v>
      </c>
      <c r="E106" s="56">
        <v>103</v>
      </c>
      <c r="G106" s="138"/>
      <c r="H106" s="135">
        <v>1</v>
      </c>
      <c r="I106" s="58" t="e">
        <f t="shared" si="19"/>
        <v>#VALUE!</v>
      </c>
      <c r="J106" s="50" t="e">
        <f t="shared" si="25"/>
        <v>#VALUE!</v>
      </c>
      <c r="K106" s="50" t="e">
        <f t="shared" si="32"/>
        <v>#VALUE!</v>
      </c>
      <c r="L106" s="50" t="e">
        <f t="shared" si="32"/>
        <v>#VALUE!</v>
      </c>
      <c r="M106" s="50" t="e">
        <f t="shared" si="20"/>
        <v>#VALUE!</v>
      </c>
      <c r="N106" s="50" t="e">
        <f t="shared" si="21"/>
        <v>#VALUE!</v>
      </c>
      <c r="O106" s="50">
        <f t="shared" si="22"/>
        <v>0</v>
      </c>
      <c r="Q106" s="55" t="e">
        <f t="shared" si="23"/>
        <v>#VALUE!</v>
      </c>
      <c r="R106" s="55" t="e">
        <f t="shared" si="26"/>
        <v>#VALUE!</v>
      </c>
      <c r="S106" s="55" t="e">
        <f t="shared" si="24"/>
        <v>#VALUE!</v>
      </c>
      <c r="T106" s="50" t="e">
        <f t="shared" si="27"/>
        <v>#VALUE!</v>
      </c>
      <c r="U106" s="50" t="e">
        <f t="shared" si="28"/>
        <v>#VALUE!</v>
      </c>
      <c r="V106" s="50" t="e">
        <f t="shared" si="29"/>
        <v>#VALUE!</v>
      </c>
      <c r="AC106" s="59"/>
    </row>
    <row r="107" spans="2:29" x14ac:dyDescent="0.25">
      <c r="B107" s="50" t="b">
        <f t="shared" si="30"/>
        <v>0</v>
      </c>
      <c r="C107" s="50" t="e">
        <f t="shared" si="31"/>
        <v>#VALUE!</v>
      </c>
      <c r="E107" s="56">
        <v>104</v>
      </c>
      <c r="G107" s="138"/>
      <c r="H107" s="135">
        <v>1</v>
      </c>
      <c r="I107" s="58" t="e">
        <f t="shared" si="19"/>
        <v>#VALUE!</v>
      </c>
      <c r="J107" s="50" t="e">
        <f t="shared" si="25"/>
        <v>#VALUE!</v>
      </c>
      <c r="K107" s="50" t="e">
        <f t="shared" si="32"/>
        <v>#VALUE!</v>
      </c>
      <c r="L107" s="50" t="e">
        <f t="shared" si="32"/>
        <v>#VALUE!</v>
      </c>
      <c r="M107" s="50" t="e">
        <f t="shared" si="20"/>
        <v>#VALUE!</v>
      </c>
      <c r="N107" s="50" t="e">
        <f t="shared" si="21"/>
        <v>#VALUE!</v>
      </c>
      <c r="O107" s="50">
        <f t="shared" si="22"/>
        <v>0</v>
      </c>
      <c r="Q107" s="55" t="e">
        <f t="shared" si="23"/>
        <v>#VALUE!</v>
      </c>
      <c r="R107" s="55" t="e">
        <f t="shared" si="26"/>
        <v>#VALUE!</v>
      </c>
      <c r="S107" s="55" t="e">
        <f t="shared" si="24"/>
        <v>#VALUE!</v>
      </c>
      <c r="T107" s="50" t="e">
        <f t="shared" si="27"/>
        <v>#VALUE!</v>
      </c>
      <c r="U107" s="50" t="e">
        <f t="shared" si="28"/>
        <v>#VALUE!</v>
      </c>
      <c r="V107" s="50" t="e">
        <f t="shared" si="29"/>
        <v>#VALUE!</v>
      </c>
      <c r="AC107" s="59"/>
    </row>
    <row r="108" spans="2:29" x14ac:dyDescent="0.25">
      <c r="B108" s="50" t="b">
        <f t="shared" si="30"/>
        <v>0</v>
      </c>
      <c r="C108" s="50" t="e">
        <f t="shared" si="31"/>
        <v>#VALUE!</v>
      </c>
      <c r="E108" s="56">
        <v>105</v>
      </c>
      <c r="G108" s="138"/>
      <c r="H108" s="135">
        <v>1</v>
      </c>
      <c r="I108" s="58" t="e">
        <f t="shared" si="19"/>
        <v>#VALUE!</v>
      </c>
      <c r="J108" s="50" t="e">
        <f t="shared" si="25"/>
        <v>#VALUE!</v>
      </c>
      <c r="K108" s="50" t="e">
        <f t="shared" si="32"/>
        <v>#VALUE!</v>
      </c>
      <c r="L108" s="50" t="e">
        <f t="shared" si="32"/>
        <v>#VALUE!</v>
      </c>
      <c r="M108" s="50" t="e">
        <f t="shared" si="20"/>
        <v>#VALUE!</v>
      </c>
      <c r="N108" s="50" t="e">
        <f t="shared" si="21"/>
        <v>#VALUE!</v>
      </c>
      <c r="O108" s="50">
        <f t="shared" si="22"/>
        <v>0</v>
      </c>
      <c r="Q108" s="55" t="e">
        <f t="shared" si="23"/>
        <v>#VALUE!</v>
      </c>
      <c r="R108" s="55" t="e">
        <f t="shared" si="26"/>
        <v>#VALUE!</v>
      </c>
      <c r="S108" s="55" t="e">
        <f t="shared" si="24"/>
        <v>#VALUE!</v>
      </c>
      <c r="T108" s="50" t="e">
        <f t="shared" si="27"/>
        <v>#VALUE!</v>
      </c>
      <c r="U108" s="50" t="e">
        <f t="shared" si="28"/>
        <v>#VALUE!</v>
      </c>
      <c r="V108" s="50" t="e">
        <f t="shared" si="29"/>
        <v>#VALUE!</v>
      </c>
      <c r="AC108" s="59"/>
    </row>
    <row r="109" spans="2:29" x14ac:dyDescent="0.25">
      <c r="B109" s="50" t="b">
        <f t="shared" si="30"/>
        <v>0</v>
      </c>
      <c r="C109" s="50" t="e">
        <f t="shared" si="31"/>
        <v>#VALUE!</v>
      </c>
      <c r="E109" s="56">
        <v>106</v>
      </c>
      <c r="G109" s="138"/>
      <c r="H109" s="135">
        <v>1</v>
      </c>
      <c r="I109" s="58" t="e">
        <f t="shared" si="19"/>
        <v>#VALUE!</v>
      </c>
      <c r="J109" s="50" t="e">
        <f t="shared" si="25"/>
        <v>#VALUE!</v>
      </c>
      <c r="K109" s="50" t="e">
        <f t="shared" si="32"/>
        <v>#VALUE!</v>
      </c>
      <c r="L109" s="50" t="e">
        <f t="shared" si="32"/>
        <v>#VALUE!</v>
      </c>
      <c r="M109" s="50" t="e">
        <f t="shared" si="20"/>
        <v>#VALUE!</v>
      </c>
      <c r="N109" s="50" t="e">
        <f t="shared" si="21"/>
        <v>#VALUE!</v>
      </c>
      <c r="O109" s="50">
        <f t="shared" si="22"/>
        <v>0</v>
      </c>
      <c r="Q109" s="55" t="e">
        <f t="shared" si="23"/>
        <v>#VALUE!</v>
      </c>
      <c r="R109" s="55" t="e">
        <f t="shared" si="26"/>
        <v>#VALUE!</v>
      </c>
      <c r="S109" s="55" t="e">
        <f t="shared" si="24"/>
        <v>#VALUE!</v>
      </c>
      <c r="T109" s="50" t="e">
        <f t="shared" si="27"/>
        <v>#VALUE!</v>
      </c>
      <c r="U109" s="50" t="e">
        <f t="shared" si="28"/>
        <v>#VALUE!</v>
      </c>
      <c r="V109" s="50" t="e">
        <f t="shared" si="29"/>
        <v>#VALUE!</v>
      </c>
      <c r="AC109" s="59"/>
    </row>
    <row r="110" spans="2:29" x14ac:dyDescent="0.25">
      <c r="B110" s="50" t="b">
        <f t="shared" si="30"/>
        <v>0</v>
      </c>
      <c r="C110" s="50" t="e">
        <f t="shared" si="31"/>
        <v>#VALUE!</v>
      </c>
      <c r="E110" s="56">
        <v>107</v>
      </c>
      <c r="G110" s="138"/>
      <c r="H110" s="135">
        <v>1</v>
      </c>
      <c r="I110" s="58" t="e">
        <f t="shared" si="19"/>
        <v>#VALUE!</v>
      </c>
      <c r="J110" s="50" t="e">
        <f t="shared" si="25"/>
        <v>#VALUE!</v>
      </c>
      <c r="K110" s="50" t="e">
        <f t="shared" si="32"/>
        <v>#VALUE!</v>
      </c>
      <c r="L110" s="50" t="e">
        <f t="shared" si="32"/>
        <v>#VALUE!</v>
      </c>
      <c r="M110" s="50" t="e">
        <f t="shared" si="20"/>
        <v>#VALUE!</v>
      </c>
      <c r="N110" s="50" t="e">
        <f t="shared" si="21"/>
        <v>#VALUE!</v>
      </c>
      <c r="O110" s="50">
        <f t="shared" si="22"/>
        <v>0</v>
      </c>
      <c r="Q110" s="55" t="e">
        <f t="shared" si="23"/>
        <v>#VALUE!</v>
      </c>
      <c r="R110" s="55" t="e">
        <f t="shared" si="26"/>
        <v>#VALUE!</v>
      </c>
      <c r="S110" s="55" t="e">
        <f t="shared" si="24"/>
        <v>#VALUE!</v>
      </c>
      <c r="T110" s="50" t="e">
        <f t="shared" si="27"/>
        <v>#VALUE!</v>
      </c>
      <c r="U110" s="50" t="e">
        <f t="shared" si="28"/>
        <v>#VALUE!</v>
      </c>
      <c r="V110" s="50" t="e">
        <f t="shared" si="29"/>
        <v>#VALUE!</v>
      </c>
      <c r="AC110" s="59"/>
    </row>
    <row r="111" spans="2:29" x14ac:dyDescent="0.25">
      <c r="B111" s="50" t="b">
        <f t="shared" si="30"/>
        <v>0</v>
      </c>
      <c r="C111" s="50" t="e">
        <f t="shared" si="31"/>
        <v>#VALUE!</v>
      </c>
      <c r="E111" s="56">
        <v>108</v>
      </c>
      <c r="G111" s="138"/>
      <c r="H111" s="135">
        <v>1</v>
      </c>
      <c r="I111" s="58" t="e">
        <f t="shared" si="19"/>
        <v>#VALUE!</v>
      </c>
      <c r="J111" s="50" t="e">
        <f t="shared" si="25"/>
        <v>#VALUE!</v>
      </c>
      <c r="K111" s="50" t="e">
        <f t="shared" si="32"/>
        <v>#VALUE!</v>
      </c>
      <c r="L111" s="50" t="e">
        <f t="shared" si="32"/>
        <v>#VALUE!</v>
      </c>
      <c r="M111" s="50" t="e">
        <f t="shared" si="20"/>
        <v>#VALUE!</v>
      </c>
      <c r="N111" s="50" t="e">
        <f t="shared" si="21"/>
        <v>#VALUE!</v>
      </c>
      <c r="O111" s="50">
        <f t="shared" si="22"/>
        <v>0</v>
      </c>
      <c r="Q111" s="55" t="e">
        <f t="shared" si="23"/>
        <v>#VALUE!</v>
      </c>
      <c r="R111" s="55" t="e">
        <f t="shared" si="26"/>
        <v>#VALUE!</v>
      </c>
      <c r="S111" s="55" t="e">
        <f t="shared" si="24"/>
        <v>#VALUE!</v>
      </c>
      <c r="T111" s="50" t="e">
        <f t="shared" si="27"/>
        <v>#VALUE!</v>
      </c>
      <c r="U111" s="50" t="e">
        <f t="shared" si="28"/>
        <v>#VALUE!</v>
      </c>
      <c r="V111" s="50" t="e">
        <f t="shared" si="29"/>
        <v>#VALUE!</v>
      </c>
      <c r="AC111" s="59"/>
    </row>
    <row r="112" spans="2:29" x14ac:dyDescent="0.25">
      <c r="B112" s="50" t="b">
        <f t="shared" si="30"/>
        <v>0</v>
      </c>
      <c r="C112" s="50" t="e">
        <f t="shared" si="31"/>
        <v>#VALUE!</v>
      </c>
      <c r="E112" s="56">
        <v>109</v>
      </c>
      <c r="G112" s="138"/>
      <c r="H112" s="135">
        <v>1</v>
      </c>
      <c r="I112" s="58" t="e">
        <f t="shared" si="19"/>
        <v>#VALUE!</v>
      </c>
      <c r="J112" s="50" t="e">
        <f t="shared" si="25"/>
        <v>#VALUE!</v>
      </c>
      <c r="K112" s="50" t="e">
        <f t="shared" si="32"/>
        <v>#VALUE!</v>
      </c>
      <c r="L112" s="50" t="e">
        <f t="shared" si="32"/>
        <v>#VALUE!</v>
      </c>
      <c r="M112" s="50" t="e">
        <f t="shared" si="20"/>
        <v>#VALUE!</v>
      </c>
      <c r="N112" s="50" t="e">
        <f t="shared" si="21"/>
        <v>#VALUE!</v>
      </c>
      <c r="O112" s="50">
        <f t="shared" si="22"/>
        <v>0</v>
      </c>
      <c r="Q112" s="55" t="e">
        <f t="shared" si="23"/>
        <v>#VALUE!</v>
      </c>
      <c r="R112" s="55" t="e">
        <f t="shared" si="26"/>
        <v>#VALUE!</v>
      </c>
      <c r="S112" s="55" t="e">
        <f t="shared" si="24"/>
        <v>#VALUE!</v>
      </c>
      <c r="T112" s="50" t="e">
        <f t="shared" si="27"/>
        <v>#VALUE!</v>
      </c>
      <c r="U112" s="50" t="e">
        <f t="shared" si="28"/>
        <v>#VALUE!</v>
      </c>
      <c r="V112" s="50" t="e">
        <f t="shared" si="29"/>
        <v>#VALUE!</v>
      </c>
      <c r="AC112" s="59"/>
    </row>
    <row r="113" spans="2:29" x14ac:dyDescent="0.25">
      <c r="B113" s="50" t="b">
        <f t="shared" si="30"/>
        <v>0</v>
      </c>
      <c r="C113" s="50" t="e">
        <f t="shared" si="31"/>
        <v>#VALUE!</v>
      </c>
      <c r="E113" s="56">
        <v>110</v>
      </c>
      <c r="G113" s="138"/>
      <c r="H113" s="135">
        <v>1</v>
      </c>
      <c r="I113" s="58" t="e">
        <f t="shared" si="19"/>
        <v>#VALUE!</v>
      </c>
      <c r="J113" s="50" t="e">
        <f t="shared" si="25"/>
        <v>#VALUE!</v>
      </c>
      <c r="K113" s="50" t="e">
        <f t="shared" si="32"/>
        <v>#VALUE!</v>
      </c>
      <c r="L113" s="50" t="e">
        <f t="shared" si="32"/>
        <v>#VALUE!</v>
      </c>
      <c r="M113" s="50" t="e">
        <f t="shared" si="20"/>
        <v>#VALUE!</v>
      </c>
      <c r="N113" s="50" t="e">
        <f t="shared" si="21"/>
        <v>#VALUE!</v>
      </c>
      <c r="O113" s="50">
        <f t="shared" si="22"/>
        <v>0</v>
      </c>
      <c r="Q113" s="55" t="e">
        <f t="shared" si="23"/>
        <v>#VALUE!</v>
      </c>
      <c r="R113" s="55" t="e">
        <f t="shared" si="26"/>
        <v>#VALUE!</v>
      </c>
      <c r="S113" s="55" t="e">
        <f t="shared" si="24"/>
        <v>#VALUE!</v>
      </c>
      <c r="T113" s="50" t="e">
        <f t="shared" si="27"/>
        <v>#VALUE!</v>
      </c>
      <c r="U113" s="50" t="e">
        <f t="shared" si="28"/>
        <v>#VALUE!</v>
      </c>
      <c r="V113" s="50" t="e">
        <f t="shared" si="29"/>
        <v>#VALUE!</v>
      </c>
      <c r="AC113" s="59"/>
    </row>
    <row r="114" spans="2:29" x14ac:dyDescent="0.25">
      <c r="B114" s="50" t="b">
        <f t="shared" si="30"/>
        <v>0</v>
      </c>
      <c r="C114" s="50" t="e">
        <f t="shared" si="31"/>
        <v>#VALUE!</v>
      </c>
      <c r="E114" s="56">
        <v>111</v>
      </c>
      <c r="G114" s="138"/>
      <c r="H114" s="135">
        <v>1</v>
      </c>
      <c r="I114" s="58" t="e">
        <f t="shared" si="19"/>
        <v>#VALUE!</v>
      </c>
      <c r="J114" s="50" t="e">
        <f t="shared" si="25"/>
        <v>#VALUE!</v>
      </c>
      <c r="K114" s="50" t="e">
        <f t="shared" si="32"/>
        <v>#VALUE!</v>
      </c>
      <c r="L114" s="50" t="e">
        <f t="shared" si="32"/>
        <v>#VALUE!</v>
      </c>
      <c r="M114" s="50" t="e">
        <f t="shared" si="20"/>
        <v>#VALUE!</v>
      </c>
      <c r="N114" s="50" t="e">
        <f t="shared" si="21"/>
        <v>#VALUE!</v>
      </c>
      <c r="O114" s="50">
        <f t="shared" si="22"/>
        <v>0</v>
      </c>
      <c r="Q114" s="55" t="e">
        <f t="shared" si="23"/>
        <v>#VALUE!</v>
      </c>
      <c r="R114" s="55" t="e">
        <f t="shared" si="26"/>
        <v>#VALUE!</v>
      </c>
      <c r="S114" s="55" t="e">
        <f t="shared" si="24"/>
        <v>#VALUE!</v>
      </c>
      <c r="T114" s="50" t="e">
        <f t="shared" si="27"/>
        <v>#VALUE!</v>
      </c>
      <c r="U114" s="50" t="e">
        <f t="shared" si="28"/>
        <v>#VALUE!</v>
      </c>
      <c r="V114" s="50" t="e">
        <f t="shared" si="29"/>
        <v>#VALUE!</v>
      </c>
      <c r="AC114" s="59"/>
    </row>
    <row r="115" spans="2:29" x14ac:dyDescent="0.25">
      <c r="B115" s="50" t="b">
        <f t="shared" si="30"/>
        <v>0</v>
      </c>
      <c r="C115" s="50" t="e">
        <f t="shared" si="31"/>
        <v>#VALUE!</v>
      </c>
      <c r="E115" s="56">
        <v>112</v>
      </c>
      <c r="G115" s="138"/>
      <c r="H115" s="135">
        <v>1</v>
      </c>
      <c r="I115" s="58" t="e">
        <f t="shared" si="19"/>
        <v>#VALUE!</v>
      </c>
      <c r="J115" s="50" t="e">
        <f t="shared" si="25"/>
        <v>#VALUE!</v>
      </c>
      <c r="K115" s="50" t="e">
        <f t="shared" si="32"/>
        <v>#VALUE!</v>
      </c>
      <c r="L115" s="50" t="e">
        <f t="shared" si="32"/>
        <v>#VALUE!</v>
      </c>
      <c r="M115" s="50" t="e">
        <f t="shared" si="20"/>
        <v>#VALUE!</v>
      </c>
      <c r="N115" s="50" t="e">
        <f t="shared" si="21"/>
        <v>#VALUE!</v>
      </c>
      <c r="O115" s="50">
        <f t="shared" si="22"/>
        <v>0</v>
      </c>
      <c r="Q115" s="55" t="e">
        <f t="shared" si="23"/>
        <v>#VALUE!</v>
      </c>
      <c r="R115" s="55" t="e">
        <f t="shared" si="26"/>
        <v>#VALUE!</v>
      </c>
      <c r="S115" s="55" t="e">
        <f t="shared" si="24"/>
        <v>#VALUE!</v>
      </c>
      <c r="T115" s="50" t="e">
        <f t="shared" si="27"/>
        <v>#VALUE!</v>
      </c>
      <c r="U115" s="50" t="e">
        <f t="shared" si="28"/>
        <v>#VALUE!</v>
      </c>
      <c r="V115" s="50" t="e">
        <f t="shared" si="29"/>
        <v>#VALUE!</v>
      </c>
      <c r="AC115" s="59"/>
    </row>
    <row r="116" spans="2:29" x14ac:dyDescent="0.25">
      <c r="B116" s="50" t="b">
        <f t="shared" si="30"/>
        <v>0</v>
      </c>
      <c r="C116" s="50" t="e">
        <f t="shared" si="31"/>
        <v>#VALUE!</v>
      </c>
      <c r="E116" s="56">
        <v>113</v>
      </c>
      <c r="G116" s="138"/>
      <c r="H116" s="135">
        <v>1</v>
      </c>
      <c r="I116" s="58" t="e">
        <f t="shared" si="19"/>
        <v>#VALUE!</v>
      </c>
      <c r="J116" s="50" t="e">
        <f t="shared" si="25"/>
        <v>#VALUE!</v>
      </c>
      <c r="K116" s="50" t="e">
        <f t="shared" si="32"/>
        <v>#VALUE!</v>
      </c>
      <c r="L116" s="50" t="e">
        <f t="shared" si="32"/>
        <v>#VALUE!</v>
      </c>
      <c r="M116" s="50" t="e">
        <f t="shared" si="20"/>
        <v>#VALUE!</v>
      </c>
      <c r="N116" s="50" t="e">
        <f t="shared" si="21"/>
        <v>#VALUE!</v>
      </c>
      <c r="O116" s="50">
        <f t="shared" si="22"/>
        <v>0</v>
      </c>
      <c r="Q116" s="55" t="e">
        <f t="shared" si="23"/>
        <v>#VALUE!</v>
      </c>
      <c r="R116" s="55" t="e">
        <f t="shared" si="26"/>
        <v>#VALUE!</v>
      </c>
      <c r="S116" s="55" t="e">
        <f t="shared" si="24"/>
        <v>#VALUE!</v>
      </c>
      <c r="T116" s="50" t="e">
        <f t="shared" si="27"/>
        <v>#VALUE!</v>
      </c>
      <c r="U116" s="50" t="e">
        <f t="shared" si="28"/>
        <v>#VALUE!</v>
      </c>
      <c r="V116" s="50" t="e">
        <f t="shared" si="29"/>
        <v>#VALUE!</v>
      </c>
      <c r="AC116" s="59"/>
    </row>
    <row r="117" spans="2:29" x14ac:dyDescent="0.25">
      <c r="B117" s="50" t="b">
        <f t="shared" si="30"/>
        <v>0</v>
      </c>
      <c r="C117" s="50" t="e">
        <f t="shared" si="31"/>
        <v>#VALUE!</v>
      </c>
      <c r="E117" s="56">
        <v>114</v>
      </c>
      <c r="G117" s="138"/>
      <c r="H117" s="135">
        <v>1</v>
      </c>
      <c r="I117" s="58" t="e">
        <f t="shared" si="19"/>
        <v>#VALUE!</v>
      </c>
      <c r="J117" s="50" t="e">
        <f t="shared" si="25"/>
        <v>#VALUE!</v>
      </c>
      <c r="K117" s="50" t="e">
        <f t="shared" si="32"/>
        <v>#VALUE!</v>
      </c>
      <c r="L117" s="50" t="e">
        <f t="shared" si="32"/>
        <v>#VALUE!</v>
      </c>
      <c r="M117" s="50" t="e">
        <f t="shared" si="20"/>
        <v>#VALUE!</v>
      </c>
      <c r="N117" s="50" t="e">
        <f t="shared" si="21"/>
        <v>#VALUE!</v>
      </c>
      <c r="O117" s="50">
        <f t="shared" si="22"/>
        <v>0</v>
      </c>
      <c r="Q117" s="55" t="e">
        <f t="shared" si="23"/>
        <v>#VALUE!</v>
      </c>
      <c r="R117" s="55" t="e">
        <f t="shared" si="26"/>
        <v>#VALUE!</v>
      </c>
      <c r="S117" s="55" t="e">
        <f t="shared" si="24"/>
        <v>#VALUE!</v>
      </c>
      <c r="T117" s="50" t="e">
        <f t="shared" si="27"/>
        <v>#VALUE!</v>
      </c>
      <c r="U117" s="50" t="e">
        <f t="shared" si="28"/>
        <v>#VALUE!</v>
      </c>
      <c r="V117" s="50" t="e">
        <f t="shared" si="29"/>
        <v>#VALUE!</v>
      </c>
      <c r="AC117" s="59"/>
    </row>
    <row r="118" spans="2:29" x14ac:dyDescent="0.25">
      <c r="B118" s="50" t="b">
        <f t="shared" si="30"/>
        <v>0</v>
      </c>
      <c r="C118" s="50" t="e">
        <f t="shared" si="31"/>
        <v>#VALUE!</v>
      </c>
      <c r="E118" s="56">
        <v>115</v>
      </c>
      <c r="G118" s="138"/>
      <c r="H118" s="135">
        <v>1</v>
      </c>
      <c r="I118" s="58" t="e">
        <f t="shared" si="19"/>
        <v>#VALUE!</v>
      </c>
      <c r="J118" s="50" t="e">
        <f t="shared" si="25"/>
        <v>#VALUE!</v>
      </c>
      <c r="K118" s="50" t="e">
        <f t="shared" si="32"/>
        <v>#VALUE!</v>
      </c>
      <c r="L118" s="50" t="e">
        <f t="shared" si="32"/>
        <v>#VALUE!</v>
      </c>
      <c r="M118" s="50" t="e">
        <f t="shared" si="20"/>
        <v>#VALUE!</v>
      </c>
      <c r="N118" s="50" t="e">
        <f t="shared" si="21"/>
        <v>#VALUE!</v>
      </c>
      <c r="O118" s="50">
        <f t="shared" si="22"/>
        <v>0</v>
      </c>
      <c r="Q118" s="55" t="e">
        <f t="shared" si="23"/>
        <v>#VALUE!</v>
      </c>
      <c r="R118" s="55" t="e">
        <f t="shared" si="26"/>
        <v>#VALUE!</v>
      </c>
      <c r="S118" s="55" t="e">
        <f t="shared" si="24"/>
        <v>#VALUE!</v>
      </c>
      <c r="T118" s="50" t="e">
        <f t="shared" si="27"/>
        <v>#VALUE!</v>
      </c>
      <c r="U118" s="50" t="e">
        <f t="shared" si="28"/>
        <v>#VALUE!</v>
      </c>
      <c r="V118" s="50" t="e">
        <f t="shared" si="29"/>
        <v>#VALUE!</v>
      </c>
      <c r="AC118" s="59"/>
    </row>
    <row r="119" spans="2:29" x14ac:dyDescent="0.25">
      <c r="B119" s="50" t="b">
        <f t="shared" si="30"/>
        <v>0</v>
      </c>
      <c r="C119" s="50" t="e">
        <f t="shared" si="31"/>
        <v>#VALUE!</v>
      </c>
      <c r="E119" s="56">
        <v>116</v>
      </c>
      <c r="G119" s="138"/>
      <c r="H119" s="135">
        <v>1</v>
      </c>
      <c r="I119" s="58" t="e">
        <f t="shared" si="19"/>
        <v>#VALUE!</v>
      </c>
      <c r="J119" s="50" t="e">
        <f t="shared" si="25"/>
        <v>#VALUE!</v>
      </c>
      <c r="K119" s="50" t="e">
        <f t="shared" si="32"/>
        <v>#VALUE!</v>
      </c>
      <c r="L119" s="50" t="e">
        <f t="shared" si="32"/>
        <v>#VALUE!</v>
      </c>
      <c r="M119" s="50" t="e">
        <f t="shared" si="20"/>
        <v>#VALUE!</v>
      </c>
      <c r="N119" s="50" t="e">
        <f t="shared" si="21"/>
        <v>#VALUE!</v>
      </c>
      <c r="O119" s="50">
        <f t="shared" si="22"/>
        <v>0</v>
      </c>
      <c r="Q119" s="55" t="e">
        <f t="shared" si="23"/>
        <v>#VALUE!</v>
      </c>
      <c r="R119" s="55" t="e">
        <f t="shared" si="26"/>
        <v>#VALUE!</v>
      </c>
      <c r="S119" s="55" t="e">
        <f t="shared" si="24"/>
        <v>#VALUE!</v>
      </c>
      <c r="T119" s="50" t="e">
        <f t="shared" si="27"/>
        <v>#VALUE!</v>
      </c>
      <c r="U119" s="50" t="e">
        <f t="shared" si="28"/>
        <v>#VALUE!</v>
      </c>
      <c r="V119" s="50" t="e">
        <f t="shared" si="29"/>
        <v>#VALUE!</v>
      </c>
      <c r="AC119" s="59"/>
    </row>
    <row r="120" spans="2:29" x14ac:dyDescent="0.25">
      <c r="B120" s="50" t="b">
        <f t="shared" si="30"/>
        <v>0</v>
      </c>
      <c r="C120" s="50" t="e">
        <f t="shared" si="31"/>
        <v>#VALUE!</v>
      </c>
      <c r="E120" s="56">
        <v>117</v>
      </c>
      <c r="G120" s="138"/>
      <c r="H120" s="135">
        <v>1</v>
      </c>
      <c r="I120" s="58" t="e">
        <f t="shared" si="19"/>
        <v>#VALUE!</v>
      </c>
      <c r="J120" s="50" t="e">
        <f t="shared" si="25"/>
        <v>#VALUE!</v>
      </c>
      <c r="K120" s="50" t="e">
        <f t="shared" si="32"/>
        <v>#VALUE!</v>
      </c>
      <c r="L120" s="50" t="e">
        <f t="shared" si="32"/>
        <v>#VALUE!</v>
      </c>
      <c r="M120" s="50" t="e">
        <f t="shared" si="20"/>
        <v>#VALUE!</v>
      </c>
      <c r="N120" s="50" t="e">
        <f t="shared" si="21"/>
        <v>#VALUE!</v>
      </c>
      <c r="O120" s="50">
        <f t="shared" si="22"/>
        <v>0</v>
      </c>
      <c r="Q120" s="55" t="e">
        <f t="shared" si="23"/>
        <v>#VALUE!</v>
      </c>
      <c r="R120" s="55" t="e">
        <f t="shared" si="26"/>
        <v>#VALUE!</v>
      </c>
      <c r="S120" s="55" t="e">
        <f t="shared" si="24"/>
        <v>#VALUE!</v>
      </c>
      <c r="T120" s="50" t="e">
        <f t="shared" si="27"/>
        <v>#VALUE!</v>
      </c>
      <c r="U120" s="50" t="e">
        <f t="shared" si="28"/>
        <v>#VALUE!</v>
      </c>
      <c r="V120" s="50" t="e">
        <f t="shared" si="29"/>
        <v>#VALUE!</v>
      </c>
      <c r="AC120" s="59"/>
    </row>
    <row r="121" spans="2:29" x14ac:dyDescent="0.25">
      <c r="B121" s="50" t="b">
        <f t="shared" si="30"/>
        <v>0</v>
      </c>
      <c r="C121" s="50" t="e">
        <f t="shared" si="31"/>
        <v>#VALUE!</v>
      </c>
      <c r="E121" s="56">
        <v>118</v>
      </c>
      <c r="G121" s="138"/>
      <c r="H121" s="135">
        <v>1</v>
      </c>
      <c r="I121" s="58" t="e">
        <f t="shared" si="19"/>
        <v>#VALUE!</v>
      </c>
      <c r="J121" s="50" t="e">
        <f t="shared" si="25"/>
        <v>#VALUE!</v>
      </c>
      <c r="K121" s="50" t="e">
        <f t="shared" si="32"/>
        <v>#VALUE!</v>
      </c>
      <c r="L121" s="50" t="e">
        <f t="shared" si="32"/>
        <v>#VALUE!</v>
      </c>
      <c r="M121" s="50" t="e">
        <f t="shared" si="20"/>
        <v>#VALUE!</v>
      </c>
      <c r="N121" s="50" t="e">
        <f t="shared" si="21"/>
        <v>#VALUE!</v>
      </c>
      <c r="O121" s="50">
        <f t="shared" si="22"/>
        <v>0</v>
      </c>
      <c r="Q121" s="55" t="e">
        <f t="shared" si="23"/>
        <v>#VALUE!</v>
      </c>
      <c r="R121" s="55" t="e">
        <f t="shared" si="26"/>
        <v>#VALUE!</v>
      </c>
      <c r="S121" s="55" t="e">
        <f t="shared" si="24"/>
        <v>#VALUE!</v>
      </c>
      <c r="T121" s="50" t="e">
        <f t="shared" si="27"/>
        <v>#VALUE!</v>
      </c>
      <c r="U121" s="50" t="e">
        <f t="shared" si="28"/>
        <v>#VALUE!</v>
      </c>
      <c r="V121" s="50" t="e">
        <f t="shared" si="29"/>
        <v>#VALUE!</v>
      </c>
      <c r="AC121" s="59"/>
    </row>
    <row r="122" spans="2:29" x14ac:dyDescent="0.25">
      <c r="B122" s="50" t="b">
        <f t="shared" si="30"/>
        <v>0</v>
      </c>
      <c r="C122" s="50" t="e">
        <f t="shared" si="31"/>
        <v>#VALUE!</v>
      </c>
      <c r="E122" s="56">
        <v>119</v>
      </c>
      <c r="G122" s="138"/>
      <c r="H122" s="135">
        <v>1</v>
      </c>
      <c r="I122" s="58" t="e">
        <f t="shared" si="19"/>
        <v>#VALUE!</v>
      </c>
      <c r="J122" s="50" t="e">
        <f t="shared" si="25"/>
        <v>#VALUE!</v>
      </c>
      <c r="K122" s="50" t="e">
        <f t="shared" si="32"/>
        <v>#VALUE!</v>
      </c>
      <c r="L122" s="50" t="e">
        <f t="shared" si="32"/>
        <v>#VALUE!</v>
      </c>
      <c r="M122" s="50" t="e">
        <f t="shared" si="20"/>
        <v>#VALUE!</v>
      </c>
      <c r="N122" s="50" t="e">
        <f t="shared" si="21"/>
        <v>#VALUE!</v>
      </c>
      <c r="O122" s="50">
        <f t="shared" si="22"/>
        <v>0</v>
      </c>
      <c r="Q122" s="55" t="e">
        <f t="shared" si="23"/>
        <v>#VALUE!</v>
      </c>
      <c r="R122" s="55" t="e">
        <f t="shared" si="26"/>
        <v>#VALUE!</v>
      </c>
      <c r="S122" s="55" t="e">
        <f t="shared" si="24"/>
        <v>#VALUE!</v>
      </c>
      <c r="T122" s="50" t="e">
        <f t="shared" si="27"/>
        <v>#VALUE!</v>
      </c>
      <c r="U122" s="50" t="e">
        <f t="shared" si="28"/>
        <v>#VALUE!</v>
      </c>
      <c r="V122" s="50" t="e">
        <f t="shared" si="29"/>
        <v>#VALUE!</v>
      </c>
      <c r="AC122" s="59"/>
    </row>
    <row r="123" spans="2:29" x14ac:dyDescent="0.25">
      <c r="B123" s="50" t="b">
        <f t="shared" si="30"/>
        <v>0</v>
      </c>
      <c r="C123" s="50" t="e">
        <f t="shared" si="31"/>
        <v>#VALUE!</v>
      </c>
      <c r="E123" s="56">
        <v>120</v>
      </c>
      <c r="G123" s="138"/>
      <c r="H123" s="135">
        <v>1</v>
      </c>
      <c r="I123" s="58" t="e">
        <f t="shared" si="19"/>
        <v>#VALUE!</v>
      </c>
      <c r="J123" s="50" t="e">
        <f t="shared" si="25"/>
        <v>#VALUE!</v>
      </c>
      <c r="K123" s="50" t="e">
        <f t="shared" si="32"/>
        <v>#VALUE!</v>
      </c>
      <c r="L123" s="50" t="e">
        <f t="shared" si="32"/>
        <v>#VALUE!</v>
      </c>
      <c r="M123" s="50" t="e">
        <f t="shared" si="20"/>
        <v>#VALUE!</v>
      </c>
      <c r="N123" s="50" t="e">
        <f t="shared" si="21"/>
        <v>#VALUE!</v>
      </c>
      <c r="O123" s="50">
        <f t="shared" si="22"/>
        <v>0</v>
      </c>
      <c r="Q123" s="55" t="e">
        <f t="shared" si="23"/>
        <v>#VALUE!</v>
      </c>
      <c r="R123" s="55" t="e">
        <f t="shared" si="26"/>
        <v>#VALUE!</v>
      </c>
      <c r="S123" s="55" t="e">
        <f t="shared" si="24"/>
        <v>#VALUE!</v>
      </c>
      <c r="T123" s="50" t="e">
        <f t="shared" si="27"/>
        <v>#VALUE!</v>
      </c>
      <c r="U123" s="50" t="e">
        <f t="shared" si="28"/>
        <v>#VALUE!</v>
      </c>
      <c r="V123" s="50" t="e">
        <f t="shared" si="29"/>
        <v>#VALUE!</v>
      </c>
      <c r="AC123" s="59"/>
    </row>
    <row r="124" spans="2:29" x14ac:dyDescent="0.25">
      <c r="B124" s="50" t="b">
        <f t="shared" si="30"/>
        <v>0</v>
      </c>
      <c r="C124" s="50" t="e">
        <f t="shared" si="31"/>
        <v>#VALUE!</v>
      </c>
      <c r="E124" s="56">
        <v>121</v>
      </c>
      <c r="G124" s="138"/>
      <c r="H124" s="135">
        <v>1</v>
      </c>
      <c r="I124" s="58" t="e">
        <f t="shared" si="19"/>
        <v>#VALUE!</v>
      </c>
      <c r="J124" s="50" t="e">
        <f t="shared" si="25"/>
        <v>#VALUE!</v>
      </c>
      <c r="K124" s="50" t="e">
        <f t="shared" si="32"/>
        <v>#VALUE!</v>
      </c>
      <c r="L124" s="50" t="e">
        <f t="shared" si="32"/>
        <v>#VALUE!</v>
      </c>
      <c r="M124" s="50" t="e">
        <f t="shared" si="20"/>
        <v>#VALUE!</v>
      </c>
      <c r="N124" s="50" t="e">
        <f t="shared" si="21"/>
        <v>#VALUE!</v>
      </c>
      <c r="O124" s="50">
        <f t="shared" si="22"/>
        <v>0</v>
      </c>
      <c r="Q124" s="55" t="e">
        <f t="shared" si="23"/>
        <v>#VALUE!</v>
      </c>
      <c r="R124" s="55" t="e">
        <f t="shared" si="26"/>
        <v>#VALUE!</v>
      </c>
      <c r="S124" s="55" t="e">
        <f t="shared" si="24"/>
        <v>#VALUE!</v>
      </c>
      <c r="T124" s="50" t="e">
        <f t="shared" si="27"/>
        <v>#VALUE!</v>
      </c>
      <c r="U124" s="50" t="e">
        <f t="shared" si="28"/>
        <v>#VALUE!</v>
      </c>
      <c r="V124" s="50" t="e">
        <f t="shared" si="29"/>
        <v>#VALUE!</v>
      </c>
      <c r="AC124" s="59"/>
    </row>
    <row r="125" spans="2:29" x14ac:dyDescent="0.25">
      <c r="B125" s="50" t="b">
        <f t="shared" si="30"/>
        <v>0</v>
      </c>
      <c r="C125" s="50" t="e">
        <f t="shared" si="31"/>
        <v>#VALUE!</v>
      </c>
      <c r="E125" s="56">
        <v>122</v>
      </c>
      <c r="G125" s="138"/>
      <c r="H125" s="135">
        <v>1</v>
      </c>
      <c r="I125" s="58" t="e">
        <f t="shared" si="19"/>
        <v>#VALUE!</v>
      </c>
      <c r="J125" s="50" t="e">
        <f t="shared" si="25"/>
        <v>#VALUE!</v>
      </c>
      <c r="K125" s="50" t="e">
        <f t="shared" si="32"/>
        <v>#VALUE!</v>
      </c>
      <c r="L125" s="50" t="e">
        <f t="shared" si="32"/>
        <v>#VALUE!</v>
      </c>
      <c r="M125" s="50" t="e">
        <f t="shared" si="20"/>
        <v>#VALUE!</v>
      </c>
      <c r="N125" s="50" t="e">
        <f t="shared" si="21"/>
        <v>#VALUE!</v>
      </c>
      <c r="O125" s="50">
        <f t="shared" si="22"/>
        <v>0</v>
      </c>
      <c r="Q125" s="55" t="e">
        <f t="shared" si="23"/>
        <v>#VALUE!</v>
      </c>
      <c r="R125" s="55" t="e">
        <f t="shared" si="26"/>
        <v>#VALUE!</v>
      </c>
      <c r="S125" s="55" t="e">
        <f t="shared" si="24"/>
        <v>#VALUE!</v>
      </c>
      <c r="T125" s="50" t="e">
        <f t="shared" si="27"/>
        <v>#VALUE!</v>
      </c>
      <c r="U125" s="50" t="e">
        <f t="shared" si="28"/>
        <v>#VALUE!</v>
      </c>
      <c r="V125" s="50" t="e">
        <f t="shared" si="29"/>
        <v>#VALUE!</v>
      </c>
      <c r="AC125" s="59"/>
    </row>
    <row r="126" spans="2:29" x14ac:dyDescent="0.25">
      <c r="B126" s="50" t="b">
        <f t="shared" si="30"/>
        <v>0</v>
      </c>
      <c r="C126" s="50" t="e">
        <f t="shared" si="31"/>
        <v>#VALUE!</v>
      </c>
      <c r="E126" s="56">
        <v>123</v>
      </c>
      <c r="G126" s="138"/>
      <c r="H126" s="135">
        <v>1</v>
      </c>
      <c r="I126" s="58" t="e">
        <f t="shared" si="19"/>
        <v>#VALUE!</v>
      </c>
      <c r="J126" s="50" t="e">
        <f t="shared" si="25"/>
        <v>#VALUE!</v>
      </c>
      <c r="K126" s="50" t="e">
        <f t="shared" si="32"/>
        <v>#VALUE!</v>
      </c>
      <c r="L126" s="50" t="e">
        <f t="shared" si="32"/>
        <v>#VALUE!</v>
      </c>
      <c r="M126" s="50" t="e">
        <f t="shared" si="20"/>
        <v>#VALUE!</v>
      </c>
      <c r="N126" s="50" t="e">
        <f t="shared" si="21"/>
        <v>#VALUE!</v>
      </c>
      <c r="O126" s="50">
        <f t="shared" si="22"/>
        <v>0</v>
      </c>
      <c r="Q126" s="55" t="e">
        <f t="shared" si="23"/>
        <v>#VALUE!</v>
      </c>
      <c r="R126" s="55" t="e">
        <f t="shared" si="26"/>
        <v>#VALUE!</v>
      </c>
      <c r="S126" s="55" t="e">
        <f t="shared" si="24"/>
        <v>#VALUE!</v>
      </c>
      <c r="T126" s="50" t="e">
        <f t="shared" si="27"/>
        <v>#VALUE!</v>
      </c>
      <c r="U126" s="50" t="e">
        <f t="shared" si="28"/>
        <v>#VALUE!</v>
      </c>
      <c r="V126" s="50" t="e">
        <f t="shared" si="29"/>
        <v>#VALUE!</v>
      </c>
      <c r="AC126" s="59"/>
    </row>
    <row r="127" spans="2:29" x14ac:dyDescent="0.25">
      <c r="B127" s="50" t="b">
        <f t="shared" si="30"/>
        <v>0</v>
      </c>
      <c r="C127" s="50" t="e">
        <f t="shared" si="31"/>
        <v>#VALUE!</v>
      </c>
      <c r="E127" s="56">
        <v>124</v>
      </c>
      <c r="G127" s="138"/>
      <c r="H127" s="135">
        <v>1</v>
      </c>
      <c r="I127" s="58" t="e">
        <f t="shared" si="19"/>
        <v>#VALUE!</v>
      </c>
      <c r="J127" s="50" t="e">
        <f t="shared" si="25"/>
        <v>#VALUE!</v>
      </c>
      <c r="K127" s="50" t="e">
        <f t="shared" si="32"/>
        <v>#VALUE!</v>
      </c>
      <c r="L127" s="50" t="e">
        <f t="shared" si="32"/>
        <v>#VALUE!</v>
      </c>
      <c r="M127" s="50" t="e">
        <f t="shared" si="20"/>
        <v>#VALUE!</v>
      </c>
      <c r="N127" s="50" t="e">
        <f t="shared" si="21"/>
        <v>#VALUE!</v>
      </c>
      <c r="O127" s="50">
        <f t="shared" si="22"/>
        <v>0</v>
      </c>
      <c r="Q127" s="55" t="e">
        <f t="shared" si="23"/>
        <v>#VALUE!</v>
      </c>
      <c r="R127" s="55" t="e">
        <f t="shared" si="26"/>
        <v>#VALUE!</v>
      </c>
      <c r="S127" s="55" t="e">
        <f t="shared" si="24"/>
        <v>#VALUE!</v>
      </c>
      <c r="T127" s="50" t="e">
        <f t="shared" si="27"/>
        <v>#VALUE!</v>
      </c>
      <c r="U127" s="50" t="e">
        <f t="shared" si="28"/>
        <v>#VALUE!</v>
      </c>
      <c r="V127" s="50" t="e">
        <f t="shared" si="29"/>
        <v>#VALUE!</v>
      </c>
      <c r="AC127" s="59"/>
    </row>
    <row r="128" spans="2:29" x14ac:dyDescent="0.25">
      <c r="B128" s="50" t="b">
        <f t="shared" si="30"/>
        <v>0</v>
      </c>
      <c r="C128" s="50" t="e">
        <f t="shared" si="31"/>
        <v>#VALUE!</v>
      </c>
      <c r="E128" s="56">
        <v>125</v>
      </c>
      <c r="G128" s="138"/>
      <c r="H128" s="135">
        <v>1</v>
      </c>
      <c r="I128" s="58" t="e">
        <f t="shared" si="19"/>
        <v>#VALUE!</v>
      </c>
      <c r="J128" s="50" t="e">
        <f t="shared" si="25"/>
        <v>#VALUE!</v>
      </c>
      <c r="K128" s="50" t="e">
        <f t="shared" si="32"/>
        <v>#VALUE!</v>
      </c>
      <c r="L128" s="50" t="e">
        <f t="shared" si="32"/>
        <v>#VALUE!</v>
      </c>
      <c r="M128" s="50" t="e">
        <f t="shared" si="20"/>
        <v>#VALUE!</v>
      </c>
      <c r="N128" s="50" t="e">
        <f t="shared" si="21"/>
        <v>#VALUE!</v>
      </c>
      <c r="O128" s="50">
        <f t="shared" si="22"/>
        <v>0</v>
      </c>
      <c r="Q128" s="55" t="e">
        <f t="shared" si="23"/>
        <v>#VALUE!</v>
      </c>
      <c r="R128" s="55" t="e">
        <f t="shared" si="26"/>
        <v>#VALUE!</v>
      </c>
      <c r="S128" s="55" t="e">
        <f t="shared" si="24"/>
        <v>#VALUE!</v>
      </c>
      <c r="T128" s="50" t="e">
        <f t="shared" si="27"/>
        <v>#VALUE!</v>
      </c>
      <c r="U128" s="50" t="e">
        <f t="shared" si="28"/>
        <v>#VALUE!</v>
      </c>
      <c r="V128" s="50" t="e">
        <f t="shared" si="29"/>
        <v>#VALUE!</v>
      </c>
      <c r="AC128" s="59"/>
    </row>
    <row r="129" spans="2:29" x14ac:dyDescent="0.25">
      <c r="B129" s="50" t="b">
        <f t="shared" si="30"/>
        <v>0</v>
      </c>
      <c r="C129" s="50" t="e">
        <f t="shared" si="31"/>
        <v>#VALUE!</v>
      </c>
      <c r="E129" s="56">
        <v>126</v>
      </c>
      <c r="G129" s="138"/>
      <c r="H129" s="135">
        <v>1</v>
      </c>
      <c r="I129" s="58" t="e">
        <f t="shared" si="19"/>
        <v>#VALUE!</v>
      </c>
      <c r="J129" s="50" t="e">
        <f t="shared" si="25"/>
        <v>#VALUE!</v>
      </c>
      <c r="K129" s="50" t="e">
        <f t="shared" si="32"/>
        <v>#VALUE!</v>
      </c>
      <c r="L129" s="50" t="e">
        <f t="shared" si="32"/>
        <v>#VALUE!</v>
      </c>
      <c r="M129" s="50" t="e">
        <f t="shared" si="20"/>
        <v>#VALUE!</v>
      </c>
      <c r="N129" s="50" t="e">
        <f t="shared" si="21"/>
        <v>#VALUE!</v>
      </c>
      <c r="O129" s="50">
        <f t="shared" si="22"/>
        <v>0</v>
      </c>
      <c r="Q129" s="55" t="e">
        <f t="shared" si="23"/>
        <v>#VALUE!</v>
      </c>
      <c r="R129" s="55" t="e">
        <f t="shared" si="26"/>
        <v>#VALUE!</v>
      </c>
      <c r="S129" s="55" t="e">
        <f t="shared" si="24"/>
        <v>#VALUE!</v>
      </c>
      <c r="T129" s="50" t="e">
        <f t="shared" si="27"/>
        <v>#VALUE!</v>
      </c>
      <c r="U129" s="50" t="e">
        <f t="shared" si="28"/>
        <v>#VALUE!</v>
      </c>
      <c r="V129" s="50" t="e">
        <f t="shared" si="29"/>
        <v>#VALUE!</v>
      </c>
      <c r="AC129" s="59"/>
    </row>
    <row r="130" spans="2:29" x14ac:dyDescent="0.25">
      <c r="B130" s="50" t="b">
        <f t="shared" si="30"/>
        <v>0</v>
      </c>
      <c r="C130" s="50" t="e">
        <f t="shared" si="31"/>
        <v>#VALUE!</v>
      </c>
      <c r="E130" s="56">
        <v>127</v>
      </c>
      <c r="G130" s="138"/>
      <c r="H130" s="135">
        <v>1</v>
      </c>
      <c r="I130" s="58" t="e">
        <f t="shared" si="19"/>
        <v>#VALUE!</v>
      </c>
      <c r="J130" s="50" t="e">
        <f t="shared" si="25"/>
        <v>#VALUE!</v>
      </c>
      <c r="K130" s="50" t="e">
        <f t="shared" si="32"/>
        <v>#VALUE!</v>
      </c>
      <c r="L130" s="50" t="e">
        <f t="shared" si="32"/>
        <v>#VALUE!</v>
      </c>
      <c r="M130" s="50" t="e">
        <f t="shared" si="20"/>
        <v>#VALUE!</v>
      </c>
      <c r="N130" s="50" t="e">
        <f t="shared" si="21"/>
        <v>#VALUE!</v>
      </c>
      <c r="O130" s="50">
        <f t="shared" si="22"/>
        <v>0</v>
      </c>
      <c r="Q130" s="55" t="e">
        <f t="shared" si="23"/>
        <v>#VALUE!</v>
      </c>
      <c r="R130" s="55" t="e">
        <f t="shared" si="26"/>
        <v>#VALUE!</v>
      </c>
      <c r="S130" s="55" t="e">
        <f t="shared" si="24"/>
        <v>#VALUE!</v>
      </c>
      <c r="T130" s="50" t="e">
        <f t="shared" si="27"/>
        <v>#VALUE!</v>
      </c>
      <c r="U130" s="50" t="e">
        <f t="shared" si="28"/>
        <v>#VALUE!</v>
      </c>
      <c r="V130" s="50" t="e">
        <f t="shared" si="29"/>
        <v>#VALUE!</v>
      </c>
      <c r="AC130" s="59"/>
    </row>
    <row r="131" spans="2:29" x14ac:dyDescent="0.25">
      <c r="B131" s="50" t="b">
        <f t="shared" si="30"/>
        <v>0</v>
      </c>
      <c r="C131" s="50" t="e">
        <f t="shared" si="31"/>
        <v>#VALUE!</v>
      </c>
      <c r="E131" s="56">
        <v>128</v>
      </c>
      <c r="G131" s="138"/>
      <c r="H131" s="135">
        <v>1</v>
      </c>
      <c r="I131" s="58" t="e">
        <f t="shared" si="19"/>
        <v>#VALUE!</v>
      </c>
      <c r="J131" s="50" t="e">
        <f t="shared" si="25"/>
        <v>#VALUE!</v>
      </c>
      <c r="K131" s="50" t="e">
        <f t="shared" si="32"/>
        <v>#VALUE!</v>
      </c>
      <c r="L131" s="50" t="e">
        <f t="shared" si="32"/>
        <v>#VALUE!</v>
      </c>
      <c r="M131" s="50" t="e">
        <f t="shared" si="20"/>
        <v>#VALUE!</v>
      </c>
      <c r="N131" s="50" t="e">
        <f t="shared" si="21"/>
        <v>#VALUE!</v>
      </c>
      <c r="O131" s="50">
        <f t="shared" si="22"/>
        <v>0</v>
      </c>
      <c r="Q131" s="55" t="e">
        <f t="shared" si="23"/>
        <v>#VALUE!</v>
      </c>
      <c r="R131" s="55" t="e">
        <f t="shared" si="26"/>
        <v>#VALUE!</v>
      </c>
      <c r="S131" s="55" t="e">
        <f t="shared" si="24"/>
        <v>#VALUE!</v>
      </c>
      <c r="T131" s="50" t="e">
        <f t="shared" si="27"/>
        <v>#VALUE!</v>
      </c>
      <c r="U131" s="50" t="e">
        <f t="shared" si="28"/>
        <v>#VALUE!</v>
      </c>
      <c r="V131" s="50" t="e">
        <f t="shared" si="29"/>
        <v>#VALUE!</v>
      </c>
      <c r="AC131" s="59"/>
    </row>
    <row r="132" spans="2:29" x14ac:dyDescent="0.25">
      <c r="B132" s="50" t="b">
        <f t="shared" si="30"/>
        <v>0</v>
      </c>
      <c r="C132" s="50" t="e">
        <f t="shared" si="31"/>
        <v>#VALUE!</v>
      </c>
      <c r="E132" s="56">
        <v>129</v>
      </c>
      <c r="G132" s="138"/>
      <c r="H132" s="135">
        <v>1</v>
      </c>
      <c r="I132" s="58" t="e">
        <f t="shared" ref="I132:I195" si="33">RIGHT(G132,J132)</f>
        <v>#VALUE!</v>
      </c>
      <c r="J132" s="50" t="e">
        <f t="shared" si="25"/>
        <v>#VALUE!</v>
      </c>
      <c r="K132" s="50" t="e">
        <f t="shared" si="32"/>
        <v>#VALUE!</v>
      </c>
      <c r="L132" s="50" t="e">
        <f t="shared" si="32"/>
        <v>#VALUE!</v>
      </c>
      <c r="M132" s="50" t="e">
        <f t="shared" ref="M132:M195" si="34">SEARCH("-",G132,2)</f>
        <v>#VALUE!</v>
      </c>
      <c r="N132" s="50" t="e">
        <f t="shared" ref="N132:N195" si="35">SEARCH("-",G132,M132+1)</f>
        <v>#VALUE!</v>
      </c>
      <c r="O132" s="50">
        <f t="shared" ref="O132:O195" si="36">LEN(G132)</f>
        <v>0</v>
      </c>
      <c r="Q132" s="55" t="e">
        <f t="shared" ref="Q132:Q195" si="37">LEFT(G132,M132-1)</f>
        <v>#VALUE!</v>
      </c>
      <c r="R132" s="55" t="e">
        <f t="shared" si="26"/>
        <v>#VALUE!</v>
      </c>
      <c r="S132" s="55" t="e">
        <f t="shared" ref="S132:S195" si="38">RIGHT(G132,L132)</f>
        <v>#VALUE!</v>
      </c>
      <c r="T132" s="50" t="e">
        <f t="shared" si="27"/>
        <v>#VALUE!</v>
      </c>
      <c r="U132" s="50" t="e">
        <f t="shared" si="28"/>
        <v>#VALUE!</v>
      </c>
      <c r="V132" s="50" t="e">
        <f t="shared" si="29"/>
        <v>#VALUE!</v>
      </c>
    </row>
    <row r="133" spans="2:29" x14ac:dyDescent="0.25">
      <c r="B133" s="50" t="b">
        <f t="shared" si="30"/>
        <v>0</v>
      </c>
      <c r="C133" s="50" t="e">
        <f t="shared" si="31"/>
        <v>#VALUE!</v>
      </c>
      <c r="E133" s="56">
        <v>130</v>
      </c>
      <c r="G133" s="138"/>
      <c r="H133" s="135">
        <v>1</v>
      </c>
      <c r="I133" s="58" t="e">
        <f t="shared" si="33"/>
        <v>#VALUE!</v>
      </c>
      <c r="J133" s="50" t="e">
        <f t="shared" ref="J133:J196" si="39">O133-M133</f>
        <v>#VALUE!</v>
      </c>
      <c r="K133" s="50" t="e">
        <f t="shared" ref="K133:L196" si="40">N133-M133</f>
        <v>#VALUE!</v>
      </c>
      <c r="L133" s="50" t="e">
        <f t="shared" si="40"/>
        <v>#VALUE!</v>
      </c>
      <c r="M133" s="50" t="e">
        <f t="shared" si="34"/>
        <v>#VALUE!</v>
      </c>
      <c r="N133" s="50" t="e">
        <f t="shared" si="35"/>
        <v>#VALUE!</v>
      </c>
      <c r="O133" s="50">
        <f t="shared" si="36"/>
        <v>0</v>
      </c>
      <c r="Q133" s="55" t="e">
        <f t="shared" si="37"/>
        <v>#VALUE!</v>
      </c>
      <c r="R133" s="55" t="e">
        <f t="shared" ref="R133:R196" si="41">LEFT(I133,K133-1)</f>
        <v>#VALUE!</v>
      </c>
      <c r="S133" s="55" t="e">
        <f t="shared" si="38"/>
        <v>#VALUE!</v>
      </c>
      <c r="T133" s="50" t="e">
        <f t="shared" ref="T133:T196" si="42">Q133*1*$H133</f>
        <v>#VALUE!</v>
      </c>
      <c r="U133" s="50" t="e">
        <f t="shared" ref="U133:U196" si="43">R133*1*$H133</f>
        <v>#VALUE!</v>
      </c>
      <c r="V133" s="50" t="e">
        <f t="shared" ref="V133:V196" si="44">S133*1*$H133</f>
        <v>#VALUE!</v>
      </c>
    </row>
    <row r="134" spans="2:29" x14ac:dyDescent="0.25">
      <c r="B134" s="50" t="b">
        <f t="shared" si="30"/>
        <v>0</v>
      </c>
      <c r="C134" s="50" t="e">
        <f t="shared" si="31"/>
        <v>#VALUE!</v>
      </c>
      <c r="E134" s="56">
        <v>131</v>
      </c>
      <c r="G134" s="138"/>
      <c r="H134" s="135">
        <v>1</v>
      </c>
      <c r="I134" s="58" t="e">
        <f t="shared" si="33"/>
        <v>#VALUE!</v>
      </c>
      <c r="J134" s="50" t="e">
        <f t="shared" si="39"/>
        <v>#VALUE!</v>
      </c>
      <c r="K134" s="50" t="e">
        <f t="shared" si="40"/>
        <v>#VALUE!</v>
      </c>
      <c r="L134" s="50" t="e">
        <f t="shared" si="40"/>
        <v>#VALUE!</v>
      </c>
      <c r="M134" s="50" t="e">
        <f t="shared" si="34"/>
        <v>#VALUE!</v>
      </c>
      <c r="N134" s="50" t="e">
        <f t="shared" si="35"/>
        <v>#VALUE!</v>
      </c>
      <c r="O134" s="50">
        <f t="shared" si="36"/>
        <v>0</v>
      </c>
      <c r="Q134" s="55" t="e">
        <f t="shared" si="37"/>
        <v>#VALUE!</v>
      </c>
      <c r="R134" s="55" t="e">
        <f t="shared" si="41"/>
        <v>#VALUE!</v>
      </c>
      <c r="S134" s="55" t="e">
        <f t="shared" si="38"/>
        <v>#VALUE!</v>
      </c>
      <c r="T134" s="50" t="e">
        <f t="shared" si="42"/>
        <v>#VALUE!</v>
      </c>
      <c r="U134" s="50" t="e">
        <f t="shared" si="43"/>
        <v>#VALUE!</v>
      </c>
      <c r="V134" s="50" t="e">
        <f t="shared" si="44"/>
        <v>#VALUE!</v>
      </c>
    </row>
    <row r="135" spans="2:29" x14ac:dyDescent="0.25">
      <c r="B135" s="50" t="b">
        <f t="shared" si="30"/>
        <v>0</v>
      </c>
      <c r="C135" s="50" t="e">
        <f t="shared" si="31"/>
        <v>#VALUE!</v>
      </c>
      <c r="E135" s="56">
        <v>132</v>
      </c>
      <c r="G135" s="138"/>
      <c r="H135" s="135">
        <v>1</v>
      </c>
      <c r="I135" s="58" t="e">
        <f t="shared" si="33"/>
        <v>#VALUE!</v>
      </c>
      <c r="J135" s="50" t="e">
        <f t="shared" si="39"/>
        <v>#VALUE!</v>
      </c>
      <c r="K135" s="50" t="e">
        <f t="shared" si="40"/>
        <v>#VALUE!</v>
      </c>
      <c r="L135" s="50" t="e">
        <f t="shared" si="40"/>
        <v>#VALUE!</v>
      </c>
      <c r="M135" s="50" t="e">
        <f t="shared" si="34"/>
        <v>#VALUE!</v>
      </c>
      <c r="N135" s="50" t="e">
        <f t="shared" si="35"/>
        <v>#VALUE!</v>
      </c>
      <c r="O135" s="50">
        <f t="shared" si="36"/>
        <v>0</v>
      </c>
      <c r="Q135" s="55" t="e">
        <f t="shared" si="37"/>
        <v>#VALUE!</v>
      </c>
      <c r="R135" s="55" t="e">
        <f t="shared" si="41"/>
        <v>#VALUE!</v>
      </c>
      <c r="S135" s="55" t="e">
        <f t="shared" si="38"/>
        <v>#VALUE!</v>
      </c>
      <c r="T135" s="50" t="e">
        <f t="shared" si="42"/>
        <v>#VALUE!</v>
      </c>
      <c r="U135" s="50" t="e">
        <f t="shared" si="43"/>
        <v>#VALUE!</v>
      </c>
      <c r="V135" s="50" t="e">
        <f t="shared" si="44"/>
        <v>#VALUE!</v>
      </c>
    </row>
    <row r="136" spans="2:29" x14ac:dyDescent="0.25">
      <c r="B136" s="50" t="b">
        <f t="shared" si="30"/>
        <v>0</v>
      </c>
      <c r="C136" s="50" t="e">
        <f t="shared" si="31"/>
        <v>#VALUE!</v>
      </c>
      <c r="E136" s="56">
        <v>133</v>
      </c>
      <c r="G136" s="138"/>
      <c r="H136" s="135">
        <v>1</v>
      </c>
      <c r="I136" s="58" t="e">
        <f t="shared" si="33"/>
        <v>#VALUE!</v>
      </c>
      <c r="J136" s="50" t="e">
        <f t="shared" si="39"/>
        <v>#VALUE!</v>
      </c>
      <c r="K136" s="50" t="e">
        <f t="shared" si="40"/>
        <v>#VALUE!</v>
      </c>
      <c r="L136" s="50" t="e">
        <f t="shared" si="40"/>
        <v>#VALUE!</v>
      </c>
      <c r="M136" s="50" t="e">
        <f t="shared" si="34"/>
        <v>#VALUE!</v>
      </c>
      <c r="N136" s="50" t="e">
        <f t="shared" si="35"/>
        <v>#VALUE!</v>
      </c>
      <c r="O136" s="50">
        <f t="shared" si="36"/>
        <v>0</v>
      </c>
      <c r="Q136" s="55" t="e">
        <f t="shared" si="37"/>
        <v>#VALUE!</v>
      </c>
      <c r="R136" s="55" t="e">
        <f t="shared" si="41"/>
        <v>#VALUE!</v>
      </c>
      <c r="S136" s="55" t="e">
        <f t="shared" si="38"/>
        <v>#VALUE!</v>
      </c>
      <c r="T136" s="50" t="e">
        <f t="shared" si="42"/>
        <v>#VALUE!</v>
      </c>
      <c r="U136" s="50" t="e">
        <f t="shared" si="43"/>
        <v>#VALUE!</v>
      </c>
      <c r="V136" s="50" t="e">
        <f t="shared" si="44"/>
        <v>#VALUE!</v>
      </c>
    </row>
    <row r="137" spans="2:29" x14ac:dyDescent="0.25">
      <c r="B137" s="50" t="b">
        <f t="shared" si="30"/>
        <v>0</v>
      </c>
      <c r="C137" s="50" t="e">
        <f t="shared" si="31"/>
        <v>#VALUE!</v>
      </c>
      <c r="E137" s="56">
        <v>134</v>
      </c>
      <c r="G137" s="138"/>
      <c r="H137" s="135">
        <v>1</v>
      </c>
      <c r="I137" s="58" t="e">
        <f t="shared" si="33"/>
        <v>#VALUE!</v>
      </c>
      <c r="J137" s="50" t="e">
        <f t="shared" si="39"/>
        <v>#VALUE!</v>
      </c>
      <c r="K137" s="50" t="e">
        <f t="shared" si="40"/>
        <v>#VALUE!</v>
      </c>
      <c r="L137" s="50" t="e">
        <f t="shared" si="40"/>
        <v>#VALUE!</v>
      </c>
      <c r="M137" s="50" t="e">
        <f t="shared" si="34"/>
        <v>#VALUE!</v>
      </c>
      <c r="N137" s="50" t="e">
        <f t="shared" si="35"/>
        <v>#VALUE!</v>
      </c>
      <c r="O137" s="50">
        <f t="shared" si="36"/>
        <v>0</v>
      </c>
      <c r="Q137" s="55" t="e">
        <f t="shared" si="37"/>
        <v>#VALUE!</v>
      </c>
      <c r="R137" s="55" t="e">
        <f t="shared" si="41"/>
        <v>#VALUE!</v>
      </c>
      <c r="S137" s="55" t="e">
        <f t="shared" si="38"/>
        <v>#VALUE!</v>
      </c>
      <c r="T137" s="50" t="e">
        <f t="shared" si="42"/>
        <v>#VALUE!</v>
      </c>
      <c r="U137" s="50" t="e">
        <f t="shared" si="43"/>
        <v>#VALUE!</v>
      </c>
      <c r="V137" s="50" t="e">
        <f t="shared" si="44"/>
        <v>#VALUE!</v>
      </c>
    </row>
    <row r="138" spans="2:29" x14ac:dyDescent="0.25">
      <c r="B138" s="50" t="b">
        <f t="shared" si="30"/>
        <v>0</v>
      </c>
      <c r="C138" s="50" t="e">
        <f t="shared" si="31"/>
        <v>#VALUE!</v>
      </c>
      <c r="E138" s="56">
        <v>135</v>
      </c>
      <c r="G138" s="138"/>
      <c r="H138" s="135">
        <v>1</v>
      </c>
      <c r="I138" s="58" t="e">
        <f t="shared" si="33"/>
        <v>#VALUE!</v>
      </c>
      <c r="J138" s="50" t="e">
        <f t="shared" si="39"/>
        <v>#VALUE!</v>
      </c>
      <c r="K138" s="50" t="e">
        <f t="shared" si="40"/>
        <v>#VALUE!</v>
      </c>
      <c r="L138" s="50" t="e">
        <f t="shared" si="40"/>
        <v>#VALUE!</v>
      </c>
      <c r="M138" s="50" t="e">
        <f t="shared" si="34"/>
        <v>#VALUE!</v>
      </c>
      <c r="N138" s="50" t="e">
        <f t="shared" si="35"/>
        <v>#VALUE!</v>
      </c>
      <c r="O138" s="50">
        <f t="shared" si="36"/>
        <v>0</v>
      </c>
      <c r="Q138" s="55" t="e">
        <f t="shared" si="37"/>
        <v>#VALUE!</v>
      </c>
      <c r="R138" s="55" t="e">
        <f t="shared" si="41"/>
        <v>#VALUE!</v>
      </c>
      <c r="S138" s="55" t="e">
        <f t="shared" si="38"/>
        <v>#VALUE!</v>
      </c>
      <c r="T138" s="50" t="e">
        <f t="shared" si="42"/>
        <v>#VALUE!</v>
      </c>
      <c r="U138" s="50" t="e">
        <f t="shared" si="43"/>
        <v>#VALUE!</v>
      </c>
      <c r="V138" s="50" t="e">
        <f t="shared" si="44"/>
        <v>#VALUE!</v>
      </c>
    </row>
    <row r="139" spans="2:29" x14ac:dyDescent="0.25">
      <c r="B139" s="50" t="b">
        <f t="shared" si="30"/>
        <v>0</v>
      </c>
      <c r="C139" s="50" t="e">
        <f t="shared" si="31"/>
        <v>#VALUE!</v>
      </c>
      <c r="E139" s="56">
        <v>136</v>
      </c>
      <c r="G139" s="138"/>
      <c r="H139" s="135">
        <v>1</v>
      </c>
      <c r="I139" s="58" t="e">
        <f t="shared" si="33"/>
        <v>#VALUE!</v>
      </c>
      <c r="J139" s="50" t="e">
        <f t="shared" si="39"/>
        <v>#VALUE!</v>
      </c>
      <c r="K139" s="50" t="e">
        <f t="shared" si="40"/>
        <v>#VALUE!</v>
      </c>
      <c r="L139" s="50" t="e">
        <f t="shared" si="40"/>
        <v>#VALUE!</v>
      </c>
      <c r="M139" s="50" t="e">
        <f t="shared" si="34"/>
        <v>#VALUE!</v>
      </c>
      <c r="N139" s="50" t="e">
        <f t="shared" si="35"/>
        <v>#VALUE!</v>
      </c>
      <c r="O139" s="50">
        <f t="shared" si="36"/>
        <v>0</v>
      </c>
      <c r="Q139" s="55" t="e">
        <f t="shared" si="37"/>
        <v>#VALUE!</v>
      </c>
      <c r="R139" s="55" t="e">
        <f t="shared" si="41"/>
        <v>#VALUE!</v>
      </c>
      <c r="S139" s="55" t="e">
        <f t="shared" si="38"/>
        <v>#VALUE!</v>
      </c>
      <c r="T139" s="50" t="e">
        <f t="shared" si="42"/>
        <v>#VALUE!</v>
      </c>
      <c r="U139" s="50" t="e">
        <f t="shared" si="43"/>
        <v>#VALUE!</v>
      </c>
      <c r="V139" s="50" t="e">
        <f t="shared" si="44"/>
        <v>#VALUE!</v>
      </c>
    </row>
    <row r="140" spans="2:29" x14ac:dyDescent="0.25">
      <c r="B140" s="50" t="b">
        <f t="shared" si="30"/>
        <v>0</v>
      </c>
      <c r="C140" s="50" t="e">
        <f t="shared" si="31"/>
        <v>#VALUE!</v>
      </c>
      <c r="E140" s="56">
        <v>137</v>
      </c>
      <c r="G140" s="138"/>
      <c r="H140" s="135">
        <v>1</v>
      </c>
      <c r="I140" s="58" t="e">
        <f t="shared" si="33"/>
        <v>#VALUE!</v>
      </c>
      <c r="J140" s="50" t="e">
        <f t="shared" si="39"/>
        <v>#VALUE!</v>
      </c>
      <c r="K140" s="50" t="e">
        <f t="shared" si="40"/>
        <v>#VALUE!</v>
      </c>
      <c r="L140" s="50" t="e">
        <f t="shared" si="40"/>
        <v>#VALUE!</v>
      </c>
      <c r="M140" s="50" t="e">
        <f t="shared" si="34"/>
        <v>#VALUE!</v>
      </c>
      <c r="N140" s="50" t="e">
        <f t="shared" si="35"/>
        <v>#VALUE!</v>
      </c>
      <c r="O140" s="50">
        <f t="shared" si="36"/>
        <v>0</v>
      </c>
      <c r="Q140" s="55" t="e">
        <f t="shared" si="37"/>
        <v>#VALUE!</v>
      </c>
      <c r="R140" s="55" t="e">
        <f t="shared" si="41"/>
        <v>#VALUE!</v>
      </c>
      <c r="S140" s="55" t="e">
        <f t="shared" si="38"/>
        <v>#VALUE!</v>
      </c>
      <c r="T140" s="50" t="e">
        <f t="shared" si="42"/>
        <v>#VALUE!</v>
      </c>
      <c r="U140" s="50" t="e">
        <f t="shared" si="43"/>
        <v>#VALUE!</v>
      </c>
      <c r="V140" s="50" t="e">
        <f t="shared" si="44"/>
        <v>#VALUE!</v>
      </c>
    </row>
    <row r="141" spans="2:29" x14ac:dyDescent="0.25">
      <c r="B141" s="50" t="b">
        <f t="shared" si="30"/>
        <v>0</v>
      </c>
      <c r="C141" s="50" t="e">
        <f t="shared" si="31"/>
        <v>#VALUE!</v>
      </c>
      <c r="E141" s="56">
        <v>138</v>
      </c>
      <c r="G141" s="138"/>
      <c r="H141" s="135">
        <v>1</v>
      </c>
      <c r="I141" s="58" t="e">
        <f t="shared" si="33"/>
        <v>#VALUE!</v>
      </c>
      <c r="J141" s="50" t="e">
        <f t="shared" si="39"/>
        <v>#VALUE!</v>
      </c>
      <c r="K141" s="50" t="e">
        <f t="shared" si="40"/>
        <v>#VALUE!</v>
      </c>
      <c r="L141" s="50" t="e">
        <f t="shared" si="40"/>
        <v>#VALUE!</v>
      </c>
      <c r="M141" s="50" t="e">
        <f t="shared" si="34"/>
        <v>#VALUE!</v>
      </c>
      <c r="N141" s="50" t="e">
        <f t="shared" si="35"/>
        <v>#VALUE!</v>
      </c>
      <c r="O141" s="50">
        <f t="shared" si="36"/>
        <v>0</v>
      </c>
      <c r="Q141" s="55" t="e">
        <f t="shared" si="37"/>
        <v>#VALUE!</v>
      </c>
      <c r="R141" s="55" t="e">
        <f t="shared" si="41"/>
        <v>#VALUE!</v>
      </c>
      <c r="S141" s="55" t="e">
        <f t="shared" si="38"/>
        <v>#VALUE!</v>
      </c>
      <c r="T141" s="50" t="e">
        <f t="shared" si="42"/>
        <v>#VALUE!</v>
      </c>
      <c r="U141" s="50" t="e">
        <f t="shared" si="43"/>
        <v>#VALUE!</v>
      </c>
      <c r="V141" s="50" t="e">
        <f t="shared" si="44"/>
        <v>#VALUE!</v>
      </c>
    </row>
    <row r="142" spans="2:29" x14ac:dyDescent="0.25">
      <c r="B142" s="50" t="b">
        <f t="shared" ref="B142:B205" si="45">ISNUMBER(C142)</f>
        <v>0</v>
      </c>
      <c r="C142" s="50" t="e">
        <f t="shared" ref="C142:C205" si="46">SUM(T142:V142)</f>
        <v>#VALUE!</v>
      </c>
      <c r="E142" s="56">
        <v>139</v>
      </c>
      <c r="G142" s="138"/>
      <c r="H142" s="135">
        <v>1</v>
      </c>
      <c r="I142" s="58" t="e">
        <f t="shared" si="33"/>
        <v>#VALUE!</v>
      </c>
      <c r="J142" s="50" t="e">
        <f t="shared" si="39"/>
        <v>#VALUE!</v>
      </c>
      <c r="K142" s="50" t="e">
        <f t="shared" si="40"/>
        <v>#VALUE!</v>
      </c>
      <c r="L142" s="50" t="e">
        <f t="shared" si="40"/>
        <v>#VALUE!</v>
      </c>
      <c r="M142" s="50" t="e">
        <f t="shared" si="34"/>
        <v>#VALUE!</v>
      </c>
      <c r="N142" s="50" t="e">
        <f t="shared" si="35"/>
        <v>#VALUE!</v>
      </c>
      <c r="O142" s="50">
        <f t="shared" si="36"/>
        <v>0</v>
      </c>
      <c r="Q142" s="55" t="e">
        <f t="shared" si="37"/>
        <v>#VALUE!</v>
      </c>
      <c r="R142" s="55" t="e">
        <f t="shared" si="41"/>
        <v>#VALUE!</v>
      </c>
      <c r="S142" s="55" t="e">
        <f t="shared" si="38"/>
        <v>#VALUE!</v>
      </c>
      <c r="T142" s="50" t="e">
        <f t="shared" si="42"/>
        <v>#VALUE!</v>
      </c>
      <c r="U142" s="50" t="e">
        <f t="shared" si="43"/>
        <v>#VALUE!</v>
      </c>
      <c r="V142" s="50" t="e">
        <f t="shared" si="44"/>
        <v>#VALUE!</v>
      </c>
    </row>
    <row r="143" spans="2:29" x14ac:dyDescent="0.25">
      <c r="B143" s="50" t="b">
        <f t="shared" si="45"/>
        <v>0</v>
      </c>
      <c r="C143" s="50" t="e">
        <f t="shared" si="46"/>
        <v>#VALUE!</v>
      </c>
      <c r="E143" s="56">
        <v>140</v>
      </c>
      <c r="G143" s="138"/>
      <c r="H143" s="135">
        <v>1</v>
      </c>
      <c r="I143" s="58" t="e">
        <f t="shared" si="33"/>
        <v>#VALUE!</v>
      </c>
      <c r="J143" s="50" t="e">
        <f t="shared" si="39"/>
        <v>#VALUE!</v>
      </c>
      <c r="K143" s="50" t="e">
        <f t="shared" si="40"/>
        <v>#VALUE!</v>
      </c>
      <c r="L143" s="50" t="e">
        <f t="shared" si="40"/>
        <v>#VALUE!</v>
      </c>
      <c r="M143" s="50" t="e">
        <f t="shared" si="34"/>
        <v>#VALUE!</v>
      </c>
      <c r="N143" s="50" t="e">
        <f t="shared" si="35"/>
        <v>#VALUE!</v>
      </c>
      <c r="O143" s="50">
        <f t="shared" si="36"/>
        <v>0</v>
      </c>
      <c r="Q143" s="55" t="e">
        <f t="shared" si="37"/>
        <v>#VALUE!</v>
      </c>
      <c r="R143" s="55" t="e">
        <f t="shared" si="41"/>
        <v>#VALUE!</v>
      </c>
      <c r="S143" s="55" t="e">
        <f t="shared" si="38"/>
        <v>#VALUE!</v>
      </c>
      <c r="T143" s="50" t="e">
        <f t="shared" si="42"/>
        <v>#VALUE!</v>
      </c>
      <c r="U143" s="50" t="e">
        <f t="shared" si="43"/>
        <v>#VALUE!</v>
      </c>
      <c r="V143" s="50" t="e">
        <f t="shared" si="44"/>
        <v>#VALUE!</v>
      </c>
    </row>
    <row r="144" spans="2:29" x14ac:dyDescent="0.25">
      <c r="B144" s="50" t="b">
        <f t="shared" si="45"/>
        <v>0</v>
      </c>
      <c r="C144" s="50" t="e">
        <f t="shared" si="46"/>
        <v>#VALUE!</v>
      </c>
      <c r="E144" s="56">
        <v>141</v>
      </c>
      <c r="G144" s="138"/>
      <c r="H144" s="135">
        <v>1</v>
      </c>
      <c r="I144" s="58" t="e">
        <f t="shared" si="33"/>
        <v>#VALUE!</v>
      </c>
      <c r="J144" s="50" t="e">
        <f t="shared" si="39"/>
        <v>#VALUE!</v>
      </c>
      <c r="K144" s="50" t="e">
        <f t="shared" si="40"/>
        <v>#VALUE!</v>
      </c>
      <c r="L144" s="50" t="e">
        <f t="shared" si="40"/>
        <v>#VALUE!</v>
      </c>
      <c r="M144" s="50" t="e">
        <f t="shared" si="34"/>
        <v>#VALUE!</v>
      </c>
      <c r="N144" s="50" t="e">
        <f t="shared" si="35"/>
        <v>#VALUE!</v>
      </c>
      <c r="O144" s="50">
        <f t="shared" si="36"/>
        <v>0</v>
      </c>
      <c r="Q144" s="55" t="e">
        <f t="shared" si="37"/>
        <v>#VALUE!</v>
      </c>
      <c r="R144" s="55" t="e">
        <f t="shared" si="41"/>
        <v>#VALUE!</v>
      </c>
      <c r="S144" s="55" t="e">
        <f t="shared" si="38"/>
        <v>#VALUE!</v>
      </c>
      <c r="T144" s="50" t="e">
        <f t="shared" si="42"/>
        <v>#VALUE!</v>
      </c>
      <c r="U144" s="50" t="e">
        <f t="shared" si="43"/>
        <v>#VALUE!</v>
      </c>
      <c r="V144" s="50" t="e">
        <f t="shared" si="44"/>
        <v>#VALUE!</v>
      </c>
    </row>
    <row r="145" spans="2:22" x14ac:dyDescent="0.25">
      <c r="B145" s="50" t="b">
        <f t="shared" si="45"/>
        <v>0</v>
      </c>
      <c r="C145" s="50" t="e">
        <f t="shared" si="46"/>
        <v>#VALUE!</v>
      </c>
      <c r="E145" s="56">
        <v>142</v>
      </c>
      <c r="G145" s="138"/>
      <c r="H145" s="135">
        <v>1</v>
      </c>
      <c r="I145" s="58" t="e">
        <f t="shared" si="33"/>
        <v>#VALUE!</v>
      </c>
      <c r="J145" s="50" t="e">
        <f t="shared" si="39"/>
        <v>#VALUE!</v>
      </c>
      <c r="K145" s="50" t="e">
        <f t="shared" si="40"/>
        <v>#VALUE!</v>
      </c>
      <c r="L145" s="50" t="e">
        <f t="shared" si="40"/>
        <v>#VALUE!</v>
      </c>
      <c r="M145" s="50" t="e">
        <f t="shared" si="34"/>
        <v>#VALUE!</v>
      </c>
      <c r="N145" s="50" t="e">
        <f t="shared" si="35"/>
        <v>#VALUE!</v>
      </c>
      <c r="O145" s="50">
        <f t="shared" si="36"/>
        <v>0</v>
      </c>
      <c r="Q145" s="55" t="e">
        <f t="shared" si="37"/>
        <v>#VALUE!</v>
      </c>
      <c r="R145" s="55" t="e">
        <f t="shared" si="41"/>
        <v>#VALUE!</v>
      </c>
      <c r="S145" s="55" t="e">
        <f t="shared" si="38"/>
        <v>#VALUE!</v>
      </c>
      <c r="T145" s="50" t="e">
        <f t="shared" si="42"/>
        <v>#VALUE!</v>
      </c>
      <c r="U145" s="50" t="e">
        <f t="shared" si="43"/>
        <v>#VALUE!</v>
      </c>
      <c r="V145" s="50" t="e">
        <f t="shared" si="44"/>
        <v>#VALUE!</v>
      </c>
    </row>
    <row r="146" spans="2:22" x14ac:dyDescent="0.25">
      <c r="B146" s="50" t="b">
        <f t="shared" si="45"/>
        <v>0</v>
      </c>
      <c r="C146" s="50" t="e">
        <f t="shared" si="46"/>
        <v>#VALUE!</v>
      </c>
      <c r="E146" s="56">
        <v>143</v>
      </c>
      <c r="G146" s="138"/>
      <c r="H146" s="135">
        <v>1</v>
      </c>
      <c r="I146" s="58" t="e">
        <f t="shared" si="33"/>
        <v>#VALUE!</v>
      </c>
      <c r="J146" s="50" t="e">
        <f t="shared" si="39"/>
        <v>#VALUE!</v>
      </c>
      <c r="K146" s="50" t="e">
        <f t="shared" si="40"/>
        <v>#VALUE!</v>
      </c>
      <c r="L146" s="50" t="e">
        <f t="shared" si="40"/>
        <v>#VALUE!</v>
      </c>
      <c r="M146" s="50" t="e">
        <f t="shared" si="34"/>
        <v>#VALUE!</v>
      </c>
      <c r="N146" s="50" t="e">
        <f t="shared" si="35"/>
        <v>#VALUE!</v>
      </c>
      <c r="O146" s="50">
        <f t="shared" si="36"/>
        <v>0</v>
      </c>
      <c r="Q146" s="55" t="e">
        <f t="shared" si="37"/>
        <v>#VALUE!</v>
      </c>
      <c r="R146" s="55" t="e">
        <f t="shared" si="41"/>
        <v>#VALUE!</v>
      </c>
      <c r="S146" s="55" t="e">
        <f t="shared" si="38"/>
        <v>#VALUE!</v>
      </c>
      <c r="T146" s="50" t="e">
        <f t="shared" si="42"/>
        <v>#VALUE!</v>
      </c>
      <c r="U146" s="50" t="e">
        <f t="shared" si="43"/>
        <v>#VALUE!</v>
      </c>
      <c r="V146" s="50" t="e">
        <f t="shared" si="44"/>
        <v>#VALUE!</v>
      </c>
    </row>
    <row r="147" spans="2:22" x14ac:dyDescent="0.25">
      <c r="B147" s="50" t="b">
        <f t="shared" si="45"/>
        <v>0</v>
      </c>
      <c r="C147" s="50" t="e">
        <f t="shared" si="46"/>
        <v>#VALUE!</v>
      </c>
      <c r="E147" s="56">
        <v>144</v>
      </c>
      <c r="G147" s="138"/>
      <c r="H147" s="135">
        <v>1</v>
      </c>
      <c r="I147" s="58" t="e">
        <f t="shared" si="33"/>
        <v>#VALUE!</v>
      </c>
      <c r="J147" s="50" t="e">
        <f t="shared" si="39"/>
        <v>#VALUE!</v>
      </c>
      <c r="K147" s="50" t="e">
        <f t="shared" si="40"/>
        <v>#VALUE!</v>
      </c>
      <c r="L147" s="50" t="e">
        <f t="shared" si="40"/>
        <v>#VALUE!</v>
      </c>
      <c r="M147" s="50" t="e">
        <f t="shared" si="34"/>
        <v>#VALUE!</v>
      </c>
      <c r="N147" s="50" t="e">
        <f t="shared" si="35"/>
        <v>#VALUE!</v>
      </c>
      <c r="O147" s="50">
        <f t="shared" si="36"/>
        <v>0</v>
      </c>
      <c r="Q147" s="55" t="e">
        <f t="shared" si="37"/>
        <v>#VALUE!</v>
      </c>
      <c r="R147" s="55" t="e">
        <f t="shared" si="41"/>
        <v>#VALUE!</v>
      </c>
      <c r="S147" s="55" t="e">
        <f t="shared" si="38"/>
        <v>#VALUE!</v>
      </c>
      <c r="T147" s="50" t="e">
        <f t="shared" si="42"/>
        <v>#VALUE!</v>
      </c>
      <c r="U147" s="50" t="e">
        <f t="shared" si="43"/>
        <v>#VALUE!</v>
      </c>
      <c r="V147" s="50" t="e">
        <f t="shared" si="44"/>
        <v>#VALUE!</v>
      </c>
    </row>
    <row r="148" spans="2:22" x14ac:dyDescent="0.25">
      <c r="B148" s="50" t="b">
        <f t="shared" si="45"/>
        <v>0</v>
      </c>
      <c r="C148" s="50" t="e">
        <f t="shared" si="46"/>
        <v>#VALUE!</v>
      </c>
      <c r="E148" s="56">
        <v>145</v>
      </c>
      <c r="G148" s="138"/>
      <c r="H148" s="135">
        <v>1</v>
      </c>
      <c r="I148" s="58" t="e">
        <f t="shared" si="33"/>
        <v>#VALUE!</v>
      </c>
      <c r="J148" s="50" t="e">
        <f t="shared" si="39"/>
        <v>#VALUE!</v>
      </c>
      <c r="K148" s="50" t="e">
        <f t="shared" si="40"/>
        <v>#VALUE!</v>
      </c>
      <c r="L148" s="50" t="e">
        <f t="shared" si="40"/>
        <v>#VALUE!</v>
      </c>
      <c r="M148" s="50" t="e">
        <f t="shared" si="34"/>
        <v>#VALUE!</v>
      </c>
      <c r="N148" s="50" t="e">
        <f t="shared" si="35"/>
        <v>#VALUE!</v>
      </c>
      <c r="O148" s="50">
        <f t="shared" si="36"/>
        <v>0</v>
      </c>
      <c r="Q148" s="55" t="e">
        <f t="shared" si="37"/>
        <v>#VALUE!</v>
      </c>
      <c r="R148" s="55" t="e">
        <f t="shared" si="41"/>
        <v>#VALUE!</v>
      </c>
      <c r="S148" s="55" t="e">
        <f t="shared" si="38"/>
        <v>#VALUE!</v>
      </c>
      <c r="T148" s="50" t="e">
        <f t="shared" si="42"/>
        <v>#VALUE!</v>
      </c>
      <c r="U148" s="50" t="e">
        <f t="shared" si="43"/>
        <v>#VALUE!</v>
      </c>
      <c r="V148" s="50" t="e">
        <f t="shared" si="44"/>
        <v>#VALUE!</v>
      </c>
    </row>
    <row r="149" spans="2:22" x14ac:dyDescent="0.25">
      <c r="B149" s="50" t="b">
        <f t="shared" si="45"/>
        <v>0</v>
      </c>
      <c r="C149" s="50" t="e">
        <f t="shared" si="46"/>
        <v>#VALUE!</v>
      </c>
      <c r="E149" s="56">
        <v>146</v>
      </c>
      <c r="G149" s="138"/>
      <c r="H149" s="135">
        <v>1</v>
      </c>
      <c r="I149" s="58" t="e">
        <f t="shared" si="33"/>
        <v>#VALUE!</v>
      </c>
      <c r="J149" s="50" t="e">
        <f t="shared" si="39"/>
        <v>#VALUE!</v>
      </c>
      <c r="K149" s="50" t="e">
        <f t="shared" si="40"/>
        <v>#VALUE!</v>
      </c>
      <c r="L149" s="50" t="e">
        <f t="shared" si="40"/>
        <v>#VALUE!</v>
      </c>
      <c r="M149" s="50" t="e">
        <f t="shared" si="34"/>
        <v>#VALUE!</v>
      </c>
      <c r="N149" s="50" t="e">
        <f t="shared" si="35"/>
        <v>#VALUE!</v>
      </c>
      <c r="O149" s="50">
        <f t="shared" si="36"/>
        <v>0</v>
      </c>
      <c r="Q149" s="55" t="e">
        <f t="shared" si="37"/>
        <v>#VALUE!</v>
      </c>
      <c r="R149" s="55" t="e">
        <f t="shared" si="41"/>
        <v>#VALUE!</v>
      </c>
      <c r="S149" s="55" t="e">
        <f t="shared" si="38"/>
        <v>#VALUE!</v>
      </c>
      <c r="T149" s="50" t="e">
        <f t="shared" si="42"/>
        <v>#VALUE!</v>
      </c>
      <c r="U149" s="50" t="e">
        <f t="shared" si="43"/>
        <v>#VALUE!</v>
      </c>
      <c r="V149" s="50" t="e">
        <f t="shared" si="44"/>
        <v>#VALUE!</v>
      </c>
    </row>
    <row r="150" spans="2:22" x14ac:dyDescent="0.25">
      <c r="B150" s="50" t="b">
        <f t="shared" si="45"/>
        <v>0</v>
      </c>
      <c r="C150" s="50" t="e">
        <f t="shared" si="46"/>
        <v>#VALUE!</v>
      </c>
      <c r="E150" s="56">
        <v>147</v>
      </c>
      <c r="G150" s="138"/>
      <c r="H150" s="135">
        <v>1</v>
      </c>
      <c r="I150" s="58" t="e">
        <f t="shared" si="33"/>
        <v>#VALUE!</v>
      </c>
      <c r="J150" s="50" t="e">
        <f t="shared" si="39"/>
        <v>#VALUE!</v>
      </c>
      <c r="K150" s="50" t="e">
        <f t="shared" si="40"/>
        <v>#VALUE!</v>
      </c>
      <c r="L150" s="50" t="e">
        <f t="shared" si="40"/>
        <v>#VALUE!</v>
      </c>
      <c r="M150" s="50" t="e">
        <f t="shared" si="34"/>
        <v>#VALUE!</v>
      </c>
      <c r="N150" s="50" t="e">
        <f t="shared" si="35"/>
        <v>#VALUE!</v>
      </c>
      <c r="O150" s="50">
        <f t="shared" si="36"/>
        <v>0</v>
      </c>
      <c r="Q150" s="55" t="e">
        <f t="shared" si="37"/>
        <v>#VALUE!</v>
      </c>
      <c r="R150" s="55" t="e">
        <f t="shared" si="41"/>
        <v>#VALUE!</v>
      </c>
      <c r="S150" s="55" t="e">
        <f t="shared" si="38"/>
        <v>#VALUE!</v>
      </c>
      <c r="T150" s="50" t="e">
        <f t="shared" si="42"/>
        <v>#VALUE!</v>
      </c>
      <c r="U150" s="50" t="e">
        <f t="shared" si="43"/>
        <v>#VALUE!</v>
      </c>
      <c r="V150" s="50" t="e">
        <f t="shared" si="44"/>
        <v>#VALUE!</v>
      </c>
    </row>
    <row r="151" spans="2:22" x14ac:dyDescent="0.25">
      <c r="B151" s="50" t="b">
        <f t="shared" si="45"/>
        <v>0</v>
      </c>
      <c r="C151" s="50" t="e">
        <f t="shared" si="46"/>
        <v>#VALUE!</v>
      </c>
      <c r="E151" s="56">
        <v>148</v>
      </c>
      <c r="G151" s="138"/>
      <c r="H151" s="135">
        <v>1</v>
      </c>
      <c r="I151" s="58" t="e">
        <f t="shared" si="33"/>
        <v>#VALUE!</v>
      </c>
      <c r="J151" s="50" t="e">
        <f t="shared" si="39"/>
        <v>#VALUE!</v>
      </c>
      <c r="K151" s="50" t="e">
        <f t="shared" si="40"/>
        <v>#VALUE!</v>
      </c>
      <c r="L151" s="50" t="e">
        <f t="shared" si="40"/>
        <v>#VALUE!</v>
      </c>
      <c r="M151" s="50" t="e">
        <f t="shared" si="34"/>
        <v>#VALUE!</v>
      </c>
      <c r="N151" s="50" t="e">
        <f t="shared" si="35"/>
        <v>#VALUE!</v>
      </c>
      <c r="O151" s="50">
        <f t="shared" si="36"/>
        <v>0</v>
      </c>
      <c r="Q151" s="55" t="e">
        <f t="shared" si="37"/>
        <v>#VALUE!</v>
      </c>
      <c r="R151" s="55" t="e">
        <f t="shared" si="41"/>
        <v>#VALUE!</v>
      </c>
      <c r="S151" s="55" t="e">
        <f t="shared" si="38"/>
        <v>#VALUE!</v>
      </c>
      <c r="T151" s="50" t="e">
        <f t="shared" si="42"/>
        <v>#VALUE!</v>
      </c>
      <c r="U151" s="50" t="e">
        <f t="shared" si="43"/>
        <v>#VALUE!</v>
      </c>
      <c r="V151" s="50" t="e">
        <f t="shared" si="44"/>
        <v>#VALUE!</v>
      </c>
    </row>
    <row r="152" spans="2:22" x14ac:dyDescent="0.25">
      <c r="B152" s="50" t="b">
        <f t="shared" si="45"/>
        <v>0</v>
      </c>
      <c r="C152" s="50" t="e">
        <f t="shared" si="46"/>
        <v>#VALUE!</v>
      </c>
      <c r="E152" s="56">
        <v>149</v>
      </c>
      <c r="G152" s="138"/>
      <c r="H152" s="135">
        <v>1</v>
      </c>
      <c r="I152" s="58" t="e">
        <f t="shared" si="33"/>
        <v>#VALUE!</v>
      </c>
      <c r="J152" s="50" t="e">
        <f t="shared" si="39"/>
        <v>#VALUE!</v>
      </c>
      <c r="K152" s="50" t="e">
        <f t="shared" si="40"/>
        <v>#VALUE!</v>
      </c>
      <c r="L152" s="50" t="e">
        <f t="shared" si="40"/>
        <v>#VALUE!</v>
      </c>
      <c r="M152" s="50" t="e">
        <f t="shared" si="34"/>
        <v>#VALUE!</v>
      </c>
      <c r="N152" s="50" t="e">
        <f t="shared" si="35"/>
        <v>#VALUE!</v>
      </c>
      <c r="O152" s="50">
        <f t="shared" si="36"/>
        <v>0</v>
      </c>
      <c r="Q152" s="55" t="e">
        <f t="shared" si="37"/>
        <v>#VALUE!</v>
      </c>
      <c r="R152" s="55" t="e">
        <f t="shared" si="41"/>
        <v>#VALUE!</v>
      </c>
      <c r="S152" s="55" t="e">
        <f t="shared" si="38"/>
        <v>#VALUE!</v>
      </c>
      <c r="T152" s="50" t="e">
        <f t="shared" si="42"/>
        <v>#VALUE!</v>
      </c>
      <c r="U152" s="50" t="e">
        <f t="shared" si="43"/>
        <v>#VALUE!</v>
      </c>
      <c r="V152" s="50" t="e">
        <f t="shared" si="44"/>
        <v>#VALUE!</v>
      </c>
    </row>
    <row r="153" spans="2:22" x14ac:dyDescent="0.25">
      <c r="B153" s="50" t="b">
        <f t="shared" si="45"/>
        <v>0</v>
      </c>
      <c r="C153" s="50" t="e">
        <f t="shared" si="46"/>
        <v>#VALUE!</v>
      </c>
      <c r="E153" s="56">
        <v>150</v>
      </c>
      <c r="G153" s="138"/>
      <c r="H153" s="135">
        <v>1</v>
      </c>
      <c r="I153" s="58" t="e">
        <f t="shared" si="33"/>
        <v>#VALUE!</v>
      </c>
      <c r="J153" s="50" t="e">
        <f t="shared" si="39"/>
        <v>#VALUE!</v>
      </c>
      <c r="K153" s="50" t="e">
        <f t="shared" si="40"/>
        <v>#VALUE!</v>
      </c>
      <c r="L153" s="50" t="e">
        <f t="shared" si="40"/>
        <v>#VALUE!</v>
      </c>
      <c r="M153" s="50" t="e">
        <f t="shared" si="34"/>
        <v>#VALUE!</v>
      </c>
      <c r="N153" s="50" t="e">
        <f t="shared" si="35"/>
        <v>#VALUE!</v>
      </c>
      <c r="O153" s="50">
        <f t="shared" si="36"/>
        <v>0</v>
      </c>
      <c r="Q153" s="55" t="e">
        <f t="shared" si="37"/>
        <v>#VALUE!</v>
      </c>
      <c r="R153" s="55" t="e">
        <f t="shared" si="41"/>
        <v>#VALUE!</v>
      </c>
      <c r="S153" s="55" t="e">
        <f t="shared" si="38"/>
        <v>#VALUE!</v>
      </c>
      <c r="T153" s="50" t="e">
        <f t="shared" si="42"/>
        <v>#VALUE!</v>
      </c>
      <c r="U153" s="50" t="e">
        <f t="shared" si="43"/>
        <v>#VALUE!</v>
      </c>
      <c r="V153" s="50" t="e">
        <f t="shared" si="44"/>
        <v>#VALUE!</v>
      </c>
    </row>
    <row r="154" spans="2:22" x14ac:dyDescent="0.25">
      <c r="B154" s="50" t="b">
        <f t="shared" si="45"/>
        <v>0</v>
      </c>
      <c r="C154" s="50" t="e">
        <f t="shared" si="46"/>
        <v>#VALUE!</v>
      </c>
      <c r="E154" s="56">
        <v>151</v>
      </c>
      <c r="G154" s="138"/>
      <c r="H154" s="135">
        <v>1</v>
      </c>
      <c r="I154" s="58" t="e">
        <f t="shared" si="33"/>
        <v>#VALUE!</v>
      </c>
      <c r="J154" s="50" t="e">
        <f t="shared" si="39"/>
        <v>#VALUE!</v>
      </c>
      <c r="K154" s="50" t="e">
        <f t="shared" si="40"/>
        <v>#VALUE!</v>
      </c>
      <c r="L154" s="50" t="e">
        <f t="shared" si="40"/>
        <v>#VALUE!</v>
      </c>
      <c r="M154" s="50" t="e">
        <f t="shared" si="34"/>
        <v>#VALUE!</v>
      </c>
      <c r="N154" s="50" t="e">
        <f t="shared" si="35"/>
        <v>#VALUE!</v>
      </c>
      <c r="O154" s="50">
        <f t="shared" si="36"/>
        <v>0</v>
      </c>
      <c r="Q154" s="55" t="e">
        <f t="shared" si="37"/>
        <v>#VALUE!</v>
      </c>
      <c r="R154" s="55" t="e">
        <f t="shared" si="41"/>
        <v>#VALUE!</v>
      </c>
      <c r="S154" s="55" t="e">
        <f t="shared" si="38"/>
        <v>#VALUE!</v>
      </c>
      <c r="T154" s="50" t="e">
        <f t="shared" si="42"/>
        <v>#VALUE!</v>
      </c>
      <c r="U154" s="50" t="e">
        <f t="shared" si="43"/>
        <v>#VALUE!</v>
      </c>
      <c r="V154" s="50" t="e">
        <f t="shared" si="44"/>
        <v>#VALUE!</v>
      </c>
    </row>
    <row r="155" spans="2:22" x14ac:dyDescent="0.25">
      <c r="B155" s="50" t="b">
        <f t="shared" si="45"/>
        <v>0</v>
      </c>
      <c r="C155" s="50" t="e">
        <f t="shared" si="46"/>
        <v>#VALUE!</v>
      </c>
      <c r="E155" s="56">
        <v>152</v>
      </c>
      <c r="G155" s="138"/>
      <c r="H155" s="135">
        <v>1</v>
      </c>
      <c r="I155" s="58" t="e">
        <f t="shared" si="33"/>
        <v>#VALUE!</v>
      </c>
      <c r="J155" s="50" t="e">
        <f t="shared" si="39"/>
        <v>#VALUE!</v>
      </c>
      <c r="K155" s="50" t="e">
        <f t="shared" si="40"/>
        <v>#VALUE!</v>
      </c>
      <c r="L155" s="50" t="e">
        <f t="shared" si="40"/>
        <v>#VALUE!</v>
      </c>
      <c r="M155" s="50" t="e">
        <f t="shared" si="34"/>
        <v>#VALUE!</v>
      </c>
      <c r="N155" s="50" t="e">
        <f t="shared" si="35"/>
        <v>#VALUE!</v>
      </c>
      <c r="O155" s="50">
        <f t="shared" si="36"/>
        <v>0</v>
      </c>
      <c r="Q155" s="55" t="e">
        <f t="shared" si="37"/>
        <v>#VALUE!</v>
      </c>
      <c r="R155" s="55" t="e">
        <f t="shared" si="41"/>
        <v>#VALUE!</v>
      </c>
      <c r="S155" s="55" t="e">
        <f t="shared" si="38"/>
        <v>#VALUE!</v>
      </c>
      <c r="T155" s="50" t="e">
        <f t="shared" si="42"/>
        <v>#VALUE!</v>
      </c>
      <c r="U155" s="50" t="e">
        <f t="shared" si="43"/>
        <v>#VALUE!</v>
      </c>
      <c r="V155" s="50" t="e">
        <f t="shared" si="44"/>
        <v>#VALUE!</v>
      </c>
    </row>
    <row r="156" spans="2:22" x14ac:dyDescent="0.25">
      <c r="B156" s="50" t="b">
        <f t="shared" si="45"/>
        <v>0</v>
      </c>
      <c r="C156" s="50" t="e">
        <f t="shared" si="46"/>
        <v>#VALUE!</v>
      </c>
      <c r="E156" s="56">
        <v>153</v>
      </c>
      <c r="G156" s="138"/>
      <c r="H156" s="135">
        <v>1</v>
      </c>
      <c r="I156" s="58" t="e">
        <f t="shared" si="33"/>
        <v>#VALUE!</v>
      </c>
      <c r="J156" s="50" t="e">
        <f t="shared" si="39"/>
        <v>#VALUE!</v>
      </c>
      <c r="K156" s="50" t="e">
        <f t="shared" si="40"/>
        <v>#VALUE!</v>
      </c>
      <c r="L156" s="50" t="e">
        <f t="shared" si="40"/>
        <v>#VALUE!</v>
      </c>
      <c r="M156" s="50" t="e">
        <f t="shared" si="34"/>
        <v>#VALUE!</v>
      </c>
      <c r="N156" s="50" t="e">
        <f t="shared" si="35"/>
        <v>#VALUE!</v>
      </c>
      <c r="O156" s="50">
        <f t="shared" si="36"/>
        <v>0</v>
      </c>
      <c r="Q156" s="55" t="e">
        <f t="shared" si="37"/>
        <v>#VALUE!</v>
      </c>
      <c r="R156" s="55" t="e">
        <f t="shared" si="41"/>
        <v>#VALUE!</v>
      </c>
      <c r="S156" s="55" t="e">
        <f t="shared" si="38"/>
        <v>#VALUE!</v>
      </c>
      <c r="T156" s="50" t="e">
        <f t="shared" si="42"/>
        <v>#VALUE!</v>
      </c>
      <c r="U156" s="50" t="e">
        <f t="shared" si="43"/>
        <v>#VALUE!</v>
      </c>
      <c r="V156" s="50" t="e">
        <f t="shared" si="44"/>
        <v>#VALUE!</v>
      </c>
    </row>
    <row r="157" spans="2:22" x14ac:dyDescent="0.25">
      <c r="B157" s="50" t="b">
        <f t="shared" si="45"/>
        <v>0</v>
      </c>
      <c r="C157" s="50" t="e">
        <f t="shared" si="46"/>
        <v>#VALUE!</v>
      </c>
      <c r="E157" s="56">
        <v>154</v>
      </c>
      <c r="G157" s="138"/>
      <c r="H157" s="135">
        <v>1</v>
      </c>
      <c r="I157" s="58" t="e">
        <f t="shared" si="33"/>
        <v>#VALUE!</v>
      </c>
      <c r="J157" s="50" t="e">
        <f t="shared" si="39"/>
        <v>#VALUE!</v>
      </c>
      <c r="K157" s="50" t="e">
        <f t="shared" si="40"/>
        <v>#VALUE!</v>
      </c>
      <c r="L157" s="50" t="e">
        <f t="shared" si="40"/>
        <v>#VALUE!</v>
      </c>
      <c r="M157" s="50" t="e">
        <f t="shared" si="34"/>
        <v>#VALUE!</v>
      </c>
      <c r="N157" s="50" t="e">
        <f t="shared" si="35"/>
        <v>#VALUE!</v>
      </c>
      <c r="O157" s="50">
        <f t="shared" si="36"/>
        <v>0</v>
      </c>
      <c r="Q157" s="55" t="e">
        <f t="shared" si="37"/>
        <v>#VALUE!</v>
      </c>
      <c r="R157" s="55" t="e">
        <f t="shared" si="41"/>
        <v>#VALUE!</v>
      </c>
      <c r="S157" s="55" t="e">
        <f t="shared" si="38"/>
        <v>#VALUE!</v>
      </c>
      <c r="T157" s="50" t="e">
        <f t="shared" si="42"/>
        <v>#VALUE!</v>
      </c>
      <c r="U157" s="50" t="e">
        <f t="shared" si="43"/>
        <v>#VALUE!</v>
      </c>
      <c r="V157" s="50" t="e">
        <f t="shared" si="44"/>
        <v>#VALUE!</v>
      </c>
    </row>
    <row r="158" spans="2:22" x14ac:dyDescent="0.25">
      <c r="B158" s="50" t="b">
        <f t="shared" si="45"/>
        <v>0</v>
      </c>
      <c r="C158" s="50" t="e">
        <f t="shared" si="46"/>
        <v>#VALUE!</v>
      </c>
      <c r="E158" s="56">
        <v>155</v>
      </c>
      <c r="G158" s="138"/>
      <c r="H158" s="135">
        <v>1</v>
      </c>
      <c r="I158" s="58" t="e">
        <f t="shared" si="33"/>
        <v>#VALUE!</v>
      </c>
      <c r="J158" s="50" t="e">
        <f t="shared" si="39"/>
        <v>#VALUE!</v>
      </c>
      <c r="K158" s="50" t="e">
        <f t="shared" si="40"/>
        <v>#VALUE!</v>
      </c>
      <c r="L158" s="50" t="e">
        <f t="shared" si="40"/>
        <v>#VALUE!</v>
      </c>
      <c r="M158" s="50" t="e">
        <f t="shared" si="34"/>
        <v>#VALUE!</v>
      </c>
      <c r="N158" s="50" t="e">
        <f t="shared" si="35"/>
        <v>#VALUE!</v>
      </c>
      <c r="O158" s="50">
        <f t="shared" si="36"/>
        <v>0</v>
      </c>
      <c r="Q158" s="55" t="e">
        <f t="shared" si="37"/>
        <v>#VALUE!</v>
      </c>
      <c r="R158" s="55" t="e">
        <f t="shared" si="41"/>
        <v>#VALUE!</v>
      </c>
      <c r="S158" s="55" t="e">
        <f t="shared" si="38"/>
        <v>#VALUE!</v>
      </c>
      <c r="T158" s="50" t="e">
        <f t="shared" si="42"/>
        <v>#VALUE!</v>
      </c>
      <c r="U158" s="50" t="e">
        <f t="shared" si="43"/>
        <v>#VALUE!</v>
      </c>
      <c r="V158" s="50" t="e">
        <f t="shared" si="44"/>
        <v>#VALUE!</v>
      </c>
    </row>
    <row r="159" spans="2:22" x14ac:dyDescent="0.25">
      <c r="B159" s="50" t="b">
        <f t="shared" si="45"/>
        <v>0</v>
      </c>
      <c r="C159" s="50" t="e">
        <f t="shared" si="46"/>
        <v>#VALUE!</v>
      </c>
      <c r="E159" s="56">
        <v>156</v>
      </c>
      <c r="G159" s="138"/>
      <c r="H159" s="135">
        <v>1</v>
      </c>
      <c r="I159" s="58" t="e">
        <f t="shared" si="33"/>
        <v>#VALUE!</v>
      </c>
      <c r="J159" s="50" t="e">
        <f t="shared" si="39"/>
        <v>#VALUE!</v>
      </c>
      <c r="K159" s="50" t="e">
        <f t="shared" si="40"/>
        <v>#VALUE!</v>
      </c>
      <c r="L159" s="50" t="e">
        <f t="shared" si="40"/>
        <v>#VALUE!</v>
      </c>
      <c r="M159" s="50" t="e">
        <f t="shared" si="34"/>
        <v>#VALUE!</v>
      </c>
      <c r="N159" s="50" t="e">
        <f t="shared" si="35"/>
        <v>#VALUE!</v>
      </c>
      <c r="O159" s="50">
        <f t="shared" si="36"/>
        <v>0</v>
      </c>
      <c r="Q159" s="55" t="e">
        <f t="shared" si="37"/>
        <v>#VALUE!</v>
      </c>
      <c r="R159" s="55" t="e">
        <f t="shared" si="41"/>
        <v>#VALUE!</v>
      </c>
      <c r="S159" s="55" t="e">
        <f t="shared" si="38"/>
        <v>#VALUE!</v>
      </c>
      <c r="T159" s="50" t="e">
        <f t="shared" si="42"/>
        <v>#VALUE!</v>
      </c>
      <c r="U159" s="50" t="e">
        <f t="shared" si="43"/>
        <v>#VALUE!</v>
      </c>
      <c r="V159" s="50" t="e">
        <f t="shared" si="44"/>
        <v>#VALUE!</v>
      </c>
    </row>
    <row r="160" spans="2:22" x14ac:dyDescent="0.25">
      <c r="B160" s="50" t="b">
        <f t="shared" si="45"/>
        <v>0</v>
      </c>
      <c r="C160" s="50" t="e">
        <f t="shared" si="46"/>
        <v>#VALUE!</v>
      </c>
      <c r="E160" s="56">
        <v>157</v>
      </c>
      <c r="G160" s="138"/>
      <c r="H160" s="135">
        <v>1</v>
      </c>
      <c r="I160" s="58" t="e">
        <f t="shared" si="33"/>
        <v>#VALUE!</v>
      </c>
      <c r="J160" s="50" t="e">
        <f t="shared" si="39"/>
        <v>#VALUE!</v>
      </c>
      <c r="K160" s="50" t="e">
        <f t="shared" si="40"/>
        <v>#VALUE!</v>
      </c>
      <c r="L160" s="50" t="e">
        <f t="shared" si="40"/>
        <v>#VALUE!</v>
      </c>
      <c r="M160" s="50" t="e">
        <f t="shared" si="34"/>
        <v>#VALUE!</v>
      </c>
      <c r="N160" s="50" t="e">
        <f t="shared" si="35"/>
        <v>#VALUE!</v>
      </c>
      <c r="O160" s="50">
        <f t="shared" si="36"/>
        <v>0</v>
      </c>
      <c r="Q160" s="55" t="e">
        <f t="shared" si="37"/>
        <v>#VALUE!</v>
      </c>
      <c r="R160" s="55" t="e">
        <f t="shared" si="41"/>
        <v>#VALUE!</v>
      </c>
      <c r="S160" s="55" t="e">
        <f t="shared" si="38"/>
        <v>#VALUE!</v>
      </c>
      <c r="T160" s="50" t="e">
        <f t="shared" si="42"/>
        <v>#VALUE!</v>
      </c>
      <c r="U160" s="50" t="e">
        <f t="shared" si="43"/>
        <v>#VALUE!</v>
      </c>
      <c r="V160" s="50" t="e">
        <f t="shared" si="44"/>
        <v>#VALUE!</v>
      </c>
    </row>
    <row r="161" spans="2:22" x14ac:dyDescent="0.25">
      <c r="B161" s="50" t="b">
        <f t="shared" si="45"/>
        <v>0</v>
      </c>
      <c r="C161" s="50" t="e">
        <f t="shared" si="46"/>
        <v>#VALUE!</v>
      </c>
      <c r="E161" s="56">
        <v>158</v>
      </c>
      <c r="G161" s="138"/>
      <c r="H161" s="135">
        <v>1</v>
      </c>
      <c r="I161" s="58" t="e">
        <f t="shared" si="33"/>
        <v>#VALUE!</v>
      </c>
      <c r="J161" s="50" t="e">
        <f t="shared" si="39"/>
        <v>#VALUE!</v>
      </c>
      <c r="K161" s="50" t="e">
        <f t="shared" si="40"/>
        <v>#VALUE!</v>
      </c>
      <c r="L161" s="50" t="e">
        <f t="shared" si="40"/>
        <v>#VALUE!</v>
      </c>
      <c r="M161" s="50" t="e">
        <f t="shared" si="34"/>
        <v>#VALUE!</v>
      </c>
      <c r="N161" s="50" t="e">
        <f t="shared" si="35"/>
        <v>#VALUE!</v>
      </c>
      <c r="O161" s="50">
        <f t="shared" si="36"/>
        <v>0</v>
      </c>
      <c r="Q161" s="55" t="e">
        <f t="shared" si="37"/>
        <v>#VALUE!</v>
      </c>
      <c r="R161" s="55" t="e">
        <f t="shared" si="41"/>
        <v>#VALUE!</v>
      </c>
      <c r="S161" s="55" t="e">
        <f t="shared" si="38"/>
        <v>#VALUE!</v>
      </c>
      <c r="T161" s="50" t="e">
        <f t="shared" si="42"/>
        <v>#VALUE!</v>
      </c>
      <c r="U161" s="50" t="e">
        <f t="shared" si="43"/>
        <v>#VALUE!</v>
      </c>
      <c r="V161" s="50" t="e">
        <f t="shared" si="44"/>
        <v>#VALUE!</v>
      </c>
    </row>
    <row r="162" spans="2:22" x14ac:dyDescent="0.25">
      <c r="B162" s="50" t="b">
        <f t="shared" si="45"/>
        <v>0</v>
      </c>
      <c r="C162" s="50" t="e">
        <f t="shared" si="46"/>
        <v>#VALUE!</v>
      </c>
      <c r="E162" s="56">
        <v>159</v>
      </c>
      <c r="G162" s="138"/>
      <c r="H162" s="135">
        <v>1</v>
      </c>
      <c r="I162" s="58" t="e">
        <f t="shared" si="33"/>
        <v>#VALUE!</v>
      </c>
      <c r="J162" s="50" t="e">
        <f t="shared" si="39"/>
        <v>#VALUE!</v>
      </c>
      <c r="K162" s="50" t="e">
        <f t="shared" si="40"/>
        <v>#VALUE!</v>
      </c>
      <c r="L162" s="50" t="e">
        <f t="shared" si="40"/>
        <v>#VALUE!</v>
      </c>
      <c r="M162" s="50" t="e">
        <f t="shared" si="34"/>
        <v>#VALUE!</v>
      </c>
      <c r="N162" s="50" t="e">
        <f t="shared" si="35"/>
        <v>#VALUE!</v>
      </c>
      <c r="O162" s="50">
        <f t="shared" si="36"/>
        <v>0</v>
      </c>
      <c r="Q162" s="55" t="e">
        <f t="shared" si="37"/>
        <v>#VALUE!</v>
      </c>
      <c r="R162" s="55" t="e">
        <f t="shared" si="41"/>
        <v>#VALUE!</v>
      </c>
      <c r="S162" s="55" t="e">
        <f t="shared" si="38"/>
        <v>#VALUE!</v>
      </c>
      <c r="T162" s="50" t="e">
        <f t="shared" si="42"/>
        <v>#VALUE!</v>
      </c>
      <c r="U162" s="50" t="e">
        <f t="shared" si="43"/>
        <v>#VALUE!</v>
      </c>
      <c r="V162" s="50" t="e">
        <f t="shared" si="44"/>
        <v>#VALUE!</v>
      </c>
    </row>
    <row r="163" spans="2:22" x14ac:dyDescent="0.25">
      <c r="B163" s="50" t="b">
        <f t="shared" si="45"/>
        <v>0</v>
      </c>
      <c r="C163" s="50" t="e">
        <f t="shared" si="46"/>
        <v>#VALUE!</v>
      </c>
      <c r="E163" s="56">
        <v>160</v>
      </c>
      <c r="G163" s="138"/>
      <c r="H163" s="135">
        <v>1</v>
      </c>
      <c r="I163" s="58" t="e">
        <f t="shared" si="33"/>
        <v>#VALUE!</v>
      </c>
      <c r="J163" s="50" t="e">
        <f t="shared" si="39"/>
        <v>#VALUE!</v>
      </c>
      <c r="K163" s="50" t="e">
        <f t="shared" si="40"/>
        <v>#VALUE!</v>
      </c>
      <c r="L163" s="50" t="e">
        <f t="shared" si="40"/>
        <v>#VALUE!</v>
      </c>
      <c r="M163" s="50" t="e">
        <f t="shared" si="34"/>
        <v>#VALUE!</v>
      </c>
      <c r="N163" s="50" t="e">
        <f t="shared" si="35"/>
        <v>#VALUE!</v>
      </c>
      <c r="O163" s="50">
        <f t="shared" si="36"/>
        <v>0</v>
      </c>
      <c r="Q163" s="55" t="e">
        <f t="shared" si="37"/>
        <v>#VALUE!</v>
      </c>
      <c r="R163" s="55" t="e">
        <f t="shared" si="41"/>
        <v>#VALUE!</v>
      </c>
      <c r="S163" s="55" t="e">
        <f t="shared" si="38"/>
        <v>#VALUE!</v>
      </c>
      <c r="T163" s="50" t="e">
        <f t="shared" si="42"/>
        <v>#VALUE!</v>
      </c>
      <c r="U163" s="50" t="e">
        <f t="shared" si="43"/>
        <v>#VALUE!</v>
      </c>
      <c r="V163" s="50" t="e">
        <f t="shared" si="44"/>
        <v>#VALUE!</v>
      </c>
    </row>
    <row r="164" spans="2:22" x14ac:dyDescent="0.25">
      <c r="B164" s="50" t="b">
        <f t="shared" si="45"/>
        <v>0</v>
      </c>
      <c r="C164" s="50" t="e">
        <f t="shared" si="46"/>
        <v>#VALUE!</v>
      </c>
      <c r="E164" s="56">
        <v>161</v>
      </c>
      <c r="G164" s="138"/>
      <c r="H164" s="135">
        <v>1</v>
      </c>
      <c r="I164" s="58" t="e">
        <f t="shared" si="33"/>
        <v>#VALUE!</v>
      </c>
      <c r="J164" s="50" t="e">
        <f t="shared" si="39"/>
        <v>#VALUE!</v>
      </c>
      <c r="K164" s="50" t="e">
        <f t="shared" si="40"/>
        <v>#VALUE!</v>
      </c>
      <c r="L164" s="50" t="e">
        <f t="shared" si="40"/>
        <v>#VALUE!</v>
      </c>
      <c r="M164" s="50" t="e">
        <f t="shared" si="34"/>
        <v>#VALUE!</v>
      </c>
      <c r="N164" s="50" t="e">
        <f t="shared" si="35"/>
        <v>#VALUE!</v>
      </c>
      <c r="O164" s="50">
        <f t="shared" si="36"/>
        <v>0</v>
      </c>
      <c r="Q164" s="55" t="e">
        <f t="shared" si="37"/>
        <v>#VALUE!</v>
      </c>
      <c r="R164" s="55" t="e">
        <f t="shared" si="41"/>
        <v>#VALUE!</v>
      </c>
      <c r="S164" s="55" t="e">
        <f t="shared" si="38"/>
        <v>#VALUE!</v>
      </c>
      <c r="T164" s="50" t="e">
        <f t="shared" si="42"/>
        <v>#VALUE!</v>
      </c>
      <c r="U164" s="50" t="e">
        <f t="shared" si="43"/>
        <v>#VALUE!</v>
      </c>
      <c r="V164" s="50" t="e">
        <f t="shared" si="44"/>
        <v>#VALUE!</v>
      </c>
    </row>
    <row r="165" spans="2:22" x14ac:dyDescent="0.25">
      <c r="B165" s="50" t="b">
        <f t="shared" si="45"/>
        <v>0</v>
      </c>
      <c r="C165" s="50" t="e">
        <f t="shared" si="46"/>
        <v>#VALUE!</v>
      </c>
      <c r="E165" s="56">
        <v>162</v>
      </c>
      <c r="G165" s="138"/>
      <c r="H165" s="135">
        <v>1</v>
      </c>
      <c r="I165" s="58" t="e">
        <f t="shared" si="33"/>
        <v>#VALUE!</v>
      </c>
      <c r="J165" s="50" t="e">
        <f t="shared" si="39"/>
        <v>#VALUE!</v>
      </c>
      <c r="K165" s="50" t="e">
        <f t="shared" si="40"/>
        <v>#VALUE!</v>
      </c>
      <c r="L165" s="50" t="e">
        <f t="shared" si="40"/>
        <v>#VALUE!</v>
      </c>
      <c r="M165" s="50" t="e">
        <f t="shared" si="34"/>
        <v>#VALUE!</v>
      </c>
      <c r="N165" s="50" t="e">
        <f t="shared" si="35"/>
        <v>#VALUE!</v>
      </c>
      <c r="O165" s="50">
        <f t="shared" si="36"/>
        <v>0</v>
      </c>
      <c r="Q165" s="55" t="e">
        <f t="shared" si="37"/>
        <v>#VALUE!</v>
      </c>
      <c r="R165" s="55" t="e">
        <f t="shared" si="41"/>
        <v>#VALUE!</v>
      </c>
      <c r="S165" s="55" t="e">
        <f t="shared" si="38"/>
        <v>#VALUE!</v>
      </c>
      <c r="T165" s="50" t="e">
        <f t="shared" si="42"/>
        <v>#VALUE!</v>
      </c>
      <c r="U165" s="50" t="e">
        <f t="shared" si="43"/>
        <v>#VALUE!</v>
      </c>
      <c r="V165" s="50" t="e">
        <f t="shared" si="44"/>
        <v>#VALUE!</v>
      </c>
    </row>
    <row r="166" spans="2:22" x14ac:dyDescent="0.25">
      <c r="B166" s="50" t="b">
        <f t="shared" si="45"/>
        <v>0</v>
      </c>
      <c r="C166" s="50" t="e">
        <f t="shared" si="46"/>
        <v>#VALUE!</v>
      </c>
      <c r="E166" s="56">
        <v>163</v>
      </c>
      <c r="G166" s="138"/>
      <c r="H166" s="135">
        <v>1</v>
      </c>
      <c r="I166" s="58" t="e">
        <f t="shared" si="33"/>
        <v>#VALUE!</v>
      </c>
      <c r="J166" s="50" t="e">
        <f t="shared" si="39"/>
        <v>#VALUE!</v>
      </c>
      <c r="K166" s="50" t="e">
        <f t="shared" si="40"/>
        <v>#VALUE!</v>
      </c>
      <c r="L166" s="50" t="e">
        <f t="shared" si="40"/>
        <v>#VALUE!</v>
      </c>
      <c r="M166" s="50" t="e">
        <f t="shared" si="34"/>
        <v>#VALUE!</v>
      </c>
      <c r="N166" s="50" t="e">
        <f t="shared" si="35"/>
        <v>#VALUE!</v>
      </c>
      <c r="O166" s="50">
        <f t="shared" si="36"/>
        <v>0</v>
      </c>
      <c r="Q166" s="55" t="e">
        <f t="shared" si="37"/>
        <v>#VALUE!</v>
      </c>
      <c r="R166" s="55" t="e">
        <f t="shared" si="41"/>
        <v>#VALUE!</v>
      </c>
      <c r="S166" s="55" t="e">
        <f t="shared" si="38"/>
        <v>#VALUE!</v>
      </c>
      <c r="T166" s="50" t="e">
        <f t="shared" si="42"/>
        <v>#VALUE!</v>
      </c>
      <c r="U166" s="50" t="e">
        <f t="shared" si="43"/>
        <v>#VALUE!</v>
      </c>
      <c r="V166" s="50" t="e">
        <f t="shared" si="44"/>
        <v>#VALUE!</v>
      </c>
    </row>
    <row r="167" spans="2:22" x14ac:dyDescent="0.25">
      <c r="B167" s="50" t="b">
        <f t="shared" si="45"/>
        <v>0</v>
      </c>
      <c r="C167" s="50" t="e">
        <f t="shared" si="46"/>
        <v>#VALUE!</v>
      </c>
      <c r="E167" s="56">
        <v>164</v>
      </c>
      <c r="G167" s="138"/>
      <c r="H167" s="135">
        <v>1</v>
      </c>
      <c r="I167" s="58" t="e">
        <f t="shared" si="33"/>
        <v>#VALUE!</v>
      </c>
      <c r="J167" s="50" t="e">
        <f t="shared" si="39"/>
        <v>#VALUE!</v>
      </c>
      <c r="K167" s="50" t="e">
        <f t="shared" si="40"/>
        <v>#VALUE!</v>
      </c>
      <c r="L167" s="50" t="e">
        <f t="shared" si="40"/>
        <v>#VALUE!</v>
      </c>
      <c r="M167" s="50" t="e">
        <f t="shared" si="34"/>
        <v>#VALUE!</v>
      </c>
      <c r="N167" s="50" t="e">
        <f t="shared" si="35"/>
        <v>#VALUE!</v>
      </c>
      <c r="O167" s="50">
        <f t="shared" si="36"/>
        <v>0</v>
      </c>
      <c r="Q167" s="55" t="e">
        <f t="shared" si="37"/>
        <v>#VALUE!</v>
      </c>
      <c r="R167" s="55" t="e">
        <f t="shared" si="41"/>
        <v>#VALUE!</v>
      </c>
      <c r="S167" s="55" t="e">
        <f t="shared" si="38"/>
        <v>#VALUE!</v>
      </c>
      <c r="T167" s="50" t="e">
        <f t="shared" si="42"/>
        <v>#VALUE!</v>
      </c>
      <c r="U167" s="50" t="e">
        <f t="shared" si="43"/>
        <v>#VALUE!</v>
      </c>
      <c r="V167" s="50" t="e">
        <f t="shared" si="44"/>
        <v>#VALUE!</v>
      </c>
    </row>
    <row r="168" spans="2:22" x14ac:dyDescent="0.25">
      <c r="B168" s="50" t="b">
        <f t="shared" si="45"/>
        <v>0</v>
      </c>
      <c r="C168" s="50" t="e">
        <f t="shared" si="46"/>
        <v>#VALUE!</v>
      </c>
      <c r="E168" s="56">
        <v>165</v>
      </c>
      <c r="G168" s="138"/>
      <c r="H168" s="135">
        <v>1</v>
      </c>
      <c r="I168" s="58" t="e">
        <f t="shared" si="33"/>
        <v>#VALUE!</v>
      </c>
      <c r="J168" s="50" t="e">
        <f t="shared" si="39"/>
        <v>#VALUE!</v>
      </c>
      <c r="K168" s="50" t="e">
        <f t="shared" si="40"/>
        <v>#VALUE!</v>
      </c>
      <c r="L168" s="50" t="e">
        <f t="shared" si="40"/>
        <v>#VALUE!</v>
      </c>
      <c r="M168" s="50" t="e">
        <f t="shared" si="34"/>
        <v>#VALUE!</v>
      </c>
      <c r="N168" s="50" t="e">
        <f t="shared" si="35"/>
        <v>#VALUE!</v>
      </c>
      <c r="O168" s="50">
        <f t="shared" si="36"/>
        <v>0</v>
      </c>
      <c r="Q168" s="55" t="e">
        <f t="shared" si="37"/>
        <v>#VALUE!</v>
      </c>
      <c r="R168" s="55" t="e">
        <f t="shared" si="41"/>
        <v>#VALUE!</v>
      </c>
      <c r="S168" s="55" t="e">
        <f t="shared" si="38"/>
        <v>#VALUE!</v>
      </c>
      <c r="T168" s="50" t="e">
        <f t="shared" si="42"/>
        <v>#VALUE!</v>
      </c>
      <c r="U168" s="50" t="e">
        <f t="shared" si="43"/>
        <v>#VALUE!</v>
      </c>
      <c r="V168" s="50" t="e">
        <f t="shared" si="44"/>
        <v>#VALUE!</v>
      </c>
    </row>
    <row r="169" spans="2:22" x14ac:dyDescent="0.25">
      <c r="B169" s="50" t="b">
        <f t="shared" si="45"/>
        <v>0</v>
      </c>
      <c r="C169" s="50" t="e">
        <f t="shared" si="46"/>
        <v>#VALUE!</v>
      </c>
      <c r="E169" s="56">
        <v>166</v>
      </c>
      <c r="G169" s="138"/>
      <c r="H169" s="135">
        <v>1</v>
      </c>
      <c r="I169" s="58" t="e">
        <f t="shared" si="33"/>
        <v>#VALUE!</v>
      </c>
      <c r="J169" s="50" t="e">
        <f t="shared" si="39"/>
        <v>#VALUE!</v>
      </c>
      <c r="K169" s="50" t="e">
        <f t="shared" si="40"/>
        <v>#VALUE!</v>
      </c>
      <c r="L169" s="50" t="e">
        <f t="shared" si="40"/>
        <v>#VALUE!</v>
      </c>
      <c r="M169" s="50" t="e">
        <f t="shared" si="34"/>
        <v>#VALUE!</v>
      </c>
      <c r="N169" s="50" t="e">
        <f t="shared" si="35"/>
        <v>#VALUE!</v>
      </c>
      <c r="O169" s="50">
        <f t="shared" si="36"/>
        <v>0</v>
      </c>
      <c r="Q169" s="55" t="e">
        <f t="shared" si="37"/>
        <v>#VALUE!</v>
      </c>
      <c r="R169" s="55" t="e">
        <f t="shared" si="41"/>
        <v>#VALUE!</v>
      </c>
      <c r="S169" s="55" t="e">
        <f t="shared" si="38"/>
        <v>#VALUE!</v>
      </c>
      <c r="T169" s="50" t="e">
        <f t="shared" si="42"/>
        <v>#VALUE!</v>
      </c>
      <c r="U169" s="50" t="e">
        <f t="shared" si="43"/>
        <v>#VALUE!</v>
      </c>
      <c r="V169" s="50" t="e">
        <f t="shared" si="44"/>
        <v>#VALUE!</v>
      </c>
    </row>
    <row r="170" spans="2:22" x14ac:dyDescent="0.25">
      <c r="B170" s="50" t="b">
        <f t="shared" si="45"/>
        <v>0</v>
      </c>
      <c r="C170" s="50" t="e">
        <f t="shared" si="46"/>
        <v>#VALUE!</v>
      </c>
      <c r="E170" s="56">
        <v>167</v>
      </c>
      <c r="G170" s="138"/>
      <c r="H170" s="135">
        <v>1</v>
      </c>
      <c r="I170" s="58" t="e">
        <f t="shared" si="33"/>
        <v>#VALUE!</v>
      </c>
      <c r="J170" s="50" t="e">
        <f t="shared" si="39"/>
        <v>#VALUE!</v>
      </c>
      <c r="K170" s="50" t="e">
        <f t="shared" si="40"/>
        <v>#VALUE!</v>
      </c>
      <c r="L170" s="50" t="e">
        <f t="shared" si="40"/>
        <v>#VALUE!</v>
      </c>
      <c r="M170" s="50" t="e">
        <f t="shared" si="34"/>
        <v>#VALUE!</v>
      </c>
      <c r="N170" s="50" t="e">
        <f t="shared" si="35"/>
        <v>#VALUE!</v>
      </c>
      <c r="O170" s="50">
        <f t="shared" si="36"/>
        <v>0</v>
      </c>
      <c r="Q170" s="55" t="e">
        <f t="shared" si="37"/>
        <v>#VALUE!</v>
      </c>
      <c r="R170" s="55" t="e">
        <f t="shared" si="41"/>
        <v>#VALUE!</v>
      </c>
      <c r="S170" s="55" t="e">
        <f t="shared" si="38"/>
        <v>#VALUE!</v>
      </c>
      <c r="T170" s="50" t="e">
        <f t="shared" si="42"/>
        <v>#VALUE!</v>
      </c>
      <c r="U170" s="50" t="e">
        <f t="shared" si="43"/>
        <v>#VALUE!</v>
      </c>
      <c r="V170" s="50" t="e">
        <f t="shared" si="44"/>
        <v>#VALUE!</v>
      </c>
    </row>
    <row r="171" spans="2:22" x14ac:dyDescent="0.25">
      <c r="B171" s="50" t="b">
        <f t="shared" si="45"/>
        <v>0</v>
      </c>
      <c r="C171" s="50" t="e">
        <f t="shared" si="46"/>
        <v>#VALUE!</v>
      </c>
      <c r="E171" s="56">
        <v>168</v>
      </c>
      <c r="G171" s="138"/>
      <c r="H171" s="135">
        <v>1</v>
      </c>
      <c r="I171" s="58" t="e">
        <f t="shared" si="33"/>
        <v>#VALUE!</v>
      </c>
      <c r="J171" s="50" t="e">
        <f t="shared" si="39"/>
        <v>#VALUE!</v>
      </c>
      <c r="K171" s="50" t="e">
        <f t="shared" si="40"/>
        <v>#VALUE!</v>
      </c>
      <c r="L171" s="50" t="e">
        <f t="shared" si="40"/>
        <v>#VALUE!</v>
      </c>
      <c r="M171" s="50" t="e">
        <f t="shared" si="34"/>
        <v>#VALUE!</v>
      </c>
      <c r="N171" s="50" t="e">
        <f t="shared" si="35"/>
        <v>#VALUE!</v>
      </c>
      <c r="O171" s="50">
        <f t="shared" si="36"/>
        <v>0</v>
      </c>
      <c r="Q171" s="55" t="e">
        <f t="shared" si="37"/>
        <v>#VALUE!</v>
      </c>
      <c r="R171" s="55" t="e">
        <f t="shared" si="41"/>
        <v>#VALUE!</v>
      </c>
      <c r="S171" s="55" t="e">
        <f t="shared" si="38"/>
        <v>#VALUE!</v>
      </c>
      <c r="T171" s="50" t="e">
        <f t="shared" si="42"/>
        <v>#VALUE!</v>
      </c>
      <c r="U171" s="50" t="e">
        <f t="shared" si="43"/>
        <v>#VALUE!</v>
      </c>
      <c r="V171" s="50" t="e">
        <f t="shared" si="44"/>
        <v>#VALUE!</v>
      </c>
    </row>
    <row r="172" spans="2:22" x14ac:dyDescent="0.25">
      <c r="B172" s="50" t="b">
        <f t="shared" si="45"/>
        <v>0</v>
      </c>
      <c r="C172" s="50" t="e">
        <f t="shared" si="46"/>
        <v>#VALUE!</v>
      </c>
      <c r="E172" s="56">
        <v>169</v>
      </c>
      <c r="G172" s="138"/>
      <c r="H172" s="135">
        <v>1</v>
      </c>
      <c r="I172" s="58" t="e">
        <f t="shared" si="33"/>
        <v>#VALUE!</v>
      </c>
      <c r="J172" s="50" t="e">
        <f t="shared" si="39"/>
        <v>#VALUE!</v>
      </c>
      <c r="K172" s="50" t="e">
        <f t="shared" si="40"/>
        <v>#VALUE!</v>
      </c>
      <c r="L172" s="50" t="e">
        <f t="shared" si="40"/>
        <v>#VALUE!</v>
      </c>
      <c r="M172" s="50" t="e">
        <f t="shared" si="34"/>
        <v>#VALUE!</v>
      </c>
      <c r="N172" s="50" t="e">
        <f t="shared" si="35"/>
        <v>#VALUE!</v>
      </c>
      <c r="O172" s="50">
        <f t="shared" si="36"/>
        <v>0</v>
      </c>
      <c r="Q172" s="55" t="e">
        <f t="shared" si="37"/>
        <v>#VALUE!</v>
      </c>
      <c r="R172" s="55" t="e">
        <f t="shared" si="41"/>
        <v>#VALUE!</v>
      </c>
      <c r="S172" s="55" t="e">
        <f t="shared" si="38"/>
        <v>#VALUE!</v>
      </c>
      <c r="T172" s="50" t="e">
        <f t="shared" si="42"/>
        <v>#VALUE!</v>
      </c>
      <c r="U172" s="50" t="e">
        <f t="shared" si="43"/>
        <v>#VALUE!</v>
      </c>
      <c r="V172" s="50" t="e">
        <f t="shared" si="44"/>
        <v>#VALUE!</v>
      </c>
    </row>
    <row r="173" spans="2:22" x14ac:dyDescent="0.25">
      <c r="B173" s="50" t="b">
        <f t="shared" si="45"/>
        <v>0</v>
      </c>
      <c r="C173" s="50" t="e">
        <f t="shared" si="46"/>
        <v>#VALUE!</v>
      </c>
      <c r="E173" s="56">
        <v>170</v>
      </c>
      <c r="G173" s="138"/>
      <c r="H173" s="135">
        <v>1</v>
      </c>
      <c r="I173" s="58" t="e">
        <f t="shared" si="33"/>
        <v>#VALUE!</v>
      </c>
      <c r="J173" s="50" t="e">
        <f t="shared" si="39"/>
        <v>#VALUE!</v>
      </c>
      <c r="K173" s="50" t="e">
        <f t="shared" si="40"/>
        <v>#VALUE!</v>
      </c>
      <c r="L173" s="50" t="e">
        <f t="shared" si="40"/>
        <v>#VALUE!</v>
      </c>
      <c r="M173" s="50" t="e">
        <f t="shared" si="34"/>
        <v>#VALUE!</v>
      </c>
      <c r="N173" s="50" t="e">
        <f t="shared" si="35"/>
        <v>#VALUE!</v>
      </c>
      <c r="O173" s="50">
        <f t="shared" si="36"/>
        <v>0</v>
      </c>
      <c r="Q173" s="55" t="e">
        <f t="shared" si="37"/>
        <v>#VALUE!</v>
      </c>
      <c r="R173" s="55" t="e">
        <f t="shared" si="41"/>
        <v>#VALUE!</v>
      </c>
      <c r="S173" s="55" t="e">
        <f t="shared" si="38"/>
        <v>#VALUE!</v>
      </c>
      <c r="T173" s="50" t="e">
        <f t="shared" si="42"/>
        <v>#VALUE!</v>
      </c>
      <c r="U173" s="50" t="e">
        <f t="shared" si="43"/>
        <v>#VALUE!</v>
      </c>
      <c r="V173" s="50" t="e">
        <f t="shared" si="44"/>
        <v>#VALUE!</v>
      </c>
    </row>
    <row r="174" spans="2:22" x14ac:dyDescent="0.25">
      <c r="B174" s="50" t="b">
        <f t="shared" si="45"/>
        <v>0</v>
      </c>
      <c r="C174" s="50" t="e">
        <f t="shared" si="46"/>
        <v>#VALUE!</v>
      </c>
      <c r="E174" s="56">
        <v>171</v>
      </c>
      <c r="G174" s="138"/>
      <c r="H174" s="135">
        <v>1</v>
      </c>
      <c r="I174" s="58" t="e">
        <f t="shared" si="33"/>
        <v>#VALUE!</v>
      </c>
      <c r="J174" s="50" t="e">
        <f t="shared" si="39"/>
        <v>#VALUE!</v>
      </c>
      <c r="K174" s="50" t="e">
        <f t="shared" si="40"/>
        <v>#VALUE!</v>
      </c>
      <c r="L174" s="50" t="e">
        <f t="shared" si="40"/>
        <v>#VALUE!</v>
      </c>
      <c r="M174" s="50" t="e">
        <f t="shared" si="34"/>
        <v>#VALUE!</v>
      </c>
      <c r="N174" s="50" t="e">
        <f t="shared" si="35"/>
        <v>#VALUE!</v>
      </c>
      <c r="O174" s="50">
        <f t="shared" si="36"/>
        <v>0</v>
      </c>
      <c r="Q174" s="55" t="e">
        <f t="shared" si="37"/>
        <v>#VALUE!</v>
      </c>
      <c r="R174" s="55" t="e">
        <f t="shared" si="41"/>
        <v>#VALUE!</v>
      </c>
      <c r="S174" s="55" t="e">
        <f t="shared" si="38"/>
        <v>#VALUE!</v>
      </c>
      <c r="T174" s="50" t="e">
        <f t="shared" si="42"/>
        <v>#VALUE!</v>
      </c>
      <c r="U174" s="50" t="e">
        <f t="shared" si="43"/>
        <v>#VALUE!</v>
      </c>
      <c r="V174" s="50" t="e">
        <f t="shared" si="44"/>
        <v>#VALUE!</v>
      </c>
    </row>
    <row r="175" spans="2:22" x14ac:dyDescent="0.25">
      <c r="B175" s="50" t="b">
        <f t="shared" si="45"/>
        <v>0</v>
      </c>
      <c r="C175" s="50" t="e">
        <f t="shared" si="46"/>
        <v>#VALUE!</v>
      </c>
      <c r="E175" s="56">
        <v>172</v>
      </c>
      <c r="G175" s="138"/>
      <c r="H175" s="135">
        <v>1</v>
      </c>
      <c r="I175" s="58" t="e">
        <f t="shared" si="33"/>
        <v>#VALUE!</v>
      </c>
      <c r="J175" s="50" t="e">
        <f t="shared" si="39"/>
        <v>#VALUE!</v>
      </c>
      <c r="K175" s="50" t="e">
        <f t="shared" si="40"/>
        <v>#VALUE!</v>
      </c>
      <c r="L175" s="50" t="e">
        <f t="shared" si="40"/>
        <v>#VALUE!</v>
      </c>
      <c r="M175" s="50" t="e">
        <f t="shared" si="34"/>
        <v>#VALUE!</v>
      </c>
      <c r="N175" s="50" t="e">
        <f t="shared" si="35"/>
        <v>#VALUE!</v>
      </c>
      <c r="O175" s="50">
        <f t="shared" si="36"/>
        <v>0</v>
      </c>
      <c r="Q175" s="55" t="e">
        <f t="shared" si="37"/>
        <v>#VALUE!</v>
      </c>
      <c r="R175" s="55" t="e">
        <f t="shared" si="41"/>
        <v>#VALUE!</v>
      </c>
      <c r="S175" s="55" t="e">
        <f t="shared" si="38"/>
        <v>#VALUE!</v>
      </c>
      <c r="T175" s="50" t="e">
        <f t="shared" si="42"/>
        <v>#VALUE!</v>
      </c>
      <c r="U175" s="50" t="e">
        <f t="shared" si="43"/>
        <v>#VALUE!</v>
      </c>
      <c r="V175" s="50" t="e">
        <f t="shared" si="44"/>
        <v>#VALUE!</v>
      </c>
    </row>
    <row r="176" spans="2:22" x14ac:dyDescent="0.25">
      <c r="B176" s="50" t="b">
        <f t="shared" si="45"/>
        <v>0</v>
      </c>
      <c r="C176" s="50" t="e">
        <f t="shared" si="46"/>
        <v>#VALUE!</v>
      </c>
      <c r="E176" s="56">
        <v>173</v>
      </c>
      <c r="G176" s="138"/>
      <c r="H176" s="135">
        <v>1</v>
      </c>
      <c r="I176" s="58" t="e">
        <f t="shared" si="33"/>
        <v>#VALUE!</v>
      </c>
      <c r="J176" s="50" t="e">
        <f t="shared" si="39"/>
        <v>#VALUE!</v>
      </c>
      <c r="K176" s="50" t="e">
        <f t="shared" si="40"/>
        <v>#VALUE!</v>
      </c>
      <c r="L176" s="50" t="e">
        <f t="shared" si="40"/>
        <v>#VALUE!</v>
      </c>
      <c r="M176" s="50" t="e">
        <f t="shared" si="34"/>
        <v>#VALUE!</v>
      </c>
      <c r="N176" s="50" t="e">
        <f t="shared" si="35"/>
        <v>#VALUE!</v>
      </c>
      <c r="O176" s="50">
        <f t="shared" si="36"/>
        <v>0</v>
      </c>
      <c r="Q176" s="55" t="e">
        <f t="shared" si="37"/>
        <v>#VALUE!</v>
      </c>
      <c r="R176" s="55" t="e">
        <f t="shared" si="41"/>
        <v>#VALUE!</v>
      </c>
      <c r="S176" s="55" t="e">
        <f t="shared" si="38"/>
        <v>#VALUE!</v>
      </c>
      <c r="T176" s="50" t="e">
        <f t="shared" si="42"/>
        <v>#VALUE!</v>
      </c>
      <c r="U176" s="50" t="e">
        <f t="shared" si="43"/>
        <v>#VALUE!</v>
      </c>
      <c r="V176" s="50" t="e">
        <f t="shared" si="44"/>
        <v>#VALUE!</v>
      </c>
    </row>
    <row r="177" spans="2:22" x14ac:dyDescent="0.25">
      <c r="B177" s="50" t="b">
        <f t="shared" si="45"/>
        <v>0</v>
      </c>
      <c r="C177" s="50" t="e">
        <f t="shared" si="46"/>
        <v>#VALUE!</v>
      </c>
      <c r="E177" s="56">
        <v>174</v>
      </c>
      <c r="G177" s="138"/>
      <c r="H177" s="135">
        <v>1</v>
      </c>
      <c r="I177" s="58" t="e">
        <f t="shared" si="33"/>
        <v>#VALUE!</v>
      </c>
      <c r="J177" s="50" t="e">
        <f t="shared" si="39"/>
        <v>#VALUE!</v>
      </c>
      <c r="K177" s="50" t="e">
        <f t="shared" si="40"/>
        <v>#VALUE!</v>
      </c>
      <c r="L177" s="50" t="e">
        <f t="shared" si="40"/>
        <v>#VALUE!</v>
      </c>
      <c r="M177" s="50" t="e">
        <f t="shared" si="34"/>
        <v>#VALUE!</v>
      </c>
      <c r="N177" s="50" t="e">
        <f t="shared" si="35"/>
        <v>#VALUE!</v>
      </c>
      <c r="O177" s="50">
        <f t="shared" si="36"/>
        <v>0</v>
      </c>
      <c r="Q177" s="55" t="e">
        <f t="shared" si="37"/>
        <v>#VALUE!</v>
      </c>
      <c r="R177" s="55" t="e">
        <f t="shared" si="41"/>
        <v>#VALUE!</v>
      </c>
      <c r="S177" s="55" t="e">
        <f t="shared" si="38"/>
        <v>#VALUE!</v>
      </c>
      <c r="T177" s="50" t="e">
        <f t="shared" si="42"/>
        <v>#VALUE!</v>
      </c>
      <c r="U177" s="50" t="e">
        <f t="shared" si="43"/>
        <v>#VALUE!</v>
      </c>
      <c r="V177" s="50" t="e">
        <f t="shared" si="44"/>
        <v>#VALUE!</v>
      </c>
    </row>
    <row r="178" spans="2:22" x14ac:dyDescent="0.25">
      <c r="B178" s="50" t="b">
        <f t="shared" si="45"/>
        <v>0</v>
      </c>
      <c r="C178" s="50" t="e">
        <f t="shared" si="46"/>
        <v>#VALUE!</v>
      </c>
      <c r="E178" s="56">
        <v>175</v>
      </c>
      <c r="G178" s="138"/>
      <c r="H178" s="135">
        <v>1</v>
      </c>
      <c r="I178" s="58" t="e">
        <f t="shared" si="33"/>
        <v>#VALUE!</v>
      </c>
      <c r="J178" s="50" t="e">
        <f t="shared" si="39"/>
        <v>#VALUE!</v>
      </c>
      <c r="K178" s="50" t="e">
        <f t="shared" si="40"/>
        <v>#VALUE!</v>
      </c>
      <c r="L178" s="50" t="e">
        <f t="shared" si="40"/>
        <v>#VALUE!</v>
      </c>
      <c r="M178" s="50" t="e">
        <f t="shared" si="34"/>
        <v>#VALUE!</v>
      </c>
      <c r="N178" s="50" t="e">
        <f t="shared" si="35"/>
        <v>#VALUE!</v>
      </c>
      <c r="O178" s="50">
        <f t="shared" si="36"/>
        <v>0</v>
      </c>
      <c r="Q178" s="55" t="e">
        <f t="shared" si="37"/>
        <v>#VALUE!</v>
      </c>
      <c r="R178" s="55" t="e">
        <f t="shared" si="41"/>
        <v>#VALUE!</v>
      </c>
      <c r="S178" s="55" t="e">
        <f t="shared" si="38"/>
        <v>#VALUE!</v>
      </c>
      <c r="T178" s="50" t="e">
        <f t="shared" si="42"/>
        <v>#VALUE!</v>
      </c>
      <c r="U178" s="50" t="e">
        <f t="shared" si="43"/>
        <v>#VALUE!</v>
      </c>
      <c r="V178" s="50" t="e">
        <f t="shared" si="44"/>
        <v>#VALUE!</v>
      </c>
    </row>
    <row r="179" spans="2:22" x14ac:dyDescent="0.25">
      <c r="B179" s="50" t="b">
        <f t="shared" si="45"/>
        <v>0</v>
      </c>
      <c r="C179" s="50" t="e">
        <f t="shared" si="46"/>
        <v>#VALUE!</v>
      </c>
      <c r="E179" s="56">
        <v>176</v>
      </c>
      <c r="G179" s="138"/>
      <c r="H179" s="135">
        <v>1</v>
      </c>
      <c r="I179" s="58" t="e">
        <f t="shared" si="33"/>
        <v>#VALUE!</v>
      </c>
      <c r="J179" s="50" t="e">
        <f t="shared" si="39"/>
        <v>#VALUE!</v>
      </c>
      <c r="K179" s="50" t="e">
        <f t="shared" si="40"/>
        <v>#VALUE!</v>
      </c>
      <c r="L179" s="50" t="e">
        <f t="shared" si="40"/>
        <v>#VALUE!</v>
      </c>
      <c r="M179" s="50" t="e">
        <f t="shared" si="34"/>
        <v>#VALUE!</v>
      </c>
      <c r="N179" s="50" t="e">
        <f t="shared" si="35"/>
        <v>#VALUE!</v>
      </c>
      <c r="O179" s="50">
        <f t="shared" si="36"/>
        <v>0</v>
      </c>
      <c r="Q179" s="55" t="e">
        <f t="shared" si="37"/>
        <v>#VALUE!</v>
      </c>
      <c r="R179" s="55" t="e">
        <f t="shared" si="41"/>
        <v>#VALUE!</v>
      </c>
      <c r="S179" s="55" t="e">
        <f t="shared" si="38"/>
        <v>#VALUE!</v>
      </c>
      <c r="T179" s="50" t="e">
        <f t="shared" si="42"/>
        <v>#VALUE!</v>
      </c>
      <c r="U179" s="50" t="e">
        <f t="shared" si="43"/>
        <v>#VALUE!</v>
      </c>
      <c r="V179" s="50" t="e">
        <f t="shared" si="44"/>
        <v>#VALUE!</v>
      </c>
    </row>
    <row r="180" spans="2:22" x14ac:dyDescent="0.25">
      <c r="B180" s="50" t="b">
        <f t="shared" si="45"/>
        <v>0</v>
      </c>
      <c r="C180" s="50" t="e">
        <f t="shared" si="46"/>
        <v>#VALUE!</v>
      </c>
      <c r="E180" s="56">
        <v>177</v>
      </c>
      <c r="G180" s="138"/>
      <c r="H180" s="135">
        <v>1</v>
      </c>
      <c r="I180" s="58" t="e">
        <f t="shared" si="33"/>
        <v>#VALUE!</v>
      </c>
      <c r="J180" s="50" t="e">
        <f t="shared" si="39"/>
        <v>#VALUE!</v>
      </c>
      <c r="K180" s="50" t="e">
        <f t="shared" si="40"/>
        <v>#VALUE!</v>
      </c>
      <c r="L180" s="50" t="e">
        <f t="shared" si="40"/>
        <v>#VALUE!</v>
      </c>
      <c r="M180" s="50" t="e">
        <f t="shared" si="34"/>
        <v>#VALUE!</v>
      </c>
      <c r="N180" s="50" t="e">
        <f t="shared" si="35"/>
        <v>#VALUE!</v>
      </c>
      <c r="O180" s="50">
        <f t="shared" si="36"/>
        <v>0</v>
      </c>
      <c r="Q180" s="55" t="e">
        <f t="shared" si="37"/>
        <v>#VALUE!</v>
      </c>
      <c r="R180" s="55" t="e">
        <f t="shared" si="41"/>
        <v>#VALUE!</v>
      </c>
      <c r="S180" s="55" t="e">
        <f t="shared" si="38"/>
        <v>#VALUE!</v>
      </c>
      <c r="T180" s="50" t="e">
        <f t="shared" si="42"/>
        <v>#VALUE!</v>
      </c>
      <c r="U180" s="50" t="e">
        <f t="shared" si="43"/>
        <v>#VALUE!</v>
      </c>
      <c r="V180" s="50" t="e">
        <f t="shared" si="44"/>
        <v>#VALUE!</v>
      </c>
    </row>
    <row r="181" spans="2:22" x14ac:dyDescent="0.25">
      <c r="B181" s="50" t="b">
        <f t="shared" si="45"/>
        <v>0</v>
      </c>
      <c r="C181" s="50" t="e">
        <f t="shared" si="46"/>
        <v>#VALUE!</v>
      </c>
      <c r="E181" s="56">
        <v>178</v>
      </c>
      <c r="G181" s="138"/>
      <c r="H181" s="135">
        <v>1</v>
      </c>
      <c r="I181" s="58" t="e">
        <f t="shared" si="33"/>
        <v>#VALUE!</v>
      </c>
      <c r="J181" s="50" t="e">
        <f t="shared" si="39"/>
        <v>#VALUE!</v>
      </c>
      <c r="K181" s="50" t="e">
        <f t="shared" si="40"/>
        <v>#VALUE!</v>
      </c>
      <c r="L181" s="50" t="e">
        <f t="shared" si="40"/>
        <v>#VALUE!</v>
      </c>
      <c r="M181" s="50" t="e">
        <f t="shared" si="34"/>
        <v>#VALUE!</v>
      </c>
      <c r="N181" s="50" t="e">
        <f t="shared" si="35"/>
        <v>#VALUE!</v>
      </c>
      <c r="O181" s="50">
        <f t="shared" si="36"/>
        <v>0</v>
      </c>
      <c r="Q181" s="55" t="e">
        <f t="shared" si="37"/>
        <v>#VALUE!</v>
      </c>
      <c r="R181" s="55" t="e">
        <f t="shared" si="41"/>
        <v>#VALUE!</v>
      </c>
      <c r="S181" s="55" t="e">
        <f t="shared" si="38"/>
        <v>#VALUE!</v>
      </c>
      <c r="T181" s="50" t="e">
        <f t="shared" si="42"/>
        <v>#VALUE!</v>
      </c>
      <c r="U181" s="50" t="e">
        <f t="shared" si="43"/>
        <v>#VALUE!</v>
      </c>
      <c r="V181" s="50" t="e">
        <f t="shared" si="44"/>
        <v>#VALUE!</v>
      </c>
    </row>
    <row r="182" spans="2:22" x14ac:dyDescent="0.25">
      <c r="B182" s="50" t="b">
        <f t="shared" si="45"/>
        <v>0</v>
      </c>
      <c r="C182" s="50" t="e">
        <f t="shared" si="46"/>
        <v>#VALUE!</v>
      </c>
      <c r="E182" s="56">
        <v>179</v>
      </c>
      <c r="G182" s="138"/>
      <c r="H182" s="135">
        <v>1</v>
      </c>
      <c r="I182" s="58" t="e">
        <f t="shared" si="33"/>
        <v>#VALUE!</v>
      </c>
      <c r="J182" s="50" t="e">
        <f t="shared" si="39"/>
        <v>#VALUE!</v>
      </c>
      <c r="K182" s="50" t="e">
        <f t="shared" si="40"/>
        <v>#VALUE!</v>
      </c>
      <c r="L182" s="50" t="e">
        <f t="shared" si="40"/>
        <v>#VALUE!</v>
      </c>
      <c r="M182" s="50" t="e">
        <f t="shared" si="34"/>
        <v>#VALUE!</v>
      </c>
      <c r="N182" s="50" t="e">
        <f t="shared" si="35"/>
        <v>#VALUE!</v>
      </c>
      <c r="O182" s="50">
        <f t="shared" si="36"/>
        <v>0</v>
      </c>
      <c r="Q182" s="55" t="e">
        <f t="shared" si="37"/>
        <v>#VALUE!</v>
      </c>
      <c r="R182" s="55" t="e">
        <f t="shared" si="41"/>
        <v>#VALUE!</v>
      </c>
      <c r="S182" s="55" t="e">
        <f t="shared" si="38"/>
        <v>#VALUE!</v>
      </c>
      <c r="T182" s="50" t="e">
        <f t="shared" si="42"/>
        <v>#VALUE!</v>
      </c>
      <c r="U182" s="50" t="e">
        <f t="shared" si="43"/>
        <v>#VALUE!</v>
      </c>
      <c r="V182" s="50" t="e">
        <f t="shared" si="44"/>
        <v>#VALUE!</v>
      </c>
    </row>
    <row r="183" spans="2:22" x14ac:dyDescent="0.25">
      <c r="B183" s="50" t="b">
        <f t="shared" si="45"/>
        <v>0</v>
      </c>
      <c r="C183" s="50" t="e">
        <f t="shared" si="46"/>
        <v>#VALUE!</v>
      </c>
      <c r="E183" s="56">
        <v>180</v>
      </c>
      <c r="G183" s="138"/>
      <c r="H183" s="135">
        <v>1</v>
      </c>
      <c r="I183" s="58" t="e">
        <f t="shared" si="33"/>
        <v>#VALUE!</v>
      </c>
      <c r="J183" s="50" t="e">
        <f t="shared" si="39"/>
        <v>#VALUE!</v>
      </c>
      <c r="K183" s="50" t="e">
        <f t="shared" si="40"/>
        <v>#VALUE!</v>
      </c>
      <c r="L183" s="50" t="e">
        <f t="shared" si="40"/>
        <v>#VALUE!</v>
      </c>
      <c r="M183" s="50" t="e">
        <f t="shared" si="34"/>
        <v>#VALUE!</v>
      </c>
      <c r="N183" s="50" t="e">
        <f t="shared" si="35"/>
        <v>#VALUE!</v>
      </c>
      <c r="O183" s="50">
        <f t="shared" si="36"/>
        <v>0</v>
      </c>
      <c r="Q183" s="55" t="e">
        <f t="shared" si="37"/>
        <v>#VALUE!</v>
      </c>
      <c r="R183" s="55" t="e">
        <f t="shared" si="41"/>
        <v>#VALUE!</v>
      </c>
      <c r="S183" s="55" t="e">
        <f t="shared" si="38"/>
        <v>#VALUE!</v>
      </c>
      <c r="T183" s="50" t="e">
        <f t="shared" si="42"/>
        <v>#VALUE!</v>
      </c>
      <c r="U183" s="50" t="e">
        <f t="shared" si="43"/>
        <v>#VALUE!</v>
      </c>
      <c r="V183" s="50" t="e">
        <f t="shared" si="44"/>
        <v>#VALUE!</v>
      </c>
    </row>
    <row r="184" spans="2:22" x14ac:dyDescent="0.25">
      <c r="B184" s="50" t="b">
        <f t="shared" si="45"/>
        <v>0</v>
      </c>
      <c r="C184" s="50" t="e">
        <f t="shared" si="46"/>
        <v>#VALUE!</v>
      </c>
      <c r="E184" s="56">
        <v>181</v>
      </c>
      <c r="G184" s="138"/>
      <c r="H184" s="135">
        <v>1</v>
      </c>
      <c r="I184" s="58" t="e">
        <f t="shared" si="33"/>
        <v>#VALUE!</v>
      </c>
      <c r="J184" s="50" t="e">
        <f t="shared" si="39"/>
        <v>#VALUE!</v>
      </c>
      <c r="K184" s="50" t="e">
        <f t="shared" si="40"/>
        <v>#VALUE!</v>
      </c>
      <c r="L184" s="50" t="e">
        <f t="shared" si="40"/>
        <v>#VALUE!</v>
      </c>
      <c r="M184" s="50" t="e">
        <f t="shared" si="34"/>
        <v>#VALUE!</v>
      </c>
      <c r="N184" s="50" t="e">
        <f t="shared" si="35"/>
        <v>#VALUE!</v>
      </c>
      <c r="O184" s="50">
        <f t="shared" si="36"/>
        <v>0</v>
      </c>
      <c r="Q184" s="55" t="e">
        <f t="shared" si="37"/>
        <v>#VALUE!</v>
      </c>
      <c r="R184" s="55" t="e">
        <f t="shared" si="41"/>
        <v>#VALUE!</v>
      </c>
      <c r="S184" s="55" t="e">
        <f t="shared" si="38"/>
        <v>#VALUE!</v>
      </c>
      <c r="T184" s="50" t="e">
        <f t="shared" si="42"/>
        <v>#VALUE!</v>
      </c>
      <c r="U184" s="50" t="e">
        <f t="shared" si="43"/>
        <v>#VALUE!</v>
      </c>
      <c r="V184" s="50" t="e">
        <f t="shared" si="44"/>
        <v>#VALUE!</v>
      </c>
    </row>
    <row r="185" spans="2:22" x14ac:dyDescent="0.25">
      <c r="B185" s="50" t="b">
        <f t="shared" si="45"/>
        <v>0</v>
      </c>
      <c r="C185" s="50" t="e">
        <f t="shared" si="46"/>
        <v>#VALUE!</v>
      </c>
      <c r="E185" s="56">
        <v>182</v>
      </c>
      <c r="G185" s="138"/>
      <c r="H185" s="135">
        <v>1</v>
      </c>
      <c r="I185" s="58" t="e">
        <f t="shared" si="33"/>
        <v>#VALUE!</v>
      </c>
      <c r="J185" s="50" t="e">
        <f t="shared" si="39"/>
        <v>#VALUE!</v>
      </c>
      <c r="K185" s="50" t="e">
        <f t="shared" si="40"/>
        <v>#VALUE!</v>
      </c>
      <c r="L185" s="50" t="e">
        <f t="shared" si="40"/>
        <v>#VALUE!</v>
      </c>
      <c r="M185" s="50" t="e">
        <f t="shared" si="34"/>
        <v>#VALUE!</v>
      </c>
      <c r="N185" s="50" t="e">
        <f t="shared" si="35"/>
        <v>#VALUE!</v>
      </c>
      <c r="O185" s="50">
        <f t="shared" si="36"/>
        <v>0</v>
      </c>
      <c r="Q185" s="55" t="e">
        <f t="shared" si="37"/>
        <v>#VALUE!</v>
      </c>
      <c r="R185" s="55" t="e">
        <f t="shared" si="41"/>
        <v>#VALUE!</v>
      </c>
      <c r="S185" s="55" t="e">
        <f t="shared" si="38"/>
        <v>#VALUE!</v>
      </c>
      <c r="T185" s="50" t="e">
        <f t="shared" si="42"/>
        <v>#VALUE!</v>
      </c>
      <c r="U185" s="50" t="e">
        <f t="shared" si="43"/>
        <v>#VALUE!</v>
      </c>
      <c r="V185" s="50" t="e">
        <f t="shared" si="44"/>
        <v>#VALUE!</v>
      </c>
    </row>
    <row r="186" spans="2:22" x14ac:dyDescent="0.25">
      <c r="B186" s="50" t="b">
        <f t="shared" si="45"/>
        <v>0</v>
      </c>
      <c r="C186" s="50" t="e">
        <f t="shared" si="46"/>
        <v>#VALUE!</v>
      </c>
      <c r="E186" s="56">
        <v>183</v>
      </c>
      <c r="G186" s="138"/>
      <c r="H186" s="135">
        <v>1</v>
      </c>
      <c r="I186" s="58" t="e">
        <f t="shared" si="33"/>
        <v>#VALUE!</v>
      </c>
      <c r="J186" s="50" t="e">
        <f t="shared" si="39"/>
        <v>#VALUE!</v>
      </c>
      <c r="K186" s="50" t="e">
        <f t="shared" si="40"/>
        <v>#VALUE!</v>
      </c>
      <c r="L186" s="50" t="e">
        <f t="shared" si="40"/>
        <v>#VALUE!</v>
      </c>
      <c r="M186" s="50" t="e">
        <f t="shared" si="34"/>
        <v>#VALUE!</v>
      </c>
      <c r="N186" s="50" t="e">
        <f t="shared" si="35"/>
        <v>#VALUE!</v>
      </c>
      <c r="O186" s="50">
        <f t="shared" si="36"/>
        <v>0</v>
      </c>
      <c r="Q186" s="55" t="e">
        <f t="shared" si="37"/>
        <v>#VALUE!</v>
      </c>
      <c r="R186" s="55" t="e">
        <f t="shared" si="41"/>
        <v>#VALUE!</v>
      </c>
      <c r="S186" s="55" t="e">
        <f t="shared" si="38"/>
        <v>#VALUE!</v>
      </c>
      <c r="T186" s="50" t="e">
        <f t="shared" si="42"/>
        <v>#VALUE!</v>
      </c>
      <c r="U186" s="50" t="e">
        <f t="shared" si="43"/>
        <v>#VALUE!</v>
      </c>
      <c r="V186" s="50" t="e">
        <f t="shared" si="44"/>
        <v>#VALUE!</v>
      </c>
    </row>
    <row r="187" spans="2:22" x14ac:dyDescent="0.25">
      <c r="B187" s="50" t="b">
        <f t="shared" si="45"/>
        <v>0</v>
      </c>
      <c r="C187" s="50" t="e">
        <f t="shared" si="46"/>
        <v>#VALUE!</v>
      </c>
      <c r="E187" s="56">
        <v>184</v>
      </c>
      <c r="G187" s="138"/>
      <c r="H187" s="135">
        <v>1</v>
      </c>
      <c r="I187" s="58" t="e">
        <f t="shared" si="33"/>
        <v>#VALUE!</v>
      </c>
      <c r="J187" s="50" t="e">
        <f t="shared" si="39"/>
        <v>#VALUE!</v>
      </c>
      <c r="K187" s="50" t="e">
        <f t="shared" si="40"/>
        <v>#VALUE!</v>
      </c>
      <c r="L187" s="50" t="e">
        <f t="shared" si="40"/>
        <v>#VALUE!</v>
      </c>
      <c r="M187" s="50" t="e">
        <f t="shared" si="34"/>
        <v>#VALUE!</v>
      </c>
      <c r="N187" s="50" t="e">
        <f t="shared" si="35"/>
        <v>#VALUE!</v>
      </c>
      <c r="O187" s="50">
        <f t="shared" si="36"/>
        <v>0</v>
      </c>
      <c r="Q187" s="55" t="e">
        <f t="shared" si="37"/>
        <v>#VALUE!</v>
      </c>
      <c r="R187" s="55" t="e">
        <f t="shared" si="41"/>
        <v>#VALUE!</v>
      </c>
      <c r="S187" s="55" t="e">
        <f t="shared" si="38"/>
        <v>#VALUE!</v>
      </c>
      <c r="T187" s="50" t="e">
        <f t="shared" si="42"/>
        <v>#VALUE!</v>
      </c>
      <c r="U187" s="50" t="e">
        <f t="shared" si="43"/>
        <v>#VALUE!</v>
      </c>
      <c r="V187" s="50" t="e">
        <f t="shared" si="44"/>
        <v>#VALUE!</v>
      </c>
    </row>
    <row r="188" spans="2:22" x14ac:dyDescent="0.25">
      <c r="B188" s="50" t="b">
        <f t="shared" si="45"/>
        <v>0</v>
      </c>
      <c r="C188" s="50" t="e">
        <f t="shared" si="46"/>
        <v>#VALUE!</v>
      </c>
      <c r="E188" s="56">
        <v>185</v>
      </c>
      <c r="G188" s="138"/>
      <c r="H188" s="135">
        <v>1</v>
      </c>
      <c r="I188" s="58" t="e">
        <f t="shared" si="33"/>
        <v>#VALUE!</v>
      </c>
      <c r="J188" s="50" t="e">
        <f t="shared" si="39"/>
        <v>#VALUE!</v>
      </c>
      <c r="K188" s="50" t="e">
        <f t="shared" si="40"/>
        <v>#VALUE!</v>
      </c>
      <c r="L188" s="50" t="e">
        <f t="shared" si="40"/>
        <v>#VALUE!</v>
      </c>
      <c r="M188" s="50" t="e">
        <f t="shared" si="34"/>
        <v>#VALUE!</v>
      </c>
      <c r="N188" s="50" t="e">
        <f t="shared" si="35"/>
        <v>#VALUE!</v>
      </c>
      <c r="O188" s="50">
        <f t="shared" si="36"/>
        <v>0</v>
      </c>
      <c r="Q188" s="55" t="e">
        <f t="shared" si="37"/>
        <v>#VALUE!</v>
      </c>
      <c r="R188" s="55" t="e">
        <f t="shared" si="41"/>
        <v>#VALUE!</v>
      </c>
      <c r="S188" s="55" t="e">
        <f t="shared" si="38"/>
        <v>#VALUE!</v>
      </c>
      <c r="T188" s="50" t="e">
        <f t="shared" si="42"/>
        <v>#VALUE!</v>
      </c>
      <c r="U188" s="50" t="e">
        <f t="shared" si="43"/>
        <v>#VALUE!</v>
      </c>
      <c r="V188" s="50" t="e">
        <f t="shared" si="44"/>
        <v>#VALUE!</v>
      </c>
    </row>
    <row r="189" spans="2:22" x14ac:dyDescent="0.25">
      <c r="B189" s="50" t="b">
        <f t="shared" si="45"/>
        <v>0</v>
      </c>
      <c r="C189" s="50" t="e">
        <f t="shared" si="46"/>
        <v>#VALUE!</v>
      </c>
      <c r="E189" s="56">
        <v>186</v>
      </c>
      <c r="G189" s="138"/>
      <c r="H189" s="135">
        <v>1</v>
      </c>
      <c r="I189" s="58" t="e">
        <f t="shared" si="33"/>
        <v>#VALUE!</v>
      </c>
      <c r="J189" s="50" t="e">
        <f t="shared" si="39"/>
        <v>#VALUE!</v>
      </c>
      <c r="K189" s="50" t="e">
        <f t="shared" si="40"/>
        <v>#VALUE!</v>
      </c>
      <c r="L189" s="50" t="e">
        <f t="shared" si="40"/>
        <v>#VALUE!</v>
      </c>
      <c r="M189" s="50" t="e">
        <f t="shared" si="34"/>
        <v>#VALUE!</v>
      </c>
      <c r="N189" s="50" t="e">
        <f t="shared" si="35"/>
        <v>#VALUE!</v>
      </c>
      <c r="O189" s="50">
        <f t="shared" si="36"/>
        <v>0</v>
      </c>
      <c r="Q189" s="55" t="e">
        <f t="shared" si="37"/>
        <v>#VALUE!</v>
      </c>
      <c r="R189" s="55" t="e">
        <f t="shared" si="41"/>
        <v>#VALUE!</v>
      </c>
      <c r="S189" s="55" t="e">
        <f t="shared" si="38"/>
        <v>#VALUE!</v>
      </c>
      <c r="T189" s="50" t="e">
        <f t="shared" si="42"/>
        <v>#VALUE!</v>
      </c>
      <c r="U189" s="50" t="e">
        <f t="shared" si="43"/>
        <v>#VALUE!</v>
      </c>
      <c r="V189" s="50" t="e">
        <f t="shared" si="44"/>
        <v>#VALUE!</v>
      </c>
    </row>
    <row r="190" spans="2:22" x14ac:dyDescent="0.25">
      <c r="B190" s="50" t="b">
        <f t="shared" si="45"/>
        <v>0</v>
      </c>
      <c r="C190" s="50" t="e">
        <f t="shared" si="46"/>
        <v>#VALUE!</v>
      </c>
      <c r="E190" s="56">
        <v>187</v>
      </c>
      <c r="G190" s="138"/>
      <c r="H190" s="135">
        <v>1</v>
      </c>
      <c r="I190" s="58" t="e">
        <f t="shared" si="33"/>
        <v>#VALUE!</v>
      </c>
      <c r="J190" s="50" t="e">
        <f t="shared" si="39"/>
        <v>#VALUE!</v>
      </c>
      <c r="K190" s="50" t="e">
        <f t="shared" si="40"/>
        <v>#VALUE!</v>
      </c>
      <c r="L190" s="50" t="e">
        <f t="shared" si="40"/>
        <v>#VALUE!</v>
      </c>
      <c r="M190" s="50" t="e">
        <f t="shared" si="34"/>
        <v>#VALUE!</v>
      </c>
      <c r="N190" s="50" t="e">
        <f t="shared" si="35"/>
        <v>#VALUE!</v>
      </c>
      <c r="O190" s="50">
        <f t="shared" si="36"/>
        <v>0</v>
      </c>
      <c r="Q190" s="55" t="e">
        <f t="shared" si="37"/>
        <v>#VALUE!</v>
      </c>
      <c r="R190" s="55" t="e">
        <f t="shared" si="41"/>
        <v>#VALUE!</v>
      </c>
      <c r="S190" s="55" t="e">
        <f t="shared" si="38"/>
        <v>#VALUE!</v>
      </c>
      <c r="T190" s="50" t="e">
        <f t="shared" si="42"/>
        <v>#VALUE!</v>
      </c>
      <c r="U190" s="50" t="e">
        <f t="shared" si="43"/>
        <v>#VALUE!</v>
      </c>
      <c r="V190" s="50" t="e">
        <f t="shared" si="44"/>
        <v>#VALUE!</v>
      </c>
    </row>
    <row r="191" spans="2:22" x14ac:dyDescent="0.25">
      <c r="B191" s="50" t="b">
        <f t="shared" si="45"/>
        <v>0</v>
      </c>
      <c r="C191" s="50" t="e">
        <f t="shared" si="46"/>
        <v>#VALUE!</v>
      </c>
      <c r="E191" s="56">
        <v>188</v>
      </c>
      <c r="G191" s="138"/>
      <c r="H191" s="135">
        <v>1</v>
      </c>
      <c r="I191" s="58" t="e">
        <f t="shared" si="33"/>
        <v>#VALUE!</v>
      </c>
      <c r="J191" s="50" t="e">
        <f t="shared" si="39"/>
        <v>#VALUE!</v>
      </c>
      <c r="K191" s="50" t="e">
        <f t="shared" si="40"/>
        <v>#VALUE!</v>
      </c>
      <c r="L191" s="50" t="e">
        <f t="shared" si="40"/>
        <v>#VALUE!</v>
      </c>
      <c r="M191" s="50" t="e">
        <f t="shared" si="34"/>
        <v>#VALUE!</v>
      </c>
      <c r="N191" s="50" t="e">
        <f t="shared" si="35"/>
        <v>#VALUE!</v>
      </c>
      <c r="O191" s="50">
        <f t="shared" si="36"/>
        <v>0</v>
      </c>
      <c r="Q191" s="55" t="e">
        <f t="shared" si="37"/>
        <v>#VALUE!</v>
      </c>
      <c r="R191" s="55" t="e">
        <f t="shared" si="41"/>
        <v>#VALUE!</v>
      </c>
      <c r="S191" s="55" t="e">
        <f t="shared" si="38"/>
        <v>#VALUE!</v>
      </c>
      <c r="T191" s="50" t="e">
        <f t="shared" si="42"/>
        <v>#VALUE!</v>
      </c>
      <c r="U191" s="50" t="e">
        <f t="shared" si="43"/>
        <v>#VALUE!</v>
      </c>
      <c r="V191" s="50" t="e">
        <f t="shared" si="44"/>
        <v>#VALUE!</v>
      </c>
    </row>
    <row r="192" spans="2:22" x14ac:dyDescent="0.25">
      <c r="B192" s="50" t="b">
        <f t="shared" si="45"/>
        <v>0</v>
      </c>
      <c r="C192" s="50" t="e">
        <f t="shared" si="46"/>
        <v>#VALUE!</v>
      </c>
      <c r="E192" s="56">
        <v>189</v>
      </c>
      <c r="G192" s="138"/>
      <c r="H192" s="135">
        <v>1</v>
      </c>
      <c r="I192" s="58" t="e">
        <f t="shared" si="33"/>
        <v>#VALUE!</v>
      </c>
      <c r="J192" s="50" t="e">
        <f t="shared" si="39"/>
        <v>#VALUE!</v>
      </c>
      <c r="K192" s="50" t="e">
        <f t="shared" si="40"/>
        <v>#VALUE!</v>
      </c>
      <c r="L192" s="50" t="e">
        <f t="shared" si="40"/>
        <v>#VALUE!</v>
      </c>
      <c r="M192" s="50" t="e">
        <f t="shared" si="34"/>
        <v>#VALUE!</v>
      </c>
      <c r="N192" s="50" t="e">
        <f t="shared" si="35"/>
        <v>#VALUE!</v>
      </c>
      <c r="O192" s="50">
        <f t="shared" si="36"/>
        <v>0</v>
      </c>
      <c r="Q192" s="55" t="e">
        <f t="shared" si="37"/>
        <v>#VALUE!</v>
      </c>
      <c r="R192" s="55" t="e">
        <f t="shared" si="41"/>
        <v>#VALUE!</v>
      </c>
      <c r="S192" s="55" t="e">
        <f t="shared" si="38"/>
        <v>#VALUE!</v>
      </c>
      <c r="T192" s="50" t="e">
        <f t="shared" si="42"/>
        <v>#VALUE!</v>
      </c>
      <c r="U192" s="50" t="e">
        <f t="shared" si="43"/>
        <v>#VALUE!</v>
      </c>
      <c r="V192" s="50" t="e">
        <f t="shared" si="44"/>
        <v>#VALUE!</v>
      </c>
    </row>
    <row r="193" spans="2:22" x14ac:dyDescent="0.25">
      <c r="B193" s="50" t="b">
        <f t="shared" si="45"/>
        <v>0</v>
      </c>
      <c r="C193" s="50" t="e">
        <f t="shared" si="46"/>
        <v>#VALUE!</v>
      </c>
      <c r="E193" s="56">
        <v>190</v>
      </c>
      <c r="G193" s="138"/>
      <c r="H193" s="135">
        <v>1</v>
      </c>
      <c r="I193" s="58" t="e">
        <f t="shared" si="33"/>
        <v>#VALUE!</v>
      </c>
      <c r="J193" s="50" t="e">
        <f t="shared" si="39"/>
        <v>#VALUE!</v>
      </c>
      <c r="K193" s="50" t="e">
        <f t="shared" si="40"/>
        <v>#VALUE!</v>
      </c>
      <c r="L193" s="50" t="e">
        <f t="shared" si="40"/>
        <v>#VALUE!</v>
      </c>
      <c r="M193" s="50" t="e">
        <f t="shared" si="34"/>
        <v>#VALUE!</v>
      </c>
      <c r="N193" s="50" t="e">
        <f t="shared" si="35"/>
        <v>#VALUE!</v>
      </c>
      <c r="O193" s="50">
        <f t="shared" si="36"/>
        <v>0</v>
      </c>
      <c r="Q193" s="55" t="e">
        <f t="shared" si="37"/>
        <v>#VALUE!</v>
      </c>
      <c r="R193" s="55" t="e">
        <f t="shared" si="41"/>
        <v>#VALUE!</v>
      </c>
      <c r="S193" s="55" t="e">
        <f t="shared" si="38"/>
        <v>#VALUE!</v>
      </c>
      <c r="T193" s="50" t="e">
        <f t="shared" si="42"/>
        <v>#VALUE!</v>
      </c>
      <c r="U193" s="50" t="e">
        <f t="shared" si="43"/>
        <v>#VALUE!</v>
      </c>
      <c r="V193" s="50" t="e">
        <f t="shared" si="44"/>
        <v>#VALUE!</v>
      </c>
    </row>
    <row r="194" spans="2:22" x14ac:dyDescent="0.25">
      <c r="B194" s="50" t="b">
        <f t="shared" si="45"/>
        <v>0</v>
      </c>
      <c r="C194" s="50" t="e">
        <f t="shared" si="46"/>
        <v>#VALUE!</v>
      </c>
      <c r="E194" s="56">
        <v>191</v>
      </c>
      <c r="G194" s="138"/>
      <c r="H194" s="135">
        <v>1</v>
      </c>
      <c r="I194" s="58" t="e">
        <f t="shared" si="33"/>
        <v>#VALUE!</v>
      </c>
      <c r="J194" s="50" t="e">
        <f t="shared" si="39"/>
        <v>#VALUE!</v>
      </c>
      <c r="K194" s="50" t="e">
        <f t="shared" si="40"/>
        <v>#VALUE!</v>
      </c>
      <c r="L194" s="50" t="e">
        <f t="shared" si="40"/>
        <v>#VALUE!</v>
      </c>
      <c r="M194" s="50" t="e">
        <f t="shared" si="34"/>
        <v>#VALUE!</v>
      </c>
      <c r="N194" s="50" t="e">
        <f t="shared" si="35"/>
        <v>#VALUE!</v>
      </c>
      <c r="O194" s="50">
        <f t="shared" si="36"/>
        <v>0</v>
      </c>
      <c r="Q194" s="55" t="e">
        <f t="shared" si="37"/>
        <v>#VALUE!</v>
      </c>
      <c r="R194" s="55" t="e">
        <f t="shared" si="41"/>
        <v>#VALUE!</v>
      </c>
      <c r="S194" s="55" t="e">
        <f t="shared" si="38"/>
        <v>#VALUE!</v>
      </c>
      <c r="T194" s="50" t="e">
        <f t="shared" si="42"/>
        <v>#VALUE!</v>
      </c>
      <c r="U194" s="50" t="e">
        <f t="shared" si="43"/>
        <v>#VALUE!</v>
      </c>
      <c r="V194" s="50" t="e">
        <f t="shared" si="44"/>
        <v>#VALUE!</v>
      </c>
    </row>
    <row r="195" spans="2:22" x14ac:dyDescent="0.25">
      <c r="B195" s="50" t="b">
        <f t="shared" si="45"/>
        <v>0</v>
      </c>
      <c r="C195" s="50" t="e">
        <f t="shared" si="46"/>
        <v>#VALUE!</v>
      </c>
      <c r="E195" s="56">
        <v>192</v>
      </c>
      <c r="G195" s="138"/>
      <c r="H195" s="135">
        <v>1</v>
      </c>
      <c r="I195" s="58" t="e">
        <f t="shared" si="33"/>
        <v>#VALUE!</v>
      </c>
      <c r="J195" s="50" t="e">
        <f t="shared" si="39"/>
        <v>#VALUE!</v>
      </c>
      <c r="K195" s="50" t="e">
        <f t="shared" si="40"/>
        <v>#VALUE!</v>
      </c>
      <c r="L195" s="50" t="e">
        <f t="shared" si="40"/>
        <v>#VALUE!</v>
      </c>
      <c r="M195" s="50" t="e">
        <f t="shared" si="34"/>
        <v>#VALUE!</v>
      </c>
      <c r="N195" s="50" t="e">
        <f t="shared" si="35"/>
        <v>#VALUE!</v>
      </c>
      <c r="O195" s="50">
        <f t="shared" si="36"/>
        <v>0</v>
      </c>
      <c r="Q195" s="55" t="e">
        <f t="shared" si="37"/>
        <v>#VALUE!</v>
      </c>
      <c r="R195" s="55" t="e">
        <f t="shared" si="41"/>
        <v>#VALUE!</v>
      </c>
      <c r="S195" s="55" t="e">
        <f t="shared" si="38"/>
        <v>#VALUE!</v>
      </c>
      <c r="T195" s="50" t="e">
        <f t="shared" si="42"/>
        <v>#VALUE!</v>
      </c>
      <c r="U195" s="50" t="e">
        <f t="shared" si="43"/>
        <v>#VALUE!</v>
      </c>
      <c r="V195" s="50" t="e">
        <f t="shared" si="44"/>
        <v>#VALUE!</v>
      </c>
    </row>
    <row r="196" spans="2:22" x14ac:dyDescent="0.25">
      <c r="B196" s="50" t="b">
        <f t="shared" si="45"/>
        <v>0</v>
      </c>
      <c r="C196" s="50" t="e">
        <f t="shared" si="46"/>
        <v>#VALUE!</v>
      </c>
      <c r="E196" s="56">
        <v>193</v>
      </c>
      <c r="G196" s="138"/>
      <c r="H196" s="135">
        <v>1</v>
      </c>
      <c r="I196" s="58" t="e">
        <f t="shared" ref="I196:I259" si="47">RIGHT(G196,J196)</f>
        <v>#VALUE!</v>
      </c>
      <c r="J196" s="50" t="e">
        <f t="shared" si="39"/>
        <v>#VALUE!</v>
      </c>
      <c r="K196" s="50" t="e">
        <f t="shared" si="40"/>
        <v>#VALUE!</v>
      </c>
      <c r="L196" s="50" t="e">
        <f t="shared" si="40"/>
        <v>#VALUE!</v>
      </c>
      <c r="M196" s="50" t="e">
        <f t="shared" ref="M196:M259" si="48">SEARCH("-",G196,2)</f>
        <v>#VALUE!</v>
      </c>
      <c r="N196" s="50" t="e">
        <f t="shared" ref="N196:N259" si="49">SEARCH("-",G196,M196+1)</f>
        <v>#VALUE!</v>
      </c>
      <c r="O196" s="50">
        <f t="shared" ref="O196:O259" si="50">LEN(G196)</f>
        <v>0</v>
      </c>
      <c r="Q196" s="55" t="e">
        <f t="shared" ref="Q196:Q259" si="51">LEFT(G196,M196-1)</f>
        <v>#VALUE!</v>
      </c>
      <c r="R196" s="55" t="e">
        <f t="shared" si="41"/>
        <v>#VALUE!</v>
      </c>
      <c r="S196" s="55" t="e">
        <f t="shared" ref="S196:S259" si="52">RIGHT(G196,L196)</f>
        <v>#VALUE!</v>
      </c>
      <c r="T196" s="50" t="e">
        <f t="shared" si="42"/>
        <v>#VALUE!</v>
      </c>
      <c r="U196" s="50" t="e">
        <f t="shared" si="43"/>
        <v>#VALUE!</v>
      </c>
      <c r="V196" s="50" t="e">
        <f t="shared" si="44"/>
        <v>#VALUE!</v>
      </c>
    </row>
    <row r="197" spans="2:22" x14ac:dyDescent="0.25">
      <c r="B197" s="50" t="b">
        <f t="shared" si="45"/>
        <v>0</v>
      </c>
      <c r="C197" s="50" t="e">
        <f t="shared" si="46"/>
        <v>#VALUE!</v>
      </c>
      <c r="E197" s="56">
        <v>194</v>
      </c>
      <c r="G197" s="138"/>
      <c r="H197" s="135">
        <v>1</v>
      </c>
      <c r="I197" s="58" t="e">
        <f t="shared" si="47"/>
        <v>#VALUE!</v>
      </c>
      <c r="J197" s="50" t="e">
        <f t="shared" ref="J197:J260" si="53">O197-M197</f>
        <v>#VALUE!</v>
      </c>
      <c r="K197" s="50" t="e">
        <f t="shared" ref="K197:L260" si="54">N197-M197</f>
        <v>#VALUE!</v>
      </c>
      <c r="L197" s="50" t="e">
        <f t="shared" si="54"/>
        <v>#VALUE!</v>
      </c>
      <c r="M197" s="50" t="e">
        <f t="shared" si="48"/>
        <v>#VALUE!</v>
      </c>
      <c r="N197" s="50" t="e">
        <f t="shared" si="49"/>
        <v>#VALUE!</v>
      </c>
      <c r="O197" s="50">
        <f t="shared" si="50"/>
        <v>0</v>
      </c>
      <c r="Q197" s="55" t="e">
        <f t="shared" si="51"/>
        <v>#VALUE!</v>
      </c>
      <c r="R197" s="55" t="e">
        <f t="shared" ref="R197:R260" si="55">LEFT(I197,K197-1)</f>
        <v>#VALUE!</v>
      </c>
      <c r="S197" s="55" t="e">
        <f t="shared" si="52"/>
        <v>#VALUE!</v>
      </c>
      <c r="T197" s="50" t="e">
        <f t="shared" ref="T197:T260" si="56">Q197*1*$H197</f>
        <v>#VALUE!</v>
      </c>
      <c r="U197" s="50" t="e">
        <f t="shared" ref="U197:U260" si="57">R197*1*$H197</f>
        <v>#VALUE!</v>
      </c>
      <c r="V197" s="50" t="e">
        <f t="shared" ref="V197:V260" si="58">S197*1*$H197</f>
        <v>#VALUE!</v>
      </c>
    </row>
    <row r="198" spans="2:22" x14ac:dyDescent="0.25">
      <c r="B198" s="50" t="b">
        <f t="shared" si="45"/>
        <v>0</v>
      </c>
      <c r="C198" s="50" t="e">
        <f t="shared" si="46"/>
        <v>#VALUE!</v>
      </c>
      <c r="E198" s="56">
        <v>195</v>
      </c>
      <c r="G198" s="138"/>
      <c r="H198" s="135">
        <v>1</v>
      </c>
      <c r="I198" s="58" t="e">
        <f t="shared" si="47"/>
        <v>#VALUE!</v>
      </c>
      <c r="J198" s="50" t="e">
        <f t="shared" si="53"/>
        <v>#VALUE!</v>
      </c>
      <c r="K198" s="50" t="e">
        <f t="shared" si="54"/>
        <v>#VALUE!</v>
      </c>
      <c r="L198" s="50" t="e">
        <f t="shared" si="54"/>
        <v>#VALUE!</v>
      </c>
      <c r="M198" s="50" t="e">
        <f t="shared" si="48"/>
        <v>#VALUE!</v>
      </c>
      <c r="N198" s="50" t="e">
        <f t="shared" si="49"/>
        <v>#VALUE!</v>
      </c>
      <c r="O198" s="50">
        <f t="shared" si="50"/>
        <v>0</v>
      </c>
      <c r="Q198" s="55" t="e">
        <f t="shared" si="51"/>
        <v>#VALUE!</v>
      </c>
      <c r="R198" s="55" t="e">
        <f t="shared" si="55"/>
        <v>#VALUE!</v>
      </c>
      <c r="S198" s="55" t="e">
        <f t="shared" si="52"/>
        <v>#VALUE!</v>
      </c>
      <c r="T198" s="50" t="e">
        <f t="shared" si="56"/>
        <v>#VALUE!</v>
      </c>
      <c r="U198" s="50" t="e">
        <f t="shared" si="57"/>
        <v>#VALUE!</v>
      </c>
      <c r="V198" s="50" t="e">
        <f t="shared" si="58"/>
        <v>#VALUE!</v>
      </c>
    </row>
    <row r="199" spans="2:22" x14ac:dyDescent="0.25">
      <c r="B199" s="50" t="b">
        <f t="shared" si="45"/>
        <v>0</v>
      </c>
      <c r="C199" s="50" t="e">
        <f t="shared" si="46"/>
        <v>#VALUE!</v>
      </c>
      <c r="E199" s="56">
        <v>196</v>
      </c>
      <c r="G199" s="138"/>
      <c r="H199" s="135">
        <v>1</v>
      </c>
      <c r="I199" s="58" t="e">
        <f t="shared" si="47"/>
        <v>#VALUE!</v>
      </c>
      <c r="J199" s="50" t="e">
        <f t="shared" si="53"/>
        <v>#VALUE!</v>
      </c>
      <c r="K199" s="50" t="e">
        <f t="shared" si="54"/>
        <v>#VALUE!</v>
      </c>
      <c r="L199" s="50" t="e">
        <f t="shared" si="54"/>
        <v>#VALUE!</v>
      </c>
      <c r="M199" s="50" t="e">
        <f t="shared" si="48"/>
        <v>#VALUE!</v>
      </c>
      <c r="N199" s="50" t="e">
        <f t="shared" si="49"/>
        <v>#VALUE!</v>
      </c>
      <c r="O199" s="50">
        <f t="shared" si="50"/>
        <v>0</v>
      </c>
      <c r="Q199" s="55" t="e">
        <f t="shared" si="51"/>
        <v>#VALUE!</v>
      </c>
      <c r="R199" s="55" t="e">
        <f t="shared" si="55"/>
        <v>#VALUE!</v>
      </c>
      <c r="S199" s="55" t="e">
        <f t="shared" si="52"/>
        <v>#VALUE!</v>
      </c>
      <c r="T199" s="50" t="e">
        <f t="shared" si="56"/>
        <v>#VALUE!</v>
      </c>
      <c r="U199" s="50" t="e">
        <f t="shared" si="57"/>
        <v>#VALUE!</v>
      </c>
      <c r="V199" s="50" t="e">
        <f t="shared" si="58"/>
        <v>#VALUE!</v>
      </c>
    </row>
    <row r="200" spans="2:22" x14ac:dyDescent="0.25">
      <c r="B200" s="50" t="b">
        <f t="shared" si="45"/>
        <v>0</v>
      </c>
      <c r="C200" s="50" t="e">
        <f t="shared" si="46"/>
        <v>#VALUE!</v>
      </c>
      <c r="E200" s="56">
        <v>197</v>
      </c>
      <c r="G200" s="138"/>
      <c r="H200" s="135">
        <v>1</v>
      </c>
      <c r="I200" s="58" t="e">
        <f t="shared" si="47"/>
        <v>#VALUE!</v>
      </c>
      <c r="J200" s="50" t="e">
        <f t="shared" si="53"/>
        <v>#VALUE!</v>
      </c>
      <c r="K200" s="50" t="e">
        <f t="shared" si="54"/>
        <v>#VALUE!</v>
      </c>
      <c r="L200" s="50" t="e">
        <f t="shared" si="54"/>
        <v>#VALUE!</v>
      </c>
      <c r="M200" s="50" t="e">
        <f t="shared" si="48"/>
        <v>#VALUE!</v>
      </c>
      <c r="N200" s="50" t="e">
        <f t="shared" si="49"/>
        <v>#VALUE!</v>
      </c>
      <c r="O200" s="50">
        <f t="shared" si="50"/>
        <v>0</v>
      </c>
      <c r="Q200" s="55" t="e">
        <f t="shared" si="51"/>
        <v>#VALUE!</v>
      </c>
      <c r="R200" s="55" t="e">
        <f t="shared" si="55"/>
        <v>#VALUE!</v>
      </c>
      <c r="S200" s="55" t="e">
        <f t="shared" si="52"/>
        <v>#VALUE!</v>
      </c>
      <c r="T200" s="50" t="e">
        <f t="shared" si="56"/>
        <v>#VALUE!</v>
      </c>
      <c r="U200" s="50" t="e">
        <f t="shared" si="57"/>
        <v>#VALUE!</v>
      </c>
      <c r="V200" s="50" t="e">
        <f t="shared" si="58"/>
        <v>#VALUE!</v>
      </c>
    </row>
    <row r="201" spans="2:22" x14ac:dyDescent="0.25">
      <c r="B201" s="50" t="b">
        <f t="shared" si="45"/>
        <v>0</v>
      </c>
      <c r="C201" s="50" t="e">
        <f t="shared" si="46"/>
        <v>#VALUE!</v>
      </c>
      <c r="E201" s="56">
        <v>198</v>
      </c>
      <c r="G201" s="138"/>
      <c r="H201" s="135">
        <v>1</v>
      </c>
      <c r="I201" s="58" t="e">
        <f t="shared" si="47"/>
        <v>#VALUE!</v>
      </c>
      <c r="J201" s="50" t="e">
        <f t="shared" si="53"/>
        <v>#VALUE!</v>
      </c>
      <c r="K201" s="50" t="e">
        <f t="shared" si="54"/>
        <v>#VALUE!</v>
      </c>
      <c r="L201" s="50" t="e">
        <f t="shared" si="54"/>
        <v>#VALUE!</v>
      </c>
      <c r="M201" s="50" t="e">
        <f t="shared" si="48"/>
        <v>#VALUE!</v>
      </c>
      <c r="N201" s="50" t="e">
        <f t="shared" si="49"/>
        <v>#VALUE!</v>
      </c>
      <c r="O201" s="50">
        <f t="shared" si="50"/>
        <v>0</v>
      </c>
      <c r="Q201" s="55" t="e">
        <f t="shared" si="51"/>
        <v>#VALUE!</v>
      </c>
      <c r="R201" s="55" t="e">
        <f t="shared" si="55"/>
        <v>#VALUE!</v>
      </c>
      <c r="S201" s="55" t="e">
        <f t="shared" si="52"/>
        <v>#VALUE!</v>
      </c>
      <c r="T201" s="50" t="e">
        <f t="shared" si="56"/>
        <v>#VALUE!</v>
      </c>
      <c r="U201" s="50" t="e">
        <f t="shared" si="57"/>
        <v>#VALUE!</v>
      </c>
      <c r="V201" s="50" t="e">
        <f t="shared" si="58"/>
        <v>#VALUE!</v>
      </c>
    </row>
    <row r="202" spans="2:22" x14ac:dyDescent="0.25">
      <c r="B202" s="50" t="b">
        <f t="shared" si="45"/>
        <v>0</v>
      </c>
      <c r="C202" s="50" t="e">
        <f t="shared" si="46"/>
        <v>#VALUE!</v>
      </c>
      <c r="E202" s="56">
        <v>199</v>
      </c>
      <c r="G202" s="138"/>
      <c r="H202" s="135">
        <v>1</v>
      </c>
      <c r="I202" s="58" t="e">
        <f t="shared" si="47"/>
        <v>#VALUE!</v>
      </c>
      <c r="J202" s="50" t="e">
        <f t="shared" si="53"/>
        <v>#VALUE!</v>
      </c>
      <c r="K202" s="50" t="e">
        <f t="shared" si="54"/>
        <v>#VALUE!</v>
      </c>
      <c r="L202" s="50" t="e">
        <f t="shared" si="54"/>
        <v>#VALUE!</v>
      </c>
      <c r="M202" s="50" t="e">
        <f t="shared" si="48"/>
        <v>#VALUE!</v>
      </c>
      <c r="N202" s="50" t="e">
        <f t="shared" si="49"/>
        <v>#VALUE!</v>
      </c>
      <c r="O202" s="50">
        <f t="shared" si="50"/>
        <v>0</v>
      </c>
      <c r="Q202" s="55" t="e">
        <f t="shared" si="51"/>
        <v>#VALUE!</v>
      </c>
      <c r="R202" s="55" t="e">
        <f t="shared" si="55"/>
        <v>#VALUE!</v>
      </c>
      <c r="S202" s="55" t="e">
        <f t="shared" si="52"/>
        <v>#VALUE!</v>
      </c>
      <c r="T202" s="50" t="e">
        <f t="shared" si="56"/>
        <v>#VALUE!</v>
      </c>
      <c r="U202" s="50" t="e">
        <f t="shared" si="57"/>
        <v>#VALUE!</v>
      </c>
      <c r="V202" s="50" t="e">
        <f t="shared" si="58"/>
        <v>#VALUE!</v>
      </c>
    </row>
    <row r="203" spans="2:22" x14ac:dyDescent="0.25">
      <c r="B203" s="50" t="b">
        <f t="shared" si="45"/>
        <v>0</v>
      </c>
      <c r="C203" s="50" t="e">
        <f t="shared" si="46"/>
        <v>#VALUE!</v>
      </c>
      <c r="E203" s="56">
        <v>200</v>
      </c>
      <c r="G203" s="138"/>
      <c r="H203" s="135">
        <v>1</v>
      </c>
      <c r="I203" s="58" t="e">
        <f t="shared" si="47"/>
        <v>#VALUE!</v>
      </c>
      <c r="J203" s="50" t="e">
        <f t="shared" si="53"/>
        <v>#VALUE!</v>
      </c>
      <c r="K203" s="50" t="e">
        <f t="shared" si="54"/>
        <v>#VALUE!</v>
      </c>
      <c r="L203" s="50" t="e">
        <f t="shared" si="54"/>
        <v>#VALUE!</v>
      </c>
      <c r="M203" s="50" t="e">
        <f t="shared" si="48"/>
        <v>#VALUE!</v>
      </c>
      <c r="N203" s="50" t="e">
        <f t="shared" si="49"/>
        <v>#VALUE!</v>
      </c>
      <c r="O203" s="50">
        <f t="shared" si="50"/>
        <v>0</v>
      </c>
      <c r="Q203" s="55" t="e">
        <f t="shared" si="51"/>
        <v>#VALUE!</v>
      </c>
      <c r="R203" s="55" t="e">
        <f t="shared" si="55"/>
        <v>#VALUE!</v>
      </c>
      <c r="S203" s="55" t="e">
        <f t="shared" si="52"/>
        <v>#VALUE!</v>
      </c>
      <c r="T203" s="50" t="e">
        <f t="shared" si="56"/>
        <v>#VALUE!</v>
      </c>
      <c r="U203" s="50" t="e">
        <f t="shared" si="57"/>
        <v>#VALUE!</v>
      </c>
      <c r="V203" s="50" t="e">
        <f t="shared" si="58"/>
        <v>#VALUE!</v>
      </c>
    </row>
    <row r="204" spans="2:22" x14ac:dyDescent="0.25">
      <c r="B204" s="50" t="b">
        <f t="shared" si="45"/>
        <v>0</v>
      </c>
      <c r="C204" s="50" t="e">
        <f t="shared" si="46"/>
        <v>#VALUE!</v>
      </c>
      <c r="E204" s="56">
        <v>201</v>
      </c>
      <c r="G204" s="138"/>
      <c r="H204" s="135">
        <v>1</v>
      </c>
      <c r="I204" s="58" t="e">
        <f t="shared" si="47"/>
        <v>#VALUE!</v>
      </c>
      <c r="J204" s="50" t="e">
        <f t="shared" si="53"/>
        <v>#VALUE!</v>
      </c>
      <c r="K204" s="50" t="e">
        <f t="shared" si="54"/>
        <v>#VALUE!</v>
      </c>
      <c r="L204" s="50" t="e">
        <f t="shared" si="54"/>
        <v>#VALUE!</v>
      </c>
      <c r="M204" s="50" t="e">
        <f t="shared" si="48"/>
        <v>#VALUE!</v>
      </c>
      <c r="N204" s="50" t="e">
        <f t="shared" si="49"/>
        <v>#VALUE!</v>
      </c>
      <c r="O204" s="50">
        <f t="shared" si="50"/>
        <v>0</v>
      </c>
      <c r="Q204" s="55" t="e">
        <f t="shared" si="51"/>
        <v>#VALUE!</v>
      </c>
      <c r="R204" s="55" t="e">
        <f t="shared" si="55"/>
        <v>#VALUE!</v>
      </c>
      <c r="S204" s="55" t="e">
        <f t="shared" si="52"/>
        <v>#VALUE!</v>
      </c>
      <c r="T204" s="50" t="e">
        <f t="shared" si="56"/>
        <v>#VALUE!</v>
      </c>
      <c r="U204" s="50" t="e">
        <f t="shared" si="57"/>
        <v>#VALUE!</v>
      </c>
      <c r="V204" s="50" t="e">
        <f t="shared" si="58"/>
        <v>#VALUE!</v>
      </c>
    </row>
    <row r="205" spans="2:22" x14ac:dyDescent="0.25">
      <c r="B205" s="50" t="b">
        <f t="shared" si="45"/>
        <v>0</v>
      </c>
      <c r="C205" s="50" t="e">
        <f t="shared" si="46"/>
        <v>#VALUE!</v>
      </c>
      <c r="E205" s="56">
        <v>202</v>
      </c>
      <c r="G205" s="138"/>
      <c r="H205" s="135">
        <v>1</v>
      </c>
      <c r="I205" s="58" t="e">
        <f t="shared" si="47"/>
        <v>#VALUE!</v>
      </c>
      <c r="J205" s="50" t="e">
        <f t="shared" si="53"/>
        <v>#VALUE!</v>
      </c>
      <c r="K205" s="50" t="e">
        <f t="shared" si="54"/>
        <v>#VALUE!</v>
      </c>
      <c r="L205" s="50" t="e">
        <f t="shared" si="54"/>
        <v>#VALUE!</v>
      </c>
      <c r="M205" s="50" t="e">
        <f t="shared" si="48"/>
        <v>#VALUE!</v>
      </c>
      <c r="N205" s="50" t="e">
        <f t="shared" si="49"/>
        <v>#VALUE!</v>
      </c>
      <c r="O205" s="50">
        <f t="shared" si="50"/>
        <v>0</v>
      </c>
      <c r="Q205" s="55" t="e">
        <f t="shared" si="51"/>
        <v>#VALUE!</v>
      </c>
      <c r="R205" s="55" t="e">
        <f t="shared" si="55"/>
        <v>#VALUE!</v>
      </c>
      <c r="S205" s="55" t="e">
        <f t="shared" si="52"/>
        <v>#VALUE!</v>
      </c>
      <c r="T205" s="50" t="e">
        <f t="shared" si="56"/>
        <v>#VALUE!</v>
      </c>
      <c r="U205" s="50" t="e">
        <f t="shared" si="57"/>
        <v>#VALUE!</v>
      </c>
      <c r="V205" s="50" t="e">
        <f t="shared" si="58"/>
        <v>#VALUE!</v>
      </c>
    </row>
    <row r="206" spans="2:22" x14ac:dyDescent="0.25">
      <c r="B206" s="50" t="b">
        <f t="shared" ref="B206:B269" si="59">ISNUMBER(C206)</f>
        <v>0</v>
      </c>
      <c r="C206" s="50" t="e">
        <f t="shared" ref="C206:C245" si="60">SUM(T206:V206)</f>
        <v>#VALUE!</v>
      </c>
      <c r="E206" s="56">
        <v>203</v>
      </c>
      <c r="G206" s="138"/>
      <c r="H206" s="135">
        <v>1</v>
      </c>
      <c r="I206" s="58" t="e">
        <f t="shared" si="47"/>
        <v>#VALUE!</v>
      </c>
      <c r="J206" s="50" t="e">
        <f t="shared" si="53"/>
        <v>#VALUE!</v>
      </c>
      <c r="K206" s="50" t="e">
        <f t="shared" si="54"/>
        <v>#VALUE!</v>
      </c>
      <c r="L206" s="50" t="e">
        <f t="shared" si="54"/>
        <v>#VALUE!</v>
      </c>
      <c r="M206" s="50" t="e">
        <f t="shared" si="48"/>
        <v>#VALUE!</v>
      </c>
      <c r="N206" s="50" t="e">
        <f t="shared" si="49"/>
        <v>#VALUE!</v>
      </c>
      <c r="O206" s="50">
        <f t="shared" si="50"/>
        <v>0</v>
      </c>
      <c r="Q206" s="55" t="e">
        <f t="shared" si="51"/>
        <v>#VALUE!</v>
      </c>
      <c r="R206" s="55" t="e">
        <f t="shared" si="55"/>
        <v>#VALUE!</v>
      </c>
      <c r="S206" s="55" t="e">
        <f t="shared" si="52"/>
        <v>#VALUE!</v>
      </c>
      <c r="T206" s="50" t="e">
        <f t="shared" si="56"/>
        <v>#VALUE!</v>
      </c>
      <c r="U206" s="50" t="e">
        <f t="shared" si="57"/>
        <v>#VALUE!</v>
      </c>
      <c r="V206" s="50" t="e">
        <f t="shared" si="58"/>
        <v>#VALUE!</v>
      </c>
    </row>
    <row r="207" spans="2:22" x14ac:dyDescent="0.25">
      <c r="B207" s="50" t="b">
        <f t="shared" si="59"/>
        <v>0</v>
      </c>
      <c r="C207" s="50" t="e">
        <f t="shared" si="60"/>
        <v>#VALUE!</v>
      </c>
      <c r="E207" s="56">
        <v>204</v>
      </c>
      <c r="G207" s="138"/>
      <c r="H207" s="135">
        <v>1</v>
      </c>
      <c r="I207" s="58" t="e">
        <f t="shared" si="47"/>
        <v>#VALUE!</v>
      </c>
      <c r="J207" s="50" t="e">
        <f t="shared" si="53"/>
        <v>#VALUE!</v>
      </c>
      <c r="K207" s="50" t="e">
        <f t="shared" si="54"/>
        <v>#VALUE!</v>
      </c>
      <c r="L207" s="50" t="e">
        <f t="shared" si="54"/>
        <v>#VALUE!</v>
      </c>
      <c r="M207" s="50" t="e">
        <f t="shared" si="48"/>
        <v>#VALUE!</v>
      </c>
      <c r="N207" s="50" t="e">
        <f t="shared" si="49"/>
        <v>#VALUE!</v>
      </c>
      <c r="O207" s="50">
        <f t="shared" si="50"/>
        <v>0</v>
      </c>
      <c r="Q207" s="55" t="e">
        <f t="shared" si="51"/>
        <v>#VALUE!</v>
      </c>
      <c r="R207" s="55" t="e">
        <f t="shared" si="55"/>
        <v>#VALUE!</v>
      </c>
      <c r="S207" s="55" t="e">
        <f t="shared" si="52"/>
        <v>#VALUE!</v>
      </c>
      <c r="T207" s="50" t="e">
        <f t="shared" si="56"/>
        <v>#VALUE!</v>
      </c>
      <c r="U207" s="50" t="e">
        <f t="shared" si="57"/>
        <v>#VALUE!</v>
      </c>
      <c r="V207" s="50" t="e">
        <f t="shared" si="58"/>
        <v>#VALUE!</v>
      </c>
    </row>
    <row r="208" spans="2:22" x14ac:dyDescent="0.25">
      <c r="B208" s="50" t="b">
        <f t="shared" si="59"/>
        <v>0</v>
      </c>
      <c r="C208" s="50" t="e">
        <f t="shared" si="60"/>
        <v>#VALUE!</v>
      </c>
      <c r="E208" s="56">
        <v>205</v>
      </c>
      <c r="G208" s="138"/>
      <c r="H208" s="135">
        <v>1</v>
      </c>
      <c r="I208" s="58" t="e">
        <f t="shared" si="47"/>
        <v>#VALUE!</v>
      </c>
      <c r="J208" s="50" t="e">
        <f t="shared" si="53"/>
        <v>#VALUE!</v>
      </c>
      <c r="K208" s="50" t="e">
        <f t="shared" si="54"/>
        <v>#VALUE!</v>
      </c>
      <c r="L208" s="50" t="e">
        <f t="shared" si="54"/>
        <v>#VALUE!</v>
      </c>
      <c r="M208" s="50" t="e">
        <f t="shared" si="48"/>
        <v>#VALUE!</v>
      </c>
      <c r="N208" s="50" t="e">
        <f t="shared" si="49"/>
        <v>#VALUE!</v>
      </c>
      <c r="O208" s="50">
        <f t="shared" si="50"/>
        <v>0</v>
      </c>
      <c r="Q208" s="55" t="e">
        <f t="shared" si="51"/>
        <v>#VALUE!</v>
      </c>
      <c r="R208" s="55" t="e">
        <f t="shared" si="55"/>
        <v>#VALUE!</v>
      </c>
      <c r="S208" s="55" t="e">
        <f t="shared" si="52"/>
        <v>#VALUE!</v>
      </c>
      <c r="T208" s="50" t="e">
        <f t="shared" si="56"/>
        <v>#VALUE!</v>
      </c>
      <c r="U208" s="50" t="e">
        <f t="shared" si="57"/>
        <v>#VALUE!</v>
      </c>
      <c r="V208" s="50" t="e">
        <f t="shared" si="58"/>
        <v>#VALUE!</v>
      </c>
    </row>
    <row r="209" spans="2:22" x14ac:dyDescent="0.25">
      <c r="B209" s="50" t="b">
        <f t="shared" si="59"/>
        <v>0</v>
      </c>
      <c r="C209" s="50" t="e">
        <f t="shared" si="60"/>
        <v>#VALUE!</v>
      </c>
      <c r="E209" s="56">
        <v>206</v>
      </c>
      <c r="G209" s="138"/>
      <c r="H209" s="135">
        <v>1</v>
      </c>
      <c r="I209" s="58" t="e">
        <f t="shared" si="47"/>
        <v>#VALUE!</v>
      </c>
      <c r="J209" s="50" t="e">
        <f t="shared" si="53"/>
        <v>#VALUE!</v>
      </c>
      <c r="K209" s="50" t="e">
        <f t="shared" si="54"/>
        <v>#VALUE!</v>
      </c>
      <c r="L209" s="50" t="e">
        <f t="shared" si="54"/>
        <v>#VALUE!</v>
      </c>
      <c r="M209" s="50" t="e">
        <f t="shared" si="48"/>
        <v>#VALUE!</v>
      </c>
      <c r="N209" s="50" t="e">
        <f t="shared" si="49"/>
        <v>#VALUE!</v>
      </c>
      <c r="O209" s="50">
        <f t="shared" si="50"/>
        <v>0</v>
      </c>
      <c r="Q209" s="55" t="e">
        <f t="shared" si="51"/>
        <v>#VALUE!</v>
      </c>
      <c r="R209" s="55" t="e">
        <f t="shared" si="55"/>
        <v>#VALUE!</v>
      </c>
      <c r="S209" s="55" t="e">
        <f t="shared" si="52"/>
        <v>#VALUE!</v>
      </c>
      <c r="T209" s="50" t="e">
        <f t="shared" si="56"/>
        <v>#VALUE!</v>
      </c>
      <c r="U209" s="50" t="e">
        <f t="shared" si="57"/>
        <v>#VALUE!</v>
      </c>
      <c r="V209" s="50" t="e">
        <f t="shared" si="58"/>
        <v>#VALUE!</v>
      </c>
    </row>
    <row r="210" spans="2:22" x14ac:dyDescent="0.25">
      <c r="B210" s="50" t="b">
        <f t="shared" si="59"/>
        <v>0</v>
      </c>
      <c r="C210" s="50" t="e">
        <f t="shared" si="60"/>
        <v>#VALUE!</v>
      </c>
      <c r="E210" s="56">
        <v>207</v>
      </c>
      <c r="G210" s="138"/>
      <c r="H210" s="135">
        <v>1</v>
      </c>
      <c r="I210" s="58" t="e">
        <f t="shared" si="47"/>
        <v>#VALUE!</v>
      </c>
      <c r="J210" s="50" t="e">
        <f t="shared" si="53"/>
        <v>#VALUE!</v>
      </c>
      <c r="K210" s="50" t="e">
        <f t="shared" si="54"/>
        <v>#VALUE!</v>
      </c>
      <c r="L210" s="50" t="e">
        <f t="shared" si="54"/>
        <v>#VALUE!</v>
      </c>
      <c r="M210" s="50" t="e">
        <f t="shared" si="48"/>
        <v>#VALUE!</v>
      </c>
      <c r="N210" s="50" t="e">
        <f t="shared" si="49"/>
        <v>#VALUE!</v>
      </c>
      <c r="O210" s="50">
        <f t="shared" si="50"/>
        <v>0</v>
      </c>
      <c r="Q210" s="55" t="e">
        <f t="shared" si="51"/>
        <v>#VALUE!</v>
      </c>
      <c r="R210" s="55" t="e">
        <f t="shared" si="55"/>
        <v>#VALUE!</v>
      </c>
      <c r="S210" s="55" t="e">
        <f t="shared" si="52"/>
        <v>#VALUE!</v>
      </c>
      <c r="T210" s="50" t="e">
        <f t="shared" si="56"/>
        <v>#VALUE!</v>
      </c>
      <c r="U210" s="50" t="e">
        <f t="shared" si="57"/>
        <v>#VALUE!</v>
      </c>
      <c r="V210" s="50" t="e">
        <f t="shared" si="58"/>
        <v>#VALUE!</v>
      </c>
    </row>
    <row r="211" spans="2:22" x14ac:dyDescent="0.25">
      <c r="B211" s="50" t="b">
        <f t="shared" si="59"/>
        <v>0</v>
      </c>
      <c r="C211" s="50" t="e">
        <f t="shared" si="60"/>
        <v>#VALUE!</v>
      </c>
      <c r="E211" s="56">
        <v>208</v>
      </c>
      <c r="G211" s="138"/>
      <c r="H211" s="135">
        <v>1</v>
      </c>
      <c r="I211" s="58" t="e">
        <f t="shared" si="47"/>
        <v>#VALUE!</v>
      </c>
      <c r="J211" s="50" t="e">
        <f t="shared" si="53"/>
        <v>#VALUE!</v>
      </c>
      <c r="K211" s="50" t="e">
        <f t="shared" si="54"/>
        <v>#VALUE!</v>
      </c>
      <c r="L211" s="50" t="e">
        <f t="shared" si="54"/>
        <v>#VALUE!</v>
      </c>
      <c r="M211" s="50" t="e">
        <f t="shared" si="48"/>
        <v>#VALUE!</v>
      </c>
      <c r="N211" s="50" t="e">
        <f t="shared" si="49"/>
        <v>#VALUE!</v>
      </c>
      <c r="O211" s="50">
        <f t="shared" si="50"/>
        <v>0</v>
      </c>
      <c r="Q211" s="55" t="e">
        <f t="shared" si="51"/>
        <v>#VALUE!</v>
      </c>
      <c r="R211" s="55" t="e">
        <f t="shared" si="55"/>
        <v>#VALUE!</v>
      </c>
      <c r="S211" s="55" t="e">
        <f t="shared" si="52"/>
        <v>#VALUE!</v>
      </c>
      <c r="T211" s="50" t="e">
        <f t="shared" si="56"/>
        <v>#VALUE!</v>
      </c>
      <c r="U211" s="50" t="e">
        <f t="shared" si="57"/>
        <v>#VALUE!</v>
      </c>
      <c r="V211" s="50" t="e">
        <f t="shared" si="58"/>
        <v>#VALUE!</v>
      </c>
    </row>
    <row r="212" spans="2:22" x14ac:dyDescent="0.25">
      <c r="B212" s="50" t="b">
        <f t="shared" si="59"/>
        <v>0</v>
      </c>
      <c r="C212" s="50" t="e">
        <f t="shared" si="60"/>
        <v>#VALUE!</v>
      </c>
      <c r="E212" s="56">
        <v>209</v>
      </c>
      <c r="G212" s="138"/>
      <c r="H212" s="135">
        <v>1</v>
      </c>
      <c r="I212" s="58" t="e">
        <f t="shared" si="47"/>
        <v>#VALUE!</v>
      </c>
      <c r="J212" s="50" t="e">
        <f t="shared" si="53"/>
        <v>#VALUE!</v>
      </c>
      <c r="K212" s="50" t="e">
        <f t="shared" si="54"/>
        <v>#VALUE!</v>
      </c>
      <c r="L212" s="50" t="e">
        <f t="shared" si="54"/>
        <v>#VALUE!</v>
      </c>
      <c r="M212" s="50" t="e">
        <f t="shared" si="48"/>
        <v>#VALUE!</v>
      </c>
      <c r="N212" s="50" t="e">
        <f t="shared" si="49"/>
        <v>#VALUE!</v>
      </c>
      <c r="O212" s="50">
        <f t="shared" si="50"/>
        <v>0</v>
      </c>
      <c r="Q212" s="55" t="e">
        <f t="shared" si="51"/>
        <v>#VALUE!</v>
      </c>
      <c r="R212" s="55" t="e">
        <f t="shared" si="55"/>
        <v>#VALUE!</v>
      </c>
      <c r="S212" s="55" t="e">
        <f t="shared" si="52"/>
        <v>#VALUE!</v>
      </c>
      <c r="T212" s="50" t="e">
        <f t="shared" si="56"/>
        <v>#VALUE!</v>
      </c>
      <c r="U212" s="50" t="e">
        <f t="shared" si="57"/>
        <v>#VALUE!</v>
      </c>
      <c r="V212" s="50" t="e">
        <f t="shared" si="58"/>
        <v>#VALUE!</v>
      </c>
    </row>
    <row r="213" spans="2:22" x14ac:dyDescent="0.25">
      <c r="B213" s="50" t="b">
        <f t="shared" si="59"/>
        <v>0</v>
      </c>
      <c r="C213" s="50" t="e">
        <f t="shared" si="60"/>
        <v>#VALUE!</v>
      </c>
      <c r="E213" s="56">
        <v>210</v>
      </c>
      <c r="G213" s="138"/>
      <c r="H213" s="135">
        <v>1</v>
      </c>
      <c r="I213" s="58" t="e">
        <f t="shared" si="47"/>
        <v>#VALUE!</v>
      </c>
      <c r="J213" s="50" t="e">
        <f t="shared" si="53"/>
        <v>#VALUE!</v>
      </c>
      <c r="K213" s="50" t="e">
        <f t="shared" si="54"/>
        <v>#VALUE!</v>
      </c>
      <c r="L213" s="50" t="e">
        <f t="shared" si="54"/>
        <v>#VALUE!</v>
      </c>
      <c r="M213" s="50" t="e">
        <f t="shared" si="48"/>
        <v>#VALUE!</v>
      </c>
      <c r="N213" s="50" t="e">
        <f t="shared" si="49"/>
        <v>#VALUE!</v>
      </c>
      <c r="O213" s="50">
        <f t="shared" si="50"/>
        <v>0</v>
      </c>
      <c r="Q213" s="55" t="e">
        <f t="shared" si="51"/>
        <v>#VALUE!</v>
      </c>
      <c r="R213" s="55" t="e">
        <f t="shared" si="55"/>
        <v>#VALUE!</v>
      </c>
      <c r="S213" s="55" t="e">
        <f t="shared" si="52"/>
        <v>#VALUE!</v>
      </c>
      <c r="T213" s="50" t="e">
        <f t="shared" si="56"/>
        <v>#VALUE!</v>
      </c>
      <c r="U213" s="50" t="e">
        <f t="shared" si="57"/>
        <v>#VALUE!</v>
      </c>
      <c r="V213" s="50" t="e">
        <f t="shared" si="58"/>
        <v>#VALUE!</v>
      </c>
    </row>
    <row r="214" spans="2:22" x14ac:dyDescent="0.25">
      <c r="B214" s="50" t="b">
        <f t="shared" si="59"/>
        <v>0</v>
      </c>
      <c r="C214" s="50" t="e">
        <f t="shared" si="60"/>
        <v>#VALUE!</v>
      </c>
      <c r="E214" s="56">
        <v>211</v>
      </c>
      <c r="G214" s="138"/>
      <c r="H214" s="135">
        <v>1</v>
      </c>
      <c r="I214" s="58" t="e">
        <f t="shared" si="47"/>
        <v>#VALUE!</v>
      </c>
      <c r="J214" s="50" t="e">
        <f t="shared" si="53"/>
        <v>#VALUE!</v>
      </c>
      <c r="K214" s="50" t="e">
        <f t="shared" si="54"/>
        <v>#VALUE!</v>
      </c>
      <c r="L214" s="50" t="e">
        <f t="shared" si="54"/>
        <v>#VALUE!</v>
      </c>
      <c r="M214" s="50" t="e">
        <f t="shared" si="48"/>
        <v>#VALUE!</v>
      </c>
      <c r="N214" s="50" t="e">
        <f t="shared" si="49"/>
        <v>#VALUE!</v>
      </c>
      <c r="O214" s="50">
        <f t="shared" si="50"/>
        <v>0</v>
      </c>
      <c r="Q214" s="55" t="e">
        <f t="shared" si="51"/>
        <v>#VALUE!</v>
      </c>
      <c r="R214" s="55" t="e">
        <f t="shared" si="55"/>
        <v>#VALUE!</v>
      </c>
      <c r="S214" s="55" t="e">
        <f t="shared" si="52"/>
        <v>#VALUE!</v>
      </c>
      <c r="T214" s="50" t="e">
        <f t="shared" si="56"/>
        <v>#VALUE!</v>
      </c>
      <c r="U214" s="50" t="e">
        <f t="shared" si="57"/>
        <v>#VALUE!</v>
      </c>
      <c r="V214" s="50" t="e">
        <f t="shared" si="58"/>
        <v>#VALUE!</v>
      </c>
    </row>
    <row r="215" spans="2:22" x14ac:dyDescent="0.25">
      <c r="B215" s="50" t="b">
        <f t="shared" si="59"/>
        <v>0</v>
      </c>
      <c r="C215" s="50" t="e">
        <f t="shared" si="60"/>
        <v>#VALUE!</v>
      </c>
      <c r="E215" s="56">
        <v>212</v>
      </c>
      <c r="G215" s="138"/>
      <c r="H215" s="135">
        <v>1</v>
      </c>
      <c r="I215" s="58" t="e">
        <f t="shared" si="47"/>
        <v>#VALUE!</v>
      </c>
      <c r="J215" s="50" t="e">
        <f t="shared" si="53"/>
        <v>#VALUE!</v>
      </c>
      <c r="K215" s="50" t="e">
        <f t="shared" si="54"/>
        <v>#VALUE!</v>
      </c>
      <c r="L215" s="50" t="e">
        <f t="shared" si="54"/>
        <v>#VALUE!</v>
      </c>
      <c r="M215" s="50" t="e">
        <f t="shared" si="48"/>
        <v>#VALUE!</v>
      </c>
      <c r="N215" s="50" t="e">
        <f t="shared" si="49"/>
        <v>#VALUE!</v>
      </c>
      <c r="O215" s="50">
        <f t="shared" si="50"/>
        <v>0</v>
      </c>
      <c r="Q215" s="55" t="e">
        <f t="shared" si="51"/>
        <v>#VALUE!</v>
      </c>
      <c r="R215" s="55" t="e">
        <f t="shared" si="55"/>
        <v>#VALUE!</v>
      </c>
      <c r="S215" s="55" t="e">
        <f t="shared" si="52"/>
        <v>#VALUE!</v>
      </c>
      <c r="T215" s="50" t="e">
        <f t="shared" si="56"/>
        <v>#VALUE!</v>
      </c>
      <c r="U215" s="50" t="e">
        <f t="shared" si="57"/>
        <v>#VALUE!</v>
      </c>
      <c r="V215" s="50" t="e">
        <f t="shared" si="58"/>
        <v>#VALUE!</v>
      </c>
    </row>
    <row r="216" spans="2:22" x14ac:dyDescent="0.25">
      <c r="B216" s="50" t="b">
        <f t="shared" si="59"/>
        <v>0</v>
      </c>
      <c r="C216" s="50" t="e">
        <f t="shared" si="60"/>
        <v>#VALUE!</v>
      </c>
      <c r="E216" s="56">
        <v>213</v>
      </c>
      <c r="G216" s="138"/>
      <c r="H216" s="135">
        <v>1</v>
      </c>
      <c r="I216" s="58" t="e">
        <f t="shared" si="47"/>
        <v>#VALUE!</v>
      </c>
      <c r="J216" s="50" t="e">
        <f t="shared" si="53"/>
        <v>#VALUE!</v>
      </c>
      <c r="K216" s="50" t="e">
        <f t="shared" si="54"/>
        <v>#VALUE!</v>
      </c>
      <c r="L216" s="50" t="e">
        <f t="shared" si="54"/>
        <v>#VALUE!</v>
      </c>
      <c r="M216" s="50" t="e">
        <f t="shared" si="48"/>
        <v>#VALUE!</v>
      </c>
      <c r="N216" s="50" t="e">
        <f t="shared" si="49"/>
        <v>#VALUE!</v>
      </c>
      <c r="O216" s="50">
        <f t="shared" si="50"/>
        <v>0</v>
      </c>
      <c r="Q216" s="55" t="e">
        <f t="shared" si="51"/>
        <v>#VALUE!</v>
      </c>
      <c r="R216" s="55" t="e">
        <f t="shared" si="55"/>
        <v>#VALUE!</v>
      </c>
      <c r="S216" s="55" t="e">
        <f t="shared" si="52"/>
        <v>#VALUE!</v>
      </c>
      <c r="T216" s="50" t="e">
        <f t="shared" si="56"/>
        <v>#VALUE!</v>
      </c>
      <c r="U216" s="50" t="e">
        <f t="shared" si="57"/>
        <v>#VALUE!</v>
      </c>
      <c r="V216" s="50" t="e">
        <f t="shared" si="58"/>
        <v>#VALUE!</v>
      </c>
    </row>
    <row r="217" spans="2:22" x14ac:dyDescent="0.25">
      <c r="B217" s="50" t="b">
        <f t="shared" si="59"/>
        <v>0</v>
      </c>
      <c r="C217" s="50" t="e">
        <f t="shared" si="60"/>
        <v>#VALUE!</v>
      </c>
      <c r="E217" s="56">
        <v>214</v>
      </c>
      <c r="G217" s="138"/>
      <c r="H217" s="135">
        <v>1</v>
      </c>
      <c r="I217" s="58" t="e">
        <f t="shared" si="47"/>
        <v>#VALUE!</v>
      </c>
      <c r="J217" s="50" t="e">
        <f t="shared" si="53"/>
        <v>#VALUE!</v>
      </c>
      <c r="K217" s="50" t="e">
        <f t="shared" si="54"/>
        <v>#VALUE!</v>
      </c>
      <c r="L217" s="50" t="e">
        <f t="shared" si="54"/>
        <v>#VALUE!</v>
      </c>
      <c r="M217" s="50" t="e">
        <f t="shared" si="48"/>
        <v>#VALUE!</v>
      </c>
      <c r="N217" s="50" t="e">
        <f t="shared" si="49"/>
        <v>#VALUE!</v>
      </c>
      <c r="O217" s="50">
        <f t="shared" si="50"/>
        <v>0</v>
      </c>
      <c r="Q217" s="55" t="e">
        <f t="shared" si="51"/>
        <v>#VALUE!</v>
      </c>
      <c r="R217" s="55" t="e">
        <f t="shared" si="55"/>
        <v>#VALUE!</v>
      </c>
      <c r="S217" s="55" t="e">
        <f t="shared" si="52"/>
        <v>#VALUE!</v>
      </c>
      <c r="T217" s="50" t="e">
        <f t="shared" si="56"/>
        <v>#VALUE!</v>
      </c>
      <c r="U217" s="50" t="e">
        <f t="shared" si="57"/>
        <v>#VALUE!</v>
      </c>
      <c r="V217" s="50" t="e">
        <f t="shared" si="58"/>
        <v>#VALUE!</v>
      </c>
    </row>
    <row r="218" spans="2:22" x14ac:dyDescent="0.25">
      <c r="B218" s="50" t="b">
        <f t="shared" si="59"/>
        <v>0</v>
      </c>
      <c r="C218" s="50" t="e">
        <f t="shared" si="60"/>
        <v>#VALUE!</v>
      </c>
      <c r="E218" s="56">
        <v>215</v>
      </c>
      <c r="G218" s="138"/>
      <c r="H218" s="135">
        <v>1</v>
      </c>
      <c r="I218" s="58" t="e">
        <f t="shared" si="47"/>
        <v>#VALUE!</v>
      </c>
      <c r="J218" s="50" t="e">
        <f t="shared" si="53"/>
        <v>#VALUE!</v>
      </c>
      <c r="K218" s="50" t="e">
        <f t="shared" si="54"/>
        <v>#VALUE!</v>
      </c>
      <c r="L218" s="50" t="e">
        <f t="shared" si="54"/>
        <v>#VALUE!</v>
      </c>
      <c r="M218" s="50" t="e">
        <f t="shared" si="48"/>
        <v>#VALUE!</v>
      </c>
      <c r="N218" s="50" t="e">
        <f t="shared" si="49"/>
        <v>#VALUE!</v>
      </c>
      <c r="O218" s="50">
        <f t="shared" si="50"/>
        <v>0</v>
      </c>
      <c r="Q218" s="55" t="e">
        <f t="shared" si="51"/>
        <v>#VALUE!</v>
      </c>
      <c r="R218" s="55" t="e">
        <f t="shared" si="55"/>
        <v>#VALUE!</v>
      </c>
      <c r="S218" s="55" t="e">
        <f t="shared" si="52"/>
        <v>#VALUE!</v>
      </c>
      <c r="T218" s="50" t="e">
        <f t="shared" si="56"/>
        <v>#VALUE!</v>
      </c>
      <c r="U218" s="50" t="e">
        <f t="shared" si="57"/>
        <v>#VALUE!</v>
      </c>
      <c r="V218" s="50" t="e">
        <f t="shared" si="58"/>
        <v>#VALUE!</v>
      </c>
    </row>
    <row r="219" spans="2:22" x14ac:dyDescent="0.25">
      <c r="B219" s="50" t="b">
        <f t="shared" si="59"/>
        <v>0</v>
      </c>
      <c r="C219" s="50" t="e">
        <f t="shared" si="60"/>
        <v>#VALUE!</v>
      </c>
      <c r="E219" s="56">
        <v>216</v>
      </c>
      <c r="G219" s="138"/>
      <c r="H219" s="135">
        <v>1</v>
      </c>
      <c r="I219" s="58" t="e">
        <f t="shared" si="47"/>
        <v>#VALUE!</v>
      </c>
      <c r="J219" s="50" t="e">
        <f t="shared" si="53"/>
        <v>#VALUE!</v>
      </c>
      <c r="K219" s="50" t="e">
        <f t="shared" si="54"/>
        <v>#VALUE!</v>
      </c>
      <c r="L219" s="50" t="e">
        <f t="shared" si="54"/>
        <v>#VALUE!</v>
      </c>
      <c r="M219" s="50" t="e">
        <f t="shared" si="48"/>
        <v>#VALUE!</v>
      </c>
      <c r="N219" s="50" t="e">
        <f t="shared" si="49"/>
        <v>#VALUE!</v>
      </c>
      <c r="O219" s="50">
        <f t="shared" si="50"/>
        <v>0</v>
      </c>
      <c r="Q219" s="55" t="e">
        <f t="shared" si="51"/>
        <v>#VALUE!</v>
      </c>
      <c r="R219" s="55" t="e">
        <f t="shared" si="55"/>
        <v>#VALUE!</v>
      </c>
      <c r="S219" s="55" t="e">
        <f t="shared" si="52"/>
        <v>#VALUE!</v>
      </c>
      <c r="T219" s="50" t="e">
        <f t="shared" si="56"/>
        <v>#VALUE!</v>
      </c>
      <c r="U219" s="50" t="e">
        <f t="shared" si="57"/>
        <v>#VALUE!</v>
      </c>
      <c r="V219" s="50" t="e">
        <f t="shared" si="58"/>
        <v>#VALUE!</v>
      </c>
    </row>
    <row r="220" spans="2:22" x14ac:dyDescent="0.25">
      <c r="B220" s="50" t="b">
        <f t="shared" si="59"/>
        <v>0</v>
      </c>
      <c r="C220" s="50" t="e">
        <f t="shared" si="60"/>
        <v>#VALUE!</v>
      </c>
      <c r="E220" s="56">
        <v>217</v>
      </c>
      <c r="G220" s="138"/>
      <c r="H220" s="135">
        <v>1</v>
      </c>
      <c r="I220" s="58" t="e">
        <f t="shared" si="47"/>
        <v>#VALUE!</v>
      </c>
      <c r="J220" s="50" t="e">
        <f t="shared" si="53"/>
        <v>#VALUE!</v>
      </c>
      <c r="K220" s="50" t="e">
        <f t="shared" si="54"/>
        <v>#VALUE!</v>
      </c>
      <c r="L220" s="50" t="e">
        <f t="shared" si="54"/>
        <v>#VALUE!</v>
      </c>
      <c r="M220" s="50" t="e">
        <f t="shared" si="48"/>
        <v>#VALUE!</v>
      </c>
      <c r="N220" s="50" t="e">
        <f t="shared" si="49"/>
        <v>#VALUE!</v>
      </c>
      <c r="O220" s="50">
        <f t="shared" si="50"/>
        <v>0</v>
      </c>
      <c r="Q220" s="55" t="e">
        <f t="shared" si="51"/>
        <v>#VALUE!</v>
      </c>
      <c r="R220" s="55" t="e">
        <f t="shared" si="55"/>
        <v>#VALUE!</v>
      </c>
      <c r="S220" s="55" t="e">
        <f t="shared" si="52"/>
        <v>#VALUE!</v>
      </c>
      <c r="T220" s="50" t="e">
        <f t="shared" si="56"/>
        <v>#VALUE!</v>
      </c>
      <c r="U220" s="50" t="e">
        <f t="shared" si="57"/>
        <v>#VALUE!</v>
      </c>
      <c r="V220" s="50" t="e">
        <f t="shared" si="58"/>
        <v>#VALUE!</v>
      </c>
    </row>
    <row r="221" spans="2:22" x14ac:dyDescent="0.25">
      <c r="B221" s="50" t="b">
        <f t="shared" si="59"/>
        <v>0</v>
      </c>
      <c r="C221" s="50" t="e">
        <f t="shared" si="60"/>
        <v>#VALUE!</v>
      </c>
      <c r="E221" s="56">
        <v>218</v>
      </c>
      <c r="G221" s="138"/>
      <c r="H221" s="135">
        <v>1</v>
      </c>
      <c r="I221" s="58" t="e">
        <f t="shared" si="47"/>
        <v>#VALUE!</v>
      </c>
      <c r="J221" s="50" t="e">
        <f t="shared" si="53"/>
        <v>#VALUE!</v>
      </c>
      <c r="K221" s="50" t="e">
        <f t="shared" si="54"/>
        <v>#VALUE!</v>
      </c>
      <c r="L221" s="50" t="e">
        <f t="shared" si="54"/>
        <v>#VALUE!</v>
      </c>
      <c r="M221" s="50" t="e">
        <f t="shared" si="48"/>
        <v>#VALUE!</v>
      </c>
      <c r="N221" s="50" t="e">
        <f t="shared" si="49"/>
        <v>#VALUE!</v>
      </c>
      <c r="O221" s="50">
        <f t="shared" si="50"/>
        <v>0</v>
      </c>
      <c r="Q221" s="55" t="e">
        <f t="shared" si="51"/>
        <v>#VALUE!</v>
      </c>
      <c r="R221" s="55" t="e">
        <f t="shared" si="55"/>
        <v>#VALUE!</v>
      </c>
      <c r="S221" s="55" t="e">
        <f t="shared" si="52"/>
        <v>#VALUE!</v>
      </c>
      <c r="T221" s="50" t="e">
        <f t="shared" si="56"/>
        <v>#VALUE!</v>
      </c>
      <c r="U221" s="50" t="e">
        <f t="shared" si="57"/>
        <v>#VALUE!</v>
      </c>
      <c r="V221" s="50" t="e">
        <f t="shared" si="58"/>
        <v>#VALUE!</v>
      </c>
    </row>
    <row r="222" spans="2:22" x14ac:dyDescent="0.25">
      <c r="B222" s="50" t="b">
        <f t="shared" si="59"/>
        <v>0</v>
      </c>
      <c r="C222" s="50" t="e">
        <f t="shared" si="60"/>
        <v>#VALUE!</v>
      </c>
      <c r="E222" s="56">
        <v>219</v>
      </c>
      <c r="G222" s="138"/>
      <c r="H222" s="135">
        <v>1</v>
      </c>
      <c r="I222" s="58" t="e">
        <f t="shared" si="47"/>
        <v>#VALUE!</v>
      </c>
      <c r="J222" s="50" t="e">
        <f t="shared" si="53"/>
        <v>#VALUE!</v>
      </c>
      <c r="K222" s="50" t="e">
        <f t="shared" si="54"/>
        <v>#VALUE!</v>
      </c>
      <c r="L222" s="50" t="e">
        <f t="shared" si="54"/>
        <v>#VALUE!</v>
      </c>
      <c r="M222" s="50" t="e">
        <f t="shared" si="48"/>
        <v>#VALUE!</v>
      </c>
      <c r="N222" s="50" t="e">
        <f t="shared" si="49"/>
        <v>#VALUE!</v>
      </c>
      <c r="O222" s="50">
        <f t="shared" si="50"/>
        <v>0</v>
      </c>
      <c r="Q222" s="55" t="e">
        <f t="shared" si="51"/>
        <v>#VALUE!</v>
      </c>
      <c r="R222" s="55" t="e">
        <f t="shared" si="55"/>
        <v>#VALUE!</v>
      </c>
      <c r="S222" s="55" t="e">
        <f t="shared" si="52"/>
        <v>#VALUE!</v>
      </c>
      <c r="T222" s="50" t="e">
        <f t="shared" si="56"/>
        <v>#VALUE!</v>
      </c>
      <c r="U222" s="50" t="e">
        <f t="shared" si="57"/>
        <v>#VALUE!</v>
      </c>
      <c r="V222" s="50" t="e">
        <f t="shared" si="58"/>
        <v>#VALUE!</v>
      </c>
    </row>
    <row r="223" spans="2:22" x14ac:dyDescent="0.25">
      <c r="B223" s="50" t="b">
        <f t="shared" si="59"/>
        <v>0</v>
      </c>
      <c r="C223" s="50" t="e">
        <f t="shared" si="60"/>
        <v>#VALUE!</v>
      </c>
      <c r="E223" s="56">
        <v>220</v>
      </c>
      <c r="G223" s="138"/>
      <c r="H223" s="135">
        <v>1</v>
      </c>
      <c r="I223" s="58" t="e">
        <f t="shared" si="47"/>
        <v>#VALUE!</v>
      </c>
      <c r="J223" s="50" t="e">
        <f t="shared" si="53"/>
        <v>#VALUE!</v>
      </c>
      <c r="K223" s="50" t="e">
        <f t="shared" si="54"/>
        <v>#VALUE!</v>
      </c>
      <c r="L223" s="50" t="e">
        <f t="shared" si="54"/>
        <v>#VALUE!</v>
      </c>
      <c r="M223" s="50" t="e">
        <f t="shared" si="48"/>
        <v>#VALUE!</v>
      </c>
      <c r="N223" s="50" t="e">
        <f t="shared" si="49"/>
        <v>#VALUE!</v>
      </c>
      <c r="O223" s="50">
        <f t="shared" si="50"/>
        <v>0</v>
      </c>
      <c r="Q223" s="55" t="e">
        <f t="shared" si="51"/>
        <v>#VALUE!</v>
      </c>
      <c r="R223" s="55" t="e">
        <f t="shared" si="55"/>
        <v>#VALUE!</v>
      </c>
      <c r="S223" s="55" t="e">
        <f t="shared" si="52"/>
        <v>#VALUE!</v>
      </c>
      <c r="T223" s="50" t="e">
        <f t="shared" si="56"/>
        <v>#VALUE!</v>
      </c>
      <c r="U223" s="50" t="e">
        <f t="shared" si="57"/>
        <v>#VALUE!</v>
      </c>
      <c r="V223" s="50" t="e">
        <f t="shared" si="58"/>
        <v>#VALUE!</v>
      </c>
    </row>
    <row r="224" spans="2:22" x14ac:dyDescent="0.25">
      <c r="B224" s="50" t="b">
        <f t="shared" si="59"/>
        <v>0</v>
      </c>
      <c r="C224" s="50" t="e">
        <f t="shared" si="60"/>
        <v>#VALUE!</v>
      </c>
      <c r="E224" s="56">
        <v>221</v>
      </c>
      <c r="G224" s="138"/>
      <c r="H224" s="135">
        <v>1</v>
      </c>
      <c r="I224" s="58" t="e">
        <f t="shared" si="47"/>
        <v>#VALUE!</v>
      </c>
      <c r="J224" s="50" t="e">
        <f t="shared" si="53"/>
        <v>#VALUE!</v>
      </c>
      <c r="K224" s="50" t="e">
        <f t="shared" si="54"/>
        <v>#VALUE!</v>
      </c>
      <c r="L224" s="50" t="e">
        <f t="shared" si="54"/>
        <v>#VALUE!</v>
      </c>
      <c r="M224" s="50" t="e">
        <f t="shared" si="48"/>
        <v>#VALUE!</v>
      </c>
      <c r="N224" s="50" t="e">
        <f t="shared" si="49"/>
        <v>#VALUE!</v>
      </c>
      <c r="O224" s="50">
        <f t="shared" si="50"/>
        <v>0</v>
      </c>
      <c r="Q224" s="55" t="e">
        <f t="shared" si="51"/>
        <v>#VALUE!</v>
      </c>
      <c r="R224" s="55" t="e">
        <f t="shared" si="55"/>
        <v>#VALUE!</v>
      </c>
      <c r="S224" s="55" t="e">
        <f t="shared" si="52"/>
        <v>#VALUE!</v>
      </c>
      <c r="T224" s="50" t="e">
        <f t="shared" si="56"/>
        <v>#VALUE!</v>
      </c>
      <c r="U224" s="50" t="e">
        <f t="shared" si="57"/>
        <v>#VALUE!</v>
      </c>
      <c r="V224" s="50" t="e">
        <f t="shared" si="58"/>
        <v>#VALUE!</v>
      </c>
    </row>
    <row r="225" spans="2:22" x14ac:dyDescent="0.25">
      <c r="B225" s="50" t="b">
        <f t="shared" si="59"/>
        <v>0</v>
      </c>
      <c r="C225" s="50" t="e">
        <f t="shared" si="60"/>
        <v>#VALUE!</v>
      </c>
      <c r="E225" s="56">
        <v>222</v>
      </c>
      <c r="G225" s="138"/>
      <c r="H225" s="135">
        <v>1</v>
      </c>
      <c r="I225" s="58" t="e">
        <f t="shared" si="47"/>
        <v>#VALUE!</v>
      </c>
      <c r="J225" s="50" t="e">
        <f t="shared" si="53"/>
        <v>#VALUE!</v>
      </c>
      <c r="K225" s="50" t="e">
        <f t="shared" si="54"/>
        <v>#VALUE!</v>
      </c>
      <c r="L225" s="50" t="e">
        <f t="shared" si="54"/>
        <v>#VALUE!</v>
      </c>
      <c r="M225" s="50" t="e">
        <f t="shared" si="48"/>
        <v>#VALUE!</v>
      </c>
      <c r="N225" s="50" t="e">
        <f t="shared" si="49"/>
        <v>#VALUE!</v>
      </c>
      <c r="O225" s="50">
        <f t="shared" si="50"/>
        <v>0</v>
      </c>
      <c r="Q225" s="55" t="e">
        <f t="shared" si="51"/>
        <v>#VALUE!</v>
      </c>
      <c r="R225" s="55" t="e">
        <f t="shared" si="55"/>
        <v>#VALUE!</v>
      </c>
      <c r="S225" s="55" t="e">
        <f t="shared" si="52"/>
        <v>#VALUE!</v>
      </c>
      <c r="T225" s="50" t="e">
        <f t="shared" si="56"/>
        <v>#VALUE!</v>
      </c>
      <c r="U225" s="50" t="e">
        <f t="shared" si="57"/>
        <v>#VALUE!</v>
      </c>
      <c r="V225" s="50" t="e">
        <f t="shared" si="58"/>
        <v>#VALUE!</v>
      </c>
    </row>
    <row r="226" spans="2:22" x14ac:dyDescent="0.25">
      <c r="B226" s="50" t="b">
        <f t="shared" si="59"/>
        <v>0</v>
      </c>
      <c r="C226" s="50" t="e">
        <f t="shared" si="60"/>
        <v>#VALUE!</v>
      </c>
      <c r="E226" s="56">
        <v>223</v>
      </c>
      <c r="G226" s="138"/>
      <c r="H226" s="135">
        <v>1</v>
      </c>
      <c r="I226" s="58" t="e">
        <f t="shared" si="47"/>
        <v>#VALUE!</v>
      </c>
      <c r="J226" s="50" t="e">
        <f t="shared" si="53"/>
        <v>#VALUE!</v>
      </c>
      <c r="K226" s="50" t="e">
        <f t="shared" si="54"/>
        <v>#VALUE!</v>
      </c>
      <c r="L226" s="50" t="e">
        <f t="shared" si="54"/>
        <v>#VALUE!</v>
      </c>
      <c r="M226" s="50" t="e">
        <f t="shared" si="48"/>
        <v>#VALUE!</v>
      </c>
      <c r="N226" s="50" t="e">
        <f t="shared" si="49"/>
        <v>#VALUE!</v>
      </c>
      <c r="O226" s="50">
        <f t="shared" si="50"/>
        <v>0</v>
      </c>
      <c r="Q226" s="55" t="e">
        <f t="shared" si="51"/>
        <v>#VALUE!</v>
      </c>
      <c r="R226" s="55" t="e">
        <f t="shared" si="55"/>
        <v>#VALUE!</v>
      </c>
      <c r="S226" s="55" t="e">
        <f t="shared" si="52"/>
        <v>#VALUE!</v>
      </c>
      <c r="T226" s="50" t="e">
        <f t="shared" si="56"/>
        <v>#VALUE!</v>
      </c>
      <c r="U226" s="50" t="e">
        <f t="shared" si="57"/>
        <v>#VALUE!</v>
      </c>
      <c r="V226" s="50" t="e">
        <f t="shared" si="58"/>
        <v>#VALUE!</v>
      </c>
    </row>
    <row r="227" spans="2:22" x14ac:dyDescent="0.25">
      <c r="B227" s="50" t="b">
        <f t="shared" si="59"/>
        <v>0</v>
      </c>
      <c r="C227" s="50" t="e">
        <f t="shared" si="60"/>
        <v>#VALUE!</v>
      </c>
      <c r="E227" s="56">
        <v>224</v>
      </c>
      <c r="G227" s="138"/>
      <c r="H227" s="135">
        <v>1</v>
      </c>
      <c r="I227" s="58" t="e">
        <f t="shared" si="47"/>
        <v>#VALUE!</v>
      </c>
      <c r="J227" s="50" t="e">
        <f t="shared" si="53"/>
        <v>#VALUE!</v>
      </c>
      <c r="K227" s="50" t="e">
        <f t="shared" si="54"/>
        <v>#VALUE!</v>
      </c>
      <c r="L227" s="50" t="e">
        <f t="shared" si="54"/>
        <v>#VALUE!</v>
      </c>
      <c r="M227" s="50" t="e">
        <f t="shared" si="48"/>
        <v>#VALUE!</v>
      </c>
      <c r="N227" s="50" t="e">
        <f t="shared" si="49"/>
        <v>#VALUE!</v>
      </c>
      <c r="O227" s="50">
        <f t="shared" si="50"/>
        <v>0</v>
      </c>
      <c r="Q227" s="55" t="e">
        <f t="shared" si="51"/>
        <v>#VALUE!</v>
      </c>
      <c r="R227" s="55" t="e">
        <f t="shared" si="55"/>
        <v>#VALUE!</v>
      </c>
      <c r="S227" s="55" t="e">
        <f t="shared" si="52"/>
        <v>#VALUE!</v>
      </c>
      <c r="T227" s="50" t="e">
        <f t="shared" si="56"/>
        <v>#VALUE!</v>
      </c>
      <c r="U227" s="50" t="e">
        <f t="shared" si="57"/>
        <v>#VALUE!</v>
      </c>
      <c r="V227" s="50" t="e">
        <f t="shared" si="58"/>
        <v>#VALUE!</v>
      </c>
    </row>
    <row r="228" spans="2:22" x14ac:dyDescent="0.25">
      <c r="B228" s="50" t="b">
        <f t="shared" si="59"/>
        <v>0</v>
      </c>
      <c r="C228" s="50" t="e">
        <f t="shared" si="60"/>
        <v>#VALUE!</v>
      </c>
      <c r="E228" s="56">
        <v>225</v>
      </c>
      <c r="G228" s="138"/>
      <c r="H228" s="135">
        <v>1</v>
      </c>
      <c r="I228" s="58" t="e">
        <f t="shared" si="47"/>
        <v>#VALUE!</v>
      </c>
      <c r="J228" s="50" t="e">
        <f t="shared" si="53"/>
        <v>#VALUE!</v>
      </c>
      <c r="K228" s="50" t="e">
        <f t="shared" si="54"/>
        <v>#VALUE!</v>
      </c>
      <c r="L228" s="50" t="e">
        <f t="shared" si="54"/>
        <v>#VALUE!</v>
      </c>
      <c r="M228" s="50" t="e">
        <f t="shared" si="48"/>
        <v>#VALUE!</v>
      </c>
      <c r="N228" s="50" t="e">
        <f t="shared" si="49"/>
        <v>#VALUE!</v>
      </c>
      <c r="O228" s="50">
        <f t="shared" si="50"/>
        <v>0</v>
      </c>
      <c r="Q228" s="55" t="e">
        <f t="shared" si="51"/>
        <v>#VALUE!</v>
      </c>
      <c r="R228" s="55" t="e">
        <f t="shared" si="55"/>
        <v>#VALUE!</v>
      </c>
      <c r="S228" s="55" t="e">
        <f t="shared" si="52"/>
        <v>#VALUE!</v>
      </c>
      <c r="T228" s="50" t="e">
        <f t="shared" si="56"/>
        <v>#VALUE!</v>
      </c>
      <c r="U228" s="50" t="e">
        <f t="shared" si="57"/>
        <v>#VALUE!</v>
      </c>
      <c r="V228" s="50" t="e">
        <f t="shared" si="58"/>
        <v>#VALUE!</v>
      </c>
    </row>
    <row r="229" spans="2:22" x14ac:dyDescent="0.25">
      <c r="B229" s="50" t="b">
        <f t="shared" si="59"/>
        <v>0</v>
      </c>
      <c r="C229" s="50" t="e">
        <f t="shared" si="60"/>
        <v>#VALUE!</v>
      </c>
      <c r="E229" s="56">
        <v>226</v>
      </c>
      <c r="G229" s="138"/>
      <c r="H229" s="135">
        <v>1</v>
      </c>
      <c r="I229" s="58" t="e">
        <f t="shared" si="47"/>
        <v>#VALUE!</v>
      </c>
      <c r="J229" s="50" t="e">
        <f t="shared" si="53"/>
        <v>#VALUE!</v>
      </c>
      <c r="K229" s="50" t="e">
        <f t="shared" si="54"/>
        <v>#VALUE!</v>
      </c>
      <c r="L229" s="50" t="e">
        <f t="shared" si="54"/>
        <v>#VALUE!</v>
      </c>
      <c r="M229" s="50" t="e">
        <f t="shared" si="48"/>
        <v>#VALUE!</v>
      </c>
      <c r="N229" s="50" t="e">
        <f t="shared" si="49"/>
        <v>#VALUE!</v>
      </c>
      <c r="O229" s="50">
        <f t="shared" si="50"/>
        <v>0</v>
      </c>
      <c r="Q229" s="55" t="e">
        <f t="shared" si="51"/>
        <v>#VALUE!</v>
      </c>
      <c r="R229" s="55" t="e">
        <f t="shared" si="55"/>
        <v>#VALUE!</v>
      </c>
      <c r="S229" s="55" t="e">
        <f t="shared" si="52"/>
        <v>#VALUE!</v>
      </c>
      <c r="T229" s="50" t="e">
        <f t="shared" si="56"/>
        <v>#VALUE!</v>
      </c>
      <c r="U229" s="50" t="e">
        <f t="shared" si="57"/>
        <v>#VALUE!</v>
      </c>
      <c r="V229" s="50" t="e">
        <f t="shared" si="58"/>
        <v>#VALUE!</v>
      </c>
    </row>
    <row r="230" spans="2:22" x14ac:dyDescent="0.25">
      <c r="B230" s="50" t="b">
        <f t="shared" si="59"/>
        <v>0</v>
      </c>
      <c r="C230" s="50" t="e">
        <f t="shared" si="60"/>
        <v>#VALUE!</v>
      </c>
      <c r="E230" s="56">
        <v>227</v>
      </c>
      <c r="G230" s="138"/>
      <c r="H230" s="135">
        <v>1</v>
      </c>
      <c r="I230" s="58" t="e">
        <f t="shared" si="47"/>
        <v>#VALUE!</v>
      </c>
      <c r="J230" s="50" t="e">
        <f t="shared" si="53"/>
        <v>#VALUE!</v>
      </c>
      <c r="K230" s="50" t="e">
        <f t="shared" si="54"/>
        <v>#VALUE!</v>
      </c>
      <c r="L230" s="50" t="e">
        <f t="shared" si="54"/>
        <v>#VALUE!</v>
      </c>
      <c r="M230" s="50" t="e">
        <f t="shared" si="48"/>
        <v>#VALUE!</v>
      </c>
      <c r="N230" s="50" t="e">
        <f t="shared" si="49"/>
        <v>#VALUE!</v>
      </c>
      <c r="O230" s="50">
        <f t="shared" si="50"/>
        <v>0</v>
      </c>
      <c r="Q230" s="55" t="e">
        <f t="shared" si="51"/>
        <v>#VALUE!</v>
      </c>
      <c r="R230" s="55" t="e">
        <f t="shared" si="55"/>
        <v>#VALUE!</v>
      </c>
      <c r="S230" s="55" t="e">
        <f t="shared" si="52"/>
        <v>#VALUE!</v>
      </c>
      <c r="T230" s="50" t="e">
        <f t="shared" si="56"/>
        <v>#VALUE!</v>
      </c>
      <c r="U230" s="50" t="e">
        <f t="shared" si="57"/>
        <v>#VALUE!</v>
      </c>
      <c r="V230" s="50" t="e">
        <f t="shared" si="58"/>
        <v>#VALUE!</v>
      </c>
    </row>
    <row r="231" spans="2:22" x14ac:dyDescent="0.25">
      <c r="B231" s="50" t="b">
        <f t="shared" si="59"/>
        <v>0</v>
      </c>
      <c r="C231" s="50" t="e">
        <f t="shared" si="60"/>
        <v>#VALUE!</v>
      </c>
      <c r="E231" s="56">
        <v>228</v>
      </c>
      <c r="G231" s="138"/>
      <c r="H231" s="135">
        <v>1</v>
      </c>
      <c r="I231" s="58" t="e">
        <f t="shared" si="47"/>
        <v>#VALUE!</v>
      </c>
      <c r="J231" s="50" t="e">
        <f t="shared" si="53"/>
        <v>#VALUE!</v>
      </c>
      <c r="K231" s="50" t="e">
        <f t="shared" si="54"/>
        <v>#VALUE!</v>
      </c>
      <c r="L231" s="50" t="e">
        <f t="shared" si="54"/>
        <v>#VALUE!</v>
      </c>
      <c r="M231" s="50" t="e">
        <f t="shared" si="48"/>
        <v>#VALUE!</v>
      </c>
      <c r="N231" s="50" t="e">
        <f t="shared" si="49"/>
        <v>#VALUE!</v>
      </c>
      <c r="O231" s="50">
        <f t="shared" si="50"/>
        <v>0</v>
      </c>
      <c r="Q231" s="55" t="e">
        <f t="shared" si="51"/>
        <v>#VALUE!</v>
      </c>
      <c r="R231" s="55" t="e">
        <f t="shared" si="55"/>
        <v>#VALUE!</v>
      </c>
      <c r="S231" s="55" t="e">
        <f t="shared" si="52"/>
        <v>#VALUE!</v>
      </c>
      <c r="T231" s="50" t="e">
        <f t="shared" si="56"/>
        <v>#VALUE!</v>
      </c>
      <c r="U231" s="50" t="e">
        <f t="shared" si="57"/>
        <v>#VALUE!</v>
      </c>
      <c r="V231" s="50" t="e">
        <f t="shared" si="58"/>
        <v>#VALUE!</v>
      </c>
    </row>
    <row r="232" spans="2:22" x14ac:dyDescent="0.25">
      <c r="B232" s="50" t="b">
        <f t="shared" si="59"/>
        <v>0</v>
      </c>
      <c r="C232" s="50" t="e">
        <f t="shared" si="60"/>
        <v>#VALUE!</v>
      </c>
      <c r="E232" s="56">
        <v>229</v>
      </c>
      <c r="G232" s="138"/>
      <c r="H232" s="135">
        <v>1</v>
      </c>
      <c r="I232" s="58" t="e">
        <f t="shared" si="47"/>
        <v>#VALUE!</v>
      </c>
      <c r="J232" s="50" t="e">
        <f t="shared" si="53"/>
        <v>#VALUE!</v>
      </c>
      <c r="K232" s="50" t="e">
        <f t="shared" si="54"/>
        <v>#VALUE!</v>
      </c>
      <c r="L232" s="50" t="e">
        <f t="shared" si="54"/>
        <v>#VALUE!</v>
      </c>
      <c r="M232" s="50" t="e">
        <f t="shared" si="48"/>
        <v>#VALUE!</v>
      </c>
      <c r="N232" s="50" t="e">
        <f t="shared" si="49"/>
        <v>#VALUE!</v>
      </c>
      <c r="O232" s="50">
        <f t="shared" si="50"/>
        <v>0</v>
      </c>
      <c r="Q232" s="55" t="e">
        <f t="shared" si="51"/>
        <v>#VALUE!</v>
      </c>
      <c r="R232" s="55" t="e">
        <f t="shared" si="55"/>
        <v>#VALUE!</v>
      </c>
      <c r="S232" s="55" t="e">
        <f t="shared" si="52"/>
        <v>#VALUE!</v>
      </c>
      <c r="T232" s="50" t="e">
        <f t="shared" si="56"/>
        <v>#VALUE!</v>
      </c>
      <c r="U232" s="50" t="e">
        <f t="shared" si="57"/>
        <v>#VALUE!</v>
      </c>
      <c r="V232" s="50" t="e">
        <f t="shared" si="58"/>
        <v>#VALUE!</v>
      </c>
    </row>
    <row r="233" spans="2:22" x14ac:dyDescent="0.25">
      <c r="B233" s="50" t="b">
        <f t="shared" si="59"/>
        <v>0</v>
      </c>
      <c r="C233" s="50" t="e">
        <f t="shared" si="60"/>
        <v>#VALUE!</v>
      </c>
      <c r="E233" s="56">
        <v>230</v>
      </c>
      <c r="G233" s="138"/>
      <c r="H233" s="135">
        <v>1</v>
      </c>
      <c r="I233" s="58" t="e">
        <f t="shared" si="47"/>
        <v>#VALUE!</v>
      </c>
      <c r="J233" s="50" t="e">
        <f t="shared" si="53"/>
        <v>#VALUE!</v>
      </c>
      <c r="K233" s="50" t="e">
        <f t="shared" si="54"/>
        <v>#VALUE!</v>
      </c>
      <c r="L233" s="50" t="e">
        <f t="shared" si="54"/>
        <v>#VALUE!</v>
      </c>
      <c r="M233" s="50" t="e">
        <f t="shared" si="48"/>
        <v>#VALUE!</v>
      </c>
      <c r="N233" s="50" t="e">
        <f t="shared" si="49"/>
        <v>#VALUE!</v>
      </c>
      <c r="O233" s="50">
        <f t="shared" si="50"/>
        <v>0</v>
      </c>
      <c r="Q233" s="55" t="e">
        <f t="shared" si="51"/>
        <v>#VALUE!</v>
      </c>
      <c r="R233" s="55" t="e">
        <f t="shared" si="55"/>
        <v>#VALUE!</v>
      </c>
      <c r="S233" s="55" t="e">
        <f t="shared" si="52"/>
        <v>#VALUE!</v>
      </c>
      <c r="T233" s="50" t="e">
        <f t="shared" si="56"/>
        <v>#VALUE!</v>
      </c>
      <c r="U233" s="50" t="e">
        <f t="shared" si="57"/>
        <v>#VALUE!</v>
      </c>
      <c r="V233" s="50" t="e">
        <f t="shared" si="58"/>
        <v>#VALUE!</v>
      </c>
    </row>
    <row r="234" spans="2:22" x14ac:dyDescent="0.25">
      <c r="B234" s="50" t="b">
        <f t="shared" si="59"/>
        <v>0</v>
      </c>
      <c r="C234" s="50" t="e">
        <f t="shared" si="60"/>
        <v>#VALUE!</v>
      </c>
      <c r="E234" s="56">
        <v>231</v>
      </c>
      <c r="G234" s="138"/>
      <c r="H234" s="135">
        <v>1</v>
      </c>
      <c r="I234" s="58" t="e">
        <f t="shared" si="47"/>
        <v>#VALUE!</v>
      </c>
      <c r="J234" s="50" t="e">
        <f t="shared" si="53"/>
        <v>#VALUE!</v>
      </c>
      <c r="K234" s="50" t="e">
        <f t="shared" si="54"/>
        <v>#VALUE!</v>
      </c>
      <c r="L234" s="50" t="e">
        <f t="shared" si="54"/>
        <v>#VALUE!</v>
      </c>
      <c r="M234" s="50" t="e">
        <f t="shared" si="48"/>
        <v>#VALUE!</v>
      </c>
      <c r="N234" s="50" t="e">
        <f t="shared" si="49"/>
        <v>#VALUE!</v>
      </c>
      <c r="O234" s="50">
        <f t="shared" si="50"/>
        <v>0</v>
      </c>
      <c r="Q234" s="55" t="e">
        <f t="shared" si="51"/>
        <v>#VALUE!</v>
      </c>
      <c r="R234" s="55" t="e">
        <f t="shared" si="55"/>
        <v>#VALUE!</v>
      </c>
      <c r="S234" s="55" t="e">
        <f t="shared" si="52"/>
        <v>#VALUE!</v>
      </c>
      <c r="T234" s="50" t="e">
        <f t="shared" si="56"/>
        <v>#VALUE!</v>
      </c>
      <c r="U234" s="50" t="e">
        <f t="shared" si="57"/>
        <v>#VALUE!</v>
      </c>
      <c r="V234" s="50" t="e">
        <f t="shared" si="58"/>
        <v>#VALUE!</v>
      </c>
    </row>
    <row r="235" spans="2:22" x14ac:dyDescent="0.25">
      <c r="B235" s="50" t="b">
        <f t="shared" si="59"/>
        <v>0</v>
      </c>
      <c r="C235" s="50" t="e">
        <f t="shared" si="60"/>
        <v>#VALUE!</v>
      </c>
      <c r="E235" s="56">
        <v>232</v>
      </c>
      <c r="G235" s="138"/>
      <c r="H235" s="135">
        <v>1</v>
      </c>
      <c r="I235" s="58" t="e">
        <f t="shared" si="47"/>
        <v>#VALUE!</v>
      </c>
      <c r="J235" s="50" t="e">
        <f t="shared" si="53"/>
        <v>#VALUE!</v>
      </c>
      <c r="K235" s="50" t="e">
        <f t="shared" si="54"/>
        <v>#VALUE!</v>
      </c>
      <c r="L235" s="50" t="e">
        <f t="shared" si="54"/>
        <v>#VALUE!</v>
      </c>
      <c r="M235" s="50" t="e">
        <f t="shared" si="48"/>
        <v>#VALUE!</v>
      </c>
      <c r="N235" s="50" t="e">
        <f t="shared" si="49"/>
        <v>#VALUE!</v>
      </c>
      <c r="O235" s="50">
        <f t="shared" si="50"/>
        <v>0</v>
      </c>
      <c r="Q235" s="55" t="e">
        <f t="shared" si="51"/>
        <v>#VALUE!</v>
      </c>
      <c r="R235" s="55" t="e">
        <f t="shared" si="55"/>
        <v>#VALUE!</v>
      </c>
      <c r="S235" s="55" t="e">
        <f t="shared" si="52"/>
        <v>#VALUE!</v>
      </c>
      <c r="T235" s="50" t="e">
        <f t="shared" si="56"/>
        <v>#VALUE!</v>
      </c>
      <c r="U235" s="50" t="e">
        <f t="shared" si="57"/>
        <v>#VALUE!</v>
      </c>
      <c r="V235" s="50" t="e">
        <f t="shared" si="58"/>
        <v>#VALUE!</v>
      </c>
    </row>
    <row r="236" spans="2:22" x14ac:dyDescent="0.25">
      <c r="B236" s="50" t="b">
        <f t="shared" si="59"/>
        <v>0</v>
      </c>
      <c r="C236" s="50" t="e">
        <f t="shared" si="60"/>
        <v>#VALUE!</v>
      </c>
      <c r="E236" s="56">
        <v>233</v>
      </c>
      <c r="G236" s="138"/>
      <c r="H236" s="135">
        <v>1</v>
      </c>
      <c r="I236" s="58" t="e">
        <f t="shared" si="47"/>
        <v>#VALUE!</v>
      </c>
      <c r="J236" s="50" t="e">
        <f t="shared" si="53"/>
        <v>#VALUE!</v>
      </c>
      <c r="K236" s="50" t="e">
        <f t="shared" si="54"/>
        <v>#VALUE!</v>
      </c>
      <c r="L236" s="50" t="e">
        <f t="shared" si="54"/>
        <v>#VALUE!</v>
      </c>
      <c r="M236" s="50" t="e">
        <f t="shared" si="48"/>
        <v>#VALUE!</v>
      </c>
      <c r="N236" s="50" t="e">
        <f t="shared" si="49"/>
        <v>#VALUE!</v>
      </c>
      <c r="O236" s="50">
        <f t="shared" si="50"/>
        <v>0</v>
      </c>
      <c r="Q236" s="55" t="e">
        <f t="shared" si="51"/>
        <v>#VALUE!</v>
      </c>
      <c r="R236" s="55" t="e">
        <f t="shared" si="55"/>
        <v>#VALUE!</v>
      </c>
      <c r="S236" s="55" t="e">
        <f t="shared" si="52"/>
        <v>#VALUE!</v>
      </c>
      <c r="T236" s="50" t="e">
        <f t="shared" si="56"/>
        <v>#VALUE!</v>
      </c>
      <c r="U236" s="50" t="e">
        <f t="shared" si="57"/>
        <v>#VALUE!</v>
      </c>
      <c r="V236" s="50" t="e">
        <f t="shared" si="58"/>
        <v>#VALUE!</v>
      </c>
    </row>
    <row r="237" spans="2:22" x14ac:dyDescent="0.25">
      <c r="B237" s="50" t="b">
        <f t="shared" si="59"/>
        <v>0</v>
      </c>
      <c r="C237" s="50" t="e">
        <f t="shared" si="60"/>
        <v>#VALUE!</v>
      </c>
      <c r="E237" s="56">
        <v>234</v>
      </c>
      <c r="G237" s="138"/>
      <c r="H237" s="135">
        <v>1</v>
      </c>
      <c r="I237" s="58" t="e">
        <f t="shared" si="47"/>
        <v>#VALUE!</v>
      </c>
      <c r="J237" s="50" t="e">
        <f t="shared" si="53"/>
        <v>#VALUE!</v>
      </c>
      <c r="K237" s="50" t="e">
        <f t="shared" si="54"/>
        <v>#VALUE!</v>
      </c>
      <c r="L237" s="50" t="e">
        <f t="shared" si="54"/>
        <v>#VALUE!</v>
      </c>
      <c r="M237" s="50" t="e">
        <f t="shared" si="48"/>
        <v>#VALUE!</v>
      </c>
      <c r="N237" s="50" t="e">
        <f t="shared" si="49"/>
        <v>#VALUE!</v>
      </c>
      <c r="O237" s="50">
        <f t="shared" si="50"/>
        <v>0</v>
      </c>
      <c r="Q237" s="55" t="e">
        <f t="shared" si="51"/>
        <v>#VALUE!</v>
      </c>
      <c r="R237" s="55" t="e">
        <f t="shared" si="55"/>
        <v>#VALUE!</v>
      </c>
      <c r="S237" s="55" t="e">
        <f t="shared" si="52"/>
        <v>#VALUE!</v>
      </c>
      <c r="T237" s="50" t="e">
        <f t="shared" si="56"/>
        <v>#VALUE!</v>
      </c>
      <c r="U237" s="50" t="e">
        <f t="shared" si="57"/>
        <v>#VALUE!</v>
      </c>
      <c r="V237" s="50" t="e">
        <f t="shared" si="58"/>
        <v>#VALUE!</v>
      </c>
    </row>
    <row r="238" spans="2:22" x14ac:dyDescent="0.25">
      <c r="B238" s="50" t="b">
        <f t="shared" si="59"/>
        <v>0</v>
      </c>
      <c r="C238" s="50" t="e">
        <f t="shared" si="60"/>
        <v>#VALUE!</v>
      </c>
      <c r="E238" s="56">
        <v>235</v>
      </c>
      <c r="G238" s="138"/>
      <c r="H238" s="135">
        <v>1</v>
      </c>
      <c r="I238" s="58" t="e">
        <f t="shared" si="47"/>
        <v>#VALUE!</v>
      </c>
      <c r="J238" s="50" t="e">
        <f t="shared" si="53"/>
        <v>#VALUE!</v>
      </c>
      <c r="K238" s="50" t="e">
        <f t="shared" si="54"/>
        <v>#VALUE!</v>
      </c>
      <c r="L238" s="50" t="e">
        <f t="shared" si="54"/>
        <v>#VALUE!</v>
      </c>
      <c r="M238" s="50" t="e">
        <f t="shared" si="48"/>
        <v>#VALUE!</v>
      </c>
      <c r="N238" s="50" t="e">
        <f t="shared" si="49"/>
        <v>#VALUE!</v>
      </c>
      <c r="O238" s="50">
        <f t="shared" si="50"/>
        <v>0</v>
      </c>
      <c r="Q238" s="55" t="e">
        <f t="shared" si="51"/>
        <v>#VALUE!</v>
      </c>
      <c r="R238" s="55" t="e">
        <f t="shared" si="55"/>
        <v>#VALUE!</v>
      </c>
      <c r="S238" s="55" t="e">
        <f t="shared" si="52"/>
        <v>#VALUE!</v>
      </c>
      <c r="T238" s="50" t="e">
        <f t="shared" si="56"/>
        <v>#VALUE!</v>
      </c>
      <c r="U238" s="50" t="e">
        <f t="shared" si="57"/>
        <v>#VALUE!</v>
      </c>
      <c r="V238" s="50" t="e">
        <f t="shared" si="58"/>
        <v>#VALUE!</v>
      </c>
    </row>
    <row r="239" spans="2:22" x14ac:dyDescent="0.25">
      <c r="B239" s="50" t="b">
        <f t="shared" si="59"/>
        <v>0</v>
      </c>
      <c r="C239" s="50" t="e">
        <f t="shared" si="60"/>
        <v>#VALUE!</v>
      </c>
      <c r="E239" s="56">
        <v>236</v>
      </c>
      <c r="G239" s="138"/>
      <c r="H239" s="135">
        <v>1</v>
      </c>
      <c r="I239" s="58" t="e">
        <f t="shared" si="47"/>
        <v>#VALUE!</v>
      </c>
      <c r="J239" s="50" t="e">
        <f t="shared" si="53"/>
        <v>#VALUE!</v>
      </c>
      <c r="K239" s="50" t="e">
        <f t="shared" si="54"/>
        <v>#VALUE!</v>
      </c>
      <c r="L239" s="50" t="e">
        <f t="shared" si="54"/>
        <v>#VALUE!</v>
      </c>
      <c r="M239" s="50" t="e">
        <f t="shared" si="48"/>
        <v>#VALUE!</v>
      </c>
      <c r="N239" s="50" t="e">
        <f t="shared" si="49"/>
        <v>#VALUE!</v>
      </c>
      <c r="O239" s="50">
        <f t="shared" si="50"/>
        <v>0</v>
      </c>
      <c r="Q239" s="55" t="e">
        <f t="shared" si="51"/>
        <v>#VALUE!</v>
      </c>
      <c r="R239" s="55" t="e">
        <f t="shared" si="55"/>
        <v>#VALUE!</v>
      </c>
      <c r="S239" s="55" t="e">
        <f t="shared" si="52"/>
        <v>#VALUE!</v>
      </c>
      <c r="T239" s="50" t="e">
        <f t="shared" si="56"/>
        <v>#VALUE!</v>
      </c>
      <c r="U239" s="50" t="e">
        <f t="shared" si="57"/>
        <v>#VALUE!</v>
      </c>
      <c r="V239" s="50" t="e">
        <f t="shared" si="58"/>
        <v>#VALUE!</v>
      </c>
    </row>
    <row r="240" spans="2:22" x14ac:dyDescent="0.25">
      <c r="B240" s="50" t="b">
        <f t="shared" si="59"/>
        <v>0</v>
      </c>
      <c r="C240" s="50" t="e">
        <f t="shared" si="60"/>
        <v>#VALUE!</v>
      </c>
      <c r="E240" s="56">
        <v>237</v>
      </c>
      <c r="G240" s="138"/>
      <c r="H240" s="135">
        <v>1</v>
      </c>
      <c r="I240" s="58" t="e">
        <f t="shared" si="47"/>
        <v>#VALUE!</v>
      </c>
      <c r="J240" s="50" t="e">
        <f t="shared" si="53"/>
        <v>#VALUE!</v>
      </c>
      <c r="K240" s="50" t="e">
        <f t="shared" si="54"/>
        <v>#VALUE!</v>
      </c>
      <c r="L240" s="50" t="e">
        <f t="shared" si="54"/>
        <v>#VALUE!</v>
      </c>
      <c r="M240" s="50" t="e">
        <f t="shared" si="48"/>
        <v>#VALUE!</v>
      </c>
      <c r="N240" s="50" t="e">
        <f t="shared" si="49"/>
        <v>#VALUE!</v>
      </c>
      <c r="O240" s="50">
        <f t="shared" si="50"/>
        <v>0</v>
      </c>
      <c r="Q240" s="55" t="e">
        <f t="shared" si="51"/>
        <v>#VALUE!</v>
      </c>
      <c r="R240" s="55" t="e">
        <f t="shared" si="55"/>
        <v>#VALUE!</v>
      </c>
      <c r="S240" s="55" t="e">
        <f t="shared" si="52"/>
        <v>#VALUE!</v>
      </c>
      <c r="T240" s="50" t="e">
        <f t="shared" si="56"/>
        <v>#VALUE!</v>
      </c>
      <c r="U240" s="50" t="e">
        <f t="shared" si="57"/>
        <v>#VALUE!</v>
      </c>
      <c r="V240" s="50" t="e">
        <f t="shared" si="58"/>
        <v>#VALUE!</v>
      </c>
    </row>
    <row r="241" spans="2:22" x14ac:dyDescent="0.25">
      <c r="B241" s="50" t="b">
        <f t="shared" si="59"/>
        <v>0</v>
      </c>
      <c r="C241" s="50" t="e">
        <f t="shared" si="60"/>
        <v>#VALUE!</v>
      </c>
      <c r="E241" s="56">
        <v>238</v>
      </c>
      <c r="G241" s="138"/>
      <c r="H241" s="135">
        <v>1</v>
      </c>
      <c r="I241" s="58" t="e">
        <f t="shared" si="47"/>
        <v>#VALUE!</v>
      </c>
      <c r="J241" s="50" t="e">
        <f t="shared" si="53"/>
        <v>#VALUE!</v>
      </c>
      <c r="K241" s="50" t="e">
        <f t="shared" si="54"/>
        <v>#VALUE!</v>
      </c>
      <c r="L241" s="50" t="e">
        <f t="shared" si="54"/>
        <v>#VALUE!</v>
      </c>
      <c r="M241" s="50" t="e">
        <f t="shared" si="48"/>
        <v>#VALUE!</v>
      </c>
      <c r="N241" s="50" t="e">
        <f t="shared" si="49"/>
        <v>#VALUE!</v>
      </c>
      <c r="O241" s="50">
        <f t="shared" si="50"/>
        <v>0</v>
      </c>
      <c r="Q241" s="55" t="e">
        <f t="shared" si="51"/>
        <v>#VALUE!</v>
      </c>
      <c r="R241" s="55" t="e">
        <f t="shared" si="55"/>
        <v>#VALUE!</v>
      </c>
      <c r="S241" s="55" t="e">
        <f t="shared" si="52"/>
        <v>#VALUE!</v>
      </c>
      <c r="T241" s="50" t="e">
        <f t="shared" si="56"/>
        <v>#VALUE!</v>
      </c>
      <c r="U241" s="50" t="e">
        <f t="shared" si="57"/>
        <v>#VALUE!</v>
      </c>
      <c r="V241" s="50" t="e">
        <f t="shared" si="58"/>
        <v>#VALUE!</v>
      </c>
    </row>
    <row r="242" spans="2:22" x14ac:dyDescent="0.25">
      <c r="B242" s="50" t="b">
        <f t="shared" si="59"/>
        <v>0</v>
      </c>
      <c r="C242" s="50" t="e">
        <f t="shared" si="60"/>
        <v>#VALUE!</v>
      </c>
      <c r="E242" s="56">
        <v>239</v>
      </c>
      <c r="G242" s="138"/>
      <c r="H242" s="135">
        <v>1</v>
      </c>
      <c r="I242" s="58" t="e">
        <f t="shared" si="47"/>
        <v>#VALUE!</v>
      </c>
      <c r="J242" s="50" t="e">
        <f t="shared" si="53"/>
        <v>#VALUE!</v>
      </c>
      <c r="K242" s="50" t="e">
        <f t="shared" si="54"/>
        <v>#VALUE!</v>
      </c>
      <c r="L242" s="50" t="e">
        <f t="shared" si="54"/>
        <v>#VALUE!</v>
      </c>
      <c r="M242" s="50" t="e">
        <f t="shared" si="48"/>
        <v>#VALUE!</v>
      </c>
      <c r="N242" s="50" t="e">
        <f t="shared" si="49"/>
        <v>#VALUE!</v>
      </c>
      <c r="O242" s="50">
        <f t="shared" si="50"/>
        <v>0</v>
      </c>
      <c r="Q242" s="55" t="e">
        <f t="shared" si="51"/>
        <v>#VALUE!</v>
      </c>
      <c r="R242" s="55" t="e">
        <f t="shared" si="55"/>
        <v>#VALUE!</v>
      </c>
      <c r="S242" s="55" t="e">
        <f t="shared" si="52"/>
        <v>#VALUE!</v>
      </c>
      <c r="T242" s="50" t="e">
        <f t="shared" si="56"/>
        <v>#VALUE!</v>
      </c>
      <c r="U242" s="50" t="e">
        <f t="shared" si="57"/>
        <v>#VALUE!</v>
      </c>
      <c r="V242" s="50" t="e">
        <f t="shared" si="58"/>
        <v>#VALUE!</v>
      </c>
    </row>
    <row r="243" spans="2:22" x14ac:dyDescent="0.25">
      <c r="B243" s="50" t="b">
        <f t="shared" si="59"/>
        <v>0</v>
      </c>
      <c r="C243" s="50" t="e">
        <f t="shared" si="60"/>
        <v>#VALUE!</v>
      </c>
      <c r="E243" s="56">
        <v>240</v>
      </c>
      <c r="G243" s="138"/>
      <c r="H243" s="135">
        <v>1</v>
      </c>
      <c r="I243" s="58" t="e">
        <f t="shared" si="47"/>
        <v>#VALUE!</v>
      </c>
      <c r="J243" s="50" t="e">
        <f t="shared" si="53"/>
        <v>#VALUE!</v>
      </c>
      <c r="K243" s="50" t="e">
        <f t="shared" si="54"/>
        <v>#VALUE!</v>
      </c>
      <c r="L243" s="50" t="e">
        <f t="shared" si="54"/>
        <v>#VALUE!</v>
      </c>
      <c r="M243" s="50" t="e">
        <f t="shared" si="48"/>
        <v>#VALUE!</v>
      </c>
      <c r="N243" s="50" t="e">
        <f t="shared" si="49"/>
        <v>#VALUE!</v>
      </c>
      <c r="O243" s="50">
        <f t="shared" si="50"/>
        <v>0</v>
      </c>
      <c r="Q243" s="55" t="e">
        <f t="shared" si="51"/>
        <v>#VALUE!</v>
      </c>
      <c r="R243" s="55" t="e">
        <f t="shared" si="55"/>
        <v>#VALUE!</v>
      </c>
      <c r="S243" s="55" t="e">
        <f t="shared" si="52"/>
        <v>#VALUE!</v>
      </c>
      <c r="T243" s="50" t="e">
        <f t="shared" si="56"/>
        <v>#VALUE!</v>
      </c>
      <c r="U243" s="50" t="e">
        <f t="shared" si="57"/>
        <v>#VALUE!</v>
      </c>
      <c r="V243" s="50" t="e">
        <f t="shared" si="58"/>
        <v>#VALUE!</v>
      </c>
    </row>
    <row r="244" spans="2:22" x14ac:dyDescent="0.25">
      <c r="B244" s="50" t="b">
        <f t="shared" si="59"/>
        <v>0</v>
      </c>
      <c r="C244" s="50" t="e">
        <f t="shared" si="60"/>
        <v>#VALUE!</v>
      </c>
      <c r="E244" s="56">
        <v>241</v>
      </c>
      <c r="G244" s="138"/>
      <c r="H244" s="135">
        <v>1</v>
      </c>
      <c r="I244" s="58" t="e">
        <f t="shared" si="47"/>
        <v>#VALUE!</v>
      </c>
      <c r="J244" s="50" t="e">
        <f t="shared" si="53"/>
        <v>#VALUE!</v>
      </c>
      <c r="K244" s="50" t="e">
        <f t="shared" si="54"/>
        <v>#VALUE!</v>
      </c>
      <c r="L244" s="50" t="e">
        <f t="shared" si="54"/>
        <v>#VALUE!</v>
      </c>
      <c r="M244" s="50" t="e">
        <f t="shared" si="48"/>
        <v>#VALUE!</v>
      </c>
      <c r="N244" s="50" t="e">
        <f t="shared" si="49"/>
        <v>#VALUE!</v>
      </c>
      <c r="O244" s="50">
        <f t="shared" si="50"/>
        <v>0</v>
      </c>
      <c r="Q244" s="55" t="e">
        <f t="shared" si="51"/>
        <v>#VALUE!</v>
      </c>
      <c r="R244" s="55" t="e">
        <f t="shared" si="55"/>
        <v>#VALUE!</v>
      </c>
      <c r="S244" s="55" t="e">
        <f t="shared" si="52"/>
        <v>#VALUE!</v>
      </c>
      <c r="T244" s="50" t="e">
        <f t="shared" si="56"/>
        <v>#VALUE!</v>
      </c>
      <c r="U244" s="50" t="e">
        <f t="shared" si="57"/>
        <v>#VALUE!</v>
      </c>
      <c r="V244" s="50" t="e">
        <f t="shared" si="58"/>
        <v>#VALUE!</v>
      </c>
    </row>
    <row r="245" spans="2:22" x14ac:dyDescent="0.25">
      <c r="B245" s="50" t="b">
        <f t="shared" si="59"/>
        <v>0</v>
      </c>
      <c r="C245" s="50" t="e">
        <f t="shared" si="60"/>
        <v>#VALUE!</v>
      </c>
      <c r="E245" s="56">
        <v>242</v>
      </c>
      <c r="G245" s="138"/>
      <c r="H245" s="135">
        <v>1</v>
      </c>
      <c r="I245" s="58" t="e">
        <f t="shared" si="47"/>
        <v>#VALUE!</v>
      </c>
      <c r="J245" s="50" t="e">
        <f t="shared" si="53"/>
        <v>#VALUE!</v>
      </c>
      <c r="K245" s="50" t="e">
        <f t="shared" si="54"/>
        <v>#VALUE!</v>
      </c>
      <c r="L245" s="50" t="e">
        <f t="shared" si="54"/>
        <v>#VALUE!</v>
      </c>
      <c r="M245" s="50" t="e">
        <f t="shared" si="48"/>
        <v>#VALUE!</v>
      </c>
      <c r="N245" s="50" t="e">
        <f t="shared" si="49"/>
        <v>#VALUE!</v>
      </c>
      <c r="O245" s="50">
        <f t="shared" si="50"/>
        <v>0</v>
      </c>
      <c r="Q245" s="55" t="e">
        <f t="shared" si="51"/>
        <v>#VALUE!</v>
      </c>
      <c r="R245" s="55" t="e">
        <f t="shared" si="55"/>
        <v>#VALUE!</v>
      </c>
      <c r="S245" s="55" t="e">
        <f t="shared" si="52"/>
        <v>#VALUE!</v>
      </c>
      <c r="T245" s="50" t="e">
        <f t="shared" si="56"/>
        <v>#VALUE!</v>
      </c>
      <c r="U245" s="50" t="e">
        <f t="shared" si="57"/>
        <v>#VALUE!</v>
      </c>
      <c r="V245" s="50" t="e">
        <f t="shared" si="58"/>
        <v>#VALUE!</v>
      </c>
    </row>
    <row r="246" spans="2:22" x14ac:dyDescent="0.25">
      <c r="B246" s="50" t="b">
        <f t="shared" si="59"/>
        <v>0</v>
      </c>
      <c r="C246" s="50" t="e">
        <f t="shared" ref="C246:C309" si="61">SUM(T246:V246)</f>
        <v>#VALUE!</v>
      </c>
      <c r="E246" s="56">
        <v>243</v>
      </c>
      <c r="G246" s="138"/>
      <c r="H246" s="135">
        <v>1</v>
      </c>
      <c r="I246" s="58" t="e">
        <f t="shared" si="47"/>
        <v>#VALUE!</v>
      </c>
      <c r="J246" s="50" t="e">
        <f t="shared" si="53"/>
        <v>#VALUE!</v>
      </c>
      <c r="K246" s="50" t="e">
        <f t="shared" si="54"/>
        <v>#VALUE!</v>
      </c>
      <c r="L246" s="50" t="e">
        <f t="shared" si="54"/>
        <v>#VALUE!</v>
      </c>
      <c r="M246" s="50" t="e">
        <f t="shared" si="48"/>
        <v>#VALUE!</v>
      </c>
      <c r="N246" s="50" t="e">
        <f t="shared" si="49"/>
        <v>#VALUE!</v>
      </c>
      <c r="O246" s="50">
        <f t="shared" si="50"/>
        <v>0</v>
      </c>
      <c r="Q246" s="55" t="e">
        <f t="shared" si="51"/>
        <v>#VALUE!</v>
      </c>
      <c r="R246" s="55" t="e">
        <f t="shared" si="55"/>
        <v>#VALUE!</v>
      </c>
      <c r="S246" s="55" t="e">
        <f t="shared" si="52"/>
        <v>#VALUE!</v>
      </c>
      <c r="T246" s="50" t="e">
        <f t="shared" si="56"/>
        <v>#VALUE!</v>
      </c>
      <c r="U246" s="50" t="e">
        <f t="shared" si="57"/>
        <v>#VALUE!</v>
      </c>
      <c r="V246" s="50" t="e">
        <f t="shared" si="58"/>
        <v>#VALUE!</v>
      </c>
    </row>
    <row r="247" spans="2:22" x14ac:dyDescent="0.25">
      <c r="B247" s="50" t="b">
        <f t="shared" si="59"/>
        <v>0</v>
      </c>
      <c r="C247" s="50" t="e">
        <f t="shared" si="61"/>
        <v>#VALUE!</v>
      </c>
      <c r="E247" s="56">
        <v>244</v>
      </c>
      <c r="G247" s="138"/>
      <c r="H247" s="135">
        <v>1</v>
      </c>
      <c r="I247" s="58" t="e">
        <f t="shared" si="47"/>
        <v>#VALUE!</v>
      </c>
      <c r="J247" s="50" t="e">
        <f t="shared" si="53"/>
        <v>#VALUE!</v>
      </c>
      <c r="K247" s="50" t="e">
        <f t="shared" si="54"/>
        <v>#VALUE!</v>
      </c>
      <c r="L247" s="50" t="e">
        <f t="shared" si="54"/>
        <v>#VALUE!</v>
      </c>
      <c r="M247" s="50" t="e">
        <f t="shared" si="48"/>
        <v>#VALUE!</v>
      </c>
      <c r="N247" s="50" t="e">
        <f t="shared" si="49"/>
        <v>#VALUE!</v>
      </c>
      <c r="O247" s="50">
        <f t="shared" si="50"/>
        <v>0</v>
      </c>
      <c r="Q247" s="55" t="e">
        <f t="shared" si="51"/>
        <v>#VALUE!</v>
      </c>
      <c r="R247" s="55" t="e">
        <f t="shared" si="55"/>
        <v>#VALUE!</v>
      </c>
      <c r="S247" s="55" t="e">
        <f t="shared" si="52"/>
        <v>#VALUE!</v>
      </c>
      <c r="T247" s="50" t="e">
        <f t="shared" si="56"/>
        <v>#VALUE!</v>
      </c>
      <c r="U247" s="50" t="e">
        <f t="shared" si="57"/>
        <v>#VALUE!</v>
      </c>
      <c r="V247" s="50" t="e">
        <f t="shared" si="58"/>
        <v>#VALUE!</v>
      </c>
    </row>
    <row r="248" spans="2:22" x14ac:dyDescent="0.25">
      <c r="B248" s="50" t="b">
        <f t="shared" si="59"/>
        <v>0</v>
      </c>
      <c r="C248" s="50" t="e">
        <f t="shared" si="61"/>
        <v>#VALUE!</v>
      </c>
      <c r="E248" s="56">
        <v>245</v>
      </c>
      <c r="G248" s="138"/>
      <c r="H248" s="135">
        <v>1</v>
      </c>
      <c r="I248" s="58" t="e">
        <f t="shared" si="47"/>
        <v>#VALUE!</v>
      </c>
      <c r="J248" s="50" t="e">
        <f t="shared" si="53"/>
        <v>#VALUE!</v>
      </c>
      <c r="K248" s="50" t="e">
        <f t="shared" si="54"/>
        <v>#VALUE!</v>
      </c>
      <c r="L248" s="50" t="e">
        <f t="shared" si="54"/>
        <v>#VALUE!</v>
      </c>
      <c r="M248" s="50" t="e">
        <f t="shared" si="48"/>
        <v>#VALUE!</v>
      </c>
      <c r="N248" s="50" t="e">
        <f t="shared" si="49"/>
        <v>#VALUE!</v>
      </c>
      <c r="O248" s="50">
        <f t="shared" si="50"/>
        <v>0</v>
      </c>
      <c r="Q248" s="55" t="e">
        <f t="shared" si="51"/>
        <v>#VALUE!</v>
      </c>
      <c r="R248" s="55" t="e">
        <f t="shared" si="55"/>
        <v>#VALUE!</v>
      </c>
      <c r="S248" s="55" t="e">
        <f t="shared" si="52"/>
        <v>#VALUE!</v>
      </c>
      <c r="T248" s="50" t="e">
        <f t="shared" si="56"/>
        <v>#VALUE!</v>
      </c>
      <c r="U248" s="50" t="e">
        <f t="shared" si="57"/>
        <v>#VALUE!</v>
      </c>
      <c r="V248" s="50" t="e">
        <f t="shared" si="58"/>
        <v>#VALUE!</v>
      </c>
    </row>
    <row r="249" spans="2:22" x14ac:dyDescent="0.25">
      <c r="B249" s="50" t="b">
        <f t="shared" si="59"/>
        <v>0</v>
      </c>
      <c r="C249" s="50" t="e">
        <f t="shared" si="61"/>
        <v>#VALUE!</v>
      </c>
      <c r="E249" s="56">
        <v>246</v>
      </c>
      <c r="G249" s="138"/>
      <c r="H249" s="135">
        <v>1</v>
      </c>
      <c r="I249" s="58" t="e">
        <f t="shared" si="47"/>
        <v>#VALUE!</v>
      </c>
      <c r="J249" s="50" t="e">
        <f t="shared" si="53"/>
        <v>#VALUE!</v>
      </c>
      <c r="K249" s="50" t="e">
        <f t="shared" si="54"/>
        <v>#VALUE!</v>
      </c>
      <c r="L249" s="50" t="e">
        <f t="shared" si="54"/>
        <v>#VALUE!</v>
      </c>
      <c r="M249" s="50" t="e">
        <f t="shared" si="48"/>
        <v>#VALUE!</v>
      </c>
      <c r="N249" s="50" t="e">
        <f t="shared" si="49"/>
        <v>#VALUE!</v>
      </c>
      <c r="O249" s="50">
        <f t="shared" si="50"/>
        <v>0</v>
      </c>
      <c r="Q249" s="55" t="e">
        <f t="shared" si="51"/>
        <v>#VALUE!</v>
      </c>
      <c r="R249" s="55" t="e">
        <f t="shared" si="55"/>
        <v>#VALUE!</v>
      </c>
      <c r="S249" s="55" t="e">
        <f t="shared" si="52"/>
        <v>#VALUE!</v>
      </c>
      <c r="T249" s="50" t="e">
        <f t="shared" si="56"/>
        <v>#VALUE!</v>
      </c>
      <c r="U249" s="50" t="e">
        <f t="shared" si="57"/>
        <v>#VALUE!</v>
      </c>
      <c r="V249" s="50" t="e">
        <f t="shared" si="58"/>
        <v>#VALUE!</v>
      </c>
    </row>
    <row r="250" spans="2:22" x14ac:dyDescent="0.25">
      <c r="B250" s="50" t="b">
        <f t="shared" si="59"/>
        <v>0</v>
      </c>
      <c r="C250" s="50" t="e">
        <f t="shared" si="61"/>
        <v>#VALUE!</v>
      </c>
      <c r="E250" s="56">
        <v>247</v>
      </c>
      <c r="G250" s="138"/>
      <c r="H250" s="135">
        <v>1</v>
      </c>
      <c r="I250" s="58" t="e">
        <f t="shared" si="47"/>
        <v>#VALUE!</v>
      </c>
      <c r="J250" s="50" t="e">
        <f t="shared" si="53"/>
        <v>#VALUE!</v>
      </c>
      <c r="K250" s="50" t="e">
        <f t="shared" si="54"/>
        <v>#VALUE!</v>
      </c>
      <c r="L250" s="50" t="e">
        <f t="shared" si="54"/>
        <v>#VALUE!</v>
      </c>
      <c r="M250" s="50" t="e">
        <f t="shared" si="48"/>
        <v>#VALUE!</v>
      </c>
      <c r="N250" s="50" t="e">
        <f t="shared" si="49"/>
        <v>#VALUE!</v>
      </c>
      <c r="O250" s="50">
        <f t="shared" si="50"/>
        <v>0</v>
      </c>
      <c r="Q250" s="55" t="e">
        <f t="shared" si="51"/>
        <v>#VALUE!</v>
      </c>
      <c r="R250" s="55" t="e">
        <f t="shared" si="55"/>
        <v>#VALUE!</v>
      </c>
      <c r="S250" s="55" t="e">
        <f t="shared" si="52"/>
        <v>#VALUE!</v>
      </c>
      <c r="T250" s="50" t="e">
        <f t="shared" si="56"/>
        <v>#VALUE!</v>
      </c>
      <c r="U250" s="50" t="e">
        <f t="shared" si="57"/>
        <v>#VALUE!</v>
      </c>
      <c r="V250" s="50" t="e">
        <f t="shared" si="58"/>
        <v>#VALUE!</v>
      </c>
    </row>
    <row r="251" spans="2:22" x14ac:dyDescent="0.25">
      <c r="B251" s="50" t="b">
        <f t="shared" si="59"/>
        <v>0</v>
      </c>
      <c r="C251" s="50" t="e">
        <f t="shared" si="61"/>
        <v>#VALUE!</v>
      </c>
      <c r="E251" s="56">
        <v>248</v>
      </c>
      <c r="G251" s="138"/>
      <c r="H251" s="135">
        <v>1</v>
      </c>
      <c r="I251" s="58" t="e">
        <f t="shared" si="47"/>
        <v>#VALUE!</v>
      </c>
      <c r="J251" s="50" t="e">
        <f t="shared" si="53"/>
        <v>#VALUE!</v>
      </c>
      <c r="K251" s="50" t="e">
        <f t="shared" si="54"/>
        <v>#VALUE!</v>
      </c>
      <c r="L251" s="50" t="e">
        <f t="shared" si="54"/>
        <v>#VALUE!</v>
      </c>
      <c r="M251" s="50" t="e">
        <f t="shared" si="48"/>
        <v>#VALUE!</v>
      </c>
      <c r="N251" s="50" t="e">
        <f t="shared" si="49"/>
        <v>#VALUE!</v>
      </c>
      <c r="O251" s="50">
        <f t="shared" si="50"/>
        <v>0</v>
      </c>
      <c r="Q251" s="55" t="e">
        <f t="shared" si="51"/>
        <v>#VALUE!</v>
      </c>
      <c r="R251" s="55" t="e">
        <f t="shared" si="55"/>
        <v>#VALUE!</v>
      </c>
      <c r="S251" s="55" t="e">
        <f t="shared" si="52"/>
        <v>#VALUE!</v>
      </c>
      <c r="T251" s="50" t="e">
        <f t="shared" si="56"/>
        <v>#VALUE!</v>
      </c>
      <c r="U251" s="50" t="e">
        <f t="shared" si="57"/>
        <v>#VALUE!</v>
      </c>
      <c r="V251" s="50" t="e">
        <f t="shared" si="58"/>
        <v>#VALUE!</v>
      </c>
    </row>
    <row r="252" spans="2:22" x14ac:dyDescent="0.25">
      <c r="B252" s="50" t="b">
        <f t="shared" si="59"/>
        <v>0</v>
      </c>
      <c r="C252" s="50" t="e">
        <f t="shared" si="61"/>
        <v>#VALUE!</v>
      </c>
      <c r="E252" s="56">
        <v>249</v>
      </c>
      <c r="G252" s="138"/>
      <c r="H252" s="135">
        <v>1</v>
      </c>
      <c r="I252" s="58" t="e">
        <f t="shared" si="47"/>
        <v>#VALUE!</v>
      </c>
      <c r="J252" s="50" t="e">
        <f t="shared" si="53"/>
        <v>#VALUE!</v>
      </c>
      <c r="K252" s="50" t="e">
        <f t="shared" si="54"/>
        <v>#VALUE!</v>
      </c>
      <c r="L252" s="50" t="e">
        <f t="shared" si="54"/>
        <v>#VALUE!</v>
      </c>
      <c r="M252" s="50" t="e">
        <f t="shared" si="48"/>
        <v>#VALUE!</v>
      </c>
      <c r="N252" s="50" t="e">
        <f t="shared" si="49"/>
        <v>#VALUE!</v>
      </c>
      <c r="O252" s="50">
        <f t="shared" si="50"/>
        <v>0</v>
      </c>
      <c r="Q252" s="55" t="e">
        <f t="shared" si="51"/>
        <v>#VALUE!</v>
      </c>
      <c r="R252" s="55" t="e">
        <f t="shared" si="55"/>
        <v>#VALUE!</v>
      </c>
      <c r="S252" s="55" t="e">
        <f t="shared" si="52"/>
        <v>#VALUE!</v>
      </c>
      <c r="T252" s="50" t="e">
        <f t="shared" si="56"/>
        <v>#VALUE!</v>
      </c>
      <c r="U252" s="50" t="e">
        <f t="shared" si="57"/>
        <v>#VALUE!</v>
      </c>
      <c r="V252" s="50" t="e">
        <f t="shared" si="58"/>
        <v>#VALUE!</v>
      </c>
    </row>
    <row r="253" spans="2:22" x14ac:dyDescent="0.25">
      <c r="B253" s="50" t="b">
        <f t="shared" si="59"/>
        <v>0</v>
      </c>
      <c r="C253" s="50" t="e">
        <f t="shared" si="61"/>
        <v>#VALUE!</v>
      </c>
      <c r="E253" s="56">
        <v>250</v>
      </c>
      <c r="G253" s="138"/>
      <c r="H253" s="135">
        <v>1</v>
      </c>
      <c r="I253" s="58" t="e">
        <f t="shared" si="47"/>
        <v>#VALUE!</v>
      </c>
      <c r="J253" s="50" t="e">
        <f t="shared" si="53"/>
        <v>#VALUE!</v>
      </c>
      <c r="K253" s="50" t="e">
        <f t="shared" si="54"/>
        <v>#VALUE!</v>
      </c>
      <c r="L253" s="50" t="e">
        <f t="shared" si="54"/>
        <v>#VALUE!</v>
      </c>
      <c r="M253" s="50" t="e">
        <f t="shared" si="48"/>
        <v>#VALUE!</v>
      </c>
      <c r="N253" s="50" t="e">
        <f t="shared" si="49"/>
        <v>#VALUE!</v>
      </c>
      <c r="O253" s="50">
        <f t="shared" si="50"/>
        <v>0</v>
      </c>
      <c r="Q253" s="55" t="e">
        <f t="shared" si="51"/>
        <v>#VALUE!</v>
      </c>
      <c r="R253" s="55" t="e">
        <f t="shared" si="55"/>
        <v>#VALUE!</v>
      </c>
      <c r="S253" s="55" t="e">
        <f t="shared" si="52"/>
        <v>#VALUE!</v>
      </c>
      <c r="T253" s="50" t="e">
        <f t="shared" si="56"/>
        <v>#VALUE!</v>
      </c>
      <c r="U253" s="50" t="e">
        <f t="shared" si="57"/>
        <v>#VALUE!</v>
      </c>
      <c r="V253" s="50" t="e">
        <f t="shared" si="58"/>
        <v>#VALUE!</v>
      </c>
    </row>
    <row r="254" spans="2:22" x14ac:dyDescent="0.25">
      <c r="B254" s="50" t="b">
        <f t="shared" si="59"/>
        <v>0</v>
      </c>
      <c r="C254" s="50" t="e">
        <f t="shared" si="61"/>
        <v>#VALUE!</v>
      </c>
      <c r="E254" s="56">
        <v>251</v>
      </c>
      <c r="G254" s="138"/>
      <c r="H254" s="135">
        <v>1</v>
      </c>
      <c r="I254" s="58" t="e">
        <f t="shared" si="47"/>
        <v>#VALUE!</v>
      </c>
      <c r="J254" s="50" t="e">
        <f t="shared" si="53"/>
        <v>#VALUE!</v>
      </c>
      <c r="K254" s="50" t="e">
        <f t="shared" si="54"/>
        <v>#VALUE!</v>
      </c>
      <c r="L254" s="50" t="e">
        <f t="shared" si="54"/>
        <v>#VALUE!</v>
      </c>
      <c r="M254" s="50" t="e">
        <f t="shared" si="48"/>
        <v>#VALUE!</v>
      </c>
      <c r="N254" s="50" t="e">
        <f t="shared" si="49"/>
        <v>#VALUE!</v>
      </c>
      <c r="O254" s="50">
        <f t="shared" si="50"/>
        <v>0</v>
      </c>
      <c r="Q254" s="55" t="e">
        <f t="shared" si="51"/>
        <v>#VALUE!</v>
      </c>
      <c r="R254" s="55" t="e">
        <f t="shared" si="55"/>
        <v>#VALUE!</v>
      </c>
      <c r="S254" s="55" t="e">
        <f t="shared" si="52"/>
        <v>#VALUE!</v>
      </c>
      <c r="T254" s="50" t="e">
        <f t="shared" si="56"/>
        <v>#VALUE!</v>
      </c>
      <c r="U254" s="50" t="e">
        <f t="shared" si="57"/>
        <v>#VALUE!</v>
      </c>
      <c r="V254" s="50" t="e">
        <f t="shared" si="58"/>
        <v>#VALUE!</v>
      </c>
    </row>
    <row r="255" spans="2:22" x14ac:dyDescent="0.25">
      <c r="B255" s="50" t="b">
        <f t="shared" si="59"/>
        <v>0</v>
      </c>
      <c r="C255" s="50" t="e">
        <f t="shared" si="61"/>
        <v>#VALUE!</v>
      </c>
      <c r="E255" s="56">
        <v>252</v>
      </c>
      <c r="G255" s="138"/>
      <c r="H255" s="135">
        <v>1</v>
      </c>
      <c r="I255" s="58" t="e">
        <f t="shared" si="47"/>
        <v>#VALUE!</v>
      </c>
      <c r="J255" s="50" t="e">
        <f t="shared" si="53"/>
        <v>#VALUE!</v>
      </c>
      <c r="K255" s="50" t="e">
        <f t="shared" si="54"/>
        <v>#VALUE!</v>
      </c>
      <c r="L255" s="50" t="e">
        <f t="shared" si="54"/>
        <v>#VALUE!</v>
      </c>
      <c r="M255" s="50" t="e">
        <f t="shared" si="48"/>
        <v>#VALUE!</v>
      </c>
      <c r="N255" s="50" t="e">
        <f t="shared" si="49"/>
        <v>#VALUE!</v>
      </c>
      <c r="O255" s="50">
        <f t="shared" si="50"/>
        <v>0</v>
      </c>
      <c r="Q255" s="55" t="e">
        <f t="shared" si="51"/>
        <v>#VALUE!</v>
      </c>
      <c r="R255" s="55" t="e">
        <f t="shared" si="55"/>
        <v>#VALUE!</v>
      </c>
      <c r="S255" s="55" t="e">
        <f t="shared" si="52"/>
        <v>#VALUE!</v>
      </c>
      <c r="T255" s="50" t="e">
        <f t="shared" si="56"/>
        <v>#VALUE!</v>
      </c>
      <c r="U255" s="50" t="e">
        <f t="shared" si="57"/>
        <v>#VALUE!</v>
      </c>
      <c r="V255" s="50" t="e">
        <f t="shared" si="58"/>
        <v>#VALUE!</v>
      </c>
    </row>
    <row r="256" spans="2:22" x14ac:dyDescent="0.25">
      <c r="B256" s="50" t="b">
        <f t="shared" si="59"/>
        <v>0</v>
      </c>
      <c r="C256" s="50" t="e">
        <f t="shared" si="61"/>
        <v>#VALUE!</v>
      </c>
      <c r="E256" s="56">
        <v>253</v>
      </c>
      <c r="G256" s="138"/>
      <c r="H256" s="135">
        <v>1</v>
      </c>
      <c r="I256" s="58" t="e">
        <f t="shared" si="47"/>
        <v>#VALUE!</v>
      </c>
      <c r="J256" s="50" t="e">
        <f t="shared" si="53"/>
        <v>#VALUE!</v>
      </c>
      <c r="K256" s="50" t="e">
        <f t="shared" si="54"/>
        <v>#VALUE!</v>
      </c>
      <c r="L256" s="50" t="e">
        <f t="shared" si="54"/>
        <v>#VALUE!</v>
      </c>
      <c r="M256" s="50" t="e">
        <f t="shared" si="48"/>
        <v>#VALUE!</v>
      </c>
      <c r="N256" s="50" t="e">
        <f t="shared" si="49"/>
        <v>#VALUE!</v>
      </c>
      <c r="O256" s="50">
        <f t="shared" si="50"/>
        <v>0</v>
      </c>
      <c r="Q256" s="55" t="e">
        <f t="shared" si="51"/>
        <v>#VALUE!</v>
      </c>
      <c r="R256" s="55" t="e">
        <f t="shared" si="55"/>
        <v>#VALUE!</v>
      </c>
      <c r="S256" s="55" t="e">
        <f t="shared" si="52"/>
        <v>#VALUE!</v>
      </c>
      <c r="T256" s="50" t="e">
        <f t="shared" si="56"/>
        <v>#VALUE!</v>
      </c>
      <c r="U256" s="50" t="e">
        <f t="shared" si="57"/>
        <v>#VALUE!</v>
      </c>
      <c r="V256" s="50" t="e">
        <f t="shared" si="58"/>
        <v>#VALUE!</v>
      </c>
    </row>
    <row r="257" spans="2:22" x14ac:dyDescent="0.25">
      <c r="B257" s="50" t="b">
        <f t="shared" si="59"/>
        <v>0</v>
      </c>
      <c r="C257" s="50" t="e">
        <f t="shared" si="61"/>
        <v>#VALUE!</v>
      </c>
      <c r="E257" s="56">
        <v>254</v>
      </c>
      <c r="G257" s="138"/>
      <c r="H257" s="135">
        <v>1</v>
      </c>
      <c r="I257" s="58" t="e">
        <f t="shared" si="47"/>
        <v>#VALUE!</v>
      </c>
      <c r="J257" s="50" t="e">
        <f t="shared" si="53"/>
        <v>#VALUE!</v>
      </c>
      <c r="K257" s="50" t="e">
        <f t="shared" si="54"/>
        <v>#VALUE!</v>
      </c>
      <c r="L257" s="50" t="e">
        <f t="shared" si="54"/>
        <v>#VALUE!</v>
      </c>
      <c r="M257" s="50" t="e">
        <f t="shared" si="48"/>
        <v>#VALUE!</v>
      </c>
      <c r="N257" s="50" t="e">
        <f t="shared" si="49"/>
        <v>#VALUE!</v>
      </c>
      <c r="O257" s="50">
        <f t="shared" si="50"/>
        <v>0</v>
      </c>
      <c r="Q257" s="55" t="e">
        <f t="shared" si="51"/>
        <v>#VALUE!</v>
      </c>
      <c r="R257" s="55" t="e">
        <f t="shared" si="55"/>
        <v>#VALUE!</v>
      </c>
      <c r="S257" s="55" t="e">
        <f t="shared" si="52"/>
        <v>#VALUE!</v>
      </c>
      <c r="T257" s="50" t="e">
        <f t="shared" si="56"/>
        <v>#VALUE!</v>
      </c>
      <c r="U257" s="50" t="e">
        <f t="shared" si="57"/>
        <v>#VALUE!</v>
      </c>
      <c r="V257" s="50" t="e">
        <f t="shared" si="58"/>
        <v>#VALUE!</v>
      </c>
    </row>
    <row r="258" spans="2:22" x14ac:dyDescent="0.25">
      <c r="B258" s="50" t="b">
        <f t="shared" si="59"/>
        <v>0</v>
      </c>
      <c r="C258" s="50" t="e">
        <f t="shared" si="61"/>
        <v>#VALUE!</v>
      </c>
      <c r="E258" s="56">
        <v>255</v>
      </c>
      <c r="G258" s="138"/>
      <c r="H258" s="135">
        <v>1</v>
      </c>
      <c r="I258" s="58" t="e">
        <f t="shared" si="47"/>
        <v>#VALUE!</v>
      </c>
      <c r="J258" s="50" t="e">
        <f t="shared" si="53"/>
        <v>#VALUE!</v>
      </c>
      <c r="K258" s="50" t="e">
        <f t="shared" si="54"/>
        <v>#VALUE!</v>
      </c>
      <c r="L258" s="50" t="e">
        <f t="shared" si="54"/>
        <v>#VALUE!</v>
      </c>
      <c r="M258" s="50" t="e">
        <f t="shared" si="48"/>
        <v>#VALUE!</v>
      </c>
      <c r="N258" s="50" t="e">
        <f t="shared" si="49"/>
        <v>#VALUE!</v>
      </c>
      <c r="O258" s="50">
        <f t="shared" si="50"/>
        <v>0</v>
      </c>
      <c r="Q258" s="55" t="e">
        <f t="shared" si="51"/>
        <v>#VALUE!</v>
      </c>
      <c r="R258" s="55" t="e">
        <f t="shared" si="55"/>
        <v>#VALUE!</v>
      </c>
      <c r="S258" s="55" t="e">
        <f t="shared" si="52"/>
        <v>#VALUE!</v>
      </c>
      <c r="T258" s="50" t="e">
        <f t="shared" si="56"/>
        <v>#VALUE!</v>
      </c>
      <c r="U258" s="50" t="e">
        <f t="shared" si="57"/>
        <v>#VALUE!</v>
      </c>
      <c r="V258" s="50" t="e">
        <f t="shared" si="58"/>
        <v>#VALUE!</v>
      </c>
    </row>
    <row r="259" spans="2:22" x14ac:dyDescent="0.25">
      <c r="B259" s="50" t="b">
        <f t="shared" si="59"/>
        <v>0</v>
      </c>
      <c r="C259" s="50" t="e">
        <f t="shared" si="61"/>
        <v>#VALUE!</v>
      </c>
      <c r="E259" s="56">
        <v>256</v>
      </c>
      <c r="G259" s="138"/>
      <c r="H259" s="135">
        <v>1</v>
      </c>
      <c r="I259" s="58" t="e">
        <f t="shared" si="47"/>
        <v>#VALUE!</v>
      </c>
      <c r="J259" s="50" t="e">
        <f t="shared" si="53"/>
        <v>#VALUE!</v>
      </c>
      <c r="K259" s="50" t="e">
        <f t="shared" si="54"/>
        <v>#VALUE!</v>
      </c>
      <c r="L259" s="50" t="e">
        <f t="shared" si="54"/>
        <v>#VALUE!</v>
      </c>
      <c r="M259" s="50" t="e">
        <f t="shared" si="48"/>
        <v>#VALUE!</v>
      </c>
      <c r="N259" s="50" t="e">
        <f t="shared" si="49"/>
        <v>#VALUE!</v>
      </c>
      <c r="O259" s="50">
        <f t="shared" si="50"/>
        <v>0</v>
      </c>
      <c r="Q259" s="55" t="e">
        <f t="shared" si="51"/>
        <v>#VALUE!</v>
      </c>
      <c r="R259" s="55" t="e">
        <f t="shared" si="55"/>
        <v>#VALUE!</v>
      </c>
      <c r="S259" s="55" t="e">
        <f t="shared" si="52"/>
        <v>#VALUE!</v>
      </c>
      <c r="T259" s="50" t="e">
        <f t="shared" si="56"/>
        <v>#VALUE!</v>
      </c>
      <c r="U259" s="50" t="e">
        <f t="shared" si="57"/>
        <v>#VALUE!</v>
      </c>
      <c r="V259" s="50" t="e">
        <f t="shared" si="58"/>
        <v>#VALUE!</v>
      </c>
    </row>
    <row r="260" spans="2:22" x14ac:dyDescent="0.25">
      <c r="B260" s="50" t="b">
        <f t="shared" si="59"/>
        <v>0</v>
      </c>
      <c r="C260" s="50" t="e">
        <f t="shared" si="61"/>
        <v>#VALUE!</v>
      </c>
      <c r="E260" s="56">
        <v>257</v>
      </c>
      <c r="G260" s="138"/>
      <c r="H260" s="135">
        <v>1</v>
      </c>
      <c r="I260" s="58" t="e">
        <f t="shared" ref="I260:I323" si="62">RIGHT(G260,J260)</f>
        <v>#VALUE!</v>
      </c>
      <c r="J260" s="50" t="e">
        <f t="shared" si="53"/>
        <v>#VALUE!</v>
      </c>
      <c r="K260" s="50" t="e">
        <f t="shared" si="54"/>
        <v>#VALUE!</v>
      </c>
      <c r="L260" s="50" t="e">
        <f t="shared" si="54"/>
        <v>#VALUE!</v>
      </c>
      <c r="M260" s="50" t="e">
        <f t="shared" ref="M260:M323" si="63">SEARCH("-",G260,2)</f>
        <v>#VALUE!</v>
      </c>
      <c r="N260" s="50" t="e">
        <f t="shared" ref="N260:N323" si="64">SEARCH("-",G260,M260+1)</f>
        <v>#VALUE!</v>
      </c>
      <c r="O260" s="50">
        <f t="shared" ref="O260:O323" si="65">LEN(G260)</f>
        <v>0</v>
      </c>
      <c r="Q260" s="55" t="e">
        <f t="shared" ref="Q260:Q323" si="66">LEFT(G260,M260-1)</f>
        <v>#VALUE!</v>
      </c>
      <c r="R260" s="55" t="e">
        <f t="shared" si="55"/>
        <v>#VALUE!</v>
      </c>
      <c r="S260" s="55" t="e">
        <f t="shared" ref="S260:S323" si="67">RIGHT(G260,L260)</f>
        <v>#VALUE!</v>
      </c>
      <c r="T260" s="50" t="e">
        <f t="shared" si="56"/>
        <v>#VALUE!</v>
      </c>
      <c r="U260" s="50" t="e">
        <f t="shared" si="57"/>
        <v>#VALUE!</v>
      </c>
      <c r="V260" s="50" t="e">
        <f t="shared" si="58"/>
        <v>#VALUE!</v>
      </c>
    </row>
    <row r="261" spans="2:22" x14ac:dyDescent="0.25">
      <c r="B261" s="50" t="b">
        <f t="shared" si="59"/>
        <v>0</v>
      </c>
      <c r="C261" s="50" t="e">
        <f t="shared" si="61"/>
        <v>#VALUE!</v>
      </c>
      <c r="E261" s="56">
        <v>258</v>
      </c>
      <c r="G261" s="138"/>
      <c r="H261" s="135">
        <v>1</v>
      </c>
      <c r="I261" s="58" t="e">
        <f t="shared" si="62"/>
        <v>#VALUE!</v>
      </c>
      <c r="J261" s="50" t="e">
        <f t="shared" ref="J261:J324" si="68">O261-M261</f>
        <v>#VALUE!</v>
      </c>
      <c r="K261" s="50" t="e">
        <f t="shared" ref="K261:L324" si="69">N261-M261</f>
        <v>#VALUE!</v>
      </c>
      <c r="L261" s="50" t="e">
        <f t="shared" si="69"/>
        <v>#VALUE!</v>
      </c>
      <c r="M261" s="50" t="e">
        <f t="shared" si="63"/>
        <v>#VALUE!</v>
      </c>
      <c r="N261" s="50" t="e">
        <f t="shared" si="64"/>
        <v>#VALUE!</v>
      </c>
      <c r="O261" s="50">
        <f t="shared" si="65"/>
        <v>0</v>
      </c>
      <c r="Q261" s="55" t="e">
        <f t="shared" si="66"/>
        <v>#VALUE!</v>
      </c>
      <c r="R261" s="55" t="e">
        <f t="shared" ref="R261:R324" si="70">LEFT(I261,K261-1)</f>
        <v>#VALUE!</v>
      </c>
      <c r="S261" s="55" t="e">
        <f t="shared" si="67"/>
        <v>#VALUE!</v>
      </c>
      <c r="T261" s="50" t="e">
        <f t="shared" ref="T261:T324" si="71">Q261*1*$H261</f>
        <v>#VALUE!</v>
      </c>
      <c r="U261" s="50" t="e">
        <f t="shared" ref="U261:U324" si="72">R261*1*$H261</f>
        <v>#VALUE!</v>
      </c>
      <c r="V261" s="50" t="e">
        <f t="shared" ref="V261:V324" si="73">S261*1*$H261</f>
        <v>#VALUE!</v>
      </c>
    </row>
    <row r="262" spans="2:22" x14ac:dyDescent="0.25">
      <c r="B262" s="50" t="b">
        <f t="shared" si="59"/>
        <v>0</v>
      </c>
      <c r="C262" s="50" t="e">
        <f t="shared" si="61"/>
        <v>#VALUE!</v>
      </c>
      <c r="E262" s="56">
        <v>259</v>
      </c>
      <c r="G262" s="138"/>
      <c r="H262" s="135">
        <v>1</v>
      </c>
      <c r="I262" s="58" t="e">
        <f t="shared" si="62"/>
        <v>#VALUE!</v>
      </c>
      <c r="J262" s="50" t="e">
        <f t="shared" si="68"/>
        <v>#VALUE!</v>
      </c>
      <c r="K262" s="50" t="e">
        <f t="shared" si="69"/>
        <v>#VALUE!</v>
      </c>
      <c r="L262" s="50" t="e">
        <f t="shared" si="69"/>
        <v>#VALUE!</v>
      </c>
      <c r="M262" s="50" t="e">
        <f t="shared" si="63"/>
        <v>#VALUE!</v>
      </c>
      <c r="N262" s="50" t="e">
        <f t="shared" si="64"/>
        <v>#VALUE!</v>
      </c>
      <c r="O262" s="50">
        <f t="shared" si="65"/>
        <v>0</v>
      </c>
      <c r="Q262" s="55" t="e">
        <f t="shared" si="66"/>
        <v>#VALUE!</v>
      </c>
      <c r="R262" s="55" t="e">
        <f t="shared" si="70"/>
        <v>#VALUE!</v>
      </c>
      <c r="S262" s="55" t="e">
        <f t="shared" si="67"/>
        <v>#VALUE!</v>
      </c>
      <c r="T262" s="50" t="e">
        <f t="shared" si="71"/>
        <v>#VALUE!</v>
      </c>
      <c r="U262" s="50" t="e">
        <f t="shared" si="72"/>
        <v>#VALUE!</v>
      </c>
      <c r="V262" s="50" t="e">
        <f t="shared" si="73"/>
        <v>#VALUE!</v>
      </c>
    </row>
    <row r="263" spans="2:22" x14ac:dyDescent="0.25">
      <c r="B263" s="50" t="b">
        <f t="shared" si="59"/>
        <v>0</v>
      </c>
      <c r="C263" s="50" t="e">
        <f t="shared" si="61"/>
        <v>#VALUE!</v>
      </c>
      <c r="E263" s="56">
        <v>260</v>
      </c>
      <c r="G263" s="138"/>
      <c r="H263" s="135">
        <v>1</v>
      </c>
      <c r="I263" s="58" t="e">
        <f t="shared" si="62"/>
        <v>#VALUE!</v>
      </c>
      <c r="J263" s="50" t="e">
        <f t="shared" si="68"/>
        <v>#VALUE!</v>
      </c>
      <c r="K263" s="50" t="e">
        <f t="shared" si="69"/>
        <v>#VALUE!</v>
      </c>
      <c r="L263" s="50" t="e">
        <f t="shared" si="69"/>
        <v>#VALUE!</v>
      </c>
      <c r="M263" s="50" t="e">
        <f t="shared" si="63"/>
        <v>#VALUE!</v>
      </c>
      <c r="N263" s="50" t="e">
        <f t="shared" si="64"/>
        <v>#VALUE!</v>
      </c>
      <c r="O263" s="50">
        <f t="shared" si="65"/>
        <v>0</v>
      </c>
      <c r="Q263" s="55" t="e">
        <f t="shared" si="66"/>
        <v>#VALUE!</v>
      </c>
      <c r="R263" s="55" t="e">
        <f t="shared" si="70"/>
        <v>#VALUE!</v>
      </c>
      <c r="S263" s="55" t="e">
        <f t="shared" si="67"/>
        <v>#VALUE!</v>
      </c>
      <c r="T263" s="50" t="e">
        <f t="shared" si="71"/>
        <v>#VALUE!</v>
      </c>
      <c r="U263" s="50" t="e">
        <f t="shared" si="72"/>
        <v>#VALUE!</v>
      </c>
      <c r="V263" s="50" t="e">
        <f t="shared" si="73"/>
        <v>#VALUE!</v>
      </c>
    </row>
    <row r="264" spans="2:22" x14ac:dyDescent="0.25">
      <c r="B264" s="50" t="b">
        <f t="shared" si="59"/>
        <v>0</v>
      </c>
      <c r="C264" s="50" t="e">
        <f t="shared" si="61"/>
        <v>#VALUE!</v>
      </c>
      <c r="E264" s="56">
        <v>261</v>
      </c>
      <c r="G264" s="138"/>
      <c r="H264" s="135">
        <v>1</v>
      </c>
      <c r="I264" s="58" t="e">
        <f t="shared" si="62"/>
        <v>#VALUE!</v>
      </c>
      <c r="J264" s="50" t="e">
        <f t="shared" si="68"/>
        <v>#VALUE!</v>
      </c>
      <c r="K264" s="50" t="e">
        <f t="shared" si="69"/>
        <v>#VALUE!</v>
      </c>
      <c r="L264" s="50" t="e">
        <f t="shared" si="69"/>
        <v>#VALUE!</v>
      </c>
      <c r="M264" s="50" t="e">
        <f t="shared" si="63"/>
        <v>#VALUE!</v>
      </c>
      <c r="N264" s="50" t="e">
        <f t="shared" si="64"/>
        <v>#VALUE!</v>
      </c>
      <c r="O264" s="50">
        <f t="shared" si="65"/>
        <v>0</v>
      </c>
      <c r="Q264" s="55" t="e">
        <f t="shared" si="66"/>
        <v>#VALUE!</v>
      </c>
      <c r="R264" s="55" t="e">
        <f t="shared" si="70"/>
        <v>#VALUE!</v>
      </c>
      <c r="S264" s="55" t="e">
        <f t="shared" si="67"/>
        <v>#VALUE!</v>
      </c>
      <c r="T264" s="50" t="e">
        <f t="shared" si="71"/>
        <v>#VALUE!</v>
      </c>
      <c r="U264" s="50" t="e">
        <f t="shared" si="72"/>
        <v>#VALUE!</v>
      </c>
      <c r="V264" s="50" t="e">
        <f t="shared" si="73"/>
        <v>#VALUE!</v>
      </c>
    </row>
    <row r="265" spans="2:22" x14ac:dyDescent="0.25">
      <c r="B265" s="50" t="b">
        <f t="shared" si="59"/>
        <v>0</v>
      </c>
      <c r="C265" s="50" t="e">
        <f t="shared" si="61"/>
        <v>#VALUE!</v>
      </c>
      <c r="E265" s="56">
        <v>262</v>
      </c>
      <c r="G265" s="138"/>
      <c r="H265" s="135">
        <v>1</v>
      </c>
      <c r="I265" s="58" t="e">
        <f t="shared" si="62"/>
        <v>#VALUE!</v>
      </c>
      <c r="J265" s="50" t="e">
        <f t="shared" si="68"/>
        <v>#VALUE!</v>
      </c>
      <c r="K265" s="50" t="e">
        <f t="shared" si="69"/>
        <v>#VALUE!</v>
      </c>
      <c r="L265" s="50" t="e">
        <f t="shared" si="69"/>
        <v>#VALUE!</v>
      </c>
      <c r="M265" s="50" t="e">
        <f t="shared" si="63"/>
        <v>#VALUE!</v>
      </c>
      <c r="N265" s="50" t="e">
        <f t="shared" si="64"/>
        <v>#VALUE!</v>
      </c>
      <c r="O265" s="50">
        <f t="shared" si="65"/>
        <v>0</v>
      </c>
      <c r="Q265" s="55" t="e">
        <f t="shared" si="66"/>
        <v>#VALUE!</v>
      </c>
      <c r="R265" s="55" t="e">
        <f t="shared" si="70"/>
        <v>#VALUE!</v>
      </c>
      <c r="S265" s="55" t="e">
        <f t="shared" si="67"/>
        <v>#VALUE!</v>
      </c>
      <c r="T265" s="50" t="e">
        <f t="shared" si="71"/>
        <v>#VALUE!</v>
      </c>
      <c r="U265" s="50" t="e">
        <f t="shared" si="72"/>
        <v>#VALUE!</v>
      </c>
      <c r="V265" s="50" t="e">
        <f t="shared" si="73"/>
        <v>#VALUE!</v>
      </c>
    </row>
    <row r="266" spans="2:22" x14ac:dyDescent="0.25">
      <c r="B266" s="50" t="b">
        <f t="shared" si="59"/>
        <v>0</v>
      </c>
      <c r="C266" s="50" t="e">
        <f t="shared" si="61"/>
        <v>#VALUE!</v>
      </c>
      <c r="E266" s="56">
        <v>263</v>
      </c>
      <c r="G266" s="138"/>
      <c r="H266" s="135">
        <v>1</v>
      </c>
      <c r="I266" s="58" t="e">
        <f t="shared" si="62"/>
        <v>#VALUE!</v>
      </c>
      <c r="J266" s="50" t="e">
        <f t="shared" si="68"/>
        <v>#VALUE!</v>
      </c>
      <c r="K266" s="50" t="e">
        <f t="shared" si="69"/>
        <v>#VALUE!</v>
      </c>
      <c r="L266" s="50" t="e">
        <f t="shared" si="69"/>
        <v>#VALUE!</v>
      </c>
      <c r="M266" s="50" t="e">
        <f t="shared" si="63"/>
        <v>#VALUE!</v>
      </c>
      <c r="N266" s="50" t="e">
        <f t="shared" si="64"/>
        <v>#VALUE!</v>
      </c>
      <c r="O266" s="50">
        <f t="shared" si="65"/>
        <v>0</v>
      </c>
      <c r="Q266" s="55" t="e">
        <f t="shared" si="66"/>
        <v>#VALUE!</v>
      </c>
      <c r="R266" s="55" t="e">
        <f t="shared" si="70"/>
        <v>#VALUE!</v>
      </c>
      <c r="S266" s="55" t="e">
        <f t="shared" si="67"/>
        <v>#VALUE!</v>
      </c>
      <c r="T266" s="50" t="e">
        <f t="shared" si="71"/>
        <v>#VALUE!</v>
      </c>
      <c r="U266" s="50" t="e">
        <f t="shared" si="72"/>
        <v>#VALUE!</v>
      </c>
      <c r="V266" s="50" t="e">
        <f t="shared" si="73"/>
        <v>#VALUE!</v>
      </c>
    </row>
    <row r="267" spans="2:22" x14ac:dyDescent="0.25">
      <c r="B267" s="50" t="b">
        <f t="shared" si="59"/>
        <v>0</v>
      </c>
      <c r="C267" s="50" t="e">
        <f t="shared" si="61"/>
        <v>#VALUE!</v>
      </c>
      <c r="E267" s="56">
        <v>264</v>
      </c>
      <c r="G267" s="138"/>
      <c r="H267" s="135">
        <v>1</v>
      </c>
      <c r="I267" s="58" t="e">
        <f t="shared" si="62"/>
        <v>#VALUE!</v>
      </c>
      <c r="J267" s="50" t="e">
        <f t="shared" si="68"/>
        <v>#VALUE!</v>
      </c>
      <c r="K267" s="50" t="e">
        <f t="shared" si="69"/>
        <v>#VALUE!</v>
      </c>
      <c r="L267" s="50" t="e">
        <f t="shared" si="69"/>
        <v>#VALUE!</v>
      </c>
      <c r="M267" s="50" t="e">
        <f t="shared" si="63"/>
        <v>#VALUE!</v>
      </c>
      <c r="N267" s="50" t="e">
        <f t="shared" si="64"/>
        <v>#VALUE!</v>
      </c>
      <c r="O267" s="50">
        <f t="shared" si="65"/>
        <v>0</v>
      </c>
      <c r="Q267" s="55" t="e">
        <f t="shared" si="66"/>
        <v>#VALUE!</v>
      </c>
      <c r="R267" s="55" t="e">
        <f t="shared" si="70"/>
        <v>#VALUE!</v>
      </c>
      <c r="S267" s="55" t="e">
        <f t="shared" si="67"/>
        <v>#VALUE!</v>
      </c>
      <c r="T267" s="50" t="e">
        <f t="shared" si="71"/>
        <v>#VALUE!</v>
      </c>
      <c r="U267" s="50" t="e">
        <f t="shared" si="72"/>
        <v>#VALUE!</v>
      </c>
      <c r="V267" s="50" t="e">
        <f t="shared" si="73"/>
        <v>#VALUE!</v>
      </c>
    </row>
    <row r="268" spans="2:22" x14ac:dyDescent="0.25">
      <c r="B268" s="50" t="b">
        <f t="shared" si="59"/>
        <v>0</v>
      </c>
      <c r="C268" s="50" t="e">
        <f t="shared" si="61"/>
        <v>#VALUE!</v>
      </c>
      <c r="E268" s="56">
        <v>265</v>
      </c>
      <c r="G268" s="138"/>
      <c r="H268" s="135">
        <v>1</v>
      </c>
      <c r="I268" s="58" t="e">
        <f t="shared" si="62"/>
        <v>#VALUE!</v>
      </c>
      <c r="J268" s="50" t="e">
        <f t="shared" si="68"/>
        <v>#VALUE!</v>
      </c>
      <c r="K268" s="50" t="e">
        <f t="shared" si="69"/>
        <v>#VALUE!</v>
      </c>
      <c r="L268" s="50" t="e">
        <f t="shared" si="69"/>
        <v>#VALUE!</v>
      </c>
      <c r="M268" s="50" t="e">
        <f t="shared" si="63"/>
        <v>#VALUE!</v>
      </c>
      <c r="N268" s="50" t="e">
        <f t="shared" si="64"/>
        <v>#VALUE!</v>
      </c>
      <c r="O268" s="50">
        <f t="shared" si="65"/>
        <v>0</v>
      </c>
      <c r="Q268" s="55" t="e">
        <f t="shared" si="66"/>
        <v>#VALUE!</v>
      </c>
      <c r="R268" s="55" t="e">
        <f t="shared" si="70"/>
        <v>#VALUE!</v>
      </c>
      <c r="S268" s="55" t="e">
        <f t="shared" si="67"/>
        <v>#VALUE!</v>
      </c>
      <c r="T268" s="50" t="e">
        <f t="shared" si="71"/>
        <v>#VALUE!</v>
      </c>
      <c r="U268" s="50" t="e">
        <f t="shared" si="72"/>
        <v>#VALUE!</v>
      </c>
      <c r="V268" s="50" t="e">
        <f t="shared" si="73"/>
        <v>#VALUE!</v>
      </c>
    </row>
    <row r="269" spans="2:22" x14ac:dyDescent="0.25">
      <c r="B269" s="50" t="b">
        <f t="shared" si="59"/>
        <v>0</v>
      </c>
      <c r="C269" s="50" t="e">
        <f t="shared" si="61"/>
        <v>#VALUE!</v>
      </c>
      <c r="E269" s="56">
        <v>266</v>
      </c>
      <c r="G269" s="138"/>
      <c r="H269" s="135">
        <v>1</v>
      </c>
      <c r="I269" s="58" t="e">
        <f t="shared" si="62"/>
        <v>#VALUE!</v>
      </c>
      <c r="J269" s="50" t="e">
        <f t="shared" si="68"/>
        <v>#VALUE!</v>
      </c>
      <c r="K269" s="50" t="e">
        <f t="shared" si="69"/>
        <v>#VALUE!</v>
      </c>
      <c r="L269" s="50" t="e">
        <f t="shared" si="69"/>
        <v>#VALUE!</v>
      </c>
      <c r="M269" s="50" t="e">
        <f t="shared" si="63"/>
        <v>#VALUE!</v>
      </c>
      <c r="N269" s="50" t="e">
        <f t="shared" si="64"/>
        <v>#VALUE!</v>
      </c>
      <c r="O269" s="50">
        <f t="shared" si="65"/>
        <v>0</v>
      </c>
      <c r="Q269" s="55" t="e">
        <f t="shared" si="66"/>
        <v>#VALUE!</v>
      </c>
      <c r="R269" s="55" t="e">
        <f t="shared" si="70"/>
        <v>#VALUE!</v>
      </c>
      <c r="S269" s="55" t="e">
        <f t="shared" si="67"/>
        <v>#VALUE!</v>
      </c>
      <c r="T269" s="50" t="e">
        <f t="shared" si="71"/>
        <v>#VALUE!</v>
      </c>
      <c r="U269" s="50" t="e">
        <f t="shared" si="72"/>
        <v>#VALUE!</v>
      </c>
      <c r="V269" s="50" t="e">
        <f t="shared" si="73"/>
        <v>#VALUE!</v>
      </c>
    </row>
    <row r="270" spans="2:22" x14ac:dyDescent="0.25">
      <c r="B270" s="50" t="b">
        <f t="shared" ref="B270:B333" si="74">ISNUMBER(C270)</f>
        <v>0</v>
      </c>
      <c r="C270" s="50" t="e">
        <f t="shared" si="61"/>
        <v>#VALUE!</v>
      </c>
      <c r="E270" s="56">
        <v>267</v>
      </c>
      <c r="G270" s="138"/>
      <c r="H270" s="135">
        <v>1</v>
      </c>
      <c r="I270" s="58" t="e">
        <f t="shared" si="62"/>
        <v>#VALUE!</v>
      </c>
      <c r="J270" s="50" t="e">
        <f t="shared" si="68"/>
        <v>#VALUE!</v>
      </c>
      <c r="K270" s="50" t="e">
        <f t="shared" si="69"/>
        <v>#VALUE!</v>
      </c>
      <c r="L270" s="50" t="e">
        <f t="shared" si="69"/>
        <v>#VALUE!</v>
      </c>
      <c r="M270" s="50" t="e">
        <f t="shared" si="63"/>
        <v>#VALUE!</v>
      </c>
      <c r="N270" s="50" t="e">
        <f t="shared" si="64"/>
        <v>#VALUE!</v>
      </c>
      <c r="O270" s="50">
        <f t="shared" si="65"/>
        <v>0</v>
      </c>
      <c r="Q270" s="55" t="e">
        <f t="shared" si="66"/>
        <v>#VALUE!</v>
      </c>
      <c r="R270" s="55" t="e">
        <f t="shared" si="70"/>
        <v>#VALUE!</v>
      </c>
      <c r="S270" s="55" t="e">
        <f t="shared" si="67"/>
        <v>#VALUE!</v>
      </c>
      <c r="T270" s="50" t="e">
        <f t="shared" si="71"/>
        <v>#VALUE!</v>
      </c>
      <c r="U270" s="50" t="e">
        <f t="shared" si="72"/>
        <v>#VALUE!</v>
      </c>
      <c r="V270" s="50" t="e">
        <f t="shared" si="73"/>
        <v>#VALUE!</v>
      </c>
    </row>
    <row r="271" spans="2:22" x14ac:dyDescent="0.25">
      <c r="B271" s="50" t="b">
        <f t="shared" si="74"/>
        <v>0</v>
      </c>
      <c r="C271" s="50" t="e">
        <f t="shared" si="61"/>
        <v>#VALUE!</v>
      </c>
      <c r="E271" s="56">
        <v>268</v>
      </c>
      <c r="G271" s="138"/>
      <c r="H271" s="135">
        <v>1</v>
      </c>
      <c r="I271" s="58" t="e">
        <f t="shared" si="62"/>
        <v>#VALUE!</v>
      </c>
      <c r="J271" s="50" t="e">
        <f t="shared" si="68"/>
        <v>#VALUE!</v>
      </c>
      <c r="K271" s="50" t="e">
        <f t="shared" si="69"/>
        <v>#VALUE!</v>
      </c>
      <c r="L271" s="50" t="e">
        <f t="shared" si="69"/>
        <v>#VALUE!</v>
      </c>
      <c r="M271" s="50" t="e">
        <f t="shared" si="63"/>
        <v>#VALUE!</v>
      </c>
      <c r="N271" s="50" t="e">
        <f t="shared" si="64"/>
        <v>#VALUE!</v>
      </c>
      <c r="O271" s="50">
        <f t="shared" si="65"/>
        <v>0</v>
      </c>
      <c r="Q271" s="55" t="e">
        <f t="shared" si="66"/>
        <v>#VALUE!</v>
      </c>
      <c r="R271" s="55" t="e">
        <f t="shared" si="70"/>
        <v>#VALUE!</v>
      </c>
      <c r="S271" s="55" t="e">
        <f t="shared" si="67"/>
        <v>#VALUE!</v>
      </c>
      <c r="T271" s="50" t="e">
        <f t="shared" si="71"/>
        <v>#VALUE!</v>
      </c>
      <c r="U271" s="50" t="e">
        <f t="shared" si="72"/>
        <v>#VALUE!</v>
      </c>
      <c r="V271" s="50" t="e">
        <f t="shared" si="73"/>
        <v>#VALUE!</v>
      </c>
    </row>
    <row r="272" spans="2:22" x14ac:dyDescent="0.25">
      <c r="B272" s="50" t="b">
        <f t="shared" si="74"/>
        <v>0</v>
      </c>
      <c r="C272" s="50" t="e">
        <f t="shared" si="61"/>
        <v>#VALUE!</v>
      </c>
      <c r="E272" s="56">
        <v>269</v>
      </c>
      <c r="G272" s="138"/>
      <c r="H272" s="135">
        <v>1</v>
      </c>
      <c r="I272" s="58" t="e">
        <f t="shared" si="62"/>
        <v>#VALUE!</v>
      </c>
      <c r="J272" s="50" t="e">
        <f t="shared" si="68"/>
        <v>#VALUE!</v>
      </c>
      <c r="K272" s="50" t="e">
        <f t="shared" si="69"/>
        <v>#VALUE!</v>
      </c>
      <c r="L272" s="50" t="e">
        <f t="shared" si="69"/>
        <v>#VALUE!</v>
      </c>
      <c r="M272" s="50" t="e">
        <f t="shared" si="63"/>
        <v>#VALUE!</v>
      </c>
      <c r="N272" s="50" t="e">
        <f t="shared" si="64"/>
        <v>#VALUE!</v>
      </c>
      <c r="O272" s="50">
        <f t="shared" si="65"/>
        <v>0</v>
      </c>
      <c r="Q272" s="55" t="e">
        <f t="shared" si="66"/>
        <v>#VALUE!</v>
      </c>
      <c r="R272" s="55" t="e">
        <f t="shared" si="70"/>
        <v>#VALUE!</v>
      </c>
      <c r="S272" s="55" t="e">
        <f t="shared" si="67"/>
        <v>#VALUE!</v>
      </c>
      <c r="T272" s="50" t="e">
        <f t="shared" si="71"/>
        <v>#VALUE!</v>
      </c>
      <c r="U272" s="50" t="e">
        <f t="shared" si="72"/>
        <v>#VALUE!</v>
      </c>
      <c r="V272" s="50" t="e">
        <f t="shared" si="73"/>
        <v>#VALUE!</v>
      </c>
    </row>
    <row r="273" spans="2:22" x14ac:dyDescent="0.25">
      <c r="B273" s="50" t="b">
        <f t="shared" si="74"/>
        <v>0</v>
      </c>
      <c r="C273" s="50" t="e">
        <f t="shared" si="61"/>
        <v>#VALUE!</v>
      </c>
      <c r="E273" s="56">
        <v>270</v>
      </c>
      <c r="G273" s="138"/>
      <c r="H273" s="135">
        <v>1</v>
      </c>
      <c r="I273" s="58" t="e">
        <f t="shared" si="62"/>
        <v>#VALUE!</v>
      </c>
      <c r="J273" s="50" t="e">
        <f t="shared" si="68"/>
        <v>#VALUE!</v>
      </c>
      <c r="K273" s="50" t="e">
        <f t="shared" si="69"/>
        <v>#VALUE!</v>
      </c>
      <c r="L273" s="50" t="e">
        <f t="shared" si="69"/>
        <v>#VALUE!</v>
      </c>
      <c r="M273" s="50" t="e">
        <f t="shared" si="63"/>
        <v>#VALUE!</v>
      </c>
      <c r="N273" s="50" t="e">
        <f t="shared" si="64"/>
        <v>#VALUE!</v>
      </c>
      <c r="O273" s="50">
        <f t="shared" si="65"/>
        <v>0</v>
      </c>
      <c r="Q273" s="55" t="e">
        <f t="shared" si="66"/>
        <v>#VALUE!</v>
      </c>
      <c r="R273" s="55" t="e">
        <f t="shared" si="70"/>
        <v>#VALUE!</v>
      </c>
      <c r="S273" s="55" t="e">
        <f t="shared" si="67"/>
        <v>#VALUE!</v>
      </c>
      <c r="T273" s="50" t="e">
        <f t="shared" si="71"/>
        <v>#VALUE!</v>
      </c>
      <c r="U273" s="50" t="e">
        <f t="shared" si="72"/>
        <v>#VALUE!</v>
      </c>
      <c r="V273" s="50" t="e">
        <f t="shared" si="73"/>
        <v>#VALUE!</v>
      </c>
    </row>
    <row r="274" spans="2:22" x14ac:dyDescent="0.25">
      <c r="B274" s="50" t="b">
        <f t="shared" si="74"/>
        <v>0</v>
      </c>
      <c r="C274" s="50" t="e">
        <f t="shared" si="61"/>
        <v>#VALUE!</v>
      </c>
      <c r="E274" s="56">
        <v>271</v>
      </c>
      <c r="G274" s="138"/>
      <c r="H274" s="135">
        <v>1</v>
      </c>
      <c r="I274" s="58" t="e">
        <f t="shared" si="62"/>
        <v>#VALUE!</v>
      </c>
      <c r="J274" s="50" t="e">
        <f t="shared" si="68"/>
        <v>#VALUE!</v>
      </c>
      <c r="K274" s="50" t="e">
        <f t="shared" si="69"/>
        <v>#VALUE!</v>
      </c>
      <c r="L274" s="50" t="e">
        <f t="shared" si="69"/>
        <v>#VALUE!</v>
      </c>
      <c r="M274" s="50" t="e">
        <f t="shared" si="63"/>
        <v>#VALUE!</v>
      </c>
      <c r="N274" s="50" t="e">
        <f t="shared" si="64"/>
        <v>#VALUE!</v>
      </c>
      <c r="O274" s="50">
        <f t="shared" si="65"/>
        <v>0</v>
      </c>
      <c r="Q274" s="55" t="e">
        <f t="shared" si="66"/>
        <v>#VALUE!</v>
      </c>
      <c r="R274" s="55" t="e">
        <f t="shared" si="70"/>
        <v>#VALUE!</v>
      </c>
      <c r="S274" s="55" t="e">
        <f t="shared" si="67"/>
        <v>#VALUE!</v>
      </c>
      <c r="T274" s="50" t="e">
        <f t="shared" si="71"/>
        <v>#VALUE!</v>
      </c>
      <c r="U274" s="50" t="e">
        <f t="shared" si="72"/>
        <v>#VALUE!</v>
      </c>
      <c r="V274" s="50" t="e">
        <f t="shared" si="73"/>
        <v>#VALUE!</v>
      </c>
    </row>
    <row r="275" spans="2:22" x14ac:dyDescent="0.25">
      <c r="B275" s="50" t="b">
        <f t="shared" si="74"/>
        <v>0</v>
      </c>
      <c r="C275" s="50" t="e">
        <f t="shared" si="61"/>
        <v>#VALUE!</v>
      </c>
      <c r="E275" s="56">
        <v>272</v>
      </c>
      <c r="G275" s="138"/>
      <c r="H275" s="135">
        <v>1</v>
      </c>
      <c r="I275" s="58" t="e">
        <f t="shared" si="62"/>
        <v>#VALUE!</v>
      </c>
      <c r="J275" s="50" t="e">
        <f t="shared" si="68"/>
        <v>#VALUE!</v>
      </c>
      <c r="K275" s="50" t="e">
        <f t="shared" si="69"/>
        <v>#VALUE!</v>
      </c>
      <c r="L275" s="50" t="e">
        <f t="shared" si="69"/>
        <v>#VALUE!</v>
      </c>
      <c r="M275" s="50" t="e">
        <f t="shared" si="63"/>
        <v>#VALUE!</v>
      </c>
      <c r="N275" s="50" t="e">
        <f t="shared" si="64"/>
        <v>#VALUE!</v>
      </c>
      <c r="O275" s="50">
        <f t="shared" si="65"/>
        <v>0</v>
      </c>
      <c r="Q275" s="55" t="e">
        <f t="shared" si="66"/>
        <v>#VALUE!</v>
      </c>
      <c r="R275" s="55" t="e">
        <f t="shared" si="70"/>
        <v>#VALUE!</v>
      </c>
      <c r="S275" s="55" t="e">
        <f t="shared" si="67"/>
        <v>#VALUE!</v>
      </c>
      <c r="T275" s="50" t="e">
        <f t="shared" si="71"/>
        <v>#VALUE!</v>
      </c>
      <c r="U275" s="50" t="e">
        <f t="shared" si="72"/>
        <v>#VALUE!</v>
      </c>
      <c r="V275" s="50" t="e">
        <f t="shared" si="73"/>
        <v>#VALUE!</v>
      </c>
    </row>
    <row r="276" spans="2:22" x14ac:dyDescent="0.25">
      <c r="B276" s="50" t="b">
        <f t="shared" si="74"/>
        <v>0</v>
      </c>
      <c r="C276" s="50" t="e">
        <f t="shared" si="61"/>
        <v>#VALUE!</v>
      </c>
      <c r="E276" s="56">
        <v>273</v>
      </c>
      <c r="G276" s="138"/>
      <c r="H276" s="135">
        <v>1</v>
      </c>
      <c r="I276" s="58" t="e">
        <f t="shared" si="62"/>
        <v>#VALUE!</v>
      </c>
      <c r="J276" s="50" t="e">
        <f t="shared" si="68"/>
        <v>#VALUE!</v>
      </c>
      <c r="K276" s="50" t="e">
        <f t="shared" si="69"/>
        <v>#VALUE!</v>
      </c>
      <c r="L276" s="50" t="e">
        <f t="shared" si="69"/>
        <v>#VALUE!</v>
      </c>
      <c r="M276" s="50" t="e">
        <f t="shared" si="63"/>
        <v>#VALUE!</v>
      </c>
      <c r="N276" s="50" t="e">
        <f t="shared" si="64"/>
        <v>#VALUE!</v>
      </c>
      <c r="O276" s="50">
        <f t="shared" si="65"/>
        <v>0</v>
      </c>
      <c r="Q276" s="55" t="e">
        <f t="shared" si="66"/>
        <v>#VALUE!</v>
      </c>
      <c r="R276" s="55" t="e">
        <f t="shared" si="70"/>
        <v>#VALUE!</v>
      </c>
      <c r="S276" s="55" t="e">
        <f t="shared" si="67"/>
        <v>#VALUE!</v>
      </c>
      <c r="T276" s="50" t="e">
        <f t="shared" si="71"/>
        <v>#VALUE!</v>
      </c>
      <c r="U276" s="50" t="e">
        <f t="shared" si="72"/>
        <v>#VALUE!</v>
      </c>
      <c r="V276" s="50" t="e">
        <f t="shared" si="73"/>
        <v>#VALUE!</v>
      </c>
    </row>
    <row r="277" spans="2:22" x14ac:dyDescent="0.25">
      <c r="B277" s="50" t="b">
        <f t="shared" si="74"/>
        <v>0</v>
      </c>
      <c r="C277" s="50" t="e">
        <f t="shared" si="61"/>
        <v>#VALUE!</v>
      </c>
      <c r="E277" s="56">
        <v>274</v>
      </c>
      <c r="G277" s="138"/>
      <c r="H277" s="135">
        <v>1</v>
      </c>
      <c r="I277" s="58" t="e">
        <f t="shared" si="62"/>
        <v>#VALUE!</v>
      </c>
      <c r="J277" s="50" t="e">
        <f t="shared" si="68"/>
        <v>#VALUE!</v>
      </c>
      <c r="K277" s="50" t="e">
        <f t="shared" si="69"/>
        <v>#VALUE!</v>
      </c>
      <c r="L277" s="50" t="e">
        <f t="shared" si="69"/>
        <v>#VALUE!</v>
      </c>
      <c r="M277" s="50" t="e">
        <f t="shared" si="63"/>
        <v>#VALUE!</v>
      </c>
      <c r="N277" s="50" t="e">
        <f t="shared" si="64"/>
        <v>#VALUE!</v>
      </c>
      <c r="O277" s="50">
        <f t="shared" si="65"/>
        <v>0</v>
      </c>
      <c r="Q277" s="55" t="e">
        <f t="shared" si="66"/>
        <v>#VALUE!</v>
      </c>
      <c r="R277" s="55" t="e">
        <f t="shared" si="70"/>
        <v>#VALUE!</v>
      </c>
      <c r="S277" s="55" t="e">
        <f t="shared" si="67"/>
        <v>#VALUE!</v>
      </c>
      <c r="T277" s="50" t="e">
        <f t="shared" si="71"/>
        <v>#VALUE!</v>
      </c>
      <c r="U277" s="50" t="e">
        <f t="shared" si="72"/>
        <v>#VALUE!</v>
      </c>
      <c r="V277" s="50" t="e">
        <f t="shared" si="73"/>
        <v>#VALUE!</v>
      </c>
    </row>
    <row r="278" spans="2:22" x14ac:dyDescent="0.25">
      <c r="B278" s="50" t="b">
        <f t="shared" si="74"/>
        <v>0</v>
      </c>
      <c r="C278" s="50" t="e">
        <f t="shared" si="61"/>
        <v>#VALUE!</v>
      </c>
      <c r="E278" s="56">
        <v>275</v>
      </c>
      <c r="G278" s="138"/>
      <c r="H278" s="135">
        <v>1</v>
      </c>
      <c r="I278" s="58" t="e">
        <f t="shared" si="62"/>
        <v>#VALUE!</v>
      </c>
      <c r="J278" s="50" t="e">
        <f t="shared" si="68"/>
        <v>#VALUE!</v>
      </c>
      <c r="K278" s="50" t="e">
        <f t="shared" si="69"/>
        <v>#VALUE!</v>
      </c>
      <c r="L278" s="50" t="e">
        <f t="shared" si="69"/>
        <v>#VALUE!</v>
      </c>
      <c r="M278" s="50" t="e">
        <f t="shared" si="63"/>
        <v>#VALUE!</v>
      </c>
      <c r="N278" s="50" t="e">
        <f t="shared" si="64"/>
        <v>#VALUE!</v>
      </c>
      <c r="O278" s="50">
        <f t="shared" si="65"/>
        <v>0</v>
      </c>
      <c r="Q278" s="55" t="e">
        <f t="shared" si="66"/>
        <v>#VALUE!</v>
      </c>
      <c r="R278" s="55" t="e">
        <f t="shared" si="70"/>
        <v>#VALUE!</v>
      </c>
      <c r="S278" s="55" t="e">
        <f t="shared" si="67"/>
        <v>#VALUE!</v>
      </c>
      <c r="T278" s="50" t="e">
        <f t="shared" si="71"/>
        <v>#VALUE!</v>
      </c>
      <c r="U278" s="50" t="e">
        <f t="shared" si="72"/>
        <v>#VALUE!</v>
      </c>
      <c r="V278" s="50" t="e">
        <f t="shared" si="73"/>
        <v>#VALUE!</v>
      </c>
    </row>
    <row r="279" spans="2:22" x14ac:dyDescent="0.25">
      <c r="B279" s="50" t="b">
        <f t="shared" si="74"/>
        <v>0</v>
      </c>
      <c r="C279" s="50" t="e">
        <f t="shared" si="61"/>
        <v>#VALUE!</v>
      </c>
      <c r="E279" s="56">
        <v>276</v>
      </c>
      <c r="G279" s="138"/>
      <c r="H279" s="135">
        <v>1</v>
      </c>
      <c r="I279" s="58" t="e">
        <f t="shared" si="62"/>
        <v>#VALUE!</v>
      </c>
      <c r="J279" s="50" t="e">
        <f t="shared" si="68"/>
        <v>#VALUE!</v>
      </c>
      <c r="K279" s="50" t="e">
        <f t="shared" si="69"/>
        <v>#VALUE!</v>
      </c>
      <c r="L279" s="50" t="e">
        <f t="shared" si="69"/>
        <v>#VALUE!</v>
      </c>
      <c r="M279" s="50" t="e">
        <f t="shared" si="63"/>
        <v>#VALUE!</v>
      </c>
      <c r="N279" s="50" t="e">
        <f t="shared" si="64"/>
        <v>#VALUE!</v>
      </c>
      <c r="O279" s="50">
        <f t="shared" si="65"/>
        <v>0</v>
      </c>
      <c r="Q279" s="55" t="e">
        <f t="shared" si="66"/>
        <v>#VALUE!</v>
      </c>
      <c r="R279" s="55" t="e">
        <f t="shared" si="70"/>
        <v>#VALUE!</v>
      </c>
      <c r="S279" s="55" t="e">
        <f t="shared" si="67"/>
        <v>#VALUE!</v>
      </c>
      <c r="T279" s="50" t="e">
        <f t="shared" si="71"/>
        <v>#VALUE!</v>
      </c>
      <c r="U279" s="50" t="e">
        <f t="shared" si="72"/>
        <v>#VALUE!</v>
      </c>
      <c r="V279" s="50" t="e">
        <f t="shared" si="73"/>
        <v>#VALUE!</v>
      </c>
    </row>
    <row r="280" spans="2:22" x14ac:dyDescent="0.25">
      <c r="B280" s="50" t="b">
        <f t="shared" si="74"/>
        <v>0</v>
      </c>
      <c r="C280" s="50" t="e">
        <f t="shared" si="61"/>
        <v>#VALUE!</v>
      </c>
      <c r="E280" s="56">
        <v>277</v>
      </c>
      <c r="G280" s="138"/>
      <c r="H280" s="135">
        <v>1</v>
      </c>
      <c r="I280" s="58" t="e">
        <f t="shared" si="62"/>
        <v>#VALUE!</v>
      </c>
      <c r="J280" s="50" t="e">
        <f t="shared" si="68"/>
        <v>#VALUE!</v>
      </c>
      <c r="K280" s="50" t="e">
        <f t="shared" si="69"/>
        <v>#VALUE!</v>
      </c>
      <c r="L280" s="50" t="e">
        <f t="shared" si="69"/>
        <v>#VALUE!</v>
      </c>
      <c r="M280" s="50" t="e">
        <f t="shared" si="63"/>
        <v>#VALUE!</v>
      </c>
      <c r="N280" s="50" t="e">
        <f t="shared" si="64"/>
        <v>#VALUE!</v>
      </c>
      <c r="O280" s="50">
        <f t="shared" si="65"/>
        <v>0</v>
      </c>
      <c r="Q280" s="55" t="e">
        <f t="shared" si="66"/>
        <v>#VALUE!</v>
      </c>
      <c r="R280" s="55" t="e">
        <f t="shared" si="70"/>
        <v>#VALUE!</v>
      </c>
      <c r="S280" s="55" t="e">
        <f t="shared" si="67"/>
        <v>#VALUE!</v>
      </c>
      <c r="T280" s="50" t="e">
        <f t="shared" si="71"/>
        <v>#VALUE!</v>
      </c>
      <c r="U280" s="50" t="e">
        <f t="shared" si="72"/>
        <v>#VALUE!</v>
      </c>
      <c r="V280" s="50" t="e">
        <f t="shared" si="73"/>
        <v>#VALUE!</v>
      </c>
    </row>
    <row r="281" spans="2:22" x14ac:dyDescent="0.25">
      <c r="B281" s="50" t="b">
        <f t="shared" si="74"/>
        <v>0</v>
      </c>
      <c r="C281" s="50" t="e">
        <f t="shared" si="61"/>
        <v>#VALUE!</v>
      </c>
      <c r="E281" s="56">
        <v>278</v>
      </c>
      <c r="G281" s="138"/>
      <c r="H281" s="135">
        <v>1</v>
      </c>
      <c r="I281" s="58" t="e">
        <f t="shared" si="62"/>
        <v>#VALUE!</v>
      </c>
      <c r="J281" s="50" t="e">
        <f t="shared" si="68"/>
        <v>#VALUE!</v>
      </c>
      <c r="K281" s="50" t="e">
        <f t="shared" si="69"/>
        <v>#VALUE!</v>
      </c>
      <c r="L281" s="50" t="e">
        <f t="shared" si="69"/>
        <v>#VALUE!</v>
      </c>
      <c r="M281" s="50" t="e">
        <f t="shared" si="63"/>
        <v>#VALUE!</v>
      </c>
      <c r="N281" s="50" t="e">
        <f t="shared" si="64"/>
        <v>#VALUE!</v>
      </c>
      <c r="O281" s="50">
        <f t="shared" si="65"/>
        <v>0</v>
      </c>
      <c r="Q281" s="55" t="e">
        <f t="shared" si="66"/>
        <v>#VALUE!</v>
      </c>
      <c r="R281" s="55" t="e">
        <f t="shared" si="70"/>
        <v>#VALUE!</v>
      </c>
      <c r="S281" s="55" t="e">
        <f t="shared" si="67"/>
        <v>#VALUE!</v>
      </c>
      <c r="T281" s="50" t="e">
        <f t="shared" si="71"/>
        <v>#VALUE!</v>
      </c>
      <c r="U281" s="50" t="e">
        <f t="shared" si="72"/>
        <v>#VALUE!</v>
      </c>
      <c r="V281" s="50" t="e">
        <f t="shared" si="73"/>
        <v>#VALUE!</v>
      </c>
    </row>
    <row r="282" spans="2:22" x14ac:dyDescent="0.25">
      <c r="B282" s="50" t="b">
        <f t="shared" si="74"/>
        <v>0</v>
      </c>
      <c r="C282" s="50" t="e">
        <f t="shared" si="61"/>
        <v>#VALUE!</v>
      </c>
      <c r="E282" s="56">
        <v>279</v>
      </c>
      <c r="G282" s="138"/>
      <c r="H282" s="135">
        <v>1</v>
      </c>
      <c r="I282" s="58" t="e">
        <f t="shared" si="62"/>
        <v>#VALUE!</v>
      </c>
      <c r="J282" s="50" t="e">
        <f t="shared" si="68"/>
        <v>#VALUE!</v>
      </c>
      <c r="K282" s="50" t="e">
        <f t="shared" si="69"/>
        <v>#VALUE!</v>
      </c>
      <c r="L282" s="50" t="e">
        <f t="shared" si="69"/>
        <v>#VALUE!</v>
      </c>
      <c r="M282" s="50" t="e">
        <f t="shared" si="63"/>
        <v>#VALUE!</v>
      </c>
      <c r="N282" s="50" t="e">
        <f t="shared" si="64"/>
        <v>#VALUE!</v>
      </c>
      <c r="O282" s="50">
        <f t="shared" si="65"/>
        <v>0</v>
      </c>
      <c r="Q282" s="55" t="e">
        <f t="shared" si="66"/>
        <v>#VALUE!</v>
      </c>
      <c r="R282" s="55" t="e">
        <f t="shared" si="70"/>
        <v>#VALUE!</v>
      </c>
      <c r="S282" s="55" t="e">
        <f t="shared" si="67"/>
        <v>#VALUE!</v>
      </c>
      <c r="T282" s="50" t="e">
        <f t="shared" si="71"/>
        <v>#VALUE!</v>
      </c>
      <c r="U282" s="50" t="e">
        <f t="shared" si="72"/>
        <v>#VALUE!</v>
      </c>
      <c r="V282" s="50" t="e">
        <f t="shared" si="73"/>
        <v>#VALUE!</v>
      </c>
    </row>
    <row r="283" spans="2:22" x14ac:dyDescent="0.25">
      <c r="B283" s="50" t="b">
        <f t="shared" si="74"/>
        <v>0</v>
      </c>
      <c r="C283" s="50" t="e">
        <f t="shared" si="61"/>
        <v>#VALUE!</v>
      </c>
      <c r="E283" s="56">
        <v>280</v>
      </c>
      <c r="G283" s="138"/>
      <c r="H283" s="135">
        <v>1</v>
      </c>
      <c r="I283" s="58" t="e">
        <f t="shared" si="62"/>
        <v>#VALUE!</v>
      </c>
      <c r="J283" s="50" t="e">
        <f t="shared" si="68"/>
        <v>#VALUE!</v>
      </c>
      <c r="K283" s="50" t="e">
        <f t="shared" si="69"/>
        <v>#VALUE!</v>
      </c>
      <c r="L283" s="50" t="e">
        <f t="shared" si="69"/>
        <v>#VALUE!</v>
      </c>
      <c r="M283" s="50" t="e">
        <f t="shared" si="63"/>
        <v>#VALUE!</v>
      </c>
      <c r="N283" s="50" t="e">
        <f t="shared" si="64"/>
        <v>#VALUE!</v>
      </c>
      <c r="O283" s="50">
        <f t="shared" si="65"/>
        <v>0</v>
      </c>
      <c r="Q283" s="55" t="e">
        <f t="shared" si="66"/>
        <v>#VALUE!</v>
      </c>
      <c r="R283" s="55" t="e">
        <f t="shared" si="70"/>
        <v>#VALUE!</v>
      </c>
      <c r="S283" s="55" t="e">
        <f t="shared" si="67"/>
        <v>#VALUE!</v>
      </c>
      <c r="T283" s="50" t="e">
        <f t="shared" si="71"/>
        <v>#VALUE!</v>
      </c>
      <c r="U283" s="50" t="e">
        <f t="shared" si="72"/>
        <v>#VALUE!</v>
      </c>
      <c r="V283" s="50" t="e">
        <f t="shared" si="73"/>
        <v>#VALUE!</v>
      </c>
    </row>
    <row r="284" spans="2:22" x14ac:dyDescent="0.25">
      <c r="B284" s="50" t="b">
        <f t="shared" si="74"/>
        <v>0</v>
      </c>
      <c r="C284" s="50" t="e">
        <f t="shared" si="61"/>
        <v>#VALUE!</v>
      </c>
      <c r="E284" s="56">
        <v>281</v>
      </c>
      <c r="G284" s="138"/>
      <c r="H284" s="135">
        <v>1</v>
      </c>
      <c r="I284" s="58" t="e">
        <f t="shared" si="62"/>
        <v>#VALUE!</v>
      </c>
      <c r="J284" s="50" t="e">
        <f t="shared" si="68"/>
        <v>#VALUE!</v>
      </c>
      <c r="K284" s="50" t="e">
        <f t="shared" si="69"/>
        <v>#VALUE!</v>
      </c>
      <c r="L284" s="50" t="e">
        <f t="shared" si="69"/>
        <v>#VALUE!</v>
      </c>
      <c r="M284" s="50" t="e">
        <f t="shared" si="63"/>
        <v>#VALUE!</v>
      </c>
      <c r="N284" s="50" t="e">
        <f t="shared" si="64"/>
        <v>#VALUE!</v>
      </c>
      <c r="O284" s="50">
        <f t="shared" si="65"/>
        <v>0</v>
      </c>
      <c r="Q284" s="55" t="e">
        <f t="shared" si="66"/>
        <v>#VALUE!</v>
      </c>
      <c r="R284" s="55" t="e">
        <f t="shared" si="70"/>
        <v>#VALUE!</v>
      </c>
      <c r="S284" s="55" t="e">
        <f t="shared" si="67"/>
        <v>#VALUE!</v>
      </c>
      <c r="T284" s="50" t="e">
        <f t="shared" si="71"/>
        <v>#VALUE!</v>
      </c>
      <c r="U284" s="50" t="e">
        <f t="shared" si="72"/>
        <v>#VALUE!</v>
      </c>
      <c r="V284" s="50" t="e">
        <f t="shared" si="73"/>
        <v>#VALUE!</v>
      </c>
    </row>
    <row r="285" spans="2:22" x14ac:dyDescent="0.25">
      <c r="B285" s="50" t="b">
        <f t="shared" si="74"/>
        <v>0</v>
      </c>
      <c r="C285" s="50" t="e">
        <f t="shared" si="61"/>
        <v>#VALUE!</v>
      </c>
      <c r="E285" s="56">
        <v>282</v>
      </c>
      <c r="G285" s="138"/>
      <c r="H285" s="135">
        <v>1</v>
      </c>
      <c r="I285" s="58" t="e">
        <f t="shared" si="62"/>
        <v>#VALUE!</v>
      </c>
      <c r="J285" s="50" t="e">
        <f t="shared" si="68"/>
        <v>#VALUE!</v>
      </c>
      <c r="K285" s="50" t="e">
        <f t="shared" si="69"/>
        <v>#VALUE!</v>
      </c>
      <c r="L285" s="50" t="e">
        <f t="shared" si="69"/>
        <v>#VALUE!</v>
      </c>
      <c r="M285" s="50" t="e">
        <f t="shared" si="63"/>
        <v>#VALUE!</v>
      </c>
      <c r="N285" s="50" t="e">
        <f t="shared" si="64"/>
        <v>#VALUE!</v>
      </c>
      <c r="O285" s="50">
        <f t="shared" si="65"/>
        <v>0</v>
      </c>
      <c r="Q285" s="55" t="e">
        <f t="shared" si="66"/>
        <v>#VALUE!</v>
      </c>
      <c r="R285" s="55" t="e">
        <f t="shared" si="70"/>
        <v>#VALUE!</v>
      </c>
      <c r="S285" s="55" t="e">
        <f t="shared" si="67"/>
        <v>#VALUE!</v>
      </c>
      <c r="T285" s="50" t="e">
        <f t="shared" si="71"/>
        <v>#VALUE!</v>
      </c>
      <c r="U285" s="50" t="e">
        <f t="shared" si="72"/>
        <v>#VALUE!</v>
      </c>
      <c r="V285" s="50" t="e">
        <f t="shared" si="73"/>
        <v>#VALUE!</v>
      </c>
    </row>
    <row r="286" spans="2:22" x14ac:dyDescent="0.25">
      <c r="B286" s="50" t="b">
        <f t="shared" si="74"/>
        <v>0</v>
      </c>
      <c r="C286" s="50" t="e">
        <f t="shared" si="61"/>
        <v>#VALUE!</v>
      </c>
      <c r="E286" s="56">
        <v>283</v>
      </c>
      <c r="G286" s="138"/>
      <c r="H286" s="135">
        <v>1</v>
      </c>
      <c r="I286" s="58" t="e">
        <f t="shared" si="62"/>
        <v>#VALUE!</v>
      </c>
      <c r="J286" s="50" t="e">
        <f t="shared" si="68"/>
        <v>#VALUE!</v>
      </c>
      <c r="K286" s="50" t="e">
        <f t="shared" si="69"/>
        <v>#VALUE!</v>
      </c>
      <c r="L286" s="50" t="e">
        <f t="shared" si="69"/>
        <v>#VALUE!</v>
      </c>
      <c r="M286" s="50" t="e">
        <f t="shared" si="63"/>
        <v>#VALUE!</v>
      </c>
      <c r="N286" s="50" t="e">
        <f t="shared" si="64"/>
        <v>#VALUE!</v>
      </c>
      <c r="O286" s="50">
        <f t="shared" si="65"/>
        <v>0</v>
      </c>
      <c r="Q286" s="55" t="e">
        <f t="shared" si="66"/>
        <v>#VALUE!</v>
      </c>
      <c r="R286" s="55" t="e">
        <f t="shared" si="70"/>
        <v>#VALUE!</v>
      </c>
      <c r="S286" s="55" t="e">
        <f t="shared" si="67"/>
        <v>#VALUE!</v>
      </c>
      <c r="T286" s="50" t="e">
        <f t="shared" si="71"/>
        <v>#VALUE!</v>
      </c>
      <c r="U286" s="50" t="e">
        <f t="shared" si="72"/>
        <v>#VALUE!</v>
      </c>
      <c r="V286" s="50" t="e">
        <f t="shared" si="73"/>
        <v>#VALUE!</v>
      </c>
    </row>
    <row r="287" spans="2:22" x14ac:dyDescent="0.25">
      <c r="B287" s="50" t="b">
        <f t="shared" si="74"/>
        <v>0</v>
      </c>
      <c r="C287" s="50" t="e">
        <f t="shared" si="61"/>
        <v>#VALUE!</v>
      </c>
      <c r="E287" s="56">
        <v>284</v>
      </c>
      <c r="G287" s="138"/>
      <c r="H287" s="135">
        <v>1</v>
      </c>
      <c r="I287" s="58" t="e">
        <f t="shared" si="62"/>
        <v>#VALUE!</v>
      </c>
      <c r="J287" s="50" t="e">
        <f t="shared" si="68"/>
        <v>#VALUE!</v>
      </c>
      <c r="K287" s="50" t="e">
        <f t="shared" si="69"/>
        <v>#VALUE!</v>
      </c>
      <c r="L287" s="50" t="e">
        <f t="shared" si="69"/>
        <v>#VALUE!</v>
      </c>
      <c r="M287" s="50" t="e">
        <f t="shared" si="63"/>
        <v>#VALUE!</v>
      </c>
      <c r="N287" s="50" t="e">
        <f t="shared" si="64"/>
        <v>#VALUE!</v>
      </c>
      <c r="O287" s="50">
        <f t="shared" si="65"/>
        <v>0</v>
      </c>
      <c r="Q287" s="55" t="e">
        <f t="shared" si="66"/>
        <v>#VALUE!</v>
      </c>
      <c r="R287" s="55" t="e">
        <f t="shared" si="70"/>
        <v>#VALUE!</v>
      </c>
      <c r="S287" s="55" t="e">
        <f t="shared" si="67"/>
        <v>#VALUE!</v>
      </c>
      <c r="T287" s="50" t="e">
        <f t="shared" si="71"/>
        <v>#VALUE!</v>
      </c>
      <c r="U287" s="50" t="e">
        <f t="shared" si="72"/>
        <v>#VALUE!</v>
      </c>
      <c r="V287" s="50" t="e">
        <f t="shared" si="73"/>
        <v>#VALUE!</v>
      </c>
    </row>
    <row r="288" spans="2:22" x14ac:dyDescent="0.25">
      <c r="B288" s="50" t="b">
        <f t="shared" si="74"/>
        <v>0</v>
      </c>
      <c r="C288" s="50" t="e">
        <f t="shared" si="61"/>
        <v>#VALUE!</v>
      </c>
      <c r="E288" s="56">
        <v>285</v>
      </c>
      <c r="G288" s="138"/>
      <c r="H288" s="135">
        <v>1</v>
      </c>
      <c r="I288" s="58" t="e">
        <f t="shared" si="62"/>
        <v>#VALUE!</v>
      </c>
      <c r="J288" s="50" t="e">
        <f t="shared" si="68"/>
        <v>#VALUE!</v>
      </c>
      <c r="K288" s="50" t="e">
        <f t="shared" si="69"/>
        <v>#VALUE!</v>
      </c>
      <c r="L288" s="50" t="e">
        <f t="shared" si="69"/>
        <v>#VALUE!</v>
      </c>
      <c r="M288" s="50" t="e">
        <f t="shared" si="63"/>
        <v>#VALUE!</v>
      </c>
      <c r="N288" s="50" t="e">
        <f t="shared" si="64"/>
        <v>#VALUE!</v>
      </c>
      <c r="O288" s="50">
        <f t="shared" si="65"/>
        <v>0</v>
      </c>
      <c r="Q288" s="55" t="e">
        <f t="shared" si="66"/>
        <v>#VALUE!</v>
      </c>
      <c r="R288" s="55" t="e">
        <f t="shared" si="70"/>
        <v>#VALUE!</v>
      </c>
      <c r="S288" s="55" t="e">
        <f t="shared" si="67"/>
        <v>#VALUE!</v>
      </c>
      <c r="T288" s="50" t="e">
        <f t="shared" si="71"/>
        <v>#VALUE!</v>
      </c>
      <c r="U288" s="50" t="e">
        <f t="shared" si="72"/>
        <v>#VALUE!</v>
      </c>
      <c r="V288" s="50" t="e">
        <f t="shared" si="73"/>
        <v>#VALUE!</v>
      </c>
    </row>
    <row r="289" spans="2:22" x14ac:dyDescent="0.25">
      <c r="B289" s="50" t="b">
        <f t="shared" si="74"/>
        <v>0</v>
      </c>
      <c r="C289" s="50" t="e">
        <f t="shared" si="61"/>
        <v>#VALUE!</v>
      </c>
      <c r="E289" s="56">
        <v>286</v>
      </c>
      <c r="G289" s="138"/>
      <c r="H289" s="135">
        <v>1</v>
      </c>
      <c r="I289" s="58" t="e">
        <f t="shared" si="62"/>
        <v>#VALUE!</v>
      </c>
      <c r="J289" s="50" t="e">
        <f t="shared" si="68"/>
        <v>#VALUE!</v>
      </c>
      <c r="K289" s="50" t="e">
        <f t="shared" si="69"/>
        <v>#VALUE!</v>
      </c>
      <c r="L289" s="50" t="e">
        <f t="shared" si="69"/>
        <v>#VALUE!</v>
      </c>
      <c r="M289" s="50" t="e">
        <f t="shared" si="63"/>
        <v>#VALUE!</v>
      </c>
      <c r="N289" s="50" t="e">
        <f t="shared" si="64"/>
        <v>#VALUE!</v>
      </c>
      <c r="O289" s="50">
        <f t="shared" si="65"/>
        <v>0</v>
      </c>
      <c r="Q289" s="55" t="e">
        <f t="shared" si="66"/>
        <v>#VALUE!</v>
      </c>
      <c r="R289" s="55" t="e">
        <f t="shared" si="70"/>
        <v>#VALUE!</v>
      </c>
      <c r="S289" s="55" t="e">
        <f t="shared" si="67"/>
        <v>#VALUE!</v>
      </c>
      <c r="T289" s="50" t="e">
        <f t="shared" si="71"/>
        <v>#VALUE!</v>
      </c>
      <c r="U289" s="50" t="e">
        <f t="shared" si="72"/>
        <v>#VALUE!</v>
      </c>
      <c r="V289" s="50" t="e">
        <f t="shared" si="73"/>
        <v>#VALUE!</v>
      </c>
    </row>
    <row r="290" spans="2:22" x14ac:dyDescent="0.25">
      <c r="B290" s="50" t="b">
        <f t="shared" si="74"/>
        <v>0</v>
      </c>
      <c r="C290" s="50" t="e">
        <f t="shared" si="61"/>
        <v>#VALUE!</v>
      </c>
      <c r="E290" s="56">
        <v>287</v>
      </c>
      <c r="G290" s="138"/>
      <c r="H290" s="135">
        <v>1</v>
      </c>
      <c r="I290" s="58" t="e">
        <f t="shared" si="62"/>
        <v>#VALUE!</v>
      </c>
      <c r="J290" s="50" t="e">
        <f t="shared" si="68"/>
        <v>#VALUE!</v>
      </c>
      <c r="K290" s="50" t="e">
        <f t="shared" si="69"/>
        <v>#VALUE!</v>
      </c>
      <c r="L290" s="50" t="e">
        <f t="shared" si="69"/>
        <v>#VALUE!</v>
      </c>
      <c r="M290" s="50" t="e">
        <f t="shared" si="63"/>
        <v>#VALUE!</v>
      </c>
      <c r="N290" s="50" t="e">
        <f t="shared" si="64"/>
        <v>#VALUE!</v>
      </c>
      <c r="O290" s="50">
        <f t="shared" si="65"/>
        <v>0</v>
      </c>
      <c r="Q290" s="55" t="e">
        <f t="shared" si="66"/>
        <v>#VALUE!</v>
      </c>
      <c r="R290" s="55" t="e">
        <f t="shared" si="70"/>
        <v>#VALUE!</v>
      </c>
      <c r="S290" s="55" t="e">
        <f t="shared" si="67"/>
        <v>#VALUE!</v>
      </c>
      <c r="T290" s="50" t="e">
        <f t="shared" si="71"/>
        <v>#VALUE!</v>
      </c>
      <c r="U290" s="50" t="e">
        <f t="shared" si="72"/>
        <v>#VALUE!</v>
      </c>
      <c r="V290" s="50" t="e">
        <f t="shared" si="73"/>
        <v>#VALUE!</v>
      </c>
    </row>
    <row r="291" spans="2:22" x14ac:dyDescent="0.25">
      <c r="B291" s="50" t="b">
        <f t="shared" si="74"/>
        <v>0</v>
      </c>
      <c r="C291" s="50" t="e">
        <f t="shared" si="61"/>
        <v>#VALUE!</v>
      </c>
      <c r="E291" s="56">
        <v>288</v>
      </c>
      <c r="G291" s="138"/>
      <c r="H291" s="135">
        <v>1</v>
      </c>
      <c r="I291" s="58" t="e">
        <f t="shared" si="62"/>
        <v>#VALUE!</v>
      </c>
      <c r="J291" s="50" t="e">
        <f t="shared" si="68"/>
        <v>#VALUE!</v>
      </c>
      <c r="K291" s="50" t="e">
        <f t="shared" si="69"/>
        <v>#VALUE!</v>
      </c>
      <c r="L291" s="50" t="e">
        <f t="shared" si="69"/>
        <v>#VALUE!</v>
      </c>
      <c r="M291" s="50" t="e">
        <f t="shared" si="63"/>
        <v>#VALUE!</v>
      </c>
      <c r="N291" s="50" t="e">
        <f t="shared" si="64"/>
        <v>#VALUE!</v>
      </c>
      <c r="O291" s="50">
        <f t="shared" si="65"/>
        <v>0</v>
      </c>
      <c r="Q291" s="55" t="e">
        <f t="shared" si="66"/>
        <v>#VALUE!</v>
      </c>
      <c r="R291" s="55" t="e">
        <f t="shared" si="70"/>
        <v>#VALUE!</v>
      </c>
      <c r="S291" s="55" t="e">
        <f t="shared" si="67"/>
        <v>#VALUE!</v>
      </c>
      <c r="T291" s="50" t="e">
        <f t="shared" si="71"/>
        <v>#VALUE!</v>
      </c>
      <c r="U291" s="50" t="e">
        <f t="shared" si="72"/>
        <v>#VALUE!</v>
      </c>
      <c r="V291" s="50" t="e">
        <f t="shared" si="73"/>
        <v>#VALUE!</v>
      </c>
    </row>
    <row r="292" spans="2:22" x14ac:dyDescent="0.25">
      <c r="B292" s="50" t="b">
        <f t="shared" si="74"/>
        <v>0</v>
      </c>
      <c r="C292" s="50" t="e">
        <f t="shared" si="61"/>
        <v>#VALUE!</v>
      </c>
      <c r="E292" s="56">
        <v>289</v>
      </c>
      <c r="G292" s="138"/>
      <c r="H292" s="135">
        <v>1</v>
      </c>
      <c r="I292" s="58" t="e">
        <f t="shared" si="62"/>
        <v>#VALUE!</v>
      </c>
      <c r="J292" s="50" t="e">
        <f t="shared" si="68"/>
        <v>#VALUE!</v>
      </c>
      <c r="K292" s="50" t="e">
        <f t="shared" si="69"/>
        <v>#VALUE!</v>
      </c>
      <c r="L292" s="50" t="e">
        <f t="shared" si="69"/>
        <v>#VALUE!</v>
      </c>
      <c r="M292" s="50" t="e">
        <f t="shared" si="63"/>
        <v>#VALUE!</v>
      </c>
      <c r="N292" s="50" t="e">
        <f t="shared" si="64"/>
        <v>#VALUE!</v>
      </c>
      <c r="O292" s="50">
        <f t="shared" si="65"/>
        <v>0</v>
      </c>
      <c r="Q292" s="55" t="e">
        <f t="shared" si="66"/>
        <v>#VALUE!</v>
      </c>
      <c r="R292" s="55" t="e">
        <f t="shared" si="70"/>
        <v>#VALUE!</v>
      </c>
      <c r="S292" s="55" t="e">
        <f t="shared" si="67"/>
        <v>#VALUE!</v>
      </c>
      <c r="T292" s="50" t="e">
        <f t="shared" si="71"/>
        <v>#VALUE!</v>
      </c>
      <c r="U292" s="50" t="e">
        <f t="shared" si="72"/>
        <v>#VALUE!</v>
      </c>
      <c r="V292" s="50" t="e">
        <f t="shared" si="73"/>
        <v>#VALUE!</v>
      </c>
    </row>
    <row r="293" spans="2:22" x14ac:dyDescent="0.25">
      <c r="B293" s="50" t="b">
        <f t="shared" si="74"/>
        <v>0</v>
      </c>
      <c r="C293" s="50" t="e">
        <f t="shared" si="61"/>
        <v>#VALUE!</v>
      </c>
      <c r="E293" s="56">
        <v>290</v>
      </c>
      <c r="G293" s="138"/>
      <c r="H293" s="135">
        <v>1</v>
      </c>
      <c r="I293" s="58" t="e">
        <f t="shared" si="62"/>
        <v>#VALUE!</v>
      </c>
      <c r="J293" s="50" t="e">
        <f t="shared" si="68"/>
        <v>#VALUE!</v>
      </c>
      <c r="K293" s="50" t="e">
        <f t="shared" si="69"/>
        <v>#VALUE!</v>
      </c>
      <c r="L293" s="50" t="e">
        <f t="shared" si="69"/>
        <v>#VALUE!</v>
      </c>
      <c r="M293" s="50" t="e">
        <f t="shared" si="63"/>
        <v>#VALUE!</v>
      </c>
      <c r="N293" s="50" t="e">
        <f t="shared" si="64"/>
        <v>#VALUE!</v>
      </c>
      <c r="O293" s="50">
        <f t="shared" si="65"/>
        <v>0</v>
      </c>
      <c r="Q293" s="55" t="e">
        <f t="shared" si="66"/>
        <v>#VALUE!</v>
      </c>
      <c r="R293" s="55" t="e">
        <f t="shared" si="70"/>
        <v>#VALUE!</v>
      </c>
      <c r="S293" s="55" t="e">
        <f t="shared" si="67"/>
        <v>#VALUE!</v>
      </c>
      <c r="T293" s="50" t="e">
        <f t="shared" si="71"/>
        <v>#VALUE!</v>
      </c>
      <c r="U293" s="50" t="e">
        <f t="shared" si="72"/>
        <v>#VALUE!</v>
      </c>
      <c r="V293" s="50" t="e">
        <f t="shared" si="73"/>
        <v>#VALUE!</v>
      </c>
    </row>
    <row r="294" spans="2:22" x14ac:dyDescent="0.25">
      <c r="B294" s="50" t="b">
        <f t="shared" si="74"/>
        <v>0</v>
      </c>
      <c r="C294" s="50" t="e">
        <f t="shared" si="61"/>
        <v>#VALUE!</v>
      </c>
      <c r="E294" s="56">
        <v>291</v>
      </c>
      <c r="G294" s="138"/>
      <c r="H294" s="135">
        <v>1</v>
      </c>
      <c r="I294" s="58" t="e">
        <f t="shared" si="62"/>
        <v>#VALUE!</v>
      </c>
      <c r="J294" s="50" t="e">
        <f t="shared" si="68"/>
        <v>#VALUE!</v>
      </c>
      <c r="K294" s="50" t="e">
        <f t="shared" si="69"/>
        <v>#VALUE!</v>
      </c>
      <c r="L294" s="50" t="e">
        <f t="shared" si="69"/>
        <v>#VALUE!</v>
      </c>
      <c r="M294" s="50" t="e">
        <f t="shared" si="63"/>
        <v>#VALUE!</v>
      </c>
      <c r="N294" s="50" t="e">
        <f t="shared" si="64"/>
        <v>#VALUE!</v>
      </c>
      <c r="O294" s="50">
        <f t="shared" si="65"/>
        <v>0</v>
      </c>
      <c r="Q294" s="55" t="e">
        <f t="shared" si="66"/>
        <v>#VALUE!</v>
      </c>
      <c r="R294" s="55" t="e">
        <f t="shared" si="70"/>
        <v>#VALUE!</v>
      </c>
      <c r="S294" s="55" t="e">
        <f t="shared" si="67"/>
        <v>#VALUE!</v>
      </c>
      <c r="T294" s="50" t="e">
        <f t="shared" si="71"/>
        <v>#VALUE!</v>
      </c>
      <c r="U294" s="50" t="e">
        <f t="shared" si="72"/>
        <v>#VALUE!</v>
      </c>
      <c r="V294" s="50" t="e">
        <f t="shared" si="73"/>
        <v>#VALUE!</v>
      </c>
    </row>
    <row r="295" spans="2:22" x14ac:dyDescent="0.25">
      <c r="B295" s="50" t="b">
        <f t="shared" si="74"/>
        <v>0</v>
      </c>
      <c r="C295" s="50" t="e">
        <f t="shared" si="61"/>
        <v>#VALUE!</v>
      </c>
      <c r="E295" s="56">
        <v>292</v>
      </c>
      <c r="G295" s="138"/>
      <c r="H295" s="135">
        <v>1</v>
      </c>
      <c r="I295" s="58" t="e">
        <f t="shared" si="62"/>
        <v>#VALUE!</v>
      </c>
      <c r="J295" s="50" t="e">
        <f t="shared" si="68"/>
        <v>#VALUE!</v>
      </c>
      <c r="K295" s="50" t="e">
        <f t="shared" si="69"/>
        <v>#VALUE!</v>
      </c>
      <c r="L295" s="50" t="e">
        <f t="shared" si="69"/>
        <v>#VALUE!</v>
      </c>
      <c r="M295" s="50" t="e">
        <f t="shared" si="63"/>
        <v>#VALUE!</v>
      </c>
      <c r="N295" s="50" t="e">
        <f t="shared" si="64"/>
        <v>#VALUE!</v>
      </c>
      <c r="O295" s="50">
        <f t="shared" si="65"/>
        <v>0</v>
      </c>
      <c r="Q295" s="55" t="e">
        <f t="shared" si="66"/>
        <v>#VALUE!</v>
      </c>
      <c r="R295" s="55" t="e">
        <f t="shared" si="70"/>
        <v>#VALUE!</v>
      </c>
      <c r="S295" s="55" t="e">
        <f t="shared" si="67"/>
        <v>#VALUE!</v>
      </c>
      <c r="T295" s="50" t="e">
        <f t="shared" si="71"/>
        <v>#VALUE!</v>
      </c>
      <c r="U295" s="50" t="e">
        <f t="shared" si="72"/>
        <v>#VALUE!</v>
      </c>
      <c r="V295" s="50" t="e">
        <f t="shared" si="73"/>
        <v>#VALUE!</v>
      </c>
    </row>
    <row r="296" spans="2:22" x14ac:dyDescent="0.25">
      <c r="B296" s="50" t="b">
        <f t="shared" si="74"/>
        <v>0</v>
      </c>
      <c r="C296" s="50" t="e">
        <f t="shared" si="61"/>
        <v>#VALUE!</v>
      </c>
      <c r="E296" s="56">
        <v>293</v>
      </c>
      <c r="G296" s="138"/>
      <c r="H296" s="135">
        <v>1</v>
      </c>
      <c r="I296" s="58" t="e">
        <f t="shared" si="62"/>
        <v>#VALUE!</v>
      </c>
      <c r="J296" s="50" t="e">
        <f t="shared" si="68"/>
        <v>#VALUE!</v>
      </c>
      <c r="K296" s="50" t="e">
        <f t="shared" si="69"/>
        <v>#VALUE!</v>
      </c>
      <c r="L296" s="50" t="e">
        <f t="shared" si="69"/>
        <v>#VALUE!</v>
      </c>
      <c r="M296" s="50" t="e">
        <f t="shared" si="63"/>
        <v>#VALUE!</v>
      </c>
      <c r="N296" s="50" t="e">
        <f t="shared" si="64"/>
        <v>#VALUE!</v>
      </c>
      <c r="O296" s="50">
        <f t="shared" si="65"/>
        <v>0</v>
      </c>
      <c r="Q296" s="55" t="e">
        <f t="shared" si="66"/>
        <v>#VALUE!</v>
      </c>
      <c r="R296" s="55" t="e">
        <f t="shared" si="70"/>
        <v>#VALUE!</v>
      </c>
      <c r="S296" s="55" t="e">
        <f t="shared" si="67"/>
        <v>#VALUE!</v>
      </c>
      <c r="T296" s="50" t="e">
        <f t="shared" si="71"/>
        <v>#VALUE!</v>
      </c>
      <c r="U296" s="50" t="e">
        <f t="shared" si="72"/>
        <v>#VALUE!</v>
      </c>
      <c r="V296" s="50" t="e">
        <f t="shared" si="73"/>
        <v>#VALUE!</v>
      </c>
    </row>
    <row r="297" spans="2:22" x14ac:dyDescent="0.25">
      <c r="B297" s="50" t="b">
        <f t="shared" si="74"/>
        <v>0</v>
      </c>
      <c r="C297" s="50" t="e">
        <f t="shared" si="61"/>
        <v>#VALUE!</v>
      </c>
      <c r="E297" s="56">
        <v>294</v>
      </c>
      <c r="G297" s="138"/>
      <c r="H297" s="135">
        <v>1</v>
      </c>
      <c r="I297" s="58" t="e">
        <f t="shared" si="62"/>
        <v>#VALUE!</v>
      </c>
      <c r="J297" s="50" t="e">
        <f t="shared" si="68"/>
        <v>#VALUE!</v>
      </c>
      <c r="K297" s="50" t="e">
        <f t="shared" si="69"/>
        <v>#VALUE!</v>
      </c>
      <c r="L297" s="50" t="e">
        <f t="shared" si="69"/>
        <v>#VALUE!</v>
      </c>
      <c r="M297" s="50" t="e">
        <f t="shared" si="63"/>
        <v>#VALUE!</v>
      </c>
      <c r="N297" s="50" t="e">
        <f t="shared" si="64"/>
        <v>#VALUE!</v>
      </c>
      <c r="O297" s="50">
        <f t="shared" si="65"/>
        <v>0</v>
      </c>
      <c r="Q297" s="55" t="e">
        <f t="shared" si="66"/>
        <v>#VALUE!</v>
      </c>
      <c r="R297" s="55" t="e">
        <f t="shared" si="70"/>
        <v>#VALUE!</v>
      </c>
      <c r="S297" s="55" t="e">
        <f t="shared" si="67"/>
        <v>#VALUE!</v>
      </c>
      <c r="T297" s="50" t="e">
        <f t="shared" si="71"/>
        <v>#VALUE!</v>
      </c>
      <c r="U297" s="50" t="e">
        <f t="shared" si="72"/>
        <v>#VALUE!</v>
      </c>
      <c r="V297" s="50" t="e">
        <f t="shared" si="73"/>
        <v>#VALUE!</v>
      </c>
    </row>
    <row r="298" spans="2:22" x14ac:dyDescent="0.25">
      <c r="B298" s="50" t="b">
        <f t="shared" si="74"/>
        <v>0</v>
      </c>
      <c r="C298" s="50" t="e">
        <f t="shared" si="61"/>
        <v>#VALUE!</v>
      </c>
      <c r="E298" s="56">
        <v>295</v>
      </c>
      <c r="G298" s="138"/>
      <c r="H298" s="135">
        <v>1</v>
      </c>
      <c r="I298" s="58" t="e">
        <f t="shared" si="62"/>
        <v>#VALUE!</v>
      </c>
      <c r="J298" s="50" t="e">
        <f t="shared" si="68"/>
        <v>#VALUE!</v>
      </c>
      <c r="K298" s="50" t="e">
        <f t="shared" si="69"/>
        <v>#VALUE!</v>
      </c>
      <c r="L298" s="50" t="e">
        <f t="shared" si="69"/>
        <v>#VALUE!</v>
      </c>
      <c r="M298" s="50" t="e">
        <f t="shared" si="63"/>
        <v>#VALUE!</v>
      </c>
      <c r="N298" s="50" t="e">
        <f t="shared" si="64"/>
        <v>#VALUE!</v>
      </c>
      <c r="O298" s="50">
        <f t="shared" si="65"/>
        <v>0</v>
      </c>
      <c r="Q298" s="55" t="e">
        <f t="shared" si="66"/>
        <v>#VALUE!</v>
      </c>
      <c r="R298" s="55" t="e">
        <f t="shared" si="70"/>
        <v>#VALUE!</v>
      </c>
      <c r="S298" s="55" t="e">
        <f t="shared" si="67"/>
        <v>#VALUE!</v>
      </c>
      <c r="T298" s="50" t="e">
        <f t="shared" si="71"/>
        <v>#VALUE!</v>
      </c>
      <c r="U298" s="50" t="e">
        <f t="shared" si="72"/>
        <v>#VALUE!</v>
      </c>
      <c r="V298" s="50" t="e">
        <f t="shared" si="73"/>
        <v>#VALUE!</v>
      </c>
    </row>
    <row r="299" spans="2:22" x14ac:dyDescent="0.25">
      <c r="B299" s="50" t="b">
        <f t="shared" si="74"/>
        <v>0</v>
      </c>
      <c r="C299" s="50" t="e">
        <f t="shared" si="61"/>
        <v>#VALUE!</v>
      </c>
      <c r="E299" s="56">
        <v>296</v>
      </c>
      <c r="G299" s="138"/>
      <c r="H299" s="135">
        <v>1</v>
      </c>
      <c r="I299" s="58" t="e">
        <f t="shared" si="62"/>
        <v>#VALUE!</v>
      </c>
      <c r="J299" s="50" t="e">
        <f t="shared" si="68"/>
        <v>#VALUE!</v>
      </c>
      <c r="K299" s="50" t="e">
        <f t="shared" si="69"/>
        <v>#VALUE!</v>
      </c>
      <c r="L299" s="50" t="e">
        <f t="shared" si="69"/>
        <v>#VALUE!</v>
      </c>
      <c r="M299" s="50" t="e">
        <f t="shared" si="63"/>
        <v>#VALUE!</v>
      </c>
      <c r="N299" s="50" t="e">
        <f t="shared" si="64"/>
        <v>#VALUE!</v>
      </c>
      <c r="O299" s="50">
        <f t="shared" si="65"/>
        <v>0</v>
      </c>
      <c r="Q299" s="55" t="e">
        <f t="shared" si="66"/>
        <v>#VALUE!</v>
      </c>
      <c r="R299" s="55" t="e">
        <f t="shared" si="70"/>
        <v>#VALUE!</v>
      </c>
      <c r="S299" s="55" t="e">
        <f t="shared" si="67"/>
        <v>#VALUE!</v>
      </c>
      <c r="T299" s="50" t="e">
        <f t="shared" si="71"/>
        <v>#VALUE!</v>
      </c>
      <c r="U299" s="50" t="e">
        <f t="shared" si="72"/>
        <v>#VALUE!</v>
      </c>
      <c r="V299" s="50" t="e">
        <f t="shared" si="73"/>
        <v>#VALUE!</v>
      </c>
    </row>
    <row r="300" spans="2:22" x14ac:dyDescent="0.25">
      <c r="B300" s="50" t="b">
        <f t="shared" si="74"/>
        <v>0</v>
      </c>
      <c r="C300" s="50" t="e">
        <f t="shared" si="61"/>
        <v>#VALUE!</v>
      </c>
      <c r="E300" s="56">
        <v>297</v>
      </c>
      <c r="G300" s="138"/>
      <c r="H300" s="135">
        <v>1</v>
      </c>
      <c r="I300" s="58" t="e">
        <f t="shared" si="62"/>
        <v>#VALUE!</v>
      </c>
      <c r="J300" s="50" t="e">
        <f t="shared" si="68"/>
        <v>#VALUE!</v>
      </c>
      <c r="K300" s="50" t="e">
        <f t="shared" si="69"/>
        <v>#VALUE!</v>
      </c>
      <c r="L300" s="50" t="e">
        <f t="shared" si="69"/>
        <v>#VALUE!</v>
      </c>
      <c r="M300" s="50" t="e">
        <f t="shared" si="63"/>
        <v>#VALUE!</v>
      </c>
      <c r="N300" s="50" t="e">
        <f t="shared" si="64"/>
        <v>#VALUE!</v>
      </c>
      <c r="O300" s="50">
        <f t="shared" si="65"/>
        <v>0</v>
      </c>
      <c r="Q300" s="55" t="e">
        <f t="shared" si="66"/>
        <v>#VALUE!</v>
      </c>
      <c r="R300" s="55" t="e">
        <f t="shared" si="70"/>
        <v>#VALUE!</v>
      </c>
      <c r="S300" s="55" t="e">
        <f t="shared" si="67"/>
        <v>#VALUE!</v>
      </c>
      <c r="T300" s="50" t="e">
        <f t="shared" si="71"/>
        <v>#VALUE!</v>
      </c>
      <c r="U300" s="50" t="e">
        <f t="shared" si="72"/>
        <v>#VALUE!</v>
      </c>
      <c r="V300" s="50" t="e">
        <f t="shared" si="73"/>
        <v>#VALUE!</v>
      </c>
    </row>
    <row r="301" spans="2:22" x14ac:dyDescent="0.25">
      <c r="B301" s="50" t="b">
        <f t="shared" si="74"/>
        <v>0</v>
      </c>
      <c r="C301" s="50" t="e">
        <f t="shared" si="61"/>
        <v>#VALUE!</v>
      </c>
      <c r="E301" s="56">
        <v>298</v>
      </c>
      <c r="G301" s="138"/>
      <c r="H301" s="135">
        <v>1</v>
      </c>
      <c r="I301" s="58" t="e">
        <f t="shared" si="62"/>
        <v>#VALUE!</v>
      </c>
      <c r="J301" s="50" t="e">
        <f t="shared" si="68"/>
        <v>#VALUE!</v>
      </c>
      <c r="K301" s="50" t="e">
        <f t="shared" si="69"/>
        <v>#VALUE!</v>
      </c>
      <c r="L301" s="50" t="e">
        <f t="shared" si="69"/>
        <v>#VALUE!</v>
      </c>
      <c r="M301" s="50" t="e">
        <f t="shared" si="63"/>
        <v>#VALUE!</v>
      </c>
      <c r="N301" s="50" t="e">
        <f t="shared" si="64"/>
        <v>#VALUE!</v>
      </c>
      <c r="O301" s="50">
        <f t="shared" si="65"/>
        <v>0</v>
      </c>
      <c r="Q301" s="55" t="e">
        <f t="shared" si="66"/>
        <v>#VALUE!</v>
      </c>
      <c r="R301" s="55" t="e">
        <f t="shared" si="70"/>
        <v>#VALUE!</v>
      </c>
      <c r="S301" s="55" t="e">
        <f t="shared" si="67"/>
        <v>#VALUE!</v>
      </c>
      <c r="T301" s="50" t="e">
        <f t="shared" si="71"/>
        <v>#VALUE!</v>
      </c>
      <c r="U301" s="50" t="e">
        <f t="shared" si="72"/>
        <v>#VALUE!</v>
      </c>
      <c r="V301" s="50" t="e">
        <f t="shared" si="73"/>
        <v>#VALUE!</v>
      </c>
    </row>
    <row r="302" spans="2:22" x14ac:dyDescent="0.25">
      <c r="B302" s="50" t="b">
        <f t="shared" si="74"/>
        <v>0</v>
      </c>
      <c r="C302" s="50" t="e">
        <f t="shared" si="61"/>
        <v>#VALUE!</v>
      </c>
      <c r="E302" s="56">
        <v>299</v>
      </c>
      <c r="G302" s="138"/>
      <c r="H302" s="135">
        <v>1</v>
      </c>
      <c r="I302" s="58" t="e">
        <f t="shared" si="62"/>
        <v>#VALUE!</v>
      </c>
      <c r="J302" s="50" t="e">
        <f t="shared" si="68"/>
        <v>#VALUE!</v>
      </c>
      <c r="K302" s="50" t="e">
        <f t="shared" si="69"/>
        <v>#VALUE!</v>
      </c>
      <c r="L302" s="50" t="e">
        <f t="shared" si="69"/>
        <v>#VALUE!</v>
      </c>
      <c r="M302" s="50" t="e">
        <f t="shared" si="63"/>
        <v>#VALUE!</v>
      </c>
      <c r="N302" s="50" t="e">
        <f t="shared" si="64"/>
        <v>#VALUE!</v>
      </c>
      <c r="O302" s="50">
        <f t="shared" si="65"/>
        <v>0</v>
      </c>
      <c r="Q302" s="55" t="e">
        <f t="shared" si="66"/>
        <v>#VALUE!</v>
      </c>
      <c r="R302" s="55" t="e">
        <f t="shared" si="70"/>
        <v>#VALUE!</v>
      </c>
      <c r="S302" s="55" t="e">
        <f t="shared" si="67"/>
        <v>#VALUE!</v>
      </c>
      <c r="T302" s="50" t="e">
        <f t="shared" si="71"/>
        <v>#VALUE!</v>
      </c>
      <c r="U302" s="50" t="e">
        <f t="shared" si="72"/>
        <v>#VALUE!</v>
      </c>
      <c r="V302" s="50" t="e">
        <f t="shared" si="73"/>
        <v>#VALUE!</v>
      </c>
    </row>
    <row r="303" spans="2:22" x14ac:dyDescent="0.25">
      <c r="B303" s="50" t="b">
        <f t="shared" si="74"/>
        <v>0</v>
      </c>
      <c r="C303" s="50" t="e">
        <f t="shared" si="61"/>
        <v>#VALUE!</v>
      </c>
      <c r="E303" s="56">
        <v>300</v>
      </c>
      <c r="G303" s="138"/>
      <c r="H303" s="135">
        <v>1</v>
      </c>
      <c r="I303" s="58" t="e">
        <f t="shared" si="62"/>
        <v>#VALUE!</v>
      </c>
      <c r="J303" s="50" t="e">
        <f t="shared" si="68"/>
        <v>#VALUE!</v>
      </c>
      <c r="K303" s="50" t="e">
        <f t="shared" si="69"/>
        <v>#VALUE!</v>
      </c>
      <c r="L303" s="50" t="e">
        <f t="shared" si="69"/>
        <v>#VALUE!</v>
      </c>
      <c r="M303" s="50" t="e">
        <f t="shared" si="63"/>
        <v>#VALUE!</v>
      </c>
      <c r="N303" s="50" t="e">
        <f t="shared" si="64"/>
        <v>#VALUE!</v>
      </c>
      <c r="O303" s="50">
        <f t="shared" si="65"/>
        <v>0</v>
      </c>
      <c r="Q303" s="55" t="e">
        <f t="shared" si="66"/>
        <v>#VALUE!</v>
      </c>
      <c r="R303" s="55" t="e">
        <f t="shared" si="70"/>
        <v>#VALUE!</v>
      </c>
      <c r="S303" s="55" t="e">
        <f t="shared" si="67"/>
        <v>#VALUE!</v>
      </c>
      <c r="T303" s="50" t="e">
        <f t="shared" si="71"/>
        <v>#VALUE!</v>
      </c>
      <c r="U303" s="50" t="e">
        <f t="shared" si="72"/>
        <v>#VALUE!</v>
      </c>
      <c r="V303" s="50" t="e">
        <f t="shared" si="73"/>
        <v>#VALUE!</v>
      </c>
    </row>
    <row r="304" spans="2:22" x14ac:dyDescent="0.25">
      <c r="B304" s="50" t="b">
        <f t="shared" si="74"/>
        <v>0</v>
      </c>
      <c r="C304" s="50" t="e">
        <f t="shared" si="61"/>
        <v>#VALUE!</v>
      </c>
      <c r="E304" s="56">
        <v>301</v>
      </c>
      <c r="G304" s="138"/>
      <c r="H304" s="135">
        <v>1</v>
      </c>
      <c r="I304" s="58" t="e">
        <f t="shared" si="62"/>
        <v>#VALUE!</v>
      </c>
      <c r="J304" s="50" t="e">
        <f t="shared" si="68"/>
        <v>#VALUE!</v>
      </c>
      <c r="K304" s="50" t="e">
        <f t="shared" si="69"/>
        <v>#VALUE!</v>
      </c>
      <c r="L304" s="50" t="e">
        <f t="shared" si="69"/>
        <v>#VALUE!</v>
      </c>
      <c r="M304" s="50" t="e">
        <f t="shared" si="63"/>
        <v>#VALUE!</v>
      </c>
      <c r="N304" s="50" t="e">
        <f t="shared" si="64"/>
        <v>#VALUE!</v>
      </c>
      <c r="O304" s="50">
        <f t="shared" si="65"/>
        <v>0</v>
      </c>
      <c r="Q304" s="55" t="e">
        <f t="shared" si="66"/>
        <v>#VALUE!</v>
      </c>
      <c r="R304" s="55" t="e">
        <f t="shared" si="70"/>
        <v>#VALUE!</v>
      </c>
      <c r="S304" s="55" t="e">
        <f t="shared" si="67"/>
        <v>#VALUE!</v>
      </c>
      <c r="T304" s="50" t="e">
        <f t="shared" si="71"/>
        <v>#VALUE!</v>
      </c>
      <c r="U304" s="50" t="e">
        <f t="shared" si="72"/>
        <v>#VALUE!</v>
      </c>
      <c r="V304" s="50" t="e">
        <f t="shared" si="73"/>
        <v>#VALUE!</v>
      </c>
    </row>
    <row r="305" spans="2:22" x14ac:dyDescent="0.25">
      <c r="B305" s="50" t="b">
        <f t="shared" si="74"/>
        <v>0</v>
      </c>
      <c r="C305" s="50" t="e">
        <f t="shared" si="61"/>
        <v>#VALUE!</v>
      </c>
      <c r="E305" s="56">
        <v>302</v>
      </c>
      <c r="G305" s="138"/>
      <c r="H305" s="135">
        <v>1</v>
      </c>
      <c r="I305" s="58" t="e">
        <f t="shared" si="62"/>
        <v>#VALUE!</v>
      </c>
      <c r="J305" s="50" t="e">
        <f t="shared" si="68"/>
        <v>#VALUE!</v>
      </c>
      <c r="K305" s="50" t="e">
        <f t="shared" si="69"/>
        <v>#VALUE!</v>
      </c>
      <c r="L305" s="50" t="e">
        <f t="shared" si="69"/>
        <v>#VALUE!</v>
      </c>
      <c r="M305" s="50" t="e">
        <f t="shared" si="63"/>
        <v>#VALUE!</v>
      </c>
      <c r="N305" s="50" t="e">
        <f t="shared" si="64"/>
        <v>#VALUE!</v>
      </c>
      <c r="O305" s="50">
        <f t="shared" si="65"/>
        <v>0</v>
      </c>
      <c r="Q305" s="55" t="e">
        <f t="shared" si="66"/>
        <v>#VALUE!</v>
      </c>
      <c r="R305" s="55" t="e">
        <f t="shared" si="70"/>
        <v>#VALUE!</v>
      </c>
      <c r="S305" s="55" t="e">
        <f t="shared" si="67"/>
        <v>#VALUE!</v>
      </c>
      <c r="T305" s="50" t="e">
        <f t="shared" si="71"/>
        <v>#VALUE!</v>
      </c>
      <c r="U305" s="50" t="e">
        <f t="shared" si="72"/>
        <v>#VALUE!</v>
      </c>
      <c r="V305" s="50" t="e">
        <f t="shared" si="73"/>
        <v>#VALUE!</v>
      </c>
    </row>
    <row r="306" spans="2:22" x14ac:dyDescent="0.25">
      <c r="B306" s="50" t="b">
        <f t="shared" si="74"/>
        <v>0</v>
      </c>
      <c r="C306" s="50" t="e">
        <f t="shared" si="61"/>
        <v>#VALUE!</v>
      </c>
      <c r="E306" s="56">
        <v>303</v>
      </c>
      <c r="G306" s="138"/>
      <c r="H306" s="135">
        <v>1</v>
      </c>
      <c r="I306" s="58" t="e">
        <f t="shared" si="62"/>
        <v>#VALUE!</v>
      </c>
      <c r="J306" s="50" t="e">
        <f t="shared" si="68"/>
        <v>#VALUE!</v>
      </c>
      <c r="K306" s="50" t="e">
        <f t="shared" si="69"/>
        <v>#VALUE!</v>
      </c>
      <c r="L306" s="50" t="e">
        <f t="shared" si="69"/>
        <v>#VALUE!</v>
      </c>
      <c r="M306" s="50" t="e">
        <f t="shared" si="63"/>
        <v>#VALUE!</v>
      </c>
      <c r="N306" s="50" t="e">
        <f t="shared" si="64"/>
        <v>#VALUE!</v>
      </c>
      <c r="O306" s="50">
        <f t="shared" si="65"/>
        <v>0</v>
      </c>
      <c r="Q306" s="55" t="e">
        <f t="shared" si="66"/>
        <v>#VALUE!</v>
      </c>
      <c r="R306" s="55" t="e">
        <f t="shared" si="70"/>
        <v>#VALUE!</v>
      </c>
      <c r="S306" s="55" t="e">
        <f t="shared" si="67"/>
        <v>#VALUE!</v>
      </c>
      <c r="T306" s="50" t="e">
        <f t="shared" si="71"/>
        <v>#VALUE!</v>
      </c>
      <c r="U306" s="50" t="e">
        <f t="shared" si="72"/>
        <v>#VALUE!</v>
      </c>
      <c r="V306" s="50" t="e">
        <f t="shared" si="73"/>
        <v>#VALUE!</v>
      </c>
    </row>
    <row r="307" spans="2:22" x14ac:dyDescent="0.25">
      <c r="B307" s="50" t="b">
        <f t="shared" si="74"/>
        <v>0</v>
      </c>
      <c r="C307" s="50" t="e">
        <f t="shared" si="61"/>
        <v>#VALUE!</v>
      </c>
      <c r="E307" s="56">
        <v>304</v>
      </c>
      <c r="G307" s="138"/>
      <c r="H307" s="135">
        <v>1</v>
      </c>
      <c r="I307" s="58" t="e">
        <f t="shared" si="62"/>
        <v>#VALUE!</v>
      </c>
      <c r="J307" s="50" t="e">
        <f t="shared" si="68"/>
        <v>#VALUE!</v>
      </c>
      <c r="K307" s="50" t="e">
        <f t="shared" si="69"/>
        <v>#VALUE!</v>
      </c>
      <c r="L307" s="50" t="e">
        <f t="shared" si="69"/>
        <v>#VALUE!</v>
      </c>
      <c r="M307" s="50" t="e">
        <f t="shared" si="63"/>
        <v>#VALUE!</v>
      </c>
      <c r="N307" s="50" t="e">
        <f t="shared" si="64"/>
        <v>#VALUE!</v>
      </c>
      <c r="O307" s="50">
        <f t="shared" si="65"/>
        <v>0</v>
      </c>
      <c r="Q307" s="55" t="e">
        <f t="shared" si="66"/>
        <v>#VALUE!</v>
      </c>
      <c r="R307" s="55" t="e">
        <f t="shared" si="70"/>
        <v>#VALUE!</v>
      </c>
      <c r="S307" s="55" t="e">
        <f t="shared" si="67"/>
        <v>#VALUE!</v>
      </c>
      <c r="T307" s="50" t="e">
        <f t="shared" si="71"/>
        <v>#VALUE!</v>
      </c>
      <c r="U307" s="50" t="e">
        <f t="shared" si="72"/>
        <v>#VALUE!</v>
      </c>
      <c r="V307" s="50" t="e">
        <f t="shared" si="73"/>
        <v>#VALUE!</v>
      </c>
    </row>
    <row r="308" spans="2:22" x14ac:dyDescent="0.25">
      <c r="B308" s="50" t="b">
        <f t="shared" si="74"/>
        <v>0</v>
      </c>
      <c r="C308" s="50" t="e">
        <f t="shared" si="61"/>
        <v>#VALUE!</v>
      </c>
      <c r="E308" s="56">
        <v>305</v>
      </c>
      <c r="G308" s="138"/>
      <c r="H308" s="135">
        <v>1</v>
      </c>
      <c r="I308" s="58" t="e">
        <f t="shared" si="62"/>
        <v>#VALUE!</v>
      </c>
      <c r="J308" s="50" t="e">
        <f t="shared" si="68"/>
        <v>#VALUE!</v>
      </c>
      <c r="K308" s="50" t="e">
        <f t="shared" si="69"/>
        <v>#VALUE!</v>
      </c>
      <c r="L308" s="50" t="e">
        <f t="shared" si="69"/>
        <v>#VALUE!</v>
      </c>
      <c r="M308" s="50" t="e">
        <f t="shared" si="63"/>
        <v>#VALUE!</v>
      </c>
      <c r="N308" s="50" t="e">
        <f t="shared" si="64"/>
        <v>#VALUE!</v>
      </c>
      <c r="O308" s="50">
        <f t="shared" si="65"/>
        <v>0</v>
      </c>
      <c r="Q308" s="55" t="e">
        <f t="shared" si="66"/>
        <v>#VALUE!</v>
      </c>
      <c r="R308" s="55" t="e">
        <f t="shared" si="70"/>
        <v>#VALUE!</v>
      </c>
      <c r="S308" s="55" t="e">
        <f t="shared" si="67"/>
        <v>#VALUE!</v>
      </c>
      <c r="T308" s="50" t="e">
        <f t="shared" si="71"/>
        <v>#VALUE!</v>
      </c>
      <c r="U308" s="50" t="e">
        <f t="shared" si="72"/>
        <v>#VALUE!</v>
      </c>
      <c r="V308" s="50" t="e">
        <f t="shared" si="73"/>
        <v>#VALUE!</v>
      </c>
    </row>
    <row r="309" spans="2:22" x14ac:dyDescent="0.25">
      <c r="B309" s="50" t="b">
        <f t="shared" si="74"/>
        <v>0</v>
      </c>
      <c r="C309" s="50" t="e">
        <f t="shared" si="61"/>
        <v>#VALUE!</v>
      </c>
      <c r="E309" s="56">
        <v>306</v>
      </c>
      <c r="G309" s="138"/>
      <c r="H309" s="135">
        <v>1</v>
      </c>
      <c r="I309" s="58" t="e">
        <f t="shared" si="62"/>
        <v>#VALUE!</v>
      </c>
      <c r="J309" s="50" t="e">
        <f t="shared" si="68"/>
        <v>#VALUE!</v>
      </c>
      <c r="K309" s="50" t="e">
        <f t="shared" si="69"/>
        <v>#VALUE!</v>
      </c>
      <c r="L309" s="50" t="e">
        <f t="shared" si="69"/>
        <v>#VALUE!</v>
      </c>
      <c r="M309" s="50" t="e">
        <f t="shared" si="63"/>
        <v>#VALUE!</v>
      </c>
      <c r="N309" s="50" t="e">
        <f t="shared" si="64"/>
        <v>#VALUE!</v>
      </c>
      <c r="O309" s="50">
        <f t="shared" si="65"/>
        <v>0</v>
      </c>
      <c r="Q309" s="55" t="e">
        <f t="shared" si="66"/>
        <v>#VALUE!</v>
      </c>
      <c r="R309" s="55" t="e">
        <f t="shared" si="70"/>
        <v>#VALUE!</v>
      </c>
      <c r="S309" s="55" t="e">
        <f t="shared" si="67"/>
        <v>#VALUE!</v>
      </c>
      <c r="T309" s="50" t="e">
        <f t="shared" si="71"/>
        <v>#VALUE!</v>
      </c>
      <c r="U309" s="50" t="e">
        <f t="shared" si="72"/>
        <v>#VALUE!</v>
      </c>
      <c r="V309" s="50" t="e">
        <f t="shared" si="73"/>
        <v>#VALUE!</v>
      </c>
    </row>
    <row r="310" spans="2:22" x14ac:dyDescent="0.25">
      <c r="B310" s="50" t="b">
        <f t="shared" si="74"/>
        <v>0</v>
      </c>
      <c r="C310" s="50" t="e">
        <f t="shared" ref="C310:C373" si="75">SUM(T310:V310)</f>
        <v>#VALUE!</v>
      </c>
      <c r="E310" s="56">
        <v>307</v>
      </c>
      <c r="G310" s="138"/>
      <c r="H310" s="135">
        <v>1</v>
      </c>
      <c r="I310" s="58" t="e">
        <f t="shared" si="62"/>
        <v>#VALUE!</v>
      </c>
      <c r="J310" s="50" t="e">
        <f t="shared" si="68"/>
        <v>#VALUE!</v>
      </c>
      <c r="K310" s="50" t="e">
        <f t="shared" si="69"/>
        <v>#VALUE!</v>
      </c>
      <c r="L310" s="50" t="e">
        <f t="shared" si="69"/>
        <v>#VALUE!</v>
      </c>
      <c r="M310" s="50" t="e">
        <f t="shared" si="63"/>
        <v>#VALUE!</v>
      </c>
      <c r="N310" s="50" t="e">
        <f t="shared" si="64"/>
        <v>#VALUE!</v>
      </c>
      <c r="O310" s="50">
        <f t="shared" si="65"/>
        <v>0</v>
      </c>
      <c r="Q310" s="55" t="e">
        <f t="shared" si="66"/>
        <v>#VALUE!</v>
      </c>
      <c r="R310" s="55" t="e">
        <f t="shared" si="70"/>
        <v>#VALUE!</v>
      </c>
      <c r="S310" s="55" t="e">
        <f t="shared" si="67"/>
        <v>#VALUE!</v>
      </c>
      <c r="T310" s="50" t="e">
        <f t="shared" si="71"/>
        <v>#VALUE!</v>
      </c>
      <c r="U310" s="50" t="e">
        <f t="shared" si="72"/>
        <v>#VALUE!</v>
      </c>
      <c r="V310" s="50" t="e">
        <f t="shared" si="73"/>
        <v>#VALUE!</v>
      </c>
    </row>
    <row r="311" spans="2:22" x14ac:dyDescent="0.25">
      <c r="B311" s="50" t="b">
        <f t="shared" si="74"/>
        <v>0</v>
      </c>
      <c r="C311" s="50" t="e">
        <f t="shared" si="75"/>
        <v>#VALUE!</v>
      </c>
      <c r="E311" s="56">
        <v>308</v>
      </c>
      <c r="G311" s="138"/>
      <c r="H311" s="135">
        <v>1</v>
      </c>
      <c r="I311" s="58" t="e">
        <f t="shared" si="62"/>
        <v>#VALUE!</v>
      </c>
      <c r="J311" s="50" t="e">
        <f t="shared" si="68"/>
        <v>#VALUE!</v>
      </c>
      <c r="K311" s="50" t="e">
        <f t="shared" si="69"/>
        <v>#VALUE!</v>
      </c>
      <c r="L311" s="50" t="e">
        <f t="shared" si="69"/>
        <v>#VALUE!</v>
      </c>
      <c r="M311" s="50" t="e">
        <f t="shared" si="63"/>
        <v>#VALUE!</v>
      </c>
      <c r="N311" s="50" t="e">
        <f t="shared" si="64"/>
        <v>#VALUE!</v>
      </c>
      <c r="O311" s="50">
        <f t="shared" si="65"/>
        <v>0</v>
      </c>
      <c r="Q311" s="55" t="e">
        <f t="shared" si="66"/>
        <v>#VALUE!</v>
      </c>
      <c r="R311" s="55" t="e">
        <f t="shared" si="70"/>
        <v>#VALUE!</v>
      </c>
      <c r="S311" s="55" t="e">
        <f t="shared" si="67"/>
        <v>#VALUE!</v>
      </c>
      <c r="T311" s="50" t="e">
        <f t="shared" si="71"/>
        <v>#VALUE!</v>
      </c>
      <c r="U311" s="50" t="e">
        <f t="shared" si="72"/>
        <v>#VALUE!</v>
      </c>
      <c r="V311" s="50" t="e">
        <f t="shared" si="73"/>
        <v>#VALUE!</v>
      </c>
    </row>
    <row r="312" spans="2:22" x14ac:dyDescent="0.25">
      <c r="B312" s="50" t="b">
        <f t="shared" si="74"/>
        <v>0</v>
      </c>
      <c r="C312" s="50" t="e">
        <f t="shared" si="75"/>
        <v>#VALUE!</v>
      </c>
      <c r="E312" s="56">
        <v>309</v>
      </c>
      <c r="G312" s="138"/>
      <c r="H312" s="135">
        <v>1</v>
      </c>
      <c r="I312" s="58" t="e">
        <f t="shared" si="62"/>
        <v>#VALUE!</v>
      </c>
      <c r="J312" s="50" t="e">
        <f t="shared" si="68"/>
        <v>#VALUE!</v>
      </c>
      <c r="K312" s="50" t="e">
        <f t="shared" si="69"/>
        <v>#VALUE!</v>
      </c>
      <c r="L312" s="50" t="e">
        <f t="shared" si="69"/>
        <v>#VALUE!</v>
      </c>
      <c r="M312" s="50" t="e">
        <f t="shared" si="63"/>
        <v>#VALUE!</v>
      </c>
      <c r="N312" s="50" t="e">
        <f t="shared" si="64"/>
        <v>#VALUE!</v>
      </c>
      <c r="O312" s="50">
        <f t="shared" si="65"/>
        <v>0</v>
      </c>
      <c r="Q312" s="55" t="e">
        <f t="shared" si="66"/>
        <v>#VALUE!</v>
      </c>
      <c r="R312" s="55" t="e">
        <f t="shared" si="70"/>
        <v>#VALUE!</v>
      </c>
      <c r="S312" s="55" t="e">
        <f t="shared" si="67"/>
        <v>#VALUE!</v>
      </c>
      <c r="T312" s="50" t="e">
        <f t="shared" si="71"/>
        <v>#VALUE!</v>
      </c>
      <c r="U312" s="50" t="e">
        <f t="shared" si="72"/>
        <v>#VALUE!</v>
      </c>
      <c r="V312" s="50" t="e">
        <f t="shared" si="73"/>
        <v>#VALUE!</v>
      </c>
    </row>
    <row r="313" spans="2:22" x14ac:dyDescent="0.25">
      <c r="B313" s="50" t="b">
        <f t="shared" si="74"/>
        <v>0</v>
      </c>
      <c r="C313" s="50" t="e">
        <f t="shared" si="75"/>
        <v>#VALUE!</v>
      </c>
      <c r="E313" s="56">
        <v>310</v>
      </c>
      <c r="G313" s="138"/>
      <c r="H313" s="135">
        <v>1</v>
      </c>
      <c r="I313" s="58" t="e">
        <f t="shared" si="62"/>
        <v>#VALUE!</v>
      </c>
      <c r="J313" s="50" t="e">
        <f t="shared" si="68"/>
        <v>#VALUE!</v>
      </c>
      <c r="K313" s="50" t="e">
        <f t="shared" si="69"/>
        <v>#VALUE!</v>
      </c>
      <c r="L313" s="50" t="e">
        <f t="shared" si="69"/>
        <v>#VALUE!</v>
      </c>
      <c r="M313" s="50" t="e">
        <f t="shared" si="63"/>
        <v>#VALUE!</v>
      </c>
      <c r="N313" s="50" t="e">
        <f t="shared" si="64"/>
        <v>#VALUE!</v>
      </c>
      <c r="O313" s="50">
        <f t="shared" si="65"/>
        <v>0</v>
      </c>
      <c r="Q313" s="55" t="e">
        <f t="shared" si="66"/>
        <v>#VALUE!</v>
      </c>
      <c r="R313" s="55" t="e">
        <f t="shared" si="70"/>
        <v>#VALUE!</v>
      </c>
      <c r="S313" s="55" t="e">
        <f t="shared" si="67"/>
        <v>#VALUE!</v>
      </c>
      <c r="T313" s="50" t="e">
        <f t="shared" si="71"/>
        <v>#VALUE!</v>
      </c>
      <c r="U313" s="50" t="e">
        <f t="shared" si="72"/>
        <v>#VALUE!</v>
      </c>
      <c r="V313" s="50" t="e">
        <f t="shared" si="73"/>
        <v>#VALUE!</v>
      </c>
    </row>
    <row r="314" spans="2:22" x14ac:dyDescent="0.25">
      <c r="B314" s="50" t="b">
        <f t="shared" si="74"/>
        <v>0</v>
      </c>
      <c r="C314" s="50" t="e">
        <f t="shared" si="75"/>
        <v>#VALUE!</v>
      </c>
      <c r="E314" s="56">
        <v>311</v>
      </c>
      <c r="G314" s="138"/>
      <c r="H314" s="135">
        <v>1</v>
      </c>
      <c r="I314" s="58" t="e">
        <f t="shared" si="62"/>
        <v>#VALUE!</v>
      </c>
      <c r="J314" s="50" t="e">
        <f t="shared" si="68"/>
        <v>#VALUE!</v>
      </c>
      <c r="K314" s="50" t="e">
        <f t="shared" si="69"/>
        <v>#VALUE!</v>
      </c>
      <c r="L314" s="50" t="e">
        <f t="shared" si="69"/>
        <v>#VALUE!</v>
      </c>
      <c r="M314" s="50" t="e">
        <f t="shared" si="63"/>
        <v>#VALUE!</v>
      </c>
      <c r="N314" s="50" t="e">
        <f t="shared" si="64"/>
        <v>#VALUE!</v>
      </c>
      <c r="O314" s="50">
        <f t="shared" si="65"/>
        <v>0</v>
      </c>
      <c r="Q314" s="55" t="e">
        <f t="shared" si="66"/>
        <v>#VALUE!</v>
      </c>
      <c r="R314" s="55" t="e">
        <f t="shared" si="70"/>
        <v>#VALUE!</v>
      </c>
      <c r="S314" s="55" t="e">
        <f t="shared" si="67"/>
        <v>#VALUE!</v>
      </c>
      <c r="T314" s="50" t="e">
        <f t="shared" si="71"/>
        <v>#VALUE!</v>
      </c>
      <c r="U314" s="50" t="e">
        <f t="shared" si="72"/>
        <v>#VALUE!</v>
      </c>
      <c r="V314" s="50" t="e">
        <f t="shared" si="73"/>
        <v>#VALUE!</v>
      </c>
    </row>
    <row r="315" spans="2:22" x14ac:dyDescent="0.25">
      <c r="B315" s="50" t="b">
        <f t="shared" si="74"/>
        <v>0</v>
      </c>
      <c r="C315" s="50" t="e">
        <f t="shared" si="75"/>
        <v>#VALUE!</v>
      </c>
      <c r="E315" s="56">
        <v>312</v>
      </c>
      <c r="G315" s="138"/>
      <c r="H315" s="135">
        <v>1</v>
      </c>
      <c r="I315" s="58" t="e">
        <f t="shared" si="62"/>
        <v>#VALUE!</v>
      </c>
      <c r="J315" s="50" t="e">
        <f t="shared" si="68"/>
        <v>#VALUE!</v>
      </c>
      <c r="K315" s="50" t="e">
        <f t="shared" si="69"/>
        <v>#VALUE!</v>
      </c>
      <c r="L315" s="50" t="e">
        <f t="shared" si="69"/>
        <v>#VALUE!</v>
      </c>
      <c r="M315" s="50" t="e">
        <f t="shared" si="63"/>
        <v>#VALUE!</v>
      </c>
      <c r="N315" s="50" t="e">
        <f t="shared" si="64"/>
        <v>#VALUE!</v>
      </c>
      <c r="O315" s="50">
        <f t="shared" si="65"/>
        <v>0</v>
      </c>
      <c r="Q315" s="55" t="e">
        <f t="shared" si="66"/>
        <v>#VALUE!</v>
      </c>
      <c r="R315" s="55" t="e">
        <f t="shared" si="70"/>
        <v>#VALUE!</v>
      </c>
      <c r="S315" s="55" t="e">
        <f t="shared" si="67"/>
        <v>#VALUE!</v>
      </c>
      <c r="T315" s="50" t="e">
        <f t="shared" si="71"/>
        <v>#VALUE!</v>
      </c>
      <c r="U315" s="50" t="e">
        <f t="shared" si="72"/>
        <v>#VALUE!</v>
      </c>
      <c r="V315" s="50" t="e">
        <f t="shared" si="73"/>
        <v>#VALUE!</v>
      </c>
    </row>
    <row r="316" spans="2:22" x14ac:dyDescent="0.25">
      <c r="B316" s="50" t="b">
        <f t="shared" si="74"/>
        <v>0</v>
      </c>
      <c r="C316" s="50" t="e">
        <f t="shared" si="75"/>
        <v>#VALUE!</v>
      </c>
      <c r="E316" s="56">
        <v>313</v>
      </c>
      <c r="G316" s="138"/>
      <c r="H316" s="135">
        <v>1</v>
      </c>
      <c r="I316" s="58" t="e">
        <f t="shared" si="62"/>
        <v>#VALUE!</v>
      </c>
      <c r="J316" s="50" t="e">
        <f t="shared" si="68"/>
        <v>#VALUE!</v>
      </c>
      <c r="K316" s="50" t="e">
        <f t="shared" si="69"/>
        <v>#VALUE!</v>
      </c>
      <c r="L316" s="50" t="e">
        <f t="shared" si="69"/>
        <v>#VALUE!</v>
      </c>
      <c r="M316" s="50" t="e">
        <f t="shared" si="63"/>
        <v>#VALUE!</v>
      </c>
      <c r="N316" s="50" t="e">
        <f t="shared" si="64"/>
        <v>#VALUE!</v>
      </c>
      <c r="O316" s="50">
        <f t="shared" si="65"/>
        <v>0</v>
      </c>
      <c r="Q316" s="55" t="e">
        <f t="shared" si="66"/>
        <v>#VALUE!</v>
      </c>
      <c r="R316" s="55" t="e">
        <f t="shared" si="70"/>
        <v>#VALUE!</v>
      </c>
      <c r="S316" s="55" t="e">
        <f t="shared" si="67"/>
        <v>#VALUE!</v>
      </c>
      <c r="T316" s="50" t="e">
        <f t="shared" si="71"/>
        <v>#VALUE!</v>
      </c>
      <c r="U316" s="50" t="e">
        <f t="shared" si="72"/>
        <v>#VALUE!</v>
      </c>
      <c r="V316" s="50" t="e">
        <f t="shared" si="73"/>
        <v>#VALUE!</v>
      </c>
    </row>
    <row r="317" spans="2:22" x14ac:dyDescent="0.25">
      <c r="B317" s="50" t="b">
        <f t="shared" si="74"/>
        <v>0</v>
      </c>
      <c r="C317" s="50" t="e">
        <f t="shared" si="75"/>
        <v>#VALUE!</v>
      </c>
      <c r="E317" s="56">
        <v>314</v>
      </c>
      <c r="G317" s="138"/>
      <c r="H317" s="135">
        <v>1</v>
      </c>
      <c r="I317" s="58" t="e">
        <f t="shared" si="62"/>
        <v>#VALUE!</v>
      </c>
      <c r="J317" s="50" t="e">
        <f t="shared" si="68"/>
        <v>#VALUE!</v>
      </c>
      <c r="K317" s="50" t="e">
        <f t="shared" si="69"/>
        <v>#VALUE!</v>
      </c>
      <c r="L317" s="50" t="e">
        <f t="shared" si="69"/>
        <v>#VALUE!</v>
      </c>
      <c r="M317" s="50" t="e">
        <f t="shared" si="63"/>
        <v>#VALUE!</v>
      </c>
      <c r="N317" s="50" t="e">
        <f t="shared" si="64"/>
        <v>#VALUE!</v>
      </c>
      <c r="O317" s="50">
        <f t="shared" si="65"/>
        <v>0</v>
      </c>
      <c r="Q317" s="55" t="e">
        <f t="shared" si="66"/>
        <v>#VALUE!</v>
      </c>
      <c r="R317" s="55" t="e">
        <f t="shared" si="70"/>
        <v>#VALUE!</v>
      </c>
      <c r="S317" s="55" t="e">
        <f t="shared" si="67"/>
        <v>#VALUE!</v>
      </c>
      <c r="T317" s="50" t="e">
        <f t="shared" si="71"/>
        <v>#VALUE!</v>
      </c>
      <c r="U317" s="50" t="e">
        <f t="shared" si="72"/>
        <v>#VALUE!</v>
      </c>
      <c r="V317" s="50" t="e">
        <f t="shared" si="73"/>
        <v>#VALUE!</v>
      </c>
    </row>
    <row r="318" spans="2:22" x14ac:dyDescent="0.25">
      <c r="B318" s="50" t="b">
        <f t="shared" si="74"/>
        <v>0</v>
      </c>
      <c r="C318" s="50" t="e">
        <f t="shared" si="75"/>
        <v>#VALUE!</v>
      </c>
      <c r="E318" s="56">
        <v>315</v>
      </c>
      <c r="G318" s="138"/>
      <c r="H318" s="135">
        <v>1</v>
      </c>
      <c r="I318" s="58" t="e">
        <f t="shared" si="62"/>
        <v>#VALUE!</v>
      </c>
      <c r="J318" s="50" t="e">
        <f t="shared" si="68"/>
        <v>#VALUE!</v>
      </c>
      <c r="K318" s="50" t="e">
        <f t="shared" si="69"/>
        <v>#VALUE!</v>
      </c>
      <c r="L318" s="50" t="e">
        <f t="shared" si="69"/>
        <v>#VALUE!</v>
      </c>
      <c r="M318" s="50" t="e">
        <f t="shared" si="63"/>
        <v>#VALUE!</v>
      </c>
      <c r="N318" s="50" t="e">
        <f t="shared" si="64"/>
        <v>#VALUE!</v>
      </c>
      <c r="O318" s="50">
        <f t="shared" si="65"/>
        <v>0</v>
      </c>
      <c r="Q318" s="55" t="e">
        <f t="shared" si="66"/>
        <v>#VALUE!</v>
      </c>
      <c r="R318" s="55" t="e">
        <f t="shared" si="70"/>
        <v>#VALUE!</v>
      </c>
      <c r="S318" s="55" t="e">
        <f t="shared" si="67"/>
        <v>#VALUE!</v>
      </c>
      <c r="T318" s="50" t="e">
        <f t="shared" si="71"/>
        <v>#VALUE!</v>
      </c>
      <c r="U318" s="50" t="e">
        <f t="shared" si="72"/>
        <v>#VALUE!</v>
      </c>
      <c r="V318" s="50" t="e">
        <f t="shared" si="73"/>
        <v>#VALUE!</v>
      </c>
    </row>
    <row r="319" spans="2:22" x14ac:dyDescent="0.25">
      <c r="B319" s="50" t="b">
        <f t="shared" si="74"/>
        <v>0</v>
      </c>
      <c r="C319" s="50" t="e">
        <f t="shared" si="75"/>
        <v>#VALUE!</v>
      </c>
      <c r="E319" s="56">
        <v>316</v>
      </c>
      <c r="G319" s="138"/>
      <c r="H319" s="135">
        <v>1</v>
      </c>
      <c r="I319" s="58" t="e">
        <f t="shared" si="62"/>
        <v>#VALUE!</v>
      </c>
      <c r="J319" s="50" t="e">
        <f t="shared" si="68"/>
        <v>#VALUE!</v>
      </c>
      <c r="K319" s="50" t="e">
        <f t="shared" si="69"/>
        <v>#VALUE!</v>
      </c>
      <c r="L319" s="50" t="e">
        <f t="shared" si="69"/>
        <v>#VALUE!</v>
      </c>
      <c r="M319" s="50" t="e">
        <f t="shared" si="63"/>
        <v>#VALUE!</v>
      </c>
      <c r="N319" s="50" t="e">
        <f t="shared" si="64"/>
        <v>#VALUE!</v>
      </c>
      <c r="O319" s="50">
        <f t="shared" si="65"/>
        <v>0</v>
      </c>
      <c r="Q319" s="55" t="e">
        <f t="shared" si="66"/>
        <v>#VALUE!</v>
      </c>
      <c r="R319" s="55" t="e">
        <f t="shared" si="70"/>
        <v>#VALUE!</v>
      </c>
      <c r="S319" s="55" t="e">
        <f t="shared" si="67"/>
        <v>#VALUE!</v>
      </c>
      <c r="T319" s="50" t="e">
        <f t="shared" si="71"/>
        <v>#VALUE!</v>
      </c>
      <c r="U319" s="50" t="e">
        <f t="shared" si="72"/>
        <v>#VALUE!</v>
      </c>
      <c r="V319" s="50" t="e">
        <f t="shared" si="73"/>
        <v>#VALUE!</v>
      </c>
    </row>
    <row r="320" spans="2:22" x14ac:dyDescent="0.25">
      <c r="B320" s="50" t="b">
        <f t="shared" si="74"/>
        <v>0</v>
      </c>
      <c r="C320" s="50" t="e">
        <f t="shared" si="75"/>
        <v>#VALUE!</v>
      </c>
      <c r="E320" s="56">
        <v>317</v>
      </c>
      <c r="G320" s="138"/>
      <c r="H320" s="135">
        <v>1</v>
      </c>
      <c r="I320" s="58" t="e">
        <f t="shared" si="62"/>
        <v>#VALUE!</v>
      </c>
      <c r="J320" s="50" t="e">
        <f t="shared" si="68"/>
        <v>#VALUE!</v>
      </c>
      <c r="K320" s="50" t="e">
        <f t="shared" si="69"/>
        <v>#VALUE!</v>
      </c>
      <c r="L320" s="50" t="e">
        <f t="shared" si="69"/>
        <v>#VALUE!</v>
      </c>
      <c r="M320" s="50" t="e">
        <f t="shared" si="63"/>
        <v>#VALUE!</v>
      </c>
      <c r="N320" s="50" t="e">
        <f t="shared" si="64"/>
        <v>#VALUE!</v>
      </c>
      <c r="O320" s="50">
        <f t="shared" si="65"/>
        <v>0</v>
      </c>
      <c r="Q320" s="55" t="e">
        <f t="shared" si="66"/>
        <v>#VALUE!</v>
      </c>
      <c r="R320" s="55" t="e">
        <f t="shared" si="70"/>
        <v>#VALUE!</v>
      </c>
      <c r="S320" s="55" t="e">
        <f t="shared" si="67"/>
        <v>#VALUE!</v>
      </c>
      <c r="T320" s="50" t="e">
        <f t="shared" si="71"/>
        <v>#VALUE!</v>
      </c>
      <c r="U320" s="50" t="e">
        <f t="shared" si="72"/>
        <v>#VALUE!</v>
      </c>
      <c r="V320" s="50" t="e">
        <f t="shared" si="73"/>
        <v>#VALUE!</v>
      </c>
    </row>
    <row r="321" spans="2:22" x14ac:dyDescent="0.25">
      <c r="B321" s="50" t="b">
        <f t="shared" si="74"/>
        <v>0</v>
      </c>
      <c r="C321" s="50" t="e">
        <f t="shared" si="75"/>
        <v>#VALUE!</v>
      </c>
      <c r="E321" s="56">
        <v>318</v>
      </c>
      <c r="G321" s="138"/>
      <c r="H321" s="135">
        <v>1</v>
      </c>
      <c r="I321" s="58" t="e">
        <f t="shared" si="62"/>
        <v>#VALUE!</v>
      </c>
      <c r="J321" s="50" t="e">
        <f t="shared" si="68"/>
        <v>#VALUE!</v>
      </c>
      <c r="K321" s="50" t="e">
        <f t="shared" si="69"/>
        <v>#VALUE!</v>
      </c>
      <c r="L321" s="50" t="e">
        <f t="shared" si="69"/>
        <v>#VALUE!</v>
      </c>
      <c r="M321" s="50" t="e">
        <f t="shared" si="63"/>
        <v>#VALUE!</v>
      </c>
      <c r="N321" s="50" t="e">
        <f t="shared" si="64"/>
        <v>#VALUE!</v>
      </c>
      <c r="O321" s="50">
        <f t="shared" si="65"/>
        <v>0</v>
      </c>
      <c r="Q321" s="55" t="e">
        <f t="shared" si="66"/>
        <v>#VALUE!</v>
      </c>
      <c r="R321" s="55" t="e">
        <f t="shared" si="70"/>
        <v>#VALUE!</v>
      </c>
      <c r="S321" s="55" t="e">
        <f t="shared" si="67"/>
        <v>#VALUE!</v>
      </c>
      <c r="T321" s="50" t="e">
        <f t="shared" si="71"/>
        <v>#VALUE!</v>
      </c>
      <c r="U321" s="50" t="e">
        <f t="shared" si="72"/>
        <v>#VALUE!</v>
      </c>
      <c r="V321" s="50" t="e">
        <f t="shared" si="73"/>
        <v>#VALUE!</v>
      </c>
    </row>
    <row r="322" spans="2:22" x14ac:dyDescent="0.25">
      <c r="B322" s="50" t="b">
        <f t="shared" si="74"/>
        <v>0</v>
      </c>
      <c r="C322" s="50" t="e">
        <f t="shared" si="75"/>
        <v>#VALUE!</v>
      </c>
      <c r="E322" s="56">
        <v>319</v>
      </c>
      <c r="G322" s="138"/>
      <c r="H322" s="135">
        <v>1</v>
      </c>
      <c r="I322" s="58" t="e">
        <f t="shared" si="62"/>
        <v>#VALUE!</v>
      </c>
      <c r="J322" s="50" t="e">
        <f t="shared" si="68"/>
        <v>#VALUE!</v>
      </c>
      <c r="K322" s="50" t="e">
        <f t="shared" si="69"/>
        <v>#VALUE!</v>
      </c>
      <c r="L322" s="50" t="e">
        <f t="shared" si="69"/>
        <v>#VALUE!</v>
      </c>
      <c r="M322" s="50" t="e">
        <f t="shared" si="63"/>
        <v>#VALUE!</v>
      </c>
      <c r="N322" s="50" t="e">
        <f t="shared" si="64"/>
        <v>#VALUE!</v>
      </c>
      <c r="O322" s="50">
        <f t="shared" si="65"/>
        <v>0</v>
      </c>
      <c r="Q322" s="55" t="e">
        <f t="shared" si="66"/>
        <v>#VALUE!</v>
      </c>
      <c r="R322" s="55" t="e">
        <f t="shared" si="70"/>
        <v>#VALUE!</v>
      </c>
      <c r="S322" s="55" t="e">
        <f t="shared" si="67"/>
        <v>#VALUE!</v>
      </c>
      <c r="T322" s="50" t="e">
        <f t="shared" si="71"/>
        <v>#VALUE!</v>
      </c>
      <c r="U322" s="50" t="e">
        <f t="shared" si="72"/>
        <v>#VALUE!</v>
      </c>
      <c r="V322" s="50" t="e">
        <f t="shared" si="73"/>
        <v>#VALUE!</v>
      </c>
    </row>
    <row r="323" spans="2:22" x14ac:dyDescent="0.25">
      <c r="B323" s="50" t="b">
        <f t="shared" si="74"/>
        <v>0</v>
      </c>
      <c r="C323" s="50" t="e">
        <f t="shared" si="75"/>
        <v>#VALUE!</v>
      </c>
      <c r="E323" s="56">
        <v>320</v>
      </c>
      <c r="G323" s="138"/>
      <c r="H323" s="135">
        <v>1</v>
      </c>
      <c r="I323" s="58" t="e">
        <f t="shared" si="62"/>
        <v>#VALUE!</v>
      </c>
      <c r="J323" s="50" t="e">
        <f t="shared" si="68"/>
        <v>#VALUE!</v>
      </c>
      <c r="K323" s="50" t="e">
        <f t="shared" si="69"/>
        <v>#VALUE!</v>
      </c>
      <c r="L323" s="50" t="e">
        <f t="shared" si="69"/>
        <v>#VALUE!</v>
      </c>
      <c r="M323" s="50" t="e">
        <f t="shared" si="63"/>
        <v>#VALUE!</v>
      </c>
      <c r="N323" s="50" t="e">
        <f t="shared" si="64"/>
        <v>#VALUE!</v>
      </c>
      <c r="O323" s="50">
        <f t="shared" si="65"/>
        <v>0</v>
      </c>
      <c r="Q323" s="55" t="e">
        <f t="shared" si="66"/>
        <v>#VALUE!</v>
      </c>
      <c r="R323" s="55" t="e">
        <f t="shared" si="70"/>
        <v>#VALUE!</v>
      </c>
      <c r="S323" s="55" t="e">
        <f t="shared" si="67"/>
        <v>#VALUE!</v>
      </c>
      <c r="T323" s="50" t="e">
        <f t="shared" si="71"/>
        <v>#VALUE!</v>
      </c>
      <c r="U323" s="50" t="e">
        <f t="shared" si="72"/>
        <v>#VALUE!</v>
      </c>
      <c r="V323" s="50" t="e">
        <f t="shared" si="73"/>
        <v>#VALUE!</v>
      </c>
    </row>
    <row r="324" spans="2:22" x14ac:dyDescent="0.25">
      <c r="B324" s="50" t="b">
        <f t="shared" si="74"/>
        <v>0</v>
      </c>
      <c r="C324" s="50" t="e">
        <f t="shared" si="75"/>
        <v>#VALUE!</v>
      </c>
      <c r="E324" s="56">
        <v>321</v>
      </c>
      <c r="G324" s="138"/>
      <c r="H324" s="135">
        <v>1</v>
      </c>
      <c r="I324" s="58" t="e">
        <f t="shared" ref="I324:I387" si="76">RIGHT(G324,J324)</f>
        <v>#VALUE!</v>
      </c>
      <c r="J324" s="50" t="e">
        <f t="shared" si="68"/>
        <v>#VALUE!</v>
      </c>
      <c r="K324" s="50" t="e">
        <f t="shared" si="69"/>
        <v>#VALUE!</v>
      </c>
      <c r="L324" s="50" t="e">
        <f t="shared" si="69"/>
        <v>#VALUE!</v>
      </c>
      <c r="M324" s="50" t="e">
        <f t="shared" ref="M324:M387" si="77">SEARCH("-",G324,2)</f>
        <v>#VALUE!</v>
      </c>
      <c r="N324" s="50" t="e">
        <f t="shared" ref="N324:N387" si="78">SEARCH("-",G324,M324+1)</f>
        <v>#VALUE!</v>
      </c>
      <c r="O324" s="50">
        <f t="shared" ref="O324:O387" si="79">LEN(G324)</f>
        <v>0</v>
      </c>
      <c r="Q324" s="55" t="e">
        <f t="shared" ref="Q324:Q387" si="80">LEFT(G324,M324-1)</f>
        <v>#VALUE!</v>
      </c>
      <c r="R324" s="55" t="e">
        <f t="shared" si="70"/>
        <v>#VALUE!</v>
      </c>
      <c r="S324" s="55" t="e">
        <f t="shared" ref="S324:S387" si="81">RIGHT(G324,L324)</f>
        <v>#VALUE!</v>
      </c>
      <c r="T324" s="50" t="e">
        <f t="shared" si="71"/>
        <v>#VALUE!</v>
      </c>
      <c r="U324" s="50" t="e">
        <f t="shared" si="72"/>
        <v>#VALUE!</v>
      </c>
      <c r="V324" s="50" t="e">
        <f t="shared" si="73"/>
        <v>#VALUE!</v>
      </c>
    </row>
    <row r="325" spans="2:22" x14ac:dyDescent="0.25">
      <c r="B325" s="50" t="b">
        <f t="shared" si="74"/>
        <v>0</v>
      </c>
      <c r="C325" s="50" t="e">
        <f t="shared" si="75"/>
        <v>#VALUE!</v>
      </c>
      <c r="E325" s="56">
        <v>322</v>
      </c>
      <c r="G325" s="138"/>
      <c r="H325" s="135">
        <v>1</v>
      </c>
      <c r="I325" s="58" t="e">
        <f t="shared" si="76"/>
        <v>#VALUE!</v>
      </c>
      <c r="J325" s="50" t="e">
        <f t="shared" ref="J325:J388" si="82">O325-M325</f>
        <v>#VALUE!</v>
      </c>
      <c r="K325" s="50" t="e">
        <f t="shared" ref="K325:L388" si="83">N325-M325</f>
        <v>#VALUE!</v>
      </c>
      <c r="L325" s="50" t="e">
        <f t="shared" si="83"/>
        <v>#VALUE!</v>
      </c>
      <c r="M325" s="50" t="e">
        <f t="shared" si="77"/>
        <v>#VALUE!</v>
      </c>
      <c r="N325" s="50" t="e">
        <f t="shared" si="78"/>
        <v>#VALUE!</v>
      </c>
      <c r="O325" s="50">
        <f t="shared" si="79"/>
        <v>0</v>
      </c>
      <c r="Q325" s="55" t="e">
        <f t="shared" si="80"/>
        <v>#VALUE!</v>
      </c>
      <c r="R325" s="55" t="e">
        <f t="shared" ref="R325:R388" si="84">LEFT(I325,K325-1)</f>
        <v>#VALUE!</v>
      </c>
      <c r="S325" s="55" t="e">
        <f t="shared" si="81"/>
        <v>#VALUE!</v>
      </c>
      <c r="T325" s="50" t="e">
        <f t="shared" ref="T325:T388" si="85">Q325*1*$H325</f>
        <v>#VALUE!</v>
      </c>
      <c r="U325" s="50" t="e">
        <f t="shared" ref="U325:U388" si="86">R325*1*$H325</f>
        <v>#VALUE!</v>
      </c>
      <c r="V325" s="50" t="e">
        <f t="shared" ref="V325:V388" si="87">S325*1*$H325</f>
        <v>#VALUE!</v>
      </c>
    </row>
    <row r="326" spans="2:22" x14ac:dyDescent="0.25">
      <c r="B326" s="50" t="b">
        <f t="shared" si="74"/>
        <v>0</v>
      </c>
      <c r="C326" s="50" t="e">
        <f t="shared" si="75"/>
        <v>#VALUE!</v>
      </c>
      <c r="E326" s="56">
        <v>323</v>
      </c>
      <c r="G326" s="138"/>
      <c r="H326" s="135">
        <v>1</v>
      </c>
      <c r="I326" s="58" t="e">
        <f t="shared" si="76"/>
        <v>#VALUE!</v>
      </c>
      <c r="J326" s="50" t="e">
        <f t="shared" si="82"/>
        <v>#VALUE!</v>
      </c>
      <c r="K326" s="50" t="e">
        <f t="shared" si="83"/>
        <v>#VALUE!</v>
      </c>
      <c r="L326" s="50" t="e">
        <f t="shared" si="83"/>
        <v>#VALUE!</v>
      </c>
      <c r="M326" s="50" t="e">
        <f t="shared" si="77"/>
        <v>#VALUE!</v>
      </c>
      <c r="N326" s="50" t="e">
        <f t="shared" si="78"/>
        <v>#VALUE!</v>
      </c>
      <c r="O326" s="50">
        <f t="shared" si="79"/>
        <v>0</v>
      </c>
      <c r="Q326" s="55" t="e">
        <f t="shared" si="80"/>
        <v>#VALUE!</v>
      </c>
      <c r="R326" s="55" t="e">
        <f t="shared" si="84"/>
        <v>#VALUE!</v>
      </c>
      <c r="S326" s="55" t="e">
        <f t="shared" si="81"/>
        <v>#VALUE!</v>
      </c>
      <c r="T326" s="50" t="e">
        <f t="shared" si="85"/>
        <v>#VALUE!</v>
      </c>
      <c r="U326" s="50" t="e">
        <f t="shared" si="86"/>
        <v>#VALUE!</v>
      </c>
      <c r="V326" s="50" t="e">
        <f t="shared" si="87"/>
        <v>#VALUE!</v>
      </c>
    </row>
    <row r="327" spans="2:22" x14ac:dyDescent="0.25">
      <c r="B327" s="50" t="b">
        <f t="shared" si="74"/>
        <v>0</v>
      </c>
      <c r="C327" s="50" t="e">
        <f t="shared" si="75"/>
        <v>#VALUE!</v>
      </c>
      <c r="E327" s="56">
        <v>324</v>
      </c>
      <c r="G327" s="138"/>
      <c r="H327" s="135">
        <v>1</v>
      </c>
      <c r="I327" s="58" t="e">
        <f t="shared" si="76"/>
        <v>#VALUE!</v>
      </c>
      <c r="J327" s="50" t="e">
        <f t="shared" si="82"/>
        <v>#VALUE!</v>
      </c>
      <c r="K327" s="50" t="e">
        <f t="shared" si="83"/>
        <v>#VALUE!</v>
      </c>
      <c r="L327" s="50" t="e">
        <f t="shared" si="83"/>
        <v>#VALUE!</v>
      </c>
      <c r="M327" s="50" t="e">
        <f t="shared" si="77"/>
        <v>#VALUE!</v>
      </c>
      <c r="N327" s="50" t="e">
        <f t="shared" si="78"/>
        <v>#VALUE!</v>
      </c>
      <c r="O327" s="50">
        <f t="shared" si="79"/>
        <v>0</v>
      </c>
      <c r="Q327" s="55" t="e">
        <f t="shared" si="80"/>
        <v>#VALUE!</v>
      </c>
      <c r="R327" s="55" t="e">
        <f t="shared" si="84"/>
        <v>#VALUE!</v>
      </c>
      <c r="S327" s="55" t="e">
        <f t="shared" si="81"/>
        <v>#VALUE!</v>
      </c>
      <c r="T327" s="50" t="e">
        <f t="shared" si="85"/>
        <v>#VALUE!</v>
      </c>
      <c r="U327" s="50" t="e">
        <f t="shared" si="86"/>
        <v>#VALUE!</v>
      </c>
      <c r="V327" s="50" t="e">
        <f t="shared" si="87"/>
        <v>#VALUE!</v>
      </c>
    </row>
    <row r="328" spans="2:22" x14ac:dyDescent="0.25">
      <c r="B328" s="50" t="b">
        <f t="shared" si="74"/>
        <v>0</v>
      </c>
      <c r="C328" s="50" t="e">
        <f t="shared" si="75"/>
        <v>#VALUE!</v>
      </c>
      <c r="E328" s="56">
        <v>325</v>
      </c>
      <c r="G328" s="138"/>
      <c r="H328" s="135">
        <v>1</v>
      </c>
      <c r="I328" s="58" t="e">
        <f t="shared" si="76"/>
        <v>#VALUE!</v>
      </c>
      <c r="J328" s="50" t="e">
        <f t="shared" si="82"/>
        <v>#VALUE!</v>
      </c>
      <c r="K328" s="50" t="e">
        <f t="shared" si="83"/>
        <v>#VALUE!</v>
      </c>
      <c r="L328" s="50" t="e">
        <f t="shared" si="83"/>
        <v>#VALUE!</v>
      </c>
      <c r="M328" s="50" t="e">
        <f t="shared" si="77"/>
        <v>#VALUE!</v>
      </c>
      <c r="N328" s="50" t="e">
        <f t="shared" si="78"/>
        <v>#VALUE!</v>
      </c>
      <c r="O328" s="50">
        <f t="shared" si="79"/>
        <v>0</v>
      </c>
      <c r="Q328" s="55" t="e">
        <f t="shared" si="80"/>
        <v>#VALUE!</v>
      </c>
      <c r="R328" s="55" t="e">
        <f t="shared" si="84"/>
        <v>#VALUE!</v>
      </c>
      <c r="S328" s="55" t="e">
        <f t="shared" si="81"/>
        <v>#VALUE!</v>
      </c>
      <c r="T328" s="50" t="e">
        <f t="shared" si="85"/>
        <v>#VALUE!</v>
      </c>
      <c r="U328" s="50" t="e">
        <f t="shared" si="86"/>
        <v>#VALUE!</v>
      </c>
      <c r="V328" s="50" t="e">
        <f t="shared" si="87"/>
        <v>#VALUE!</v>
      </c>
    </row>
    <row r="329" spans="2:22" x14ac:dyDescent="0.25">
      <c r="B329" s="50" t="b">
        <f t="shared" si="74"/>
        <v>0</v>
      </c>
      <c r="C329" s="50" t="e">
        <f t="shared" si="75"/>
        <v>#VALUE!</v>
      </c>
      <c r="E329" s="56">
        <v>326</v>
      </c>
      <c r="G329" s="138"/>
      <c r="H329" s="135">
        <v>1</v>
      </c>
      <c r="I329" s="58" t="e">
        <f t="shared" si="76"/>
        <v>#VALUE!</v>
      </c>
      <c r="J329" s="50" t="e">
        <f t="shared" si="82"/>
        <v>#VALUE!</v>
      </c>
      <c r="K329" s="50" t="e">
        <f t="shared" si="83"/>
        <v>#VALUE!</v>
      </c>
      <c r="L329" s="50" t="e">
        <f t="shared" si="83"/>
        <v>#VALUE!</v>
      </c>
      <c r="M329" s="50" t="e">
        <f t="shared" si="77"/>
        <v>#VALUE!</v>
      </c>
      <c r="N329" s="50" t="e">
        <f t="shared" si="78"/>
        <v>#VALUE!</v>
      </c>
      <c r="O329" s="50">
        <f t="shared" si="79"/>
        <v>0</v>
      </c>
      <c r="Q329" s="55" t="e">
        <f t="shared" si="80"/>
        <v>#VALUE!</v>
      </c>
      <c r="R329" s="55" t="e">
        <f t="shared" si="84"/>
        <v>#VALUE!</v>
      </c>
      <c r="S329" s="55" t="e">
        <f t="shared" si="81"/>
        <v>#VALUE!</v>
      </c>
      <c r="T329" s="50" t="e">
        <f t="shared" si="85"/>
        <v>#VALUE!</v>
      </c>
      <c r="U329" s="50" t="e">
        <f t="shared" si="86"/>
        <v>#VALUE!</v>
      </c>
      <c r="V329" s="50" t="e">
        <f t="shared" si="87"/>
        <v>#VALUE!</v>
      </c>
    </row>
    <row r="330" spans="2:22" x14ac:dyDescent="0.25">
      <c r="B330" s="50" t="b">
        <f t="shared" si="74"/>
        <v>0</v>
      </c>
      <c r="C330" s="50" t="e">
        <f t="shared" si="75"/>
        <v>#VALUE!</v>
      </c>
      <c r="E330" s="56">
        <v>327</v>
      </c>
      <c r="G330" s="138"/>
      <c r="H330" s="135">
        <v>1</v>
      </c>
      <c r="I330" s="58" t="e">
        <f t="shared" si="76"/>
        <v>#VALUE!</v>
      </c>
      <c r="J330" s="50" t="e">
        <f t="shared" si="82"/>
        <v>#VALUE!</v>
      </c>
      <c r="K330" s="50" t="e">
        <f t="shared" si="83"/>
        <v>#VALUE!</v>
      </c>
      <c r="L330" s="50" t="e">
        <f t="shared" si="83"/>
        <v>#VALUE!</v>
      </c>
      <c r="M330" s="50" t="e">
        <f t="shared" si="77"/>
        <v>#VALUE!</v>
      </c>
      <c r="N330" s="50" t="e">
        <f t="shared" si="78"/>
        <v>#VALUE!</v>
      </c>
      <c r="O330" s="50">
        <f t="shared" si="79"/>
        <v>0</v>
      </c>
      <c r="Q330" s="55" t="e">
        <f t="shared" si="80"/>
        <v>#VALUE!</v>
      </c>
      <c r="R330" s="55" t="e">
        <f t="shared" si="84"/>
        <v>#VALUE!</v>
      </c>
      <c r="S330" s="55" t="e">
        <f t="shared" si="81"/>
        <v>#VALUE!</v>
      </c>
      <c r="T330" s="50" t="e">
        <f t="shared" si="85"/>
        <v>#VALUE!</v>
      </c>
      <c r="U330" s="50" t="e">
        <f t="shared" si="86"/>
        <v>#VALUE!</v>
      </c>
      <c r="V330" s="50" t="e">
        <f t="shared" si="87"/>
        <v>#VALUE!</v>
      </c>
    </row>
    <row r="331" spans="2:22" x14ac:dyDescent="0.25">
      <c r="B331" s="50" t="b">
        <f t="shared" si="74"/>
        <v>0</v>
      </c>
      <c r="C331" s="50" t="e">
        <f t="shared" si="75"/>
        <v>#VALUE!</v>
      </c>
      <c r="E331" s="56">
        <v>328</v>
      </c>
      <c r="G331" s="138"/>
      <c r="H331" s="135">
        <v>1</v>
      </c>
      <c r="I331" s="58" t="e">
        <f t="shared" si="76"/>
        <v>#VALUE!</v>
      </c>
      <c r="J331" s="50" t="e">
        <f t="shared" si="82"/>
        <v>#VALUE!</v>
      </c>
      <c r="K331" s="50" t="e">
        <f t="shared" si="83"/>
        <v>#VALUE!</v>
      </c>
      <c r="L331" s="50" t="e">
        <f t="shared" si="83"/>
        <v>#VALUE!</v>
      </c>
      <c r="M331" s="50" t="e">
        <f t="shared" si="77"/>
        <v>#VALUE!</v>
      </c>
      <c r="N331" s="50" t="e">
        <f t="shared" si="78"/>
        <v>#VALUE!</v>
      </c>
      <c r="O331" s="50">
        <f t="shared" si="79"/>
        <v>0</v>
      </c>
      <c r="Q331" s="55" t="e">
        <f t="shared" si="80"/>
        <v>#VALUE!</v>
      </c>
      <c r="R331" s="55" t="e">
        <f t="shared" si="84"/>
        <v>#VALUE!</v>
      </c>
      <c r="S331" s="55" t="e">
        <f t="shared" si="81"/>
        <v>#VALUE!</v>
      </c>
      <c r="T331" s="50" t="e">
        <f t="shared" si="85"/>
        <v>#VALUE!</v>
      </c>
      <c r="U331" s="50" t="e">
        <f t="shared" si="86"/>
        <v>#VALUE!</v>
      </c>
      <c r="V331" s="50" t="e">
        <f t="shared" si="87"/>
        <v>#VALUE!</v>
      </c>
    </row>
    <row r="332" spans="2:22" x14ac:dyDescent="0.25">
      <c r="B332" s="50" t="b">
        <f t="shared" si="74"/>
        <v>0</v>
      </c>
      <c r="C332" s="50" t="e">
        <f t="shared" si="75"/>
        <v>#VALUE!</v>
      </c>
      <c r="E332" s="56">
        <v>328</v>
      </c>
      <c r="G332" s="138"/>
      <c r="H332" s="135">
        <v>1</v>
      </c>
      <c r="I332" s="58" t="e">
        <f t="shared" si="76"/>
        <v>#VALUE!</v>
      </c>
      <c r="J332" s="50" t="e">
        <f t="shared" si="82"/>
        <v>#VALUE!</v>
      </c>
      <c r="K332" s="50" t="e">
        <f t="shared" si="83"/>
        <v>#VALUE!</v>
      </c>
      <c r="L332" s="50" t="e">
        <f t="shared" si="83"/>
        <v>#VALUE!</v>
      </c>
      <c r="M332" s="50" t="e">
        <f t="shared" si="77"/>
        <v>#VALUE!</v>
      </c>
      <c r="N332" s="50" t="e">
        <f t="shared" si="78"/>
        <v>#VALUE!</v>
      </c>
      <c r="O332" s="50">
        <f t="shared" si="79"/>
        <v>0</v>
      </c>
      <c r="Q332" s="55" t="e">
        <f t="shared" si="80"/>
        <v>#VALUE!</v>
      </c>
      <c r="R332" s="55" t="e">
        <f t="shared" si="84"/>
        <v>#VALUE!</v>
      </c>
      <c r="S332" s="55" t="e">
        <f t="shared" si="81"/>
        <v>#VALUE!</v>
      </c>
      <c r="T332" s="50" t="e">
        <f t="shared" si="85"/>
        <v>#VALUE!</v>
      </c>
      <c r="U332" s="50" t="e">
        <f t="shared" si="86"/>
        <v>#VALUE!</v>
      </c>
      <c r="V332" s="50" t="e">
        <f t="shared" si="87"/>
        <v>#VALUE!</v>
      </c>
    </row>
    <row r="333" spans="2:22" x14ac:dyDescent="0.25">
      <c r="B333" s="50" t="b">
        <f t="shared" si="74"/>
        <v>0</v>
      </c>
      <c r="C333" s="50" t="e">
        <f t="shared" si="75"/>
        <v>#VALUE!</v>
      </c>
      <c r="E333" s="56">
        <v>329</v>
      </c>
      <c r="G333" s="138"/>
      <c r="H333" s="135">
        <v>1</v>
      </c>
      <c r="I333" s="58" t="e">
        <f t="shared" si="76"/>
        <v>#VALUE!</v>
      </c>
      <c r="J333" s="50" t="e">
        <f t="shared" si="82"/>
        <v>#VALUE!</v>
      </c>
      <c r="K333" s="50" t="e">
        <f t="shared" si="83"/>
        <v>#VALUE!</v>
      </c>
      <c r="L333" s="50" t="e">
        <f t="shared" si="83"/>
        <v>#VALUE!</v>
      </c>
      <c r="M333" s="50" t="e">
        <f t="shared" si="77"/>
        <v>#VALUE!</v>
      </c>
      <c r="N333" s="50" t="e">
        <f t="shared" si="78"/>
        <v>#VALUE!</v>
      </c>
      <c r="O333" s="50">
        <f t="shared" si="79"/>
        <v>0</v>
      </c>
      <c r="Q333" s="55" t="e">
        <f t="shared" si="80"/>
        <v>#VALUE!</v>
      </c>
      <c r="R333" s="55" t="e">
        <f t="shared" si="84"/>
        <v>#VALUE!</v>
      </c>
      <c r="S333" s="55" t="e">
        <f t="shared" si="81"/>
        <v>#VALUE!</v>
      </c>
      <c r="T333" s="50" t="e">
        <f t="shared" si="85"/>
        <v>#VALUE!</v>
      </c>
      <c r="U333" s="50" t="e">
        <f t="shared" si="86"/>
        <v>#VALUE!</v>
      </c>
      <c r="V333" s="50" t="e">
        <f t="shared" si="87"/>
        <v>#VALUE!</v>
      </c>
    </row>
    <row r="334" spans="2:22" x14ac:dyDescent="0.25">
      <c r="B334" s="50" t="b">
        <f t="shared" ref="B334:B397" si="88">ISNUMBER(C334)</f>
        <v>0</v>
      </c>
      <c r="C334" s="50" t="e">
        <f t="shared" si="75"/>
        <v>#VALUE!</v>
      </c>
      <c r="E334" s="56">
        <v>330</v>
      </c>
      <c r="G334" s="138"/>
      <c r="H334" s="135">
        <v>1</v>
      </c>
      <c r="I334" s="58" t="e">
        <f t="shared" si="76"/>
        <v>#VALUE!</v>
      </c>
      <c r="J334" s="50" t="e">
        <f t="shared" si="82"/>
        <v>#VALUE!</v>
      </c>
      <c r="K334" s="50" t="e">
        <f t="shared" si="83"/>
        <v>#VALUE!</v>
      </c>
      <c r="L334" s="50" t="e">
        <f t="shared" si="83"/>
        <v>#VALUE!</v>
      </c>
      <c r="M334" s="50" t="e">
        <f t="shared" si="77"/>
        <v>#VALUE!</v>
      </c>
      <c r="N334" s="50" t="e">
        <f t="shared" si="78"/>
        <v>#VALUE!</v>
      </c>
      <c r="O334" s="50">
        <f t="shared" si="79"/>
        <v>0</v>
      </c>
      <c r="Q334" s="55" t="e">
        <f t="shared" si="80"/>
        <v>#VALUE!</v>
      </c>
      <c r="R334" s="55" t="e">
        <f t="shared" si="84"/>
        <v>#VALUE!</v>
      </c>
      <c r="S334" s="55" t="e">
        <f t="shared" si="81"/>
        <v>#VALUE!</v>
      </c>
      <c r="T334" s="50" t="e">
        <f t="shared" si="85"/>
        <v>#VALUE!</v>
      </c>
      <c r="U334" s="50" t="e">
        <f t="shared" si="86"/>
        <v>#VALUE!</v>
      </c>
      <c r="V334" s="50" t="e">
        <f t="shared" si="87"/>
        <v>#VALUE!</v>
      </c>
    </row>
    <row r="335" spans="2:22" x14ac:dyDescent="0.25">
      <c r="B335" s="50" t="b">
        <f t="shared" si="88"/>
        <v>0</v>
      </c>
      <c r="C335" s="50" t="e">
        <f t="shared" si="75"/>
        <v>#VALUE!</v>
      </c>
      <c r="E335" s="56">
        <v>331</v>
      </c>
      <c r="G335" s="138"/>
      <c r="H335" s="135">
        <v>1</v>
      </c>
      <c r="I335" s="58" t="e">
        <f t="shared" si="76"/>
        <v>#VALUE!</v>
      </c>
      <c r="J335" s="50" t="e">
        <f t="shared" si="82"/>
        <v>#VALUE!</v>
      </c>
      <c r="K335" s="50" t="e">
        <f t="shared" si="83"/>
        <v>#VALUE!</v>
      </c>
      <c r="L335" s="50" t="e">
        <f t="shared" si="83"/>
        <v>#VALUE!</v>
      </c>
      <c r="M335" s="50" t="e">
        <f t="shared" si="77"/>
        <v>#VALUE!</v>
      </c>
      <c r="N335" s="50" t="e">
        <f t="shared" si="78"/>
        <v>#VALUE!</v>
      </c>
      <c r="O335" s="50">
        <f t="shared" si="79"/>
        <v>0</v>
      </c>
      <c r="Q335" s="55" t="e">
        <f t="shared" si="80"/>
        <v>#VALUE!</v>
      </c>
      <c r="R335" s="55" t="e">
        <f t="shared" si="84"/>
        <v>#VALUE!</v>
      </c>
      <c r="S335" s="55" t="e">
        <f t="shared" si="81"/>
        <v>#VALUE!</v>
      </c>
      <c r="T335" s="50" t="e">
        <f t="shared" si="85"/>
        <v>#VALUE!</v>
      </c>
      <c r="U335" s="50" t="e">
        <f t="shared" si="86"/>
        <v>#VALUE!</v>
      </c>
      <c r="V335" s="50" t="e">
        <f t="shared" si="87"/>
        <v>#VALUE!</v>
      </c>
    </row>
    <row r="336" spans="2:22" x14ac:dyDescent="0.25">
      <c r="B336" s="50" t="b">
        <f t="shared" si="88"/>
        <v>0</v>
      </c>
      <c r="C336" s="50" t="e">
        <f t="shared" si="75"/>
        <v>#VALUE!</v>
      </c>
      <c r="E336" s="56">
        <v>332</v>
      </c>
      <c r="G336" s="138"/>
      <c r="H336" s="135">
        <v>1</v>
      </c>
      <c r="I336" s="58" t="e">
        <f t="shared" si="76"/>
        <v>#VALUE!</v>
      </c>
      <c r="J336" s="50" t="e">
        <f t="shared" si="82"/>
        <v>#VALUE!</v>
      </c>
      <c r="K336" s="50" t="e">
        <f t="shared" si="83"/>
        <v>#VALUE!</v>
      </c>
      <c r="L336" s="50" t="e">
        <f t="shared" si="83"/>
        <v>#VALUE!</v>
      </c>
      <c r="M336" s="50" t="e">
        <f t="shared" si="77"/>
        <v>#VALUE!</v>
      </c>
      <c r="N336" s="50" t="e">
        <f t="shared" si="78"/>
        <v>#VALUE!</v>
      </c>
      <c r="O336" s="50">
        <f t="shared" si="79"/>
        <v>0</v>
      </c>
      <c r="Q336" s="55" t="e">
        <f t="shared" si="80"/>
        <v>#VALUE!</v>
      </c>
      <c r="R336" s="55" t="e">
        <f t="shared" si="84"/>
        <v>#VALUE!</v>
      </c>
      <c r="S336" s="55" t="e">
        <f t="shared" si="81"/>
        <v>#VALUE!</v>
      </c>
      <c r="T336" s="50" t="e">
        <f t="shared" si="85"/>
        <v>#VALUE!</v>
      </c>
      <c r="U336" s="50" t="e">
        <f t="shared" si="86"/>
        <v>#VALUE!</v>
      </c>
      <c r="V336" s="50" t="e">
        <f t="shared" si="87"/>
        <v>#VALUE!</v>
      </c>
    </row>
    <row r="337" spans="2:22" x14ac:dyDescent="0.25">
      <c r="B337" s="50" t="b">
        <f t="shared" si="88"/>
        <v>0</v>
      </c>
      <c r="C337" s="50" t="e">
        <f t="shared" si="75"/>
        <v>#VALUE!</v>
      </c>
      <c r="E337" s="56">
        <v>333</v>
      </c>
      <c r="G337" s="138"/>
      <c r="H337" s="135">
        <v>1</v>
      </c>
      <c r="I337" s="58" t="e">
        <f t="shared" si="76"/>
        <v>#VALUE!</v>
      </c>
      <c r="J337" s="50" t="e">
        <f t="shared" si="82"/>
        <v>#VALUE!</v>
      </c>
      <c r="K337" s="50" t="e">
        <f t="shared" si="83"/>
        <v>#VALUE!</v>
      </c>
      <c r="L337" s="50" t="e">
        <f t="shared" si="83"/>
        <v>#VALUE!</v>
      </c>
      <c r="M337" s="50" t="e">
        <f t="shared" si="77"/>
        <v>#VALUE!</v>
      </c>
      <c r="N337" s="50" t="e">
        <f t="shared" si="78"/>
        <v>#VALUE!</v>
      </c>
      <c r="O337" s="50">
        <f t="shared" si="79"/>
        <v>0</v>
      </c>
      <c r="Q337" s="55" t="e">
        <f t="shared" si="80"/>
        <v>#VALUE!</v>
      </c>
      <c r="R337" s="55" t="e">
        <f t="shared" si="84"/>
        <v>#VALUE!</v>
      </c>
      <c r="S337" s="55" t="e">
        <f t="shared" si="81"/>
        <v>#VALUE!</v>
      </c>
      <c r="T337" s="50" t="e">
        <f t="shared" si="85"/>
        <v>#VALUE!</v>
      </c>
      <c r="U337" s="50" t="e">
        <f t="shared" si="86"/>
        <v>#VALUE!</v>
      </c>
      <c r="V337" s="50" t="e">
        <f t="shared" si="87"/>
        <v>#VALUE!</v>
      </c>
    </row>
    <row r="338" spans="2:22" x14ac:dyDescent="0.25">
      <c r="B338" s="50" t="b">
        <f t="shared" si="88"/>
        <v>0</v>
      </c>
      <c r="C338" s="50" t="e">
        <f t="shared" si="75"/>
        <v>#VALUE!</v>
      </c>
      <c r="E338" s="56">
        <v>334</v>
      </c>
      <c r="G338" s="138"/>
      <c r="H338" s="135">
        <v>1</v>
      </c>
      <c r="I338" s="58" t="e">
        <f t="shared" si="76"/>
        <v>#VALUE!</v>
      </c>
      <c r="J338" s="50" t="e">
        <f t="shared" si="82"/>
        <v>#VALUE!</v>
      </c>
      <c r="K338" s="50" t="e">
        <f t="shared" si="83"/>
        <v>#VALUE!</v>
      </c>
      <c r="L338" s="50" t="e">
        <f t="shared" si="83"/>
        <v>#VALUE!</v>
      </c>
      <c r="M338" s="50" t="e">
        <f t="shared" si="77"/>
        <v>#VALUE!</v>
      </c>
      <c r="N338" s="50" t="e">
        <f t="shared" si="78"/>
        <v>#VALUE!</v>
      </c>
      <c r="O338" s="50">
        <f t="shared" si="79"/>
        <v>0</v>
      </c>
      <c r="Q338" s="55" t="e">
        <f t="shared" si="80"/>
        <v>#VALUE!</v>
      </c>
      <c r="R338" s="55" t="e">
        <f t="shared" si="84"/>
        <v>#VALUE!</v>
      </c>
      <c r="S338" s="55" t="e">
        <f t="shared" si="81"/>
        <v>#VALUE!</v>
      </c>
      <c r="T338" s="50" t="e">
        <f t="shared" si="85"/>
        <v>#VALUE!</v>
      </c>
      <c r="U338" s="50" t="e">
        <f t="shared" si="86"/>
        <v>#VALUE!</v>
      </c>
      <c r="V338" s="50" t="e">
        <f t="shared" si="87"/>
        <v>#VALUE!</v>
      </c>
    </row>
    <row r="339" spans="2:22" x14ac:dyDescent="0.25">
      <c r="B339" s="50" t="b">
        <f t="shared" si="88"/>
        <v>0</v>
      </c>
      <c r="C339" s="50" t="e">
        <f t="shared" si="75"/>
        <v>#VALUE!</v>
      </c>
      <c r="E339" s="56">
        <v>335</v>
      </c>
      <c r="G339" s="138"/>
      <c r="H339" s="135">
        <v>1</v>
      </c>
      <c r="I339" s="58" t="e">
        <f t="shared" si="76"/>
        <v>#VALUE!</v>
      </c>
      <c r="J339" s="50" t="e">
        <f t="shared" si="82"/>
        <v>#VALUE!</v>
      </c>
      <c r="K339" s="50" t="e">
        <f t="shared" si="83"/>
        <v>#VALUE!</v>
      </c>
      <c r="L339" s="50" t="e">
        <f t="shared" si="83"/>
        <v>#VALUE!</v>
      </c>
      <c r="M339" s="50" t="e">
        <f t="shared" si="77"/>
        <v>#VALUE!</v>
      </c>
      <c r="N339" s="50" t="e">
        <f t="shared" si="78"/>
        <v>#VALUE!</v>
      </c>
      <c r="O339" s="50">
        <f t="shared" si="79"/>
        <v>0</v>
      </c>
      <c r="Q339" s="55" t="e">
        <f t="shared" si="80"/>
        <v>#VALUE!</v>
      </c>
      <c r="R339" s="55" t="e">
        <f t="shared" si="84"/>
        <v>#VALUE!</v>
      </c>
      <c r="S339" s="55" t="e">
        <f t="shared" si="81"/>
        <v>#VALUE!</v>
      </c>
      <c r="T339" s="50" t="e">
        <f t="shared" si="85"/>
        <v>#VALUE!</v>
      </c>
      <c r="U339" s="50" t="e">
        <f t="shared" si="86"/>
        <v>#VALUE!</v>
      </c>
      <c r="V339" s="50" t="e">
        <f t="shared" si="87"/>
        <v>#VALUE!</v>
      </c>
    </row>
    <row r="340" spans="2:22" x14ac:dyDescent="0.25">
      <c r="B340" s="50" t="b">
        <f t="shared" si="88"/>
        <v>0</v>
      </c>
      <c r="C340" s="50" t="e">
        <f t="shared" si="75"/>
        <v>#VALUE!</v>
      </c>
      <c r="E340" s="56">
        <v>336</v>
      </c>
      <c r="G340" s="138"/>
      <c r="H340" s="135">
        <v>1</v>
      </c>
      <c r="I340" s="58" t="e">
        <f t="shared" si="76"/>
        <v>#VALUE!</v>
      </c>
      <c r="J340" s="50" t="e">
        <f t="shared" si="82"/>
        <v>#VALUE!</v>
      </c>
      <c r="K340" s="50" t="e">
        <f t="shared" si="83"/>
        <v>#VALUE!</v>
      </c>
      <c r="L340" s="50" t="e">
        <f t="shared" si="83"/>
        <v>#VALUE!</v>
      </c>
      <c r="M340" s="50" t="e">
        <f t="shared" si="77"/>
        <v>#VALUE!</v>
      </c>
      <c r="N340" s="50" t="e">
        <f t="shared" si="78"/>
        <v>#VALUE!</v>
      </c>
      <c r="O340" s="50">
        <f t="shared" si="79"/>
        <v>0</v>
      </c>
      <c r="Q340" s="55" t="e">
        <f t="shared" si="80"/>
        <v>#VALUE!</v>
      </c>
      <c r="R340" s="55" t="e">
        <f t="shared" si="84"/>
        <v>#VALUE!</v>
      </c>
      <c r="S340" s="55" t="e">
        <f t="shared" si="81"/>
        <v>#VALUE!</v>
      </c>
      <c r="T340" s="50" t="e">
        <f t="shared" si="85"/>
        <v>#VALUE!</v>
      </c>
      <c r="U340" s="50" t="e">
        <f t="shared" si="86"/>
        <v>#VALUE!</v>
      </c>
      <c r="V340" s="50" t="e">
        <f t="shared" si="87"/>
        <v>#VALUE!</v>
      </c>
    </row>
    <row r="341" spans="2:22" x14ac:dyDescent="0.25">
      <c r="B341" s="50" t="b">
        <f t="shared" si="88"/>
        <v>0</v>
      </c>
      <c r="C341" s="50" t="e">
        <f t="shared" si="75"/>
        <v>#VALUE!</v>
      </c>
      <c r="E341" s="56">
        <v>337</v>
      </c>
      <c r="G341" s="138"/>
      <c r="H341" s="135">
        <v>1</v>
      </c>
      <c r="I341" s="58" t="e">
        <f t="shared" si="76"/>
        <v>#VALUE!</v>
      </c>
      <c r="J341" s="50" t="e">
        <f t="shared" si="82"/>
        <v>#VALUE!</v>
      </c>
      <c r="K341" s="50" t="e">
        <f t="shared" si="83"/>
        <v>#VALUE!</v>
      </c>
      <c r="L341" s="50" t="e">
        <f t="shared" si="83"/>
        <v>#VALUE!</v>
      </c>
      <c r="M341" s="50" t="e">
        <f t="shared" si="77"/>
        <v>#VALUE!</v>
      </c>
      <c r="N341" s="50" t="e">
        <f t="shared" si="78"/>
        <v>#VALUE!</v>
      </c>
      <c r="O341" s="50">
        <f t="shared" si="79"/>
        <v>0</v>
      </c>
      <c r="Q341" s="55" t="e">
        <f t="shared" si="80"/>
        <v>#VALUE!</v>
      </c>
      <c r="R341" s="55" t="e">
        <f t="shared" si="84"/>
        <v>#VALUE!</v>
      </c>
      <c r="S341" s="55" t="e">
        <f t="shared" si="81"/>
        <v>#VALUE!</v>
      </c>
      <c r="T341" s="50" t="e">
        <f t="shared" si="85"/>
        <v>#VALUE!</v>
      </c>
      <c r="U341" s="50" t="e">
        <f t="shared" si="86"/>
        <v>#VALUE!</v>
      </c>
      <c r="V341" s="50" t="e">
        <f t="shared" si="87"/>
        <v>#VALUE!</v>
      </c>
    </row>
    <row r="342" spans="2:22" x14ac:dyDescent="0.25">
      <c r="B342" s="50" t="b">
        <f t="shared" si="88"/>
        <v>0</v>
      </c>
      <c r="C342" s="50" t="e">
        <f t="shared" si="75"/>
        <v>#VALUE!</v>
      </c>
      <c r="E342" s="56">
        <v>338</v>
      </c>
      <c r="G342" s="138"/>
      <c r="H342" s="135">
        <v>1</v>
      </c>
      <c r="I342" s="58" t="e">
        <f t="shared" si="76"/>
        <v>#VALUE!</v>
      </c>
      <c r="J342" s="50" t="e">
        <f t="shared" si="82"/>
        <v>#VALUE!</v>
      </c>
      <c r="K342" s="50" t="e">
        <f t="shared" si="83"/>
        <v>#VALUE!</v>
      </c>
      <c r="L342" s="50" t="e">
        <f t="shared" si="83"/>
        <v>#VALUE!</v>
      </c>
      <c r="M342" s="50" t="e">
        <f t="shared" si="77"/>
        <v>#VALUE!</v>
      </c>
      <c r="N342" s="50" t="e">
        <f t="shared" si="78"/>
        <v>#VALUE!</v>
      </c>
      <c r="O342" s="50">
        <f t="shared" si="79"/>
        <v>0</v>
      </c>
      <c r="Q342" s="55" t="e">
        <f t="shared" si="80"/>
        <v>#VALUE!</v>
      </c>
      <c r="R342" s="55" t="e">
        <f t="shared" si="84"/>
        <v>#VALUE!</v>
      </c>
      <c r="S342" s="55" t="e">
        <f t="shared" si="81"/>
        <v>#VALUE!</v>
      </c>
      <c r="T342" s="50" t="e">
        <f t="shared" si="85"/>
        <v>#VALUE!</v>
      </c>
      <c r="U342" s="50" t="e">
        <f t="shared" si="86"/>
        <v>#VALUE!</v>
      </c>
      <c r="V342" s="50" t="e">
        <f t="shared" si="87"/>
        <v>#VALUE!</v>
      </c>
    </row>
    <row r="343" spans="2:22" x14ac:dyDescent="0.25">
      <c r="B343" s="50" t="b">
        <f t="shared" si="88"/>
        <v>0</v>
      </c>
      <c r="C343" s="50" t="e">
        <f t="shared" si="75"/>
        <v>#VALUE!</v>
      </c>
      <c r="E343" s="56">
        <v>339</v>
      </c>
      <c r="G343" s="138"/>
      <c r="H343" s="135">
        <v>1</v>
      </c>
      <c r="I343" s="58" t="e">
        <f t="shared" si="76"/>
        <v>#VALUE!</v>
      </c>
      <c r="J343" s="50" t="e">
        <f t="shared" si="82"/>
        <v>#VALUE!</v>
      </c>
      <c r="K343" s="50" t="e">
        <f t="shared" si="83"/>
        <v>#VALUE!</v>
      </c>
      <c r="L343" s="50" t="e">
        <f t="shared" si="83"/>
        <v>#VALUE!</v>
      </c>
      <c r="M343" s="50" t="e">
        <f t="shared" si="77"/>
        <v>#VALUE!</v>
      </c>
      <c r="N343" s="50" t="e">
        <f t="shared" si="78"/>
        <v>#VALUE!</v>
      </c>
      <c r="O343" s="50">
        <f t="shared" si="79"/>
        <v>0</v>
      </c>
      <c r="Q343" s="55" t="e">
        <f t="shared" si="80"/>
        <v>#VALUE!</v>
      </c>
      <c r="R343" s="55" t="e">
        <f t="shared" si="84"/>
        <v>#VALUE!</v>
      </c>
      <c r="S343" s="55" t="e">
        <f t="shared" si="81"/>
        <v>#VALUE!</v>
      </c>
      <c r="T343" s="50" t="e">
        <f t="shared" si="85"/>
        <v>#VALUE!</v>
      </c>
      <c r="U343" s="50" t="e">
        <f t="shared" si="86"/>
        <v>#VALUE!</v>
      </c>
      <c r="V343" s="50" t="e">
        <f t="shared" si="87"/>
        <v>#VALUE!</v>
      </c>
    </row>
    <row r="344" spans="2:22" x14ac:dyDescent="0.25">
      <c r="B344" s="50" t="b">
        <f t="shared" si="88"/>
        <v>0</v>
      </c>
      <c r="C344" s="50" t="e">
        <f t="shared" si="75"/>
        <v>#VALUE!</v>
      </c>
      <c r="E344" s="56">
        <v>340</v>
      </c>
      <c r="G344" s="138"/>
      <c r="H344" s="135">
        <v>1</v>
      </c>
      <c r="I344" s="58" t="e">
        <f t="shared" si="76"/>
        <v>#VALUE!</v>
      </c>
      <c r="J344" s="50" t="e">
        <f t="shared" si="82"/>
        <v>#VALUE!</v>
      </c>
      <c r="K344" s="50" t="e">
        <f t="shared" si="83"/>
        <v>#VALUE!</v>
      </c>
      <c r="L344" s="50" t="e">
        <f t="shared" si="83"/>
        <v>#VALUE!</v>
      </c>
      <c r="M344" s="50" t="e">
        <f t="shared" si="77"/>
        <v>#VALUE!</v>
      </c>
      <c r="N344" s="50" t="e">
        <f t="shared" si="78"/>
        <v>#VALUE!</v>
      </c>
      <c r="O344" s="50">
        <f t="shared" si="79"/>
        <v>0</v>
      </c>
      <c r="Q344" s="55" t="e">
        <f t="shared" si="80"/>
        <v>#VALUE!</v>
      </c>
      <c r="R344" s="55" t="e">
        <f t="shared" si="84"/>
        <v>#VALUE!</v>
      </c>
      <c r="S344" s="55" t="e">
        <f t="shared" si="81"/>
        <v>#VALUE!</v>
      </c>
      <c r="T344" s="50" t="e">
        <f t="shared" si="85"/>
        <v>#VALUE!</v>
      </c>
      <c r="U344" s="50" t="e">
        <f t="shared" si="86"/>
        <v>#VALUE!</v>
      </c>
      <c r="V344" s="50" t="e">
        <f t="shared" si="87"/>
        <v>#VALUE!</v>
      </c>
    </row>
    <row r="345" spans="2:22" x14ac:dyDescent="0.25">
      <c r="B345" s="50" t="b">
        <f t="shared" si="88"/>
        <v>0</v>
      </c>
      <c r="C345" s="50" t="e">
        <f t="shared" si="75"/>
        <v>#VALUE!</v>
      </c>
      <c r="E345" s="56">
        <v>341</v>
      </c>
      <c r="G345" s="138"/>
      <c r="H345" s="135">
        <v>1</v>
      </c>
      <c r="I345" s="58" t="e">
        <f t="shared" si="76"/>
        <v>#VALUE!</v>
      </c>
      <c r="J345" s="50" t="e">
        <f t="shared" si="82"/>
        <v>#VALUE!</v>
      </c>
      <c r="K345" s="50" t="e">
        <f t="shared" si="83"/>
        <v>#VALUE!</v>
      </c>
      <c r="L345" s="50" t="e">
        <f t="shared" si="83"/>
        <v>#VALUE!</v>
      </c>
      <c r="M345" s="50" t="e">
        <f t="shared" si="77"/>
        <v>#VALUE!</v>
      </c>
      <c r="N345" s="50" t="e">
        <f t="shared" si="78"/>
        <v>#VALUE!</v>
      </c>
      <c r="O345" s="50">
        <f t="shared" si="79"/>
        <v>0</v>
      </c>
      <c r="Q345" s="55" t="e">
        <f t="shared" si="80"/>
        <v>#VALUE!</v>
      </c>
      <c r="R345" s="55" t="e">
        <f t="shared" si="84"/>
        <v>#VALUE!</v>
      </c>
      <c r="S345" s="55" t="e">
        <f t="shared" si="81"/>
        <v>#VALUE!</v>
      </c>
      <c r="T345" s="50" t="e">
        <f t="shared" si="85"/>
        <v>#VALUE!</v>
      </c>
      <c r="U345" s="50" t="e">
        <f t="shared" si="86"/>
        <v>#VALUE!</v>
      </c>
      <c r="V345" s="50" t="e">
        <f t="shared" si="87"/>
        <v>#VALUE!</v>
      </c>
    </row>
    <row r="346" spans="2:22" x14ac:dyDescent="0.25">
      <c r="B346" s="50" t="b">
        <f t="shared" si="88"/>
        <v>0</v>
      </c>
      <c r="C346" s="50" t="e">
        <f t="shared" si="75"/>
        <v>#VALUE!</v>
      </c>
      <c r="E346" s="56">
        <v>342</v>
      </c>
      <c r="G346" s="138"/>
      <c r="H346" s="135">
        <v>1</v>
      </c>
      <c r="I346" s="58" t="e">
        <f t="shared" si="76"/>
        <v>#VALUE!</v>
      </c>
      <c r="J346" s="50" t="e">
        <f t="shared" si="82"/>
        <v>#VALUE!</v>
      </c>
      <c r="K346" s="50" t="e">
        <f t="shared" si="83"/>
        <v>#VALUE!</v>
      </c>
      <c r="L346" s="50" t="e">
        <f t="shared" si="83"/>
        <v>#VALUE!</v>
      </c>
      <c r="M346" s="50" t="e">
        <f t="shared" si="77"/>
        <v>#VALUE!</v>
      </c>
      <c r="N346" s="50" t="e">
        <f t="shared" si="78"/>
        <v>#VALUE!</v>
      </c>
      <c r="O346" s="50">
        <f t="shared" si="79"/>
        <v>0</v>
      </c>
      <c r="Q346" s="55" t="e">
        <f t="shared" si="80"/>
        <v>#VALUE!</v>
      </c>
      <c r="R346" s="55" t="e">
        <f t="shared" si="84"/>
        <v>#VALUE!</v>
      </c>
      <c r="S346" s="55" t="e">
        <f t="shared" si="81"/>
        <v>#VALUE!</v>
      </c>
      <c r="T346" s="50" t="e">
        <f t="shared" si="85"/>
        <v>#VALUE!</v>
      </c>
      <c r="U346" s="50" t="e">
        <f t="shared" si="86"/>
        <v>#VALUE!</v>
      </c>
      <c r="V346" s="50" t="e">
        <f t="shared" si="87"/>
        <v>#VALUE!</v>
      </c>
    </row>
    <row r="347" spans="2:22" x14ac:dyDescent="0.25">
      <c r="B347" s="50" t="b">
        <f t="shared" si="88"/>
        <v>0</v>
      </c>
      <c r="C347" s="50" t="e">
        <f t="shared" si="75"/>
        <v>#VALUE!</v>
      </c>
      <c r="E347" s="56">
        <v>343</v>
      </c>
      <c r="G347" s="138"/>
      <c r="H347" s="135">
        <v>1</v>
      </c>
      <c r="I347" s="58" t="e">
        <f t="shared" si="76"/>
        <v>#VALUE!</v>
      </c>
      <c r="J347" s="50" t="e">
        <f t="shared" si="82"/>
        <v>#VALUE!</v>
      </c>
      <c r="K347" s="50" t="e">
        <f t="shared" si="83"/>
        <v>#VALUE!</v>
      </c>
      <c r="L347" s="50" t="e">
        <f t="shared" si="83"/>
        <v>#VALUE!</v>
      </c>
      <c r="M347" s="50" t="e">
        <f t="shared" si="77"/>
        <v>#VALUE!</v>
      </c>
      <c r="N347" s="50" t="e">
        <f t="shared" si="78"/>
        <v>#VALUE!</v>
      </c>
      <c r="O347" s="50">
        <f t="shared" si="79"/>
        <v>0</v>
      </c>
      <c r="Q347" s="55" t="e">
        <f t="shared" si="80"/>
        <v>#VALUE!</v>
      </c>
      <c r="R347" s="55" t="e">
        <f t="shared" si="84"/>
        <v>#VALUE!</v>
      </c>
      <c r="S347" s="55" t="e">
        <f t="shared" si="81"/>
        <v>#VALUE!</v>
      </c>
      <c r="T347" s="50" t="e">
        <f t="shared" si="85"/>
        <v>#VALUE!</v>
      </c>
      <c r="U347" s="50" t="e">
        <f t="shared" si="86"/>
        <v>#VALUE!</v>
      </c>
      <c r="V347" s="50" t="e">
        <f t="shared" si="87"/>
        <v>#VALUE!</v>
      </c>
    </row>
    <row r="348" spans="2:22" x14ac:dyDescent="0.25">
      <c r="B348" s="50" t="b">
        <f t="shared" si="88"/>
        <v>0</v>
      </c>
      <c r="C348" s="50" t="e">
        <f t="shared" si="75"/>
        <v>#VALUE!</v>
      </c>
      <c r="E348" s="56">
        <v>344</v>
      </c>
      <c r="G348" s="138"/>
      <c r="H348" s="135">
        <v>1</v>
      </c>
      <c r="I348" s="58" t="e">
        <f t="shared" si="76"/>
        <v>#VALUE!</v>
      </c>
      <c r="J348" s="50" t="e">
        <f t="shared" si="82"/>
        <v>#VALUE!</v>
      </c>
      <c r="K348" s="50" t="e">
        <f t="shared" si="83"/>
        <v>#VALUE!</v>
      </c>
      <c r="L348" s="50" t="e">
        <f t="shared" si="83"/>
        <v>#VALUE!</v>
      </c>
      <c r="M348" s="50" t="e">
        <f t="shared" si="77"/>
        <v>#VALUE!</v>
      </c>
      <c r="N348" s="50" t="e">
        <f t="shared" si="78"/>
        <v>#VALUE!</v>
      </c>
      <c r="O348" s="50">
        <f t="shared" si="79"/>
        <v>0</v>
      </c>
      <c r="Q348" s="55" t="e">
        <f t="shared" si="80"/>
        <v>#VALUE!</v>
      </c>
      <c r="R348" s="55" t="e">
        <f t="shared" si="84"/>
        <v>#VALUE!</v>
      </c>
      <c r="S348" s="55" t="e">
        <f t="shared" si="81"/>
        <v>#VALUE!</v>
      </c>
      <c r="T348" s="50" t="e">
        <f t="shared" si="85"/>
        <v>#VALUE!</v>
      </c>
      <c r="U348" s="50" t="e">
        <f t="shared" si="86"/>
        <v>#VALUE!</v>
      </c>
      <c r="V348" s="50" t="e">
        <f t="shared" si="87"/>
        <v>#VALUE!</v>
      </c>
    </row>
    <row r="349" spans="2:22" x14ac:dyDescent="0.25">
      <c r="B349" s="50" t="b">
        <f t="shared" si="88"/>
        <v>0</v>
      </c>
      <c r="C349" s="50" t="e">
        <f t="shared" si="75"/>
        <v>#VALUE!</v>
      </c>
      <c r="E349" s="56">
        <v>345</v>
      </c>
      <c r="G349" s="138"/>
      <c r="H349" s="135">
        <v>1</v>
      </c>
      <c r="I349" s="58" t="e">
        <f t="shared" si="76"/>
        <v>#VALUE!</v>
      </c>
      <c r="J349" s="50" t="e">
        <f t="shared" si="82"/>
        <v>#VALUE!</v>
      </c>
      <c r="K349" s="50" t="e">
        <f t="shared" si="83"/>
        <v>#VALUE!</v>
      </c>
      <c r="L349" s="50" t="e">
        <f t="shared" si="83"/>
        <v>#VALUE!</v>
      </c>
      <c r="M349" s="50" t="e">
        <f t="shared" si="77"/>
        <v>#VALUE!</v>
      </c>
      <c r="N349" s="50" t="e">
        <f t="shared" si="78"/>
        <v>#VALUE!</v>
      </c>
      <c r="O349" s="50">
        <f t="shared" si="79"/>
        <v>0</v>
      </c>
      <c r="Q349" s="55" t="e">
        <f t="shared" si="80"/>
        <v>#VALUE!</v>
      </c>
      <c r="R349" s="55" t="e">
        <f t="shared" si="84"/>
        <v>#VALUE!</v>
      </c>
      <c r="S349" s="55" t="e">
        <f t="shared" si="81"/>
        <v>#VALUE!</v>
      </c>
      <c r="T349" s="50" t="e">
        <f t="shared" si="85"/>
        <v>#VALUE!</v>
      </c>
      <c r="U349" s="50" t="e">
        <f t="shared" si="86"/>
        <v>#VALUE!</v>
      </c>
      <c r="V349" s="50" t="e">
        <f t="shared" si="87"/>
        <v>#VALUE!</v>
      </c>
    </row>
    <row r="350" spans="2:22" x14ac:dyDescent="0.25">
      <c r="B350" s="50" t="b">
        <f t="shared" si="88"/>
        <v>0</v>
      </c>
      <c r="C350" s="50" t="e">
        <f t="shared" si="75"/>
        <v>#VALUE!</v>
      </c>
      <c r="E350" s="56">
        <v>346</v>
      </c>
      <c r="G350" s="138"/>
      <c r="H350" s="135">
        <v>1</v>
      </c>
      <c r="I350" s="58" t="e">
        <f t="shared" si="76"/>
        <v>#VALUE!</v>
      </c>
      <c r="J350" s="50" t="e">
        <f t="shared" si="82"/>
        <v>#VALUE!</v>
      </c>
      <c r="K350" s="50" t="e">
        <f t="shared" si="83"/>
        <v>#VALUE!</v>
      </c>
      <c r="L350" s="50" t="e">
        <f t="shared" si="83"/>
        <v>#VALUE!</v>
      </c>
      <c r="M350" s="50" t="e">
        <f t="shared" si="77"/>
        <v>#VALUE!</v>
      </c>
      <c r="N350" s="50" t="e">
        <f t="shared" si="78"/>
        <v>#VALUE!</v>
      </c>
      <c r="O350" s="50">
        <f t="shared" si="79"/>
        <v>0</v>
      </c>
      <c r="Q350" s="55" t="e">
        <f t="shared" si="80"/>
        <v>#VALUE!</v>
      </c>
      <c r="R350" s="55" t="e">
        <f t="shared" si="84"/>
        <v>#VALUE!</v>
      </c>
      <c r="S350" s="55" t="e">
        <f t="shared" si="81"/>
        <v>#VALUE!</v>
      </c>
      <c r="T350" s="50" t="e">
        <f t="shared" si="85"/>
        <v>#VALUE!</v>
      </c>
      <c r="U350" s="50" t="e">
        <f t="shared" si="86"/>
        <v>#VALUE!</v>
      </c>
      <c r="V350" s="50" t="e">
        <f t="shared" si="87"/>
        <v>#VALUE!</v>
      </c>
    </row>
    <row r="351" spans="2:22" x14ac:dyDescent="0.25">
      <c r="B351" s="50" t="b">
        <f t="shared" si="88"/>
        <v>0</v>
      </c>
      <c r="C351" s="50" t="e">
        <f t="shared" si="75"/>
        <v>#VALUE!</v>
      </c>
      <c r="E351" s="56">
        <v>347</v>
      </c>
      <c r="G351" s="138"/>
      <c r="H351" s="135">
        <v>1</v>
      </c>
      <c r="I351" s="58" t="e">
        <f t="shared" si="76"/>
        <v>#VALUE!</v>
      </c>
      <c r="J351" s="50" t="e">
        <f t="shared" si="82"/>
        <v>#VALUE!</v>
      </c>
      <c r="K351" s="50" t="e">
        <f t="shared" si="83"/>
        <v>#VALUE!</v>
      </c>
      <c r="L351" s="50" t="e">
        <f t="shared" si="83"/>
        <v>#VALUE!</v>
      </c>
      <c r="M351" s="50" t="e">
        <f t="shared" si="77"/>
        <v>#VALUE!</v>
      </c>
      <c r="N351" s="50" t="e">
        <f t="shared" si="78"/>
        <v>#VALUE!</v>
      </c>
      <c r="O351" s="50">
        <f t="shared" si="79"/>
        <v>0</v>
      </c>
      <c r="Q351" s="55" t="e">
        <f t="shared" si="80"/>
        <v>#VALUE!</v>
      </c>
      <c r="R351" s="55" t="e">
        <f t="shared" si="84"/>
        <v>#VALUE!</v>
      </c>
      <c r="S351" s="55" t="e">
        <f t="shared" si="81"/>
        <v>#VALUE!</v>
      </c>
      <c r="T351" s="50" t="e">
        <f t="shared" si="85"/>
        <v>#VALUE!</v>
      </c>
      <c r="U351" s="50" t="e">
        <f t="shared" si="86"/>
        <v>#VALUE!</v>
      </c>
      <c r="V351" s="50" t="e">
        <f t="shared" si="87"/>
        <v>#VALUE!</v>
      </c>
    </row>
    <row r="352" spans="2:22" x14ac:dyDescent="0.25">
      <c r="B352" s="50" t="b">
        <f t="shared" si="88"/>
        <v>0</v>
      </c>
      <c r="C352" s="50" t="e">
        <f t="shared" si="75"/>
        <v>#VALUE!</v>
      </c>
      <c r="E352" s="56">
        <v>348</v>
      </c>
      <c r="G352" s="138"/>
      <c r="H352" s="135">
        <v>1</v>
      </c>
      <c r="I352" s="58" t="e">
        <f t="shared" si="76"/>
        <v>#VALUE!</v>
      </c>
      <c r="J352" s="50" t="e">
        <f t="shared" si="82"/>
        <v>#VALUE!</v>
      </c>
      <c r="K352" s="50" t="e">
        <f t="shared" si="83"/>
        <v>#VALUE!</v>
      </c>
      <c r="L352" s="50" t="e">
        <f t="shared" si="83"/>
        <v>#VALUE!</v>
      </c>
      <c r="M352" s="50" t="e">
        <f t="shared" si="77"/>
        <v>#VALUE!</v>
      </c>
      <c r="N352" s="50" t="e">
        <f t="shared" si="78"/>
        <v>#VALUE!</v>
      </c>
      <c r="O352" s="50">
        <f t="shared" si="79"/>
        <v>0</v>
      </c>
      <c r="Q352" s="55" t="e">
        <f t="shared" si="80"/>
        <v>#VALUE!</v>
      </c>
      <c r="R352" s="55" t="e">
        <f t="shared" si="84"/>
        <v>#VALUE!</v>
      </c>
      <c r="S352" s="55" t="e">
        <f t="shared" si="81"/>
        <v>#VALUE!</v>
      </c>
      <c r="T352" s="50" t="e">
        <f t="shared" si="85"/>
        <v>#VALUE!</v>
      </c>
      <c r="U352" s="50" t="e">
        <f t="shared" si="86"/>
        <v>#VALUE!</v>
      </c>
      <c r="V352" s="50" t="e">
        <f t="shared" si="87"/>
        <v>#VALUE!</v>
      </c>
    </row>
    <row r="353" spans="2:22" x14ac:dyDescent="0.25">
      <c r="B353" s="50" t="b">
        <f t="shared" si="88"/>
        <v>0</v>
      </c>
      <c r="C353" s="50" t="e">
        <f t="shared" si="75"/>
        <v>#VALUE!</v>
      </c>
      <c r="E353" s="56">
        <v>349</v>
      </c>
      <c r="G353" s="138"/>
      <c r="H353" s="135">
        <v>1</v>
      </c>
      <c r="I353" s="58" t="e">
        <f t="shared" si="76"/>
        <v>#VALUE!</v>
      </c>
      <c r="J353" s="50" t="e">
        <f t="shared" si="82"/>
        <v>#VALUE!</v>
      </c>
      <c r="K353" s="50" t="e">
        <f t="shared" si="83"/>
        <v>#VALUE!</v>
      </c>
      <c r="L353" s="50" t="e">
        <f t="shared" si="83"/>
        <v>#VALUE!</v>
      </c>
      <c r="M353" s="50" t="e">
        <f t="shared" si="77"/>
        <v>#VALUE!</v>
      </c>
      <c r="N353" s="50" t="e">
        <f t="shared" si="78"/>
        <v>#VALUE!</v>
      </c>
      <c r="O353" s="50">
        <f t="shared" si="79"/>
        <v>0</v>
      </c>
      <c r="Q353" s="55" t="e">
        <f t="shared" si="80"/>
        <v>#VALUE!</v>
      </c>
      <c r="R353" s="55" t="e">
        <f t="shared" si="84"/>
        <v>#VALUE!</v>
      </c>
      <c r="S353" s="55" t="e">
        <f t="shared" si="81"/>
        <v>#VALUE!</v>
      </c>
      <c r="T353" s="50" t="e">
        <f t="shared" si="85"/>
        <v>#VALUE!</v>
      </c>
      <c r="U353" s="50" t="e">
        <f t="shared" si="86"/>
        <v>#VALUE!</v>
      </c>
      <c r="V353" s="50" t="e">
        <f t="shared" si="87"/>
        <v>#VALUE!</v>
      </c>
    </row>
    <row r="354" spans="2:22" x14ac:dyDescent="0.25">
      <c r="B354" s="50" t="b">
        <f t="shared" si="88"/>
        <v>0</v>
      </c>
      <c r="C354" s="50" t="e">
        <f t="shared" si="75"/>
        <v>#VALUE!</v>
      </c>
      <c r="E354" s="56">
        <v>350</v>
      </c>
      <c r="G354" s="138"/>
      <c r="H354" s="135">
        <v>1</v>
      </c>
      <c r="I354" s="58" t="e">
        <f t="shared" si="76"/>
        <v>#VALUE!</v>
      </c>
      <c r="J354" s="50" t="e">
        <f t="shared" si="82"/>
        <v>#VALUE!</v>
      </c>
      <c r="K354" s="50" t="e">
        <f t="shared" si="83"/>
        <v>#VALUE!</v>
      </c>
      <c r="L354" s="50" t="e">
        <f t="shared" si="83"/>
        <v>#VALUE!</v>
      </c>
      <c r="M354" s="50" t="e">
        <f t="shared" si="77"/>
        <v>#VALUE!</v>
      </c>
      <c r="N354" s="50" t="e">
        <f t="shared" si="78"/>
        <v>#VALUE!</v>
      </c>
      <c r="O354" s="50">
        <f t="shared" si="79"/>
        <v>0</v>
      </c>
      <c r="Q354" s="55" t="e">
        <f t="shared" si="80"/>
        <v>#VALUE!</v>
      </c>
      <c r="R354" s="55" t="e">
        <f t="shared" si="84"/>
        <v>#VALUE!</v>
      </c>
      <c r="S354" s="55" t="e">
        <f t="shared" si="81"/>
        <v>#VALUE!</v>
      </c>
      <c r="T354" s="50" t="e">
        <f t="shared" si="85"/>
        <v>#VALUE!</v>
      </c>
      <c r="U354" s="50" t="e">
        <f t="shared" si="86"/>
        <v>#VALUE!</v>
      </c>
      <c r="V354" s="50" t="e">
        <f t="shared" si="87"/>
        <v>#VALUE!</v>
      </c>
    </row>
    <row r="355" spans="2:22" x14ac:dyDescent="0.25">
      <c r="B355" s="50" t="b">
        <f t="shared" si="88"/>
        <v>0</v>
      </c>
      <c r="C355" s="50" t="e">
        <f t="shared" si="75"/>
        <v>#VALUE!</v>
      </c>
      <c r="E355" s="56">
        <v>351</v>
      </c>
      <c r="G355" s="138"/>
      <c r="H355" s="135">
        <v>1</v>
      </c>
      <c r="I355" s="58" t="e">
        <f t="shared" si="76"/>
        <v>#VALUE!</v>
      </c>
      <c r="J355" s="50" t="e">
        <f t="shared" si="82"/>
        <v>#VALUE!</v>
      </c>
      <c r="K355" s="50" t="e">
        <f t="shared" si="83"/>
        <v>#VALUE!</v>
      </c>
      <c r="L355" s="50" t="e">
        <f t="shared" si="83"/>
        <v>#VALUE!</v>
      </c>
      <c r="M355" s="50" t="e">
        <f t="shared" si="77"/>
        <v>#VALUE!</v>
      </c>
      <c r="N355" s="50" t="e">
        <f t="shared" si="78"/>
        <v>#VALUE!</v>
      </c>
      <c r="O355" s="50">
        <f t="shared" si="79"/>
        <v>0</v>
      </c>
      <c r="Q355" s="55" t="e">
        <f t="shared" si="80"/>
        <v>#VALUE!</v>
      </c>
      <c r="R355" s="55" t="e">
        <f t="shared" si="84"/>
        <v>#VALUE!</v>
      </c>
      <c r="S355" s="55" t="e">
        <f t="shared" si="81"/>
        <v>#VALUE!</v>
      </c>
      <c r="T355" s="50" t="e">
        <f t="shared" si="85"/>
        <v>#VALUE!</v>
      </c>
      <c r="U355" s="50" t="e">
        <f t="shared" si="86"/>
        <v>#VALUE!</v>
      </c>
      <c r="V355" s="50" t="e">
        <f t="shared" si="87"/>
        <v>#VALUE!</v>
      </c>
    </row>
    <row r="356" spans="2:22" x14ac:dyDescent="0.25">
      <c r="B356" s="50" t="b">
        <f t="shared" si="88"/>
        <v>0</v>
      </c>
      <c r="C356" s="50" t="e">
        <f t="shared" si="75"/>
        <v>#VALUE!</v>
      </c>
      <c r="E356" s="56">
        <v>352</v>
      </c>
      <c r="G356" s="138"/>
      <c r="H356" s="135">
        <v>1</v>
      </c>
      <c r="I356" s="58" t="e">
        <f t="shared" si="76"/>
        <v>#VALUE!</v>
      </c>
      <c r="J356" s="50" t="e">
        <f t="shared" si="82"/>
        <v>#VALUE!</v>
      </c>
      <c r="K356" s="50" t="e">
        <f t="shared" si="83"/>
        <v>#VALUE!</v>
      </c>
      <c r="L356" s="50" t="e">
        <f t="shared" si="83"/>
        <v>#VALUE!</v>
      </c>
      <c r="M356" s="50" t="e">
        <f t="shared" si="77"/>
        <v>#VALUE!</v>
      </c>
      <c r="N356" s="50" t="e">
        <f t="shared" si="78"/>
        <v>#VALUE!</v>
      </c>
      <c r="O356" s="50">
        <f t="shared" si="79"/>
        <v>0</v>
      </c>
      <c r="Q356" s="55" t="e">
        <f t="shared" si="80"/>
        <v>#VALUE!</v>
      </c>
      <c r="R356" s="55" t="e">
        <f t="shared" si="84"/>
        <v>#VALUE!</v>
      </c>
      <c r="S356" s="55" t="e">
        <f t="shared" si="81"/>
        <v>#VALUE!</v>
      </c>
      <c r="T356" s="50" t="e">
        <f t="shared" si="85"/>
        <v>#VALUE!</v>
      </c>
      <c r="U356" s="50" t="e">
        <f t="shared" si="86"/>
        <v>#VALUE!</v>
      </c>
      <c r="V356" s="50" t="e">
        <f t="shared" si="87"/>
        <v>#VALUE!</v>
      </c>
    </row>
    <row r="357" spans="2:22" x14ac:dyDescent="0.25">
      <c r="B357" s="50" t="b">
        <f t="shared" si="88"/>
        <v>0</v>
      </c>
      <c r="C357" s="50" t="e">
        <f t="shared" si="75"/>
        <v>#VALUE!</v>
      </c>
      <c r="E357" s="56">
        <v>353</v>
      </c>
      <c r="G357" s="138"/>
      <c r="H357" s="135">
        <v>1</v>
      </c>
      <c r="I357" s="58" t="e">
        <f t="shared" si="76"/>
        <v>#VALUE!</v>
      </c>
      <c r="J357" s="50" t="e">
        <f t="shared" si="82"/>
        <v>#VALUE!</v>
      </c>
      <c r="K357" s="50" t="e">
        <f t="shared" si="83"/>
        <v>#VALUE!</v>
      </c>
      <c r="L357" s="50" t="e">
        <f t="shared" si="83"/>
        <v>#VALUE!</v>
      </c>
      <c r="M357" s="50" t="e">
        <f t="shared" si="77"/>
        <v>#VALUE!</v>
      </c>
      <c r="N357" s="50" t="e">
        <f t="shared" si="78"/>
        <v>#VALUE!</v>
      </c>
      <c r="O357" s="50">
        <f t="shared" si="79"/>
        <v>0</v>
      </c>
      <c r="Q357" s="55" t="e">
        <f t="shared" si="80"/>
        <v>#VALUE!</v>
      </c>
      <c r="R357" s="55" t="e">
        <f t="shared" si="84"/>
        <v>#VALUE!</v>
      </c>
      <c r="S357" s="55" t="e">
        <f t="shared" si="81"/>
        <v>#VALUE!</v>
      </c>
      <c r="T357" s="50" t="e">
        <f t="shared" si="85"/>
        <v>#VALUE!</v>
      </c>
      <c r="U357" s="50" t="e">
        <f t="shared" si="86"/>
        <v>#VALUE!</v>
      </c>
      <c r="V357" s="50" t="e">
        <f t="shared" si="87"/>
        <v>#VALUE!</v>
      </c>
    </row>
    <row r="358" spans="2:22" x14ac:dyDescent="0.25">
      <c r="B358" s="50" t="b">
        <f t="shared" si="88"/>
        <v>0</v>
      </c>
      <c r="C358" s="50" t="e">
        <f t="shared" si="75"/>
        <v>#VALUE!</v>
      </c>
      <c r="E358" s="56">
        <v>354</v>
      </c>
      <c r="G358" s="138"/>
      <c r="H358" s="135">
        <v>1</v>
      </c>
      <c r="I358" s="58" t="e">
        <f t="shared" si="76"/>
        <v>#VALUE!</v>
      </c>
      <c r="J358" s="50" t="e">
        <f t="shared" si="82"/>
        <v>#VALUE!</v>
      </c>
      <c r="K358" s="50" t="e">
        <f t="shared" si="83"/>
        <v>#VALUE!</v>
      </c>
      <c r="L358" s="50" t="e">
        <f t="shared" si="83"/>
        <v>#VALUE!</v>
      </c>
      <c r="M358" s="50" t="e">
        <f t="shared" si="77"/>
        <v>#VALUE!</v>
      </c>
      <c r="N358" s="50" t="e">
        <f t="shared" si="78"/>
        <v>#VALUE!</v>
      </c>
      <c r="O358" s="50">
        <f t="shared" si="79"/>
        <v>0</v>
      </c>
      <c r="Q358" s="55" t="e">
        <f t="shared" si="80"/>
        <v>#VALUE!</v>
      </c>
      <c r="R358" s="55" t="e">
        <f t="shared" si="84"/>
        <v>#VALUE!</v>
      </c>
      <c r="S358" s="55" t="e">
        <f t="shared" si="81"/>
        <v>#VALUE!</v>
      </c>
      <c r="T358" s="50" t="e">
        <f t="shared" si="85"/>
        <v>#VALUE!</v>
      </c>
      <c r="U358" s="50" t="e">
        <f t="shared" si="86"/>
        <v>#VALUE!</v>
      </c>
      <c r="V358" s="50" t="e">
        <f t="shared" si="87"/>
        <v>#VALUE!</v>
      </c>
    </row>
    <row r="359" spans="2:22" x14ac:dyDescent="0.25">
      <c r="B359" s="50" t="b">
        <f t="shared" si="88"/>
        <v>0</v>
      </c>
      <c r="C359" s="50" t="e">
        <f t="shared" si="75"/>
        <v>#VALUE!</v>
      </c>
      <c r="E359" s="56">
        <v>355</v>
      </c>
      <c r="G359" s="138"/>
      <c r="H359" s="135">
        <v>1</v>
      </c>
      <c r="I359" s="58" t="e">
        <f t="shared" si="76"/>
        <v>#VALUE!</v>
      </c>
      <c r="J359" s="50" t="e">
        <f t="shared" si="82"/>
        <v>#VALUE!</v>
      </c>
      <c r="K359" s="50" t="e">
        <f t="shared" si="83"/>
        <v>#VALUE!</v>
      </c>
      <c r="L359" s="50" t="e">
        <f t="shared" si="83"/>
        <v>#VALUE!</v>
      </c>
      <c r="M359" s="50" t="e">
        <f t="shared" si="77"/>
        <v>#VALUE!</v>
      </c>
      <c r="N359" s="50" t="e">
        <f t="shared" si="78"/>
        <v>#VALUE!</v>
      </c>
      <c r="O359" s="50">
        <f t="shared" si="79"/>
        <v>0</v>
      </c>
      <c r="Q359" s="55" t="e">
        <f t="shared" si="80"/>
        <v>#VALUE!</v>
      </c>
      <c r="R359" s="55" t="e">
        <f t="shared" si="84"/>
        <v>#VALUE!</v>
      </c>
      <c r="S359" s="55" t="e">
        <f t="shared" si="81"/>
        <v>#VALUE!</v>
      </c>
      <c r="T359" s="50" t="e">
        <f t="shared" si="85"/>
        <v>#VALUE!</v>
      </c>
      <c r="U359" s="50" t="e">
        <f t="shared" si="86"/>
        <v>#VALUE!</v>
      </c>
      <c r="V359" s="50" t="e">
        <f t="shared" si="87"/>
        <v>#VALUE!</v>
      </c>
    </row>
    <row r="360" spans="2:22" x14ac:dyDescent="0.25">
      <c r="B360" s="50" t="b">
        <f t="shared" si="88"/>
        <v>0</v>
      </c>
      <c r="C360" s="50" t="e">
        <f t="shared" si="75"/>
        <v>#VALUE!</v>
      </c>
      <c r="E360" s="56">
        <v>356</v>
      </c>
      <c r="G360" s="138"/>
      <c r="H360" s="135">
        <v>1</v>
      </c>
      <c r="I360" s="58" t="e">
        <f t="shared" si="76"/>
        <v>#VALUE!</v>
      </c>
      <c r="J360" s="50" t="e">
        <f t="shared" si="82"/>
        <v>#VALUE!</v>
      </c>
      <c r="K360" s="50" t="e">
        <f t="shared" si="83"/>
        <v>#VALUE!</v>
      </c>
      <c r="L360" s="50" t="e">
        <f t="shared" si="83"/>
        <v>#VALUE!</v>
      </c>
      <c r="M360" s="50" t="e">
        <f t="shared" si="77"/>
        <v>#VALUE!</v>
      </c>
      <c r="N360" s="50" t="e">
        <f t="shared" si="78"/>
        <v>#VALUE!</v>
      </c>
      <c r="O360" s="50">
        <f t="shared" si="79"/>
        <v>0</v>
      </c>
      <c r="Q360" s="55" t="e">
        <f t="shared" si="80"/>
        <v>#VALUE!</v>
      </c>
      <c r="R360" s="55" t="e">
        <f t="shared" si="84"/>
        <v>#VALUE!</v>
      </c>
      <c r="S360" s="55" t="e">
        <f t="shared" si="81"/>
        <v>#VALUE!</v>
      </c>
      <c r="T360" s="50" t="e">
        <f t="shared" si="85"/>
        <v>#VALUE!</v>
      </c>
      <c r="U360" s="50" t="e">
        <f t="shared" si="86"/>
        <v>#VALUE!</v>
      </c>
      <c r="V360" s="50" t="e">
        <f t="shared" si="87"/>
        <v>#VALUE!</v>
      </c>
    </row>
    <row r="361" spans="2:22" x14ac:dyDescent="0.25">
      <c r="B361" s="50" t="b">
        <f t="shared" si="88"/>
        <v>0</v>
      </c>
      <c r="C361" s="50" t="e">
        <f t="shared" si="75"/>
        <v>#VALUE!</v>
      </c>
      <c r="E361" s="56">
        <v>357</v>
      </c>
      <c r="G361" s="138"/>
      <c r="H361" s="135">
        <v>1</v>
      </c>
      <c r="I361" s="58" t="e">
        <f t="shared" si="76"/>
        <v>#VALUE!</v>
      </c>
      <c r="J361" s="50" t="e">
        <f t="shared" si="82"/>
        <v>#VALUE!</v>
      </c>
      <c r="K361" s="50" t="e">
        <f t="shared" si="83"/>
        <v>#VALUE!</v>
      </c>
      <c r="L361" s="50" t="e">
        <f t="shared" si="83"/>
        <v>#VALUE!</v>
      </c>
      <c r="M361" s="50" t="e">
        <f t="shared" si="77"/>
        <v>#VALUE!</v>
      </c>
      <c r="N361" s="50" t="e">
        <f t="shared" si="78"/>
        <v>#VALUE!</v>
      </c>
      <c r="O361" s="50">
        <f t="shared" si="79"/>
        <v>0</v>
      </c>
      <c r="Q361" s="55" t="e">
        <f t="shared" si="80"/>
        <v>#VALUE!</v>
      </c>
      <c r="R361" s="55" t="e">
        <f t="shared" si="84"/>
        <v>#VALUE!</v>
      </c>
      <c r="S361" s="55" t="e">
        <f t="shared" si="81"/>
        <v>#VALUE!</v>
      </c>
      <c r="T361" s="50" t="e">
        <f t="shared" si="85"/>
        <v>#VALUE!</v>
      </c>
      <c r="U361" s="50" t="e">
        <f t="shared" si="86"/>
        <v>#VALUE!</v>
      </c>
      <c r="V361" s="50" t="e">
        <f t="shared" si="87"/>
        <v>#VALUE!</v>
      </c>
    </row>
    <row r="362" spans="2:22" x14ac:dyDescent="0.25">
      <c r="B362" s="50" t="b">
        <f t="shared" si="88"/>
        <v>0</v>
      </c>
      <c r="C362" s="50" t="e">
        <f t="shared" si="75"/>
        <v>#VALUE!</v>
      </c>
      <c r="E362" s="56">
        <v>358</v>
      </c>
      <c r="G362" s="138"/>
      <c r="H362" s="135">
        <v>1</v>
      </c>
      <c r="I362" s="58" t="e">
        <f t="shared" si="76"/>
        <v>#VALUE!</v>
      </c>
      <c r="J362" s="50" t="e">
        <f t="shared" si="82"/>
        <v>#VALUE!</v>
      </c>
      <c r="K362" s="50" t="e">
        <f t="shared" si="83"/>
        <v>#VALUE!</v>
      </c>
      <c r="L362" s="50" t="e">
        <f t="shared" si="83"/>
        <v>#VALUE!</v>
      </c>
      <c r="M362" s="50" t="e">
        <f t="shared" si="77"/>
        <v>#VALUE!</v>
      </c>
      <c r="N362" s="50" t="e">
        <f t="shared" si="78"/>
        <v>#VALUE!</v>
      </c>
      <c r="O362" s="50">
        <f t="shared" si="79"/>
        <v>0</v>
      </c>
      <c r="Q362" s="55" t="e">
        <f t="shared" si="80"/>
        <v>#VALUE!</v>
      </c>
      <c r="R362" s="55" t="e">
        <f t="shared" si="84"/>
        <v>#VALUE!</v>
      </c>
      <c r="S362" s="55" t="e">
        <f t="shared" si="81"/>
        <v>#VALUE!</v>
      </c>
      <c r="T362" s="50" t="e">
        <f t="shared" si="85"/>
        <v>#VALUE!</v>
      </c>
      <c r="U362" s="50" t="e">
        <f t="shared" si="86"/>
        <v>#VALUE!</v>
      </c>
      <c r="V362" s="50" t="e">
        <f t="shared" si="87"/>
        <v>#VALUE!</v>
      </c>
    </row>
    <row r="363" spans="2:22" x14ac:dyDescent="0.25">
      <c r="B363" s="50" t="b">
        <f t="shared" si="88"/>
        <v>0</v>
      </c>
      <c r="C363" s="50" t="e">
        <f t="shared" si="75"/>
        <v>#VALUE!</v>
      </c>
      <c r="E363" s="56">
        <v>359</v>
      </c>
      <c r="G363" s="138"/>
      <c r="H363" s="135">
        <v>1</v>
      </c>
      <c r="I363" s="58" t="e">
        <f t="shared" si="76"/>
        <v>#VALUE!</v>
      </c>
      <c r="J363" s="50" t="e">
        <f t="shared" si="82"/>
        <v>#VALUE!</v>
      </c>
      <c r="K363" s="50" t="e">
        <f t="shared" si="83"/>
        <v>#VALUE!</v>
      </c>
      <c r="L363" s="50" t="e">
        <f t="shared" si="83"/>
        <v>#VALUE!</v>
      </c>
      <c r="M363" s="50" t="e">
        <f t="shared" si="77"/>
        <v>#VALUE!</v>
      </c>
      <c r="N363" s="50" t="e">
        <f t="shared" si="78"/>
        <v>#VALUE!</v>
      </c>
      <c r="O363" s="50">
        <f t="shared" si="79"/>
        <v>0</v>
      </c>
      <c r="Q363" s="55" t="e">
        <f t="shared" si="80"/>
        <v>#VALUE!</v>
      </c>
      <c r="R363" s="55" t="e">
        <f t="shared" si="84"/>
        <v>#VALUE!</v>
      </c>
      <c r="S363" s="55" t="e">
        <f t="shared" si="81"/>
        <v>#VALUE!</v>
      </c>
      <c r="T363" s="50" t="e">
        <f t="shared" si="85"/>
        <v>#VALUE!</v>
      </c>
      <c r="U363" s="50" t="e">
        <f t="shared" si="86"/>
        <v>#VALUE!</v>
      </c>
      <c r="V363" s="50" t="e">
        <f t="shared" si="87"/>
        <v>#VALUE!</v>
      </c>
    </row>
    <row r="364" spans="2:22" x14ac:dyDescent="0.25">
      <c r="B364" s="50" t="b">
        <f t="shared" si="88"/>
        <v>0</v>
      </c>
      <c r="C364" s="50" t="e">
        <f t="shared" si="75"/>
        <v>#VALUE!</v>
      </c>
      <c r="E364" s="56">
        <v>360</v>
      </c>
      <c r="G364" s="138"/>
      <c r="H364" s="135">
        <v>1</v>
      </c>
      <c r="I364" s="58" t="e">
        <f t="shared" si="76"/>
        <v>#VALUE!</v>
      </c>
      <c r="J364" s="50" t="e">
        <f t="shared" si="82"/>
        <v>#VALUE!</v>
      </c>
      <c r="K364" s="50" t="e">
        <f t="shared" si="83"/>
        <v>#VALUE!</v>
      </c>
      <c r="L364" s="50" t="e">
        <f t="shared" si="83"/>
        <v>#VALUE!</v>
      </c>
      <c r="M364" s="50" t="e">
        <f t="shared" si="77"/>
        <v>#VALUE!</v>
      </c>
      <c r="N364" s="50" t="e">
        <f t="shared" si="78"/>
        <v>#VALUE!</v>
      </c>
      <c r="O364" s="50">
        <f t="shared" si="79"/>
        <v>0</v>
      </c>
      <c r="Q364" s="55" t="e">
        <f t="shared" si="80"/>
        <v>#VALUE!</v>
      </c>
      <c r="R364" s="55" t="e">
        <f t="shared" si="84"/>
        <v>#VALUE!</v>
      </c>
      <c r="S364" s="55" t="e">
        <f t="shared" si="81"/>
        <v>#VALUE!</v>
      </c>
      <c r="T364" s="50" t="e">
        <f t="shared" si="85"/>
        <v>#VALUE!</v>
      </c>
      <c r="U364" s="50" t="e">
        <f t="shared" si="86"/>
        <v>#VALUE!</v>
      </c>
      <c r="V364" s="50" t="e">
        <f t="shared" si="87"/>
        <v>#VALUE!</v>
      </c>
    </row>
    <row r="365" spans="2:22" x14ac:dyDescent="0.25">
      <c r="B365" s="50" t="b">
        <f t="shared" si="88"/>
        <v>0</v>
      </c>
      <c r="C365" s="50" t="e">
        <f t="shared" si="75"/>
        <v>#VALUE!</v>
      </c>
      <c r="E365" s="56">
        <v>361</v>
      </c>
      <c r="G365" s="138"/>
      <c r="H365" s="135">
        <v>1</v>
      </c>
      <c r="I365" s="58" t="e">
        <f t="shared" si="76"/>
        <v>#VALUE!</v>
      </c>
      <c r="J365" s="50" t="e">
        <f t="shared" si="82"/>
        <v>#VALUE!</v>
      </c>
      <c r="K365" s="50" t="e">
        <f t="shared" si="83"/>
        <v>#VALUE!</v>
      </c>
      <c r="L365" s="50" t="e">
        <f t="shared" si="83"/>
        <v>#VALUE!</v>
      </c>
      <c r="M365" s="50" t="e">
        <f t="shared" si="77"/>
        <v>#VALUE!</v>
      </c>
      <c r="N365" s="50" t="e">
        <f t="shared" si="78"/>
        <v>#VALUE!</v>
      </c>
      <c r="O365" s="50">
        <f t="shared" si="79"/>
        <v>0</v>
      </c>
      <c r="Q365" s="55" t="e">
        <f t="shared" si="80"/>
        <v>#VALUE!</v>
      </c>
      <c r="R365" s="55" t="e">
        <f t="shared" si="84"/>
        <v>#VALUE!</v>
      </c>
      <c r="S365" s="55" t="e">
        <f t="shared" si="81"/>
        <v>#VALUE!</v>
      </c>
      <c r="T365" s="50" t="e">
        <f t="shared" si="85"/>
        <v>#VALUE!</v>
      </c>
      <c r="U365" s="50" t="e">
        <f t="shared" si="86"/>
        <v>#VALUE!</v>
      </c>
      <c r="V365" s="50" t="e">
        <f t="shared" si="87"/>
        <v>#VALUE!</v>
      </c>
    </row>
    <row r="366" spans="2:22" x14ac:dyDescent="0.25">
      <c r="B366" s="50" t="b">
        <f t="shared" si="88"/>
        <v>0</v>
      </c>
      <c r="C366" s="50" t="e">
        <f t="shared" si="75"/>
        <v>#VALUE!</v>
      </c>
      <c r="E366" s="56">
        <v>362</v>
      </c>
      <c r="G366" s="138"/>
      <c r="H366" s="135">
        <v>1</v>
      </c>
      <c r="I366" s="58" t="e">
        <f t="shared" si="76"/>
        <v>#VALUE!</v>
      </c>
      <c r="J366" s="50" t="e">
        <f t="shared" si="82"/>
        <v>#VALUE!</v>
      </c>
      <c r="K366" s="50" t="e">
        <f t="shared" si="83"/>
        <v>#VALUE!</v>
      </c>
      <c r="L366" s="50" t="e">
        <f t="shared" si="83"/>
        <v>#VALUE!</v>
      </c>
      <c r="M366" s="50" t="e">
        <f t="shared" si="77"/>
        <v>#VALUE!</v>
      </c>
      <c r="N366" s="50" t="e">
        <f t="shared" si="78"/>
        <v>#VALUE!</v>
      </c>
      <c r="O366" s="50">
        <f t="shared" si="79"/>
        <v>0</v>
      </c>
      <c r="Q366" s="55" t="e">
        <f t="shared" si="80"/>
        <v>#VALUE!</v>
      </c>
      <c r="R366" s="55" t="e">
        <f t="shared" si="84"/>
        <v>#VALUE!</v>
      </c>
      <c r="S366" s="55" t="e">
        <f t="shared" si="81"/>
        <v>#VALUE!</v>
      </c>
      <c r="T366" s="50" t="e">
        <f t="shared" si="85"/>
        <v>#VALUE!</v>
      </c>
      <c r="U366" s="50" t="e">
        <f t="shared" si="86"/>
        <v>#VALUE!</v>
      </c>
      <c r="V366" s="50" t="e">
        <f t="shared" si="87"/>
        <v>#VALUE!</v>
      </c>
    </row>
    <row r="367" spans="2:22" x14ac:dyDescent="0.25">
      <c r="B367" s="50" t="b">
        <f t="shared" si="88"/>
        <v>0</v>
      </c>
      <c r="C367" s="50" t="e">
        <f t="shared" si="75"/>
        <v>#VALUE!</v>
      </c>
      <c r="E367" s="56">
        <v>363</v>
      </c>
      <c r="G367" s="138"/>
      <c r="H367" s="135">
        <v>1</v>
      </c>
      <c r="I367" s="58" t="e">
        <f t="shared" si="76"/>
        <v>#VALUE!</v>
      </c>
      <c r="J367" s="50" t="e">
        <f t="shared" si="82"/>
        <v>#VALUE!</v>
      </c>
      <c r="K367" s="50" t="e">
        <f t="shared" si="83"/>
        <v>#VALUE!</v>
      </c>
      <c r="L367" s="50" t="e">
        <f t="shared" si="83"/>
        <v>#VALUE!</v>
      </c>
      <c r="M367" s="50" t="e">
        <f t="shared" si="77"/>
        <v>#VALUE!</v>
      </c>
      <c r="N367" s="50" t="e">
        <f t="shared" si="78"/>
        <v>#VALUE!</v>
      </c>
      <c r="O367" s="50">
        <f t="shared" si="79"/>
        <v>0</v>
      </c>
      <c r="Q367" s="55" t="e">
        <f t="shared" si="80"/>
        <v>#VALUE!</v>
      </c>
      <c r="R367" s="55" t="e">
        <f t="shared" si="84"/>
        <v>#VALUE!</v>
      </c>
      <c r="S367" s="55" t="e">
        <f t="shared" si="81"/>
        <v>#VALUE!</v>
      </c>
      <c r="T367" s="50" t="e">
        <f t="shared" si="85"/>
        <v>#VALUE!</v>
      </c>
      <c r="U367" s="50" t="e">
        <f t="shared" si="86"/>
        <v>#VALUE!</v>
      </c>
      <c r="V367" s="50" t="e">
        <f t="shared" si="87"/>
        <v>#VALUE!</v>
      </c>
    </row>
    <row r="368" spans="2:22" x14ac:dyDescent="0.25">
      <c r="B368" s="50" t="b">
        <f t="shared" si="88"/>
        <v>0</v>
      </c>
      <c r="C368" s="50" t="e">
        <f t="shared" si="75"/>
        <v>#VALUE!</v>
      </c>
      <c r="E368" s="56">
        <v>364</v>
      </c>
      <c r="G368" s="138"/>
      <c r="H368" s="135">
        <v>1</v>
      </c>
      <c r="I368" s="58" t="e">
        <f t="shared" si="76"/>
        <v>#VALUE!</v>
      </c>
      <c r="J368" s="50" t="e">
        <f t="shared" si="82"/>
        <v>#VALUE!</v>
      </c>
      <c r="K368" s="50" t="e">
        <f t="shared" si="83"/>
        <v>#VALUE!</v>
      </c>
      <c r="L368" s="50" t="e">
        <f t="shared" si="83"/>
        <v>#VALUE!</v>
      </c>
      <c r="M368" s="50" t="e">
        <f t="shared" si="77"/>
        <v>#VALUE!</v>
      </c>
      <c r="N368" s="50" t="e">
        <f t="shared" si="78"/>
        <v>#VALUE!</v>
      </c>
      <c r="O368" s="50">
        <f t="shared" si="79"/>
        <v>0</v>
      </c>
      <c r="Q368" s="55" t="e">
        <f t="shared" si="80"/>
        <v>#VALUE!</v>
      </c>
      <c r="R368" s="55" t="e">
        <f t="shared" si="84"/>
        <v>#VALUE!</v>
      </c>
      <c r="S368" s="55" t="e">
        <f t="shared" si="81"/>
        <v>#VALUE!</v>
      </c>
      <c r="T368" s="50" t="e">
        <f t="shared" si="85"/>
        <v>#VALUE!</v>
      </c>
      <c r="U368" s="50" t="e">
        <f t="shared" si="86"/>
        <v>#VALUE!</v>
      </c>
      <c r="V368" s="50" t="e">
        <f t="shared" si="87"/>
        <v>#VALUE!</v>
      </c>
    </row>
    <row r="369" spans="2:22" x14ac:dyDescent="0.25">
      <c r="B369" s="50" t="b">
        <f t="shared" si="88"/>
        <v>0</v>
      </c>
      <c r="C369" s="50" t="e">
        <f t="shared" si="75"/>
        <v>#VALUE!</v>
      </c>
      <c r="E369" s="56">
        <v>365</v>
      </c>
      <c r="G369" s="138"/>
      <c r="H369" s="135">
        <v>1</v>
      </c>
      <c r="I369" s="58" t="e">
        <f t="shared" si="76"/>
        <v>#VALUE!</v>
      </c>
      <c r="J369" s="50" t="e">
        <f t="shared" si="82"/>
        <v>#VALUE!</v>
      </c>
      <c r="K369" s="50" t="e">
        <f t="shared" si="83"/>
        <v>#VALUE!</v>
      </c>
      <c r="L369" s="50" t="e">
        <f t="shared" si="83"/>
        <v>#VALUE!</v>
      </c>
      <c r="M369" s="50" t="e">
        <f t="shared" si="77"/>
        <v>#VALUE!</v>
      </c>
      <c r="N369" s="50" t="e">
        <f t="shared" si="78"/>
        <v>#VALUE!</v>
      </c>
      <c r="O369" s="50">
        <f t="shared" si="79"/>
        <v>0</v>
      </c>
      <c r="Q369" s="55" t="e">
        <f t="shared" si="80"/>
        <v>#VALUE!</v>
      </c>
      <c r="R369" s="55" t="e">
        <f t="shared" si="84"/>
        <v>#VALUE!</v>
      </c>
      <c r="S369" s="55" t="e">
        <f t="shared" si="81"/>
        <v>#VALUE!</v>
      </c>
      <c r="T369" s="50" t="e">
        <f t="shared" si="85"/>
        <v>#VALUE!</v>
      </c>
      <c r="U369" s="50" t="e">
        <f t="shared" si="86"/>
        <v>#VALUE!</v>
      </c>
      <c r="V369" s="50" t="e">
        <f t="shared" si="87"/>
        <v>#VALUE!</v>
      </c>
    </row>
    <row r="370" spans="2:22" x14ac:dyDescent="0.25">
      <c r="B370" s="50" t="b">
        <f t="shared" si="88"/>
        <v>0</v>
      </c>
      <c r="C370" s="50" t="e">
        <f t="shared" si="75"/>
        <v>#VALUE!</v>
      </c>
      <c r="E370" s="56">
        <v>366</v>
      </c>
      <c r="G370" s="138"/>
      <c r="H370" s="135">
        <v>1</v>
      </c>
      <c r="I370" s="58" t="e">
        <f t="shared" si="76"/>
        <v>#VALUE!</v>
      </c>
      <c r="J370" s="50" t="e">
        <f t="shared" si="82"/>
        <v>#VALUE!</v>
      </c>
      <c r="K370" s="50" t="e">
        <f t="shared" si="83"/>
        <v>#VALUE!</v>
      </c>
      <c r="L370" s="50" t="e">
        <f t="shared" si="83"/>
        <v>#VALUE!</v>
      </c>
      <c r="M370" s="50" t="e">
        <f t="shared" si="77"/>
        <v>#VALUE!</v>
      </c>
      <c r="N370" s="50" t="e">
        <f t="shared" si="78"/>
        <v>#VALUE!</v>
      </c>
      <c r="O370" s="50">
        <f t="shared" si="79"/>
        <v>0</v>
      </c>
      <c r="Q370" s="55" t="e">
        <f t="shared" si="80"/>
        <v>#VALUE!</v>
      </c>
      <c r="R370" s="55" t="e">
        <f t="shared" si="84"/>
        <v>#VALUE!</v>
      </c>
      <c r="S370" s="55" t="e">
        <f t="shared" si="81"/>
        <v>#VALUE!</v>
      </c>
      <c r="T370" s="50" t="e">
        <f t="shared" si="85"/>
        <v>#VALUE!</v>
      </c>
      <c r="U370" s="50" t="e">
        <f t="shared" si="86"/>
        <v>#VALUE!</v>
      </c>
      <c r="V370" s="50" t="e">
        <f t="shared" si="87"/>
        <v>#VALUE!</v>
      </c>
    </row>
    <row r="371" spans="2:22" x14ac:dyDescent="0.25">
      <c r="B371" s="50" t="b">
        <f t="shared" si="88"/>
        <v>0</v>
      </c>
      <c r="C371" s="50" t="e">
        <f t="shared" si="75"/>
        <v>#VALUE!</v>
      </c>
      <c r="E371" s="56">
        <v>367</v>
      </c>
      <c r="G371" s="138"/>
      <c r="H371" s="135">
        <v>1</v>
      </c>
      <c r="I371" s="58" t="e">
        <f t="shared" si="76"/>
        <v>#VALUE!</v>
      </c>
      <c r="J371" s="50" t="e">
        <f t="shared" si="82"/>
        <v>#VALUE!</v>
      </c>
      <c r="K371" s="50" t="e">
        <f t="shared" si="83"/>
        <v>#VALUE!</v>
      </c>
      <c r="L371" s="50" t="e">
        <f t="shared" si="83"/>
        <v>#VALUE!</v>
      </c>
      <c r="M371" s="50" t="e">
        <f t="shared" si="77"/>
        <v>#VALUE!</v>
      </c>
      <c r="N371" s="50" t="e">
        <f t="shared" si="78"/>
        <v>#VALUE!</v>
      </c>
      <c r="O371" s="50">
        <f t="shared" si="79"/>
        <v>0</v>
      </c>
      <c r="Q371" s="55" t="e">
        <f t="shared" si="80"/>
        <v>#VALUE!</v>
      </c>
      <c r="R371" s="55" t="e">
        <f t="shared" si="84"/>
        <v>#VALUE!</v>
      </c>
      <c r="S371" s="55" t="e">
        <f t="shared" si="81"/>
        <v>#VALUE!</v>
      </c>
      <c r="T371" s="50" t="e">
        <f t="shared" si="85"/>
        <v>#VALUE!</v>
      </c>
      <c r="U371" s="50" t="e">
        <f t="shared" si="86"/>
        <v>#VALUE!</v>
      </c>
      <c r="V371" s="50" t="e">
        <f t="shared" si="87"/>
        <v>#VALUE!</v>
      </c>
    </row>
    <row r="372" spans="2:22" x14ac:dyDescent="0.25">
      <c r="B372" s="50" t="b">
        <f t="shared" si="88"/>
        <v>0</v>
      </c>
      <c r="C372" s="50" t="e">
        <f t="shared" si="75"/>
        <v>#VALUE!</v>
      </c>
      <c r="E372" s="56">
        <v>368</v>
      </c>
      <c r="G372" s="138"/>
      <c r="H372" s="135">
        <v>1</v>
      </c>
      <c r="I372" s="58" t="e">
        <f t="shared" si="76"/>
        <v>#VALUE!</v>
      </c>
      <c r="J372" s="50" t="e">
        <f t="shared" si="82"/>
        <v>#VALUE!</v>
      </c>
      <c r="K372" s="50" t="e">
        <f t="shared" si="83"/>
        <v>#VALUE!</v>
      </c>
      <c r="L372" s="50" t="e">
        <f t="shared" si="83"/>
        <v>#VALUE!</v>
      </c>
      <c r="M372" s="50" t="e">
        <f t="shared" si="77"/>
        <v>#VALUE!</v>
      </c>
      <c r="N372" s="50" t="e">
        <f t="shared" si="78"/>
        <v>#VALUE!</v>
      </c>
      <c r="O372" s="50">
        <f t="shared" si="79"/>
        <v>0</v>
      </c>
      <c r="Q372" s="55" t="e">
        <f t="shared" si="80"/>
        <v>#VALUE!</v>
      </c>
      <c r="R372" s="55" t="e">
        <f t="shared" si="84"/>
        <v>#VALUE!</v>
      </c>
      <c r="S372" s="55" t="e">
        <f t="shared" si="81"/>
        <v>#VALUE!</v>
      </c>
      <c r="T372" s="50" t="e">
        <f t="shared" si="85"/>
        <v>#VALUE!</v>
      </c>
      <c r="U372" s="50" t="e">
        <f t="shared" si="86"/>
        <v>#VALUE!</v>
      </c>
      <c r="V372" s="50" t="e">
        <f t="shared" si="87"/>
        <v>#VALUE!</v>
      </c>
    </row>
    <row r="373" spans="2:22" x14ac:dyDescent="0.25">
      <c r="B373" s="50" t="b">
        <f t="shared" si="88"/>
        <v>0</v>
      </c>
      <c r="C373" s="50" t="e">
        <f t="shared" si="75"/>
        <v>#VALUE!</v>
      </c>
      <c r="E373" s="56">
        <v>369</v>
      </c>
      <c r="G373" s="138"/>
      <c r="H373" s="135">
        <v>1</v>
      </c>
      <c r="I373" s="58" t="e">
        <f t="shared" si="76"/>
        <v>#VALUE!</v>
      </c>
      <c r="J373" s="50" t="e">
        <f t="shared" si="82"/>
        <v>#VALUE!</v>
      </c>
      <c r="K373" s="50" t="e">
        <f t="shared" si="83"/>
        <v>#VALUE!</v>
      </c>
      <c r="L373" s="50" t="e">
        <f t="shared" si="83"/>
        <v>#VALUE!</v>
      </c>
      <c r="M373" s="50" t="e">
        <f t="shared" si="77"/>
        <v>#VALUE!</v>
      </c>
      <c r="N373" s="50" t="e">
        <f t="shared" si="78"/>
        <v>#VALUE!</v>
      </c>
      <c r="O373" s="50">
        <f t="shared" si="79"/>
        <v>0</v>
      </c>
      <c r="Q373" s="55" t="e">
        <f t="shared" si="80"/>
        <v>#VALUE!</v>
      </c>
      <c r="R373" s="55" t="e">
        <f t="shared" si="84"/>
        <v>#VALUE!</v>
      </c>
      <c r="S373" s="55" t="e">
        <f t="shared" si="81"/>
        <v>#VALUE!</v>
      </c>
      <c r="T373" s="50" t="e">
        <f t="shared" si="85"/>
        <v>#VALUE!</v>
      </c>
      <c r="U373" s="50" t="e">
        <f t="shared" si="86"/>
        <v>#VALUE!</v>
      </c>
      <c r="V373" s="50" t="e">
        <f t="shared" si="87"/>
        <v>#VALUE!</v>
      </c>
    </row>
    <row r="374" spans="2:22" x14ac:dyDescent="0.25">
      <c r="B374" s="50" t="b">
        <f t="shared" si="88"/>
        <v>0</v>
      </c>
      <c r="C374" s="50" t="e">
        <f t="shared" ref="C374:C437" si="89">SUM(T374:V374)</f>
        <v>#VALUE!</v>
      </c>
      <c r="E374" s="56">
        <v>370</v>
      </c>
      <c r="G374" s="138"/>
      <c r="H374" s="135">
        <v>1</v>
      </c>
      <c r="I374" s="58" t="e">
        <f t="shared" si="76"/>
        <v>#VALUE!</v>
      </c>
      <c r="J374" s="50" t="e">
        <f t="shared" si="82"/>
        <v>#VALUE!</v>
      </c>
      <c r="K374" s="50" t="e">
        <f t="shared" si="83"/>
        <v>#VALUE!</v>
      </c>
      <c r="L374" s="50" t="e">
        <f t="shared" si="83"/>
        <v>#VALUE!</v>
      </c>
      <c r="M374" s="50" t="e">
        <f t="shared" si="77"/>
        <v>#VALUE!</v>
      </c>
      <c r="N374" s="50" t="e">
        <f t="shared" si="78"/>
        <v>#VALUE!</v>
      </c>
      <c r="O374" s="50">
        <f t="shared" si="79"/>
        <v>0</v>
      </c>
      <c r="Q374" s="55" t="e">
        <f t="shared" si="80"/>
        <v>#VALUE!</v>
      </c>
      <c r="R374" s="55" t="e">
        <f t="shared" si="84"/>
        <v>#VALUE!</v>
      </c>
      <c r="S374" s="55" t="e">
        <f t="shared" si="81"/>
        <v>#VALUE!</v>
      </c>
      <c r="T374" s="50" t="e">
        <f t="shared" si="85"/>
        <v>#VALUE!</v>
      </c>
      <c r="U374" s="50" t="e">
        <f t="shared" si="86"/>
        <v>#VALUE!</v>
      </c>
      <c r="V374" s="50" t="e">
        <f t="shared" si="87"/>
        <v>#VALUE!</v>
      </c>
    </row>
    <row r="375" spans="2:22" x14ac:dyDescent="0.25">
      <c r="B375" s="50" t="b">
        <f t="shared" si="88"/>
        <v>0</v>
      </c>
      <c r="C375" s="50" t="e">
        <f t="shared" si="89"/>
        <v>#VALUE!</v>
      </c>
      <c r="E375" s="56">
        <v>371</v>
      </c>
      <c r="G375" s="138"/>
      <c r="H375" s="135">
        <v>1</v>
      </c>
      <c r="I375" s="58" t="e">
        <f t="shared" si="76"/>
        <v>#VALUE!</v>
      </c>
      <c r="J375" s="50" t="e">
        <f t="shared" si="82"/>
        <v>#VALUE!</v>
      </c>
      <c r="K375" s="50" t="e">
        <f t="shared" si="83"/>
        <v>#VALUE!</v>
      </c>
      <c r="L375" s="50" t="e">
        <f t="shared" si="83"/>
        <v>#VALUE!</v>
      </c>
      <c r="M375" s="50" t="e">
        <f t="shared" si="77"/>
        <v>#VALUE!</v>
      </c>
      <c r="N375" s="50" t="e">
        <f t="shared" si="78"/>
        <v>#VALUE!</v>
      </c>
      <c r="O375" s="50">
        <f t="shared" si="79"/>
        <v>0</v>
      </c>
      <c r="Q375" s="55" t="e">
        <f t="shared" si="80"/>
        <v>#VALUE!</v>
      </c>
      <c r="R375" s="55" t="e">
        <f t="shared" si="84"/>
        <v>#VALUE!</v>
      </c>
      <c r="S375" s="55" t="e">
        <f t="shared" si="81"/>
        <v>#VALUE!</v>
      </c>
      <c r="T375" s="50" t="e">
        <f t="shared" si="85"/>
        <v>#VALUE!</v>
      </c>
      <c r="U375" s="50" t="e">
        <f t="shared" si="86"/>
        <v>#VALUE!</v>
      </c>
      <c r="V375" s="50" t="e">
        <f t="shared" si="87"/>
        <v>#VALUE!</v>
      </c>
    </row>
    <row r="376" spans="2:22" x14ac:dyDescent="0.25">
      <c r="B376" s="50" t="b">
        <f t="shared" si="88"/>
        <v>0</v>
      </c>
      <c r="C376" s="50" t="e">
        <f t="shared" si="89"/>
        <v>#VALUE!</v>
      </c>
      <c r="E376" s="56">
        <v>372</v>
      </c>
      <c r="G376" s="138"/>
      <c r="H376" s="135">
        <v>1</v>
      </c>
      <c r="I376" s="58" t="e">
        <f t="shared" si="76"/>
        <v>#VALUE!</v>
      </c>
      <c r="J376" s="50" t="e">
        <f t="shared" si="82"/>
        <v>#VALUE!</v>
      </c>
      <c r="K376" s="50" t="e">
        <f t="shared" si="83"/>
        <v>#VALUE!</v>
      </c>
      <c r="L376" s="50" t="e">
        <f t="shared" si="83"/>
        <v>#VALUE!</v>
      </c>
      <c r="M376" s="50" t="e">
        <f t="shared" si="77"/>
        <v>#VALUE!</v>
      </c>
      <c r="N376" s="50" t="e">
        <f t="shared" si="78"/>
        <v>#VALUE!</v>
      </c>
      <c r="O376" s="50">
        <f t="shared" si="79"/>
        <v>0</v>
      </c>
      <c r="Q376" s="55" t="e">
        <f t="shared" si="80"/>
        <v>#VALUE!</v>
      </c>
      <c r="R376" s="55" t="e">
        <f t="shared" si="84"/>
        <v>#VALUE!</v>
      </c>
      <c r="S376" s="55" t="e">
        <f t="shared" si="81"/>
        <v>#VALUE!</v>
      </c>
      <c r="T376" s="50" t="e">
        <f t="shared" si="85"/>
        <v>#VALUE!</v>
      </c>
      <c r="U376" s="50" t="e">
        <f t="shared" si="86"/>
        <v>#VALUE!</v>
      </c>
      <c r="V376" s="50" t="e">
        <f t="shared" si="87"/>
        <v>#VALUE!</v>
      </c>
    </row>
    <row r="377" spans="2:22" x14ac:dyDescent="0.25">
      <c r="B377" s="50" t="b">
        <f t="shared" si="88"/>
        <v>0</v>
      </c>
      <c r="C377" s="50" t="e">
        <f t="shared" si="89"/>
        <v>#VALUE!</v>
      </c>
      <c r="E377" s="56">
        <v>373</v>
      </c>
      <c r="G377" s="138"/>
      <c r="H377" s="135">
        <v>1</v>
      </c>
      <c r="I377" s="58" t="e">
        <f t="shared" si="76"/>
        <v>#VALUE!</v>
      </c>
      <c r="J377" s="50" t="e">
        <f t="shared" si="82"/>
        <v>#VALUE!</v>
      </c>
      <c r="K377" s="50" t="e">
        <f t="shared" si="83"/>
        <v>#VALUE!</v>
      </c>
      <c r="L377" s="50" t="e">
        <f t="shared" si="83"/>
        <v>#VALUE!</v>
      </c>
      <c r="M377" s="50" t="e">
        <f t="shared" si="77"/>
        <v>#VALUE!</v>
      </c>
      <c r="N377" s="50" t="e">
        <f t="shared" si="78"/>
        <v>#VALUE!</v>
      </c>
      <c r="O377" s="50">
        <f t="shared" si="79"/>
        <v>0</v>
      </c>
      <c r="Q377" s="55" t="e">
        <f t="shared" si="80"/>
        <v>#VALUE!</v>
      </c>
      <c r="R377" s="55" t="e">
        <f t="shared" si="84"/>
        <v>#VALUE!</v>
      </c>
      <c r="S377" s="55" t="e">
        <f t="shared" si="81"/>
        <v>#VALUE!</v>
      </c>
      <c r="T377" s="50" t="e">
        <f t="shared" si="85"/>
        <v>#VALUE!</v>
      </c>
      <c r="U377" s="50" t="e">
        <f t="shared" si="86"/>
        <v>#VALUE!</v>
      </c>
      <c r="V377" s="50" t="e">
        <f t="shared" si="87"/>
        <v>#VALUE!</v>
      </c>
    </row>
    <row r="378" spans="2:22" x14ac:dyDescent="0.25">
      <c r="B378" s="50" t="b">
        <f t="shared" si="88"/>
        <v>0</v>
      </c>
      <c r="C378" s="50" t="e">
        <f t="shared" si="89"/>
        <v>#VALUE!</v>
      </c>
      <c r="E378" s="56">
        <v>374</v>
      </c>
      <c r="G378" s="138"/>
      <c r="H378" s="135">
        <v>1</v>
      </c>
      <c r="I378" s="58" t="e">
        <f t="shared" si="76"/>
        <v>#VALUE!</v>
      </c>
      <c r="J378" s="50" t="e">
        <f t="shared" si="82"/>
        <v>#VALUE!</v>
      </c>
      <c r="K378" s="50" t="e">
        <f t="shared" si="83"/>
        <v>#VALUE!</v>
      </c>
      <c r="L378" s="50" t="e">
        <f t="shared" si="83"/>
        <v>#VALUE!</v>
      </c>
      <c r="M378" s="50" t="e">
        <f t="shared" si="77"/>
        <v>#VALUE!</v>
      </c>
      <c r="N378" s="50" t="e">
        <f t="shared" si="78"/>
        <v>#VALUE!</v>
      </c>
      <c r="O378" s="50">
        <f t="shared" si="79"/>
        <v>0</v>
      </c>
      <c r="Q378" s="55" t="e">
        <f t="shared" si="80"/>
        <v>#VALUE!</v>
      </c>
      <c r="R378" s="55" t="e">
        <f t="shared" si="84"/>
        <v>#VALUE!</v>
      </c>
      <c r="S378" s="55" t="e">
        <f t="shared" si="81"/>
        <v>#VALUE!</v>
      </c>
      <c r="T378" s="50" t="e">
        <f t="shared" si="85"/>
        <v>#VALUE!</v>
      </c>
      <c r="U378" s="50" t="e">
        <f t="shared" si="86"/>
        <v>#VALUE!</v>
      </c>
      <c r="V378" s="50" t="e">
        <f t="shared" si="87"/>
        <v>#VALUE!</v>
      </c>
    </row>
    <row r="379" spans="2:22" x14ac:dyDescent="0.25">
      <c r="B379" s="50" t="b">
        <f t="shared" si="88"/>
        <v>0</v>
      </c>
      <c r="C379" s="50" t="e">
        <f t="shared" si="89"/>
        <v>#VALUE!</v>
      </c>
      <c r="E379" s="56">
        <v>375</v>
      </c>
      <c r="G379" s="138"/>
      <c r="H379" s="135">
        <v>1</v>
      </c>
      <c r="I379" s="58" t="e">
        <f t="shared" si="76"/>
        <v>#VALUE!</v>
      </c>
      <c r="J379" s="50" t="e">
        <f t="shared" si="82"/>
        <v>#VALUE!</v>
      </c>
      <c r="K379" s="50" t="e">
        <f t="shared" si="83"/>
        <v>#VALUE!</v>
      </c>
      <c r="L379" s="50" t="e">
        <f t="shared" si="83"/>
        <v>#VALUE!</v>
      </c>
      <c r="M379" s="50" t="e">
        <f t="shared" si="77"/>
        <v>#VALUE!</v>
      </c>
      <c r="N379" s="50" t="e">
        <f t="shared" si="78"/>
        <v>#VALUE!</v>
      </c>
      <c r="O379" s="50">
        <f t="shared" si="79"/>
        <v>0</v>
      </c>
      <c r="Q379" s="55" t="e">
        <f t="shared" si="80"/>
        <v>#VALUE!</v>
      </c>
      <c r="R379" s="55" t="e">
        <f t="shared" si="84"/>
        <v>#VALUE!</v>
      </c>
      <c r="S379" s="55" t="e">
        <f t="shared" si="81"/>
        <v>#VALUE!</v>
      </c>
      <c r="T379" s="50" t="e">
        <f t="shared" si="85"/>
        <v>#VALUE!</v>
      </c>
      <c r="U379" s="50" t="e">
        <f t="shared" si="86"/>
        <v>#VALUE!</v>
      </c>
      <c r="V379" s="50" t="e">
        <f t="shared" si="87"/>
        <v>#VALUE!</v>
      </c>
    </row>
    <row r="380" spans="2:22" x14ac:dyDescent="0.25">
      <c r="B380" s="50" t="b">
        <f t="shared" si="88"/>
        <v>0</v>
      </c>
      <c r="C380" s="50" t="e">
        <f t="shared" si="89"/>
        <v>#VALUE!</v>
      </c>
      <c r="E380" s="56">
        <v>376</v>
      </c>
      <c r="G380" s="138"/>
      <c r="H380" s="135">
        <v>1</v>
      </c>
      <c r="I380" s="58" t="e">
        <f t="shared" si="76"/>
        <v>#VALUE!</v>
      </c>
      <c r="J380" s="50" t="e">
        <f t="shared" si="82"/>
        <v>#VALUE!</v>
      </c>
      <c r="K380" s="50" t="e">
        <f t="shared" si="83"/>
        <v>#VALUE!</v>
      </c>
      <c r="L380" s="50" t="e">
        <f t="shared" si="83"/>
        <v>#VALUE!</v>
      </c>
      <c r="M380" s="50" t="e">
        <f t="shared" si="77"/>
        <v>#VALUE!</v>
      </c>
      <c r="N380" s="50" t="e">
        <f t="shared" si="78"/>
        <v>#VALUE!</v>
      </c>
      <c r="O380" s="50">
        <f t="shared" si="79"/>
        <v>0</v>
      </c>
      <c r="Q380" s="55" t="e">
        <f t="shared" si="80"/>
        <v>#VALUE!</v>
      </c>
      <c r="R380" s="55" t="e">
        <f t="shared" si="84"/>
        <v>#VALUE!</v>
      </c>
      <c r="S380" s="55" t="e">
        <f t="shared" si="81"/>
        <v>#VALUE!</v>
      </c>
      <c r="T380" s="50" t="e">
        <f t="shared" si="85"/>
        <v>#VALUE!</v>
      </c>
      <c r="U380" s="50" t="e">
        <f t="shared" si="86"/>
        <v>#VALUE!</v>
      </c>
      <c r="V380" s="50" t="e">
        <f t="shared" si="87"/>
        <v>#VALUE!</v>
      </c>
    </row>
    <row r="381" spans="2:22" x14ac:dyDescent="0.25">
      <c r="B381" s="50" t="b">
        <f t="shared" si="88"/>
        <v>0</v>
      </c>
      <c r="C381" s="50" t="e">
        <f t="shared" si="89"/>
        <v>#VALUE!</v>
      </c>
      <c r="E381" s="56">
        <v>377</v>
      </c>
      <c r="G381" s="138"/>
      <c r="H381" s="135">
        <v>1</v>
      </c>
      <c r="I381" s="58" t="e">
        <f t="shared" si="76"/>
        <v>#VALUE!</v>
      </c>
      <c r="J381" s="50" t="e">
        <f t="shared" si="82"/>
        <v>#VALUE!</v>
      </c>
      <c r="K381" s="50" t="e">
        <f t="shared" si="83"/>
        <v>#VALUE!</v>
      </c>
      <c r="L381" s="50" t="e">
        <f t="shared" si="83"/>
        <v>#VALUE!</v>
      </c>
      <c r="M381" s="50" t="e">
        <f t="shared" si="77"/>
        <v>#VALUE!</v>
      </c>
      <c r="N381" s="50" t="e">
        <f t="shared" si="78"/>
        <v>#VALUE!</v>
      </c>
      <c r="O381" s="50">
        <f t="shared" si="79"/>
        <v>0</v>
      </c>
      <c r="Q381" s="55" t="e">
        <f t="shared" si="80"/>
        <v>#VALUE!</v>
      </c>
      <c r="R381" s="55" t="e">
        <f t="shared" si="84"/>
        <v>#VALUE!</v>
      </c>
      <c r="S381" s="55" t="e">
        <f t="shared" si="81"/>
        <v>#VALUE!</v>
      </c>
      <c r="T381" s="50" t="e">
        <f t="shared" si="85"/>
        <v>#VALUE!</v>
      </c>
      <c r="U381" s="50" t="e">
        <f t="shared" si="86"/>
        <v>#VALUE!</v>
      </c>
      <c r="V381" s="50" t="e">
        <f t="shared" si="87"/>
        <v>#VALUE!</v>
      </c>
    </row>
    <row r="382" spans="2:22" x14ac:dyDescent="0.25">
      <c r="B382" s="50" t="b">
        <f t="shared" si="88"/>
        <v>0</v>
      </c>
      <c r="C382" s="50" t="e">
        <f t="shared" si="89"/>
        <v>#VALUE!</v>
      </c>
      <c r="E382" s="56">
        <v>378</v>
      </c>
      <c r="G382" s="138"/>
      <c r="H382" s="135">
        <v>1</v>
      </c>
      <c r="I382" s="58" t="e">
        <f t="shared" si="76"/>
        <v>#VALUE!</v>
      </c>
      <c r="J382" s="50" t="e">
        <f t="shared" si="82"/>
        <v>#VALUE!</v>
      </c>
      <c r="K382" s="50" t="e">
        <f t="shared" si="83"/>
        <v>#VALUE!</v>
      </c>
      <c r="L382" s="50" t="e">
        <f t="shared" si="83"/>
        <v>#VALUE!</v>
      </c>
      <c r="M382" s="50" t="e">
        <f t="shared" si="77"/>
        <v>#VALUE!</v>
      </c>
      <c r="N382" s="50" t="e">
        <f t="shared" si="78"/>
        <v>#VALUE!</v>
      </c>
      <c r="O382" s="50">
        <f t="shared" si="79"/>
        <v>0</v>
      </c>
      <c r="Q382" s="55" t="e">
        <f t="shared" si="80"/>
        <v>#VALUE!</v>
      </c>
      <c r="R382" s="55" t="e">
        <f t="shared" si="84"/>
        <v>#VALUE!</v>
      </c>
      <c r="S382" s="55" t="e">
        <f t="shared" si="81"/>
        <v>#VALUE!</v>
      </c>
      <c r="T382" s="50" t="e">
        <f t="shared" si="85"/>
        <v>#VALUE!</v>
      </c>
      <c r="U382" s="50" t="e">
        <f t="shared" si="86"/>
        <v>#VALUE!</v>
      </c>
      <c r="V382" s="50" t="e">
        <f t="shared" si="87"/>
        <v>#VALUE!</v>
      </c>
    </row>
    <row r="383" spans="2:22" x14ac:dyDescent="0.25">
      <c r="B383" s="50" t="b">
        <f t="shared" si="88"/>
        <v>0</v>
      </c>
      <c r="C383" s="50" t="e">
        <f t="shared" si="89"/>
        <v>#VALUE!</v>
      </c>
      <c r="E383" s="56">
        <v>379</v>
      </c>
      <c r="G383" s="138"/>
      <c r="H383" s="135">
        <v>1</v>
      </c>
      <c r="I383" s="58" t="e">
        <f t="shared" si="76"/>
        <v>#VALUE!</v>
      </c>
      <c r="J383" s="50" t="e">
        <f t="shared" si="82"/>
        <v>#VALUE!</v>
      </c>
      <c r="K383" s="50" t="e">
        <f t="shared" si="83"/>
        <v>#VALUE!</v>
      </c>
      <c r="L383" s="50" t="e">
        <f t="shared" si="83"/>
        <v>#VALUE!</v>
      </c>
      <c r="M383" s="50" t="e">
        <f t="shared" si="77"/>
        <v>#VALUE!</v>
      </c>
      <c r="N383" s="50" t="e">
        <f t="shared" si="78"/>
        <v>#VALUE!</v>
      </c>
      <c r="O383" s="50">
        <f t="shared" si="79"/>
        <v>0</v>
      </c>
      <c r="Q383" s="55" t="e">
        <f t="shared" si="80"/>
        <v>#VALUE!</v>
      </c>
      <c r="R383" s="55" t="e">
        <f t="shared" si="84"/>
        <v>#VALUE!</v>
      </c>
      <c r="S383" s="55" t="e">
        <f t="shared" si="81"/>
        <v>#VALUE!</v>
      </c>
      <c r="T383" s="50" t="e">
        <f t="shared" si="85"/>
        <v>#VALUE!</v>
      </c>
      <c r="U383" s="50" t="e">
        <f t="shared" si="86"/>
        <v>#VALUE!</v>
      </c>
      <c r="V383" s="50" t="e">
        <f t="shared" si="87"/>
        <v>#VALUE!</v>
      </c>
    </row>
    <row r="384" spans="2:22" x14ac:dyDescent="0.25">
      <c r="B384" s="50" t="b">
        <f t="shared" si="88"/>
        <v>0</v>
      </c>
      <c r="C384" s="50" t="e">
        <f t="shared" si="89"/>
        <v>#VALUE!</v>
      </c>
      <c r="E384" s="56">
        <v>380</v>
      </c>
      <c r="G384" s="138"/>
      <c r="H384" s="135">
        <v>1</v>
      </c>
      <c r="I384" s="58" t="e">
        <f t="shared" si="76"/>
        <v>#VALUE!</v>
      </c>
      <c r="J384" s="50" t="e">
        <f t="shared" si="82"/>
        <v>#VALUE!</v>
      </c>
      <c r="K384" s="50" t="e">
        <f t="shared" si="83"/>
        <v>#VALUE!</v>
      </c>
      <c r="L384" s="50" t="e">
        <f t="shared" si="83"/>
        <v>#VALUE!</v>
      </c>
      <c r="M384" s="50" t="e">
        <f t="shared" si="77"/>
        <v>#VALUE!</v>
      </c>
      <c r="N384" s="50" t="e">
        <f t="shared" si="78"/>
        <v>#VALUE!</v>
      </c>
      <c r="O384" s="50">
        <f t="shared" si="79"/>
        <v>0</v>
      </c>
      <c r="Q384" s="55" t="e">
        <f t="shared" si="80"/>
        <v>#VALUE!</v>
      </c>
      <c r="R384" s="55" t="e">
        <f t="shared" si="84"/>
        <v>#VALUE!</v>
      </c>
      <c r="S384" s="55" t="e">
        <f t="shared" si="81"/>
        <v>#VALUE!</v>
      </c>
      <c r="T384" s="50" t="e">
        <f t="shared" si="85"/>
        <v>#VALUE!</v>
      </c>
      <c r="U384" s="50" t="e">
        <f t="shared" si="86"/>
        <v>#VALUE!</v>
      </c>
      <c r="V384" s="50" t="e">
        <f t="shared" si="87"/>
        <v>#VALUE!</v>
      </c>
    </row>
    <row r="385" spans="2:22" x14ac:dyDescent="0.25">
      <c r="B385" s="50" t="b">
        <f t="shared" si="88"/>
        <v>0</v>
      </c>
      <c r="C385" s="50" t="e">
        <f t="shared" si="89"/>
        <v>#VALUE!</v>
      </c>
      <c r="E385" s="56">
        <v>381</v>
      </c>
      <c r="G385" s="138"/>
      <c r="H385" s="135">
        <v>1</v>
      </c>
      <c r="I385" s="58" t="e">
        <f t="shared" si="76"/>
        <v>#VALUE!</v>
      </c>
      <c r="J385" s="50" t="e">
        <f t="shared" si="82"/>
        <v>#VALUE!</v>
      </c>
      <c r="K385" s="50" t="e">
        <f t="shared" si="83"/>
        <v>#VALUE!</v>
      </c>
      <c r="L385" s="50" t="e">
        <f t="shared" si="83"/>
        <v>#VALUE!</v>
      </c>
      <c r="M385" s="50" t="e">
        <f t="shared" si="77"/>
        <v>#VALUE!</v>
      </c>
      <c r="N385" s="50" t="e">
        <f t="shared" si="78"/>
        <v>#VALUE!</v>
      </c>
      <c r="O385" s="50">
        <f t="shared" si="79"/>
        <v>0</v>
      </c>
      <c r="Q385" s="55" t="e">
        <f t="shared" si="80"/>
        <v>#VALUE!</v>
      </c>
      <c r="R385" s="55" t="e">
        <f t="shared" si="84"/>
        <v>#VALUE!</v>
      </c>
      <c r="S385" s="55" t="e">
        <f t="shared" si="81"/>
        <v>#VALUE!</v>
      </c>
      <c r="T385" s="50" t="e">
        <f t="shared" si="85"/>
        <v>#VALUE!</v>
      </c>
      <c r="U385" s="50" t="e">
        <f t="shared" si="86"/>
        <v>#VALUE!</v>
      </c>
      <c r="V385" s="50" t="e">
        <f t="shared" si="87"/>
        <v>#VALUE!</v>
      </c>
    </row>
    <row r="386" spans="2:22" x14ac:dyDescent="0.25">
      <c r="B386" s="50" t="b">
        <f t="shared" si="88"/>
        <v>0</v>
      </c>
      <c r="C386" s="50" t="e">
        <f t="shared" si="89"/>
        <v>#VALUE!</v>
      </c>
      <c r="E386" s="56">
        <v>382</v>
      </c>
      <c r="G386" s="138"/>
      <c r="H386" s="135">
        <v>1</v>
      </c>
      <c r="I386" s="58" t="e">
        <f t="shared" si="76"/>
        <v>#VALUE!</v>
      </c>
      <c r="J386" s="50" t="e">
        <f t="shared" si="82"/>
        <v>#VALUE!</v>
      </c>
      <c r="K386" s="50" t="e">
        <f t="shared" si="83"/>
        <v>#VALUE!</v>
      </c>
      <c r="L386" s="50" t="e">
        <f t="shared" si="83"/>
        <v>#VALUE!</v>
      </c>
      <c r="M386" s="50" t="e">
        <f t="shared" si="77"/>
        <v>#VALUE!</v>
      </c>
      <c r="N386" s="50" t="e">
        <f t="shared" si="78"/>
        <v>#VALUE!</v>
      </c>
      <c r="O386" s="50">
        <f t="shared" si="79"/>
        <v>0</v>
      </c>
      <c r="Q386" s="55" t="e">
        <f t="shared" si="80"/>
        <v>#VALUE!</v>
      </c>
      <c r="R386" s="55" t="e">
        <f t="shared" si="84"/>
        <v>#VALUE!</v>
      </c>
      <c r="S386" s="55" t="e">
        <f t="shared" si="81"/>
        <v>#VALUE!</v>
      </c>
      <c r="T386" s="50" t="e">
        <f t="shared" si="85"/>
        <v>#VALUE!</v>
      </c>
      <c r="U386" s="50" t="e">
        <f t="shared" si="86"/>
        <v>#VALUE!</v>
      </c>
      <c r="V386" s="50" t="e">
        <f t="shared" si="87"/>
        <v>#VALUE!</v>
      </c>
    </row>
    <row r="387" spans="2:22" x14ac:dyDescent="0.25">
      <c r="B387" s="50" t="b">
        <f t="shared" si="88"/>
        <v>0</v>
      </c>
      <c r="C387" s="50" t="e">
        <f t="shared" si="89"/>
        <v>#VALUE!</v>
      </c>
      <c r="E387" s="56">
        <v>383</v>
      </c>
      <c r="G387" s="138"/>
      <c r="H387" s="135">
        <v>1</v>
      </c>
      <c r="I387" s="58" t="e">
        <f t="shared" si="76"/>
        <v>#VALUE!</v>
      </c>
      <c r="J387" s="50" t="e">
        <f t="shared" si="82"/>
        <v>#VALUE!</v>
      </c>
      <c r="K387" s="50" t="e">
        <f t="shared" si="83"/>
        <v>#VALUE!</v>
      </c>
      <c r="L387" s="50" t="e">
        <f t="shared" si="83"/>
        <v>#VALUE!</v>
      </c>
      <c r="M387" s="50" t="e">
        <f t="shared" si="77"/>
        <v>#VALUE!</v>
      </c>
      <c r="N387" s="50" t="e">
        <f t="shared" si="78"/>
        <v>#VALUE!</v>
      </c>
      <c r="O387" s="50">
        <f t="shared" si="79"/>
        <v>0</v>
      </c>
      <c r="Q387" s="55" t="e">
        <f t="shared" si="80"/>
        <v>#VALUE!</v>
      </c>
      <c r="R387" s="55" t="e">
        <f t="shared" si="84"/>
        <v>#VALUE!</v>
      </c>
      <c r="S387" s="55" t="e">
        <f t="shared" si="81"/>
        <v>#VALUE!</v>
      </c>
      <c r="T387" s="50" t="e">
        <f t="shared" si="85"/>
        <v>#VALUE!</v>
      </c>
      <c r="U387" s="50" t="e">
        <f t="shared" si="86"/>
        <v>#VALUE!</v>
      </c>
      <c r="V387" s="50" t="e">
        <f t="shared" si="87"/>
        <v>#VALUE!</v>
      </c>
    </row>
    <row r="388" spans="2:22" x14ac:dyDescent="0.25">
      <c r="B388" s="50" t="b">
        <f t="shared" si="88"/>
        <v>0</v>
      </c>
      <c r="C388" s="50" t="e">
        <f t="shared" si="89"/>
        <v>#VALUE!</v>
      </c>
      <c r="E388" s="56">
        <v>384</v>
      </c>
      <c r="G388" s="138"/>
      <c r="H388" s="135">
        <v>1</v>
      </c>
      <c r="I388" s="58" t="e">
        <f t="shared" ref="I388:I451" si="90">RIGHT(G388,J388)</f>
        <v>#VALUE!</v>
      </c>
      <c r="J388" s="50" t="e">
        <f t="shared" si="82"/>
        <v>#VALUE!</v>
      </c>
      <c r="K388" s="50" t="e">
        <f t="shared" si="83"/>
        <v>#VALUE!</v>
      </c>
      <c r="L388" s="50" t="e">
        <f t="shared" si="83"/>
        <v>#VALUE!</v>
      </c>
      <c r="M388" s="50" t="e">
        <f t="shared" ref="M388:M451" si="91">SEARCH("-",G388,2)</f>
        <v>#VALUE!</v>
      </c>
      <c r="N388" s="50" t="e">
        <f t="shared" ref="N388:N451" si="92">SEARCH("-",G388,M388+1)</f>
        <v>#VALUE!</v>
      </c>
      <c r="O388" s="50">
        <f t="shared" ref="O388:O451" si="93">LEN(G388)</f>
        <v>0</v>
      </c>
      <c r="Q388" s="55" t="e">
        <f t="shared" ref="Q388:Q451" si="94">LEFT(G388,M388-1)</f>
        <v>#VALUE!</v>
      </c>
      <c r="R388" s="55" t="e">
        <f t="shared" si="84"/>
        <v>#VALUE!</v>
      </c>
      <c r="S388" s="55" t="e">
        <f t="shared" ref="S388:S451" si="95">RIGHT(G388,L388)</f>
        <v>#VALUE!</v>
      </c>
      <c r="T388" s="50" t="e">
        <f t="shared" si="85"/>
        <v>#VALUE!</v>
      </c>
      <c r="U388" s="50" t="e">
        <f t="shared" si="86"/>
        <v>#VALUE!</v>
      </c>
      <c r="V388" s="50" t="e">
        <f t="shared" si="87"/>
        <v>#VALUE!</v>
      </c>
    </row>
    <row r="389" spans="2:22" x14ac:dyDescent="0.25">
      <c r="B389" s="50" t="b">
        <f t="shared" si="88"/>
        <v>0</v>
      </c>
      <c r="C389" s="50" t="e">
        <f t="shared" si="89"/>
        <v>#VALUE!</v>
      </c>
      <c r="E389" s="56">
        <v>385</v>
      </c>
      <c r="G389" s="138"/>
      <c r="H389" s="135">
        <v>1</v>
      </c>
      <c r="I389" s="58" t="e">
        <f t="shared" si="90"/>
        <v>#VALUE!</v>
      </c>
      <c r="J389" s="50" t="e">
        <f t="shared" ref="J389:J452" si="96">O389-M389</f>
        <v>#VALUE!</v>
      </c>
      <c r="K389" s="50" t="e">
        <f t="shared" ref="K389:L452" si="97">N389-M389</f>
        <v>#VALUE!</v>
      </c>
      <c r="L389" s="50" t="e">
        <f t="shared" si="97"/>
        <v>#VALUE!</v>
      </c>
      <c r="M389" s="50" t="e">
        <f t="shared" si="91"/>
        <v>#VALUE!</v>
      </c>
      <c r="N389" s="50" t="e">
        <f t="shared" si="92"/>
        <v>#VALUE!</v>
      </c>
      <c r="O389" s="50">
        <f t="shared" si="93"/>
        <v>0</v>
      </c>
      <c r="Q389" s="55" t="e">
        <f t="shared" si="94"/>
        <v>#VALUE!</v>
      </c>
      <c r="R389" s="55" t="e">
        <f t="shared" ref="R389:R452" si="98">LEFT(I389,K389-1)</f>
        <v>#VALUE!</v>
      </c>
      <c r="S389" s="55" t="e">
        <f t="shared" si="95"/>
        <v>#VALUE!</v>
      </c>
      <c r="T389" s="50" t="e">
        <f t="shared" ref="T389:T452" si="99">Q389*1*$H389</f>
        <v>#VALUE!</v>
      </c>
      <c r="U389" s="50" t="e">
        <f t="shared" ref="U389:U452" si="100">R389*1*$H389</f>
        <v>#VALUE!</v>
      </c>
      <c r="V389" s="50" t="e">
        <f t="shared" ref="V389:V452" si="101">S389*1*$H389</f>
        <v>#VALUE!</v>
      </c>
    </row>
    <row r="390" spans="2:22" x14ac:dyDescent="0.25">
      <c r="B390" s="50" t="b">
        <f t="shared" si="88"/>
        <v>0</v>
      </c>
      <c r="C390" s="50" t="e">
        <f t="shared" si="89"/>
        <v>#VALUE!</v>
      </c>
      <c r="E390" s="56">
        <v>386</v>
      </c>
      <c r="G390" s="138"/>
      <c r="H390" s="135">
        <v>1</v>
      </c>
      <c r="I390" s="58" t="e">
        <f t="shared" si="90"/>
        <v>#VALUE!</v>
      </c>
      <c r="J390" s="50" t="e">
        <f t="shared" si="96"/>
        <v>#VALUE!</v>
      </c>
      <c r="K390" s="50" t="e">
        <f t="shared" si="97"/>
        <v>#VALUE!</v>
      </c>
      <c r="L390" s="50" t="e">
        <f t="shared" si="97"/>
        <v>#VALUE!</v>
      </c>
      <c r="M390" s="50" t="e">
        <f t="shared" si="91"/>
        <v>#VALUE!</v>
      </c>
      <c r="N390" s="50" t="e">
        <f t="shared" si="92"/>
        <v>#VALUE!</v>
      </c>
      <c r="O390" s="50">
        <f t="shared" si="93"/>
        <v>0</v>
      </c>
      <c r="Q390" s="55" t="e">
        <f t="shared" si="94"/>
        <v>#VALUE!</v>
      </c>
      <c r="R390" s="55" t="e">
        <f t="shared" si="98"/>
        <v>#VALUE!</v>
      </c>
      <c r="S390" s="55" t="e">
        <f t="shared" si="95"/>
        <v>#VALUE!</v>
      </c>
      <c r="T390" s="50" t="e">
        <f t="shared" si="99"/>
        <v>#VALUE!</v>
      </c>
      <c r="U390" s="50" t="e">
        <f t="shared" si="100"/>
        <v>#VALUE!</v>
      </c>
      <c r="V390" s="50" t="e">
        <f t="shared" si="101"/>
        <v>#VALUE!</v>
      </c>
    </row>
    <row r="391" spans="2:22" x14ac:dyDescent="0.25">
      <c r="B391" s="50" t="b">
        <f t="shared" si="88"/>
        <v>0</v>
      </c>
      <c r="C391" s="50" t="e">
        <f t="shared" si="89"/>
        <v>#VALUE!</v>
      </c>
      <c r="E391" s="56">
        <v>387</v>
      </c>
      <c r="G391" s="138"/>
      <c r="H391" s="135">
        <v>1</v>
      </c>
      <c r="I391" s="58" t="e">
        <f t="shared" si="90"/>
        <v>#VALUE!</v>
      </c>
      <c r="J391" s="50" t="e">
        <f t="shared" si="96"/>
        <v>#VALUE!</v>
      </c>
      <c r="K391" s="50" t="e">
        <f t="shared" si="97"/>
        <v>#VALUE!</v>
      </c>
      <c r="L391" s="50" t="e">
        <f t="shared" si="97"/>
        <v>#VALUE!</v>
      </c>
      <c r="M391" s="50" t="e">
        <f t="shared" si="91"/>
        <v>#VALUE!</v>
      </c>
      <c r="N391" s="50" t="e">
        <f t="shared" si="92"/>
        <v>#VALUE!</v>
      </c>
      <c r="O391" s="50">
        <f t="shared" si="93"/>
        <v>0</v>
      </c>
      <c r="Q391" s="55" t="e">
        <f t="shared" si="94"/>
        <v>#VALUE!</v>
      </c>
      <c r="R391" s="55" t="e">
        <f t="shared" si="98"/>
        <v>#VALUE!</v>
      </c>
      <c r="S391" s="55" t="e">
        <f t="shared" si="95"/>
        <v>#VALUE!</v>
      </c>
      <c r="T391" s="50" t="e">
        <f t="shared" si="99"/>
        <v>#VALUE!</v>
      </c>
      <c r="U391" s="50" t="e">
        <f t="shared" si="100"/>
        <v>#VALUE!</v>
      </c>
      <c r="V391" s="50" t="e">
        <f t="shared" si="101"/>
        <v>#VALUE!</v>
      </c>
    </row>
    <row r="392" spans="2:22" x14ac:dyDescent="0.25">
      <c r="B392" s="50" t="b">
        <f t="shared" si="88"/>
        <v>0</v>
      </c>
      <c r="C392" s="50" t="e">
        <f t="shared" si="89"/>
        <v>#VALUE!</v>
      </c>
      <c r="E392" s="56">
        <v>388</v>
      </c>
      <c r="G392" s="138"/>
      <c r="H392" s="135">
        <v>1</v>
      </c>
      <c r="I392" s="58" t="e">
        <f t="shared" si="90"/>
        <v>#VALUE!</v>
      </c>
      <c r="J392" s="50" t="e">
        <f t="shared" si="96"/>
        <v>#VALUE!</v>
      </c>
      <c r="K392" s="50" t="e">
        <f t="shared" si="97"/>
        <v>#VALUE!</v>
      </c>
      <c r="L392" s="50" t="e">
        <f t="shared" si="97"/>
        <v>#VALUE!</v>
      </c>
      <c r="M392" s="50" t="e">
        <f t="shared" si="91"/>
        <v>#VALUE!</v>
      </c>
      <c r="N392" s="50" t="e">
        <f t="shared" si="92"/>
        <v>#VALUE!</v>
      </c>
      <c r="O392" s="50">
        <f t="shared" si="93"/>
        <v>0</v>
      </c>
      <c r="Q392" s="55" t="e">
        <f t="shared" si="94"/>
        <v>#VALUE!</v>
      </c>
      <c r="R392" s="55" t="e">
        <f t="shared" si="98"/>
        <v>#VALUE!</v>
      </c>
      <c r="S392" s="55" t="e">
        <f t="shared" si="95"/>
        <v>#VALUE!</v>
      </c>
      <c r="T392" s="50" t="e">
        <f t="shared" si="99"/>
        <v>#VALUE!</v>
      </c>
      <c r="U392" s="50" t="e">
        <f t="shared" si="100"/>
        <v>#VALUE!</v>
      </c>
      <c r="V392" s="50" t="e">
        <f t="shared" si="101"/>
        <v>#VALUE!</v>
      </c>
    </row>
    <row r="393" spans="2:22" x14ac:dyDescent="0.25">
      <c r="B393" s="50" t="b">
        <f t="shared" si="88"/>
        <v>0</v>
      </c>
      <c r="C393" s="50" t="e">
        <f t="shared" si="89"/>
        <v>#VALUE!</v>
      </c>
      <c r="E393" s="56">
        <v>389</v>
      </c>
      <c r="G393" s="138"/>
      <c r="H393" s="135">
        <v>1</v>
      </c>
      <c r="I393" s="58" t="e">
        <f t="shared" si="90"/>
        <v>#VALUE!</v>
      </c>
      <c r="J393" s="50" t="e">
        <f t="shared" si="96"/>
        <v>#VALUE!</v>
      </c>
      <c r="K393" s="50" t="e">
        <f t="shared" si="97"/>
        <v>#VALUE!</v>
      </c>
      <c r="L393" s="50" t="e">
        <f t="shared" si="97"/>
        <v>#VALUE!</v>
      </c>
      <c r="M393" s="50" t="e">
        <f t="shared" si="91"/>
        <v>#VALUE!</v>
      </c>
      <c r="N393" s="50" t="e">
        <f t="shared" si="92"/>
        <v>#VALUE!</v>
      </c>
      <c r="O393" s="50">
        <f t="shared" si="93"/>
        <v>0</v>
      </c>
      <c r="Q393" s="55" t="e">
        <f t="shared" si="94"/>
        <v>#VALUE!</v>
      </c>
      <c r="R393" s="55" t="e">
        <f t="shared" si="98"/>
        <v>#VALUE!</v>
      </c>
      <c r="S393" s="55" t="e">
        <f t="shared" si="95"/>
        <v>#VALUE!</v>
      </c>
      <c r="T393" s="50" t="e">
        <f t="shared" si="99"/>
        <v>#VALUE!</v>
      </c>
      <c r="U393" s="50" t="e">
        <f t="shared" si="100"/>
        <v>#VALUE!</v>
      </c>
      <c r="V393" s="50" t="e">
        <f t="shared" si="101"/>
        <v>#VALUE!</v>
      </c>
    </row>
    <row r="394" spans="2:22" x14ac:dyDescent="0.25">
      <c r="B394" s="50" t="b">
        <f t="shared" si="88"/>
        <v>0</v>
      </c>
      <c r="C394" s="50" t="e">
        <f t="shared" si="89"/>
        <v>#VALUE!</v>
      </c>
      <c r="E394" s="56">
        <v>390</v>
      </c>
      <c r="G394" s="138"/>
      <c r="H394" s="135">
        <v>1</v>
      </c>
      <c r="I394" s="58" t="e">
        <f t="shared" si="90"/>
        <v>#VALUE!</v>
      </c>
      <c r="J394" s="50" t="e">
        <f t="shared" si="96"/>
        <v>#VALUE!</v>
      </c>
      <c r="K394" s="50" t="e">
        <f t="shared" si="97"/>
        <v>#VALUE!</v>
      </c>
      <c r="L394" s="50" t="e">
        <f t="shared" si="97"/>
        <v>#VALUE!</v>
      </c>
      <c r="M394" s="50" t="e">
        <f t="shared" si="91"/>
        <v>#VALUE!</v>
      </c>
      <c r="N394" s="50" t="e">
        <f t="shared" si="92"/>
        <v>#VALUE!</v>
      </c>
      <c r="O394" s="50">
        <f t="shared" si="93"/>
        <v>0</v>
      </c>
      <c r="Q394" s="55" t="e">
        <f t="shared" si="94"/>
        <v>#VALUE!</v>
      </c>
      <c r="R394" s="55" t="e">
        <f t="shared" si="98"/>
        <v>#VALUE!</v>
      </c>
      <c r="S394" s="55" t="e">
        <f t="shared" si="95"/>
        <v>#VALUE!</v>
      </c>
      <c r="T394" s="50" t="e">
        <f t="shared" si="99"/>
        <v>#VALUE!</v>
      </c>
      <c r="U394" s="50" t="e">
        <f t="shared" si="100"/>
        <v>#VALUE!</v>
      </c>
      <c r="V394" s="50" t="e">
        <f t="shared" si="101"/>
        <v>#VALUE!</v>
      </c>
    </row>
    <row r="395" spans="2:22" x14ac:dyDescent="0.25">
      <c r="B395" s="50" t="b">
        <f t="shared" si="88"/>
        <v>0</v>
      </c>
      <c r="C395" s="50" t="e">
        <f t="shared" si="89"/>
        <v>#VALUE!</v>
      </c>
      <c r="E395" s="56">
        <v>391</v>
      </c>
      <c r="G395" s="138"/>
      <c r="H395" s="135">
        <v>1</v>
      </c>
      <c r="I395" s="58" t="e">
        <f t="shared" si="90"/>
        <v>#VALUE!</v>
      </c>
      <c r="J395" s="50" t="e">
        <f t="shared" si="96"/>
        <v>#VALUE!</v>
      </c>
      <c r="K395" s="50" t="e">
        <f t="shared" si="97"/>
        <v>#VALUE!</v>
      </c>
      <c r="L395" s="50" t="e">
        <f t="shared" si="97"/>
        <v>#VALUE!</v>
      </c>
      <c r="M395" s="50" t="e">
        <f t="shared" si="91"/>
        <v>#VALUE!</v>
      </c>
      <c r="N395" s="50" t="e">
        <f t="shared" si="92"/>
        <v>#VALUE!</v>
      </c>
      <c r="O395" s="50">
        <f t="shared" si="93"/>
        <v>0</v>
      </c>
      <c r="Q395" s="55" t="e">
        <f t="shared" si="94"/>
        <v>#VALUE!</v>
      </c>
      <c r="R395" s="55" t="e">
        <f t="shared" si="98"/>
        <v>#VALUE!</v>
      </c>
      <c r="S395" s="55" t="e">
        <f t="shared" si="95"/>
        <v>#VALUE!</v>
      </c>
      <c r="T395" s="50" t="e">
        <f t="shared" si="99"/>
        <v>#VALUE!</v>
      </c>
      <c r="U395" s="50" t="e">
        <f t="shared" si="100"/>
        <v>#VALUE!</v>
      </c>
      <c r="V395" s="50" t="e">
        <f t="shared" si="101"/>
        <v>#VALUE!</v>
      </c>
    </row>
    <row r="396" spans="2:22" x14ac:dyDescent="0.25">
      <c r="B396" s="50" t="b">
        <f t="shared" si="88"/>
        <v>0</v>
      </c>
      <c r="C396" s="50" t="e">
        <f t="shared" si="89"/>
        <v>#VALUE!</v>
      </c>
      <c r="E396" s="56">
        <v>392</v>
      </c>
      <c r="G396" s="138"/>
      <c r="H396" s="135">
        <v>1</v>
      </c>
      <c r="I396" s="58" t="e">
        <f t="shared" si="90"/>
        <v>#VALUE!</v>
      </c>
      <c r="J396" s="50" t="e">
        <f t="shared" si="96"/>
        <v>#VALUE!</v>
      </c>
      <c r="K396" s="50" t="e">
        <f t="shared" si="97"/>
        <v>#VALUE!</v>
      </c>
      <c r="L396" s="50" t="e">
        <f t="shared" si="97"/>
        <v>#VALUE!</v>
      </c>
      <c r="M396" s="50" t="e">
        <f t="shared" si="91"/>
        <v>#VALUE!</v>
      </c>
      <c r="N396" s="50" t="e">
        <f t="shared" si="92"/>
        <v>#VALUE!</v>
      </c>
      <c r="O396" s="50">
        <f t="shared" si="93"/>
        <v>0</v>
      </c>
      <c r="Q396" s="55" t="e">
        <f t="shared" si="94"/>
        <v>#VALUE!</v>
      </c>
      <c r="R396" s="55" t="e">
        <f t="shared" si="98"/>
        <v>#VALUE!</v>
      </c>
      <c r="S396" s="55" t="e">
        <f t="shared" si="95"/>
        <v>#VALUE!</v>
      </c>
      <c r="T396" s="50" t="e">
        <f t="shared" si="99"/>
        <v>#VALUE!</v>
      </c>
      <c r="U396" s="50" t="e">
        <f t="shared" si="100"/>
        <v>#VALUE!</v>
      </c>
      <c r="V396" s="50" t="e">
        <f t="shared" si="101"/>
        <v>#VALUE!</v>
      </c>
    </row>
    <row r="397" spans="2:22" x14ac:dyDescent="0.25">
      <c r="B397" s="50" t="b">
        <f t="shared" si="88"/>
        <v>0</v>
      </c>
      <c r="C397" s="50" t="e">
        <f t="shared" si="89"/>
        <v>#VALUE!</v>
      </c>
      <c r="E397" s="56">
        <v>393</v>
      </c>
      <c r="G397" s="138"/>
      <c r="H397" s="135">
        <v>1</v>
      </c>
      <c r="I397" s="58" t="e">
        <f t="shared" si="90"/>
        <v>#VALUE!</v>
      </c>
      <c r="J397" s="50" t="e">
        <f t="shared" si="96"/>
        <v>#VALUE!</v>
      </c>
      <c r="K397" s="50" t="e">
        <f t="shared" si="97"/>
        <v>#VALUE!</v>
      </c>
      <c r="L397" s="50" t="e">
        <f t="shared" si="97"/>
        <v>#VALUE!</v>
      </c>
      <c r="M397" s="50" t="e">
        <f t="shared" si="91"/>
        <v>#VALUE!</v>
      </c>
      <c r="N397" s="50" t="e">
        <f t="shared" si="92"/>
        <v>#VALUE!</v>
      </c>
      <c r="O397" s="50">
        <f t="shared" si="93"/>
        <v>0</v>
      </c>
      <c r="Q397" s="55" t="e">
        <f t="shared" si="94"/>
        <v>#VALUE!</v>
      </c>
      <c r="R397" s="55" t="e">
        <f t="shared" si="98"/>
        <v>#VALUE!</v>
      </c>
      <c r="S397" s="55" t="e">
        <f t="shared" si="95"/>
        <v>#VALUE!</v>
      </c>
      <c r="T397" s="50" t="e">
        <f t="shared" si="99"/>
        <v>#VALUE!</v>
      </c>
      <c r="U397" s="50" t="e">
        <f t="shared" si="100"/>
        <v>#VALUE!</v>
      </c>
      <c r="V397" s="50" t="e">
        <f t="shared" si="101"/>
        <v>#VALUE!</v>
      </c>
    </row>
    <row r="398" spans="2:22" x14ac:dyDescent="0.25">
      <c r="B398" s="50" t="b">
        <f t="shared" ref="B398:B461" si="102">ISNUMBER(C398)</f>
        <v>0</v>
      </c>
      <c r="C398" s="50" t="e">
        <f t="shared" si="89"/>
        <v>#VALUE!</v>
      </c>
      <c r="E398" s="56">
        <v>394</v>
      </c>
      <c r="G398" s="138"/>
      <c r="H398" s="135">
        <v>1</v>
      </c>
      <c r="I398" s="58" t="e">
        <f t="shared" si="90"/>
        <v>#VALUE!</v>
      </c>
      <c r="J398" s="50" t="e">
        <f t="shared" si="96"/>
        <v>#VALUE!</v>
      </c>
      <c r="K398" s="50" t="e">
        <f t="shared" si="97"/>
        <v>#VALUE!</v>
      </c>
      <c r="L398" s="50" t="e">
        <f t="shared" si="97"/>
        <v>#VALUE!</v>
      </c>
      <c r="M398" s="50" t="e">
        <f t="shared" si="91"/>
        <v>#VALUE!</v>
      </c>
      <c r="N398" s="50" t="e">
        <f t="shared" si="92"/>
        <v>#VALUE!</v>
      </c>
      <c r="O398" s="50">
        <f t="shared" si="93"/>
        <v>0</v>
      </c>
      <c r="Q398" s="55" t="e">
        <f t="shared" si="94"/>
        <v>#VALUE!</v>
      </c>
      <c r="R398" s="55" t="e">
        <f t="shared" si="98"/>
        <v>#VALUE!</v>
      </c>
      <c r="S398" s="55" t="e">
        <f t="shared" si="95"/>
        <v>#VALUE!</v>
      </c>
      <c r="T398" s="50" t="e">
        <f t="shared" si="99"/>
        <v>#VALUE!</v>
      </c>
      <c r="U398" s="50" t="e">
        <f t="shared" si="100"/>
        <v>#VALUE!</v>
      </c>
      <c r="V398" s="50" t="e">
        <f t="shared" si="101"/>
        <v>#VALUE!</v>
      </c>
    </row>
    <row r="399" spans="2:22" x14ac:dyDescent="0.25">
      <c r="B399" s="50" t="b">
        <f t="shared" si="102"/>
        <v>0</v>
      </c>
      <c r="C399" s="50" t="e">
        <f t="shared" si="89"/>
        <v>#VALUE!</v>
      </c>
      <c r="E399" s="56">
        <v>395</v>
      </c>
      <c r="G399" s="138"/>
      <c r="H399" s="135">
        <v>1</v>
      </c>
      <c r="I399" s="58" t="e">
        <f t="shared" si="90"/>
        <v>#VALUE!</v>
      </c>
      <c r="J399" s="50" t="e">
        <f t="shared" si="96"/>
        <v>#VALUE!</v>
      </c>
      <c r="K399" s="50" t="e">
        <f t="shared" si="97"/>
        <v>#VALUE!</v>
      </c>
      <c r="L399" s="50" t="e">
        <f t="shared" si="97"/>
        <v>#VALUE!</v>
      </c>
      <c r="M399" s="50" t="e">
        <f t="shared" si="91"/>
        <v>#VALUE!</v>
      </c>
      <c r="N399" s="50" t="e">
        <f t="shared" si="92"/>
        <v>#VALUE!</v>
      </c>
      <c r="O399" s="50">
        <f t="shared" si="93"/>
        <v>0</v>
      </c>
      <c r="Q399" s="55" t="e">
        <f t="shared" si="94"/>
        <v>#VALUE!</v>
      </c>
      <c r="R399" s="55" t="e">
        <f t="shared" si="98"/>
        <v>#VALUE!</v>
      </c>
      <c r="S399" s="55" t="e">
        <f t="shared" si="95"/>
        <v>#VALUE!</v>
      </c>
      <c r="T399" s="50" t="e">
        <f t="shared" si="99"/>
        <v>#VALUE!</v>
      </c>
      <c r="U399" s="50" t="e">
        <f t="shared" si="100"/>
        <v>#VALUE!</v>
      </c>
      <c r="V399" s="50" t="e">
        <f t="shared" si="101"/>
        <v>#VALUE!</v>
      </c>
    </row>
    <row r="400" spans="2:22" x14ac:dyDescent="0.25">
      <c r="B400" s="50" t="b">
        <f t="shared" si="102"/>
        <v>0</v>
      </c>
      <c r="C400" s="50" t="e">
        <f t="shared" si="89"/>
        <v>#VALUE!</v>
      </c>
      <c r="E400" s="56">
        <v>396</v>
      </c>
      <c r="G400" s="138"/>
      <c r="H400" s="135">
        <v>1</v>
      </c>
      <c r="I400" s="58" t="e">
        <f t="shared" si="90"/>
        <v>#VALUE!</v>
      </c>
      <c r="J400" s="50" t="e">
        <f t="shared" si="96"/>
        <v>#VALUE!</v>
      </c>
      <c r="K400" s="50" t="e">
        <f t="shared" si="97"/>
        <v>#VALUE!</v>
      </c>
      <c r="L400" s="50" t="e">
        <f t="shared" si="97"/>
        <v>#VALUE!</v>
      </c>
      <c r="M400" s="50" t="e">
        <f t="shared" si="91"/>
        <v>#VALUE!</v>
      </c>
      <c r="N400" s="50" t="e">
        <f t="shared" si="92"/>
        <v>#VALUE!</v>
      </c>
      <c r="O400" s="50">
        <f t="shared" si="93"/>
        <v>0</v>
      </c>
      <c r="Q400" s="55" t="e">
        <f t="shared" si="94"/>
        <v>#VALUE!</v>
      </c>
      <c r="R400" s="55" t="e">
        <f t="shared" si="98"/>
        <v>#VALUE!</v>
      </c>
      <c r="S400" s="55" t="e">
        <f t="shared" si="95"/>
        <v>#VALUE!</v>
      </c>
      <c r="T400" s="50" t="e">
        <f t="shared" si="99"/>
        <v>#VALUE!</v>
      </c>
      <c r="U400" s="50" t="e">
        <f t="shared" si="100"/>
        <v>#VALUE!</v>
      </c>
      <c r="V400" s="50" t="e">
        <f t="shared" si="101"/>
        <v>#VALUE!</v>
      </c>
    </row>
    <row r="401" spans="2:22" x14ac:dyDescent="0.25">
      <c r="B401" s="50" t="b">
        <f t="shared" si="102"/>
        <v>0</v>
      </c>
      <c r="C401" s="50" t="e">
        <f t="shared" si="89"/>
        <v>#VALUE!</v>
      </c>
      <c r="E401" s="56">
        <v>397</v>
      </c>
      <c r="G401" s="138"/>
      <c r="H401" s="135">
        <v>1</v>
      </c>
      <c r="I401" s="58" t="e">
        <f t="shared" si="90"/>
        <v>#VALUE!</v>
      </c>
      <c r="J401" s="50" t="e">
        <f t="shared" si="96"/>
        <v>#VALUE!</v>
      </c>
      <c r="K401" s="50" t="e">
        <f t="shared" si="97"/>
        <v>#VALUE!</v>
      </c>
      <c r="L401" s="50" t="e">
        <f t="shared" si="97"/>
        <v>#VALUE!</v>
      </c>
      <c r="M401" s="50" t="e">
        <f t="shared" si="91"/>
        <v>#VALUE!</v>
      </c>
      <c r="N401" s="50" t="e">
        <f t="shared" si="92"/>
        <v>#VALUE!</v>
      </c>
      <c r="O401" s="50">
        <f t="shared" si="93"/>
        <v>0</v>
      </c>
      <c r="Q401" s="55" t="e">
        <f t="shared" si="94"/>
        <v>#VALUE!</v>
      </c>
      <c r="R401" s="55" t="e">
        <f t="shared" si="98"/>
        <v>#VALUE!</v>
      </c>
      <c r="S401" s="55" t="e">
        <f t="shared" si="95"/>
        <v>#VALUE!</v>
      </c>
      <c r="T401" s="50" t="e">
        <f t="shared" si="99"/>
        <v>#VALUE!</v>
      </c>
      <c r="U401" s="50" t="e">
        <f t="shared" si="100"/>
        <v>#VALUE!</v>
      </c>
      <c r="V401" s="50" t="e">
        <f t="shared" si="101"/>
        <v>#VALUE!</v>
      </c>
    </row>
    <row r="402" spans="2:22" x14ac:dyDescent="0.25">
      <c r="B402" s="50" t="b">
        <f t="shared" si="102"/>
        <v>0</v>
      </c>
      <c r="C402" s="50" t="e">
        <f t="shared" si="89"/>
        <v>#VALUE!</v>
      </c>
      <c r="E402" s="56">
        <v>398</v>
      </c>
      <c r="G402" s="138"/>
      <c r="H402" s="135">
        <v>1</v>
      </c>
      <c r="I402" s="58" t="e">
        <f t="shared" si="90"/>
        <v>#VALUE!</v>
      </c>
      <c r="J402" s="50" t="e">
        <f t="shared" si="96"/>
        <v>#VALUE!</v>
      </c>
      <c r="K402" s="50" t="e">
        <f t="shared" si="97"/>
        <v>#VALUE!</v>
      </c>
      <c r="L402" s="50" t="e">
        <f t="shared" si="97"/>
        <v>#VALUE!</v>
      </c>
      <c r="M402" s="50" t="e">
        <f t="shared" si="91"/>
        <v>#VALUE!</v>
      </c>
      <c r="N402" s="50" t="e">
        <f t="shared" si="92"/>
        <v>#VALUE!</v>
      </c>
      <c r="O402" s="50">
        <f t="shared" si="93"/>
        <v>0</v>
      </c>
      <c r="Q402" s="55" t="e">
        <f t="shared" si="94"/>
        <v>#VALUE!</v>
      </c>
      <c r="R402" s="55" t="e">
        <f t="shared" si="98"/>
        <v>#VALUE!</v>
      </c>
      <c r="S402" s="55" t="e">
        <f t="shared" si="95"/>
        <v>#VALUE!</v>
      </c>
      <c r="T402" s="50" t="e">
        <f t="shared" si="99"/>
        <v>#VALUE!</v>
      </c>
      <c r="U402" s="50" t="e">
        <f t="shared" si="100"/>
        <v>#VALUE!</v>
      </c>
      <c r="V402" s="50" t="e">
        <f t="shared" si="101"/>
        <v>#VALUE!</v>
      </c>
    </row>
    <row r="403" spans="2:22" x14ac:dyDescent="0.25">
      <c r="B403" s="50" t="b">
        <f t="shared" si="102"/>
        <v>0</v>
      </c>
      <c r="C403" s="50" t="e">
        <f t="shared" si="89"/>
        <v>#VALUE!</v>
      </c>
      <c r="E403" s="56">
        <v>399</v>
      </c>
      <c r="G403" s="138"/>
      <c r="H403" s="135">
        <v>1</v>
      </c>
      <c r="I403" s="58" t="e">
        <f t="shared" si="90"/>
        <v>#VALUE!</v>
      </c>
      <c r="J403" s="50" t="e">
        <f t="shared" si="96"/>
        <v>#VALUE!</v>
      </c>
      <c r="K403" s="50" t="e">
        <f t="shared" si="97"/>
        <v>#VALUE!</v>
      </c>
      <c r="L403" s="50" t="e">
        <f t="shared" si="97"/>
        <v>#VALUE!</v>
      </c>
      <c r="M403" s="50" t="e">
        <f t="shared" si="91"/>
        <v>#VALUE!</v>
      </c>
      <c r="N403" s="50" t="e">
        <f t="shared" si="92"/>
        <v>#VALUE!</v>
      </c>
      <c r="O403" s="50">
        <f t="shared" si="93"/>
        <v>0</v>
      </c>
      <c r="Q403" s="55" t="e">
        <f t="shared" si="94"/>
        <v>#VALUE!</v>
      </c>
      <c r="R403" s="55" t="e">
        <f t="shared" si="98"/>
        <v>#VALUE!</v>
      </c>
      <c r="S403" s="55" t="e">
        <f t="shared" si="95"/>
        <v>#VALUE!</v>
      </c>
      <c r="T403" s="50" t="e">
        <f t="shared" si="99"/>
        <v>#VALUE!</v>
      </c>
      <c r="U403" s="50" t="e">
        <f t="shared" si="100"/>
        <v>#VALUE!</v>
      </c>
      <c r="V403" s="50" t="e">
        <f t="shared" si="101"/>
        <v>#VALUE!</v>
      </c>
    </row>
    <row r="404" spans="2:22" x14ac:dyDescent="0.25">
      <c r="B404" s="50" t="b">
        <f t="shared" si="102"/>
        <v>0</v>
      </c>
      <c r="C404" s="50" t="e">
        <f t="shared" si="89"/>
        <v>#VALUE!</v>
      </c>
      <c r="E404" s="56">
        <v>400</v>
      </c>
      <c r="G404" s="138"/>
      <c r="H404" s="135">
        <v>1</v>
      </c>
      <c r="I404" s="58" t="e">
        <f t="shared" si="90"/>
        <v>#VALUE!</v>
      </c>
      <c r="J404" s="50" t="e">
        <f t="shared" si="96"/>
        <v>#VALUE!</v>
      </c>
      <c r="K404" s="50" t="e">
        <f t="shared" si="97"/>
        <v>#VALUE!</v>
      </c>
      <c r="L404" s="50" t="e">
        <f t="shared" si="97"/>
        <v>#VALUE!</v>
      </c>
      <c r="M404" s="50" t="e">
        <f t="shared" si="91"/>
        <v>#VALUE!</v>
      </c>
      <c r="N404" s="50" t="e">
        <f t="shared" si="92"/>
        <v>#VALUE!</v>
      </c>
      <c r="O404" s="50">
        <f t="shared" si="93"/>
        <v>0</v>
      </c>
      <c r="Q404" s="55" t="e">
        <f t="shared" si="94"/>
        <v>#VALUE!</v>
      </c>
      <c r="R404" s="55" t="e">
        <f t="shared" si="98"/>
        <v>#VALUE!</v>
      </c>
      <c r="S404" s="55" t="e">
        <f t="shared" si="95"/>
        <v>#VALUE!</v>
      </c>
      <c r="T404" s="50" t="e">
        <f t="shared" si="99"/>
        <v>#VALUE!</v>
      </c>
      <c r="U404" s="50" t="e">
        <f t="shared" si="100"/>
        <v>#VALUE!</v>
      </c>
      <c r="V404" s="50" t="e">
        <f t="shared" si="101"/>
        <v>#VALUE!</v>
      </c>
    </row>
    <row r="405" spans="2:22" x14ac:dyDescent="0.25">
      <c r="B405" s="50" t="b">
        <f t="shared" si="102"/>
        <v>0</v>
      </c>
      <c r="C405" s="50" t="e">
        <f t="shared" si="89"/>
        <v>#VALUE!</v>
      </c>
      <c r="E405" s="56">
        <v>401</v>
      </c>
      <c r="G405" s="138"/>
      <c r="H405" s="135">
        <v>1</v>
      </c>
      <c r="I405" s="58" t="e">
        <f t="shared" si="90"/>
        <v>#VALUE!</v>
      </c>
      <c r="J405" s="50" t="e">
        <f t="shared" si="96"/>
        <v>#VALUE!</v>
      </c>
      <c r="K405" s="50" t="e">
        <f t="shared" si="97"/>
        <v>#VALUE!</v>
      </c>
      <c r="L405" s="50" t="e">
        <f t="shared" si="97"/>
        <v>#VALUE!</v>
      </c>
      <c r="M405" s="50" t="e">
        <f t="shared" si="91"/>
        <v>#VALUE!</v>
      </c>
      <c r="N405" s="50" t="e">
        <f t="shared" si="92"/>
        <v>#VALUE!</v>
      </c>
      <c r="O405" s="50">
        <f t="shared" si="93"/>
        <v>0</v>
      </c>
      <c r="Q405" s="55" t="e">
        <f t="shared" si="94"/>
        <v>#VALUE!</v>
      </c>
      <c r="R405" s="55" t="e">
        <f t="shared" si="98"/>
        <v>#VALUE!</v>
      </c>
      <c r="S405" s="55" t="e">
        <f t="shared" si="95"/>
        <v>#VALUE!</v>
      </c>
      <c r="T405" s="50" t="e">
        <f t="shared" si="99"/>
        <v>#VALUE!</v>
      </c>
      <c r="U405" s="50" t="e">
        <f t="shared" si="100"/>
        <v>#VALUE!</v>
      </c>
      <c r="V405" s="50" t="e">
        <f t="shared" si="101"/>
        <v>#VALUE!</v>
      </c>
    </row>
    <row r="406" spans="2:22" x14ac:dyDescent="0.25">
      <c r="B406" s="50" t="b">
        <f t="shared" si="102"/>
        <v>0</v>
      </c>
      <c r="C406" s="50" t="e">
        <f t="shared" si="89"/>
        <v>#VALUE!</v>
      </c>
      <c r="E406" s="56">
        <v>402</v>
      </c>
      <c r="G406" s="138"/>
      <c r="H406" s="135">
        <v>1</v>
      </c>
      <c r="I406" s="58" t="e">
        <f t="shared" si="90"/>
        <v>#VALUE!</v>
      </c>
      <c r="J406" s="50" t="e">
        <f t="shared" si="96"/>
        <v>#VALUE!</v>
      </c>
      <c r="K406" s="50" t="e">
        <f t="shared" si="97"/>
        <v>#VALUE!</v>
      </c>
      <c r="L406" s="50" t="e">
        <f t="shared" si="97"/>
        <v>#VALUE!</v>
      </c>
      <c r="M406" s="50" t="e">
        <f t="shared" si="91"/>
        <v>#VALUE!</v>
      </c>
      <c r="N406" s="50" t="e">
        <f t="shared" si="92"/>
        <v>#VALUE!</v>
      </c>
      <c r="O406" s="50">
        <f t="shared" si="93"/>
        <v>0</v>
      </c>
      <c r="Q406" s="55" t="e">
        <f t="shared" si="94"/>
        <v>#VALUE!</v>
      </c>
      <c r="R406" s="55" t="e">
        <f t="shared" si="98"/>
        <v>#VALUE!</v>
      </c>
      <c r="S406" s="55" t="e">
        <f t="shared" si="95"/>
        <v>#VALUE!</v>
      </c>
      <c r="T406" s="50" t="e">
        <f t="shared" si="99"/>
        <v>#VALUE!</v>
      </c>
      <c r="U406" s="50" t="e">
        <f t="shared" si="100"/>
        <v>#VALUE!</v>
      </c>
      <c r="V406" s="50" t="e">
        <f t="shared" si="101"/>
        <v>#VALUE!</v>
      </c>
    </row>
    <row r="407" spans="2:22" x14ac:dyDescent="0.25">
      <c r="B407" s="50" t="b">
        <f t="shared" si="102"/>
        <v>0</v>
      </c>
      <c r="C407" s="50" t="e">
        <f t="shared" si="89"/>
        <v>#VALUE!</v>
      </c>
      <c r="E407" s="56">
        <v>403</v>
      </c>
      <c r="G407" s="138"/>
      <c r="H407" s="135">
        <v>1</v>
      </c>
      <c r="I407" s="58" t="e">
        <f t="shared" si="90"/>
        <v>#VALUE!</v>
      </c>
      <c r="J407" s="50" t="e">
        <f t="shared" si="96"/>
        <v>#VALUE!</v>
      </c>
      <c r="K407" s="50" t="e">
        <f t="shared" si="97"/>
        <v>#VALUE!</v>
      </c>
      <c r="L407" s="50" t="e">
        <f t="shared" si="97"/>
        <v>#VALUE!</v>
      </c>
      <c r="M407" s="50" t="e">
        <f t="shared" si="91"/>
        <v>#VALUE!</v>
      </c>
      <c r="N407" s="50" t="e">
        <f t="shared" si="92"/>
        <v>#VALUE!</v>
      </c>
      <c r="O407" s="50">
        <f t="shared" si="93"/>
        <v>0</v>
      </c>
      <c r="Q407" s="55" t="e">
        <f t="shared" si="94"/>
        <v>#VALUE!</v>
      </c>
      <c r="R407" s="55" t="e">
        <f t="shared" si="98"/>
        <v>#VALUE!</v>
      </c>
      <c r="S407" s="55" t="e">
        <f t="shared" si="95"/>
        <v>#VALUE!</v>
      </c>
      <c r="T407" s="50" t="e">
        <f t="shared" si="99"/>
        <v>#VALUE!</v>
      </c>
      <c r="U407" s="50" t="e">
        <f t="shared" si="100"/>
        <v>#VALUE!</v>
      </c>
      <c r="V407" s="50" t="e">
        <f t="shared" si="101"/>
        <v>#VALUE!</v>
      </c>
    </row>
    <row r="408" spans="2:22" x14ac:dyDescent="0.25">
      <c r="B408" s="50" t="b">
        <f t="shared" si="102"/>
        <v>0</v>
      </c>
      <c r="C408" s="50" t="e">
        <f t="shared" si="89"/>
        <v>#VALUE!</v>
      </c>
      <c r="E408" s="56">
        <v>404</v>
      </c>
      <c r="G408" s="138"/>
      <c r="H408" s="135">
        <v>1</v>
      </c>
      <c r="I408" s="58" t="e">
        <f t="shared" si="90"/>
        <v>#VALUE!</v>
      </c>
      <c r="J408" s="50" t="e">
        <f t="shared" si="96"/>
        <v>#VALUE!</v>
      </c>
      <c r="K408" s="50" t="e">
        <f t="shared" si="97"/>
        <v>#VALUE!</v>
      </c>
      <c r="L408" s="50" t="e">
        <f t="shared" si="97"/>
        <v>#VALUE!</v>
      </c>
      <c r="M408" s="50" t="e">
        <f t="shared" si="91"/>
        <v>#VALUE!</v>
      </c>
      <c r="N408" s="50" t="e">
        <f t="shared" si="92"/>
        <v>#VALUE!</v>
      </c>
      <c r="O408" s="50">
        <f t="shared" si="93"/>
        <v>0</v>
      </c>
      <c r="Q408" s="55" t="e">
        <f t="shared" si="94"/>
        <v>#VALUE!</v>
      </c>
      <c r="R408" s="55" t="e">
        <f t="shared" si="98"/>
        <v>#VALUE!</v>
      </c>
      <c r="S408" s="55" t="e">
        <f t="shared" si="95"/>
        <v>#VALUE!</v>
      </c>
      <c r="T408" s="50" t="e">
        <f t="shared" si="99"/>
        <v>#VALUE!</v>
      </c>
      <c r="U408" s="50" t="e">
        <f t="shared" si="100"/>
        <v>#VALUE!</v>
      </c>
      <c r="V408" s="50" t="e">
        <f t="shared" si="101"/>
        <v>#VALUE!</v>
      </c>
    </row>
    <row r="409" spans="2:22" x14ac:dyDescent="0.25">
      <c r="B409" s="50" t="b">
        <f t="shared" si="102"/>
        <v>0</v>
      </c>
      <c r="C409" s="50" t="e">
        <f t="shared" si="89"/>
        <v>#VALUE!</v>
      </c>
      <c r="E409" s="56">
        <v>405</v>
      </c>
      <c r="G409" s="138"/>
      <c r="H409" s="135">
        <v>1</v>
      </c>
      <c r="I409" s="58" t="e">
        <f t="shared" si="90"/>
        <v>#VALUE!</v>
      </c>
      <c r="J409" s="50" t="e">
        <f t="shared" si="96"/>
        <v>#VALUE!</v>
      </c>
      <c r="K409" s="50" t="e">
        <f t="shared" si="97"/>
        <v>#VALUE!</v>
      </c>
      <c r="L409" s="50" t="e">
        <f t="shared" si="97"/>
        <v>#VALUE!</v>
      </c>
      <c r="M409" s="50" t="e">
        <f t="shared" si="91"/>
        <v>#VALUE!</v>
      </c>
      <c r="N409" s="50" t="e">
        <f t="shared" si="92"/>
        <v>#VALUE!</v>
      </c>
      <c r="O409" s="50">
        <f t="shared" si="93"/>
        <v>0</v>
      </c>
      <c r="Q409" s="55" t="e">
        <f t="shared" si="94"/>
        <v>#VALUE!</v>
      </c>
      <c r="R409" s="55" t="e">
        <f t="shared" si="98"/>
        <v>#VALUE!</v>
      </c>
      <c r="S409" s="55" t="e">
        <f t="shared" si="95"/>
        <v>#VALUE!</v>
      </c>
      <c r="T409" s="50" t="e">
        <f t="shared" si="99"/>
        <v>#VALUE!</v>
      </c>
      <c r="U409" s="50" t="e">
        <f t="shared" si="100"/>
        <v>#VALUE!</v>
      </c>
      <c r="V409" s="50" t="e">
        <f t="shared" si="101"/>
        <v>#VALUE!</v>
      </c>
    </row>
    <row r="410" spans="2:22" x14ac:dyDescent="0.25">
      <c r="B410" s="50" t="b">
        <f t="shared" si="102"/>
        <v>0</v>
      </c>
      <c r="C410" s="50" t="e">
        <f t="shared" si="89"/>
        <v>#VALUE!</v>
      </c>
      <c r="E410" s="56">
        <v>406</v>
      </c>
      <c r="G410" s="138"/>
      <c r="H410" s="135">
        <v>1</v>
      </c>
      <c r="I410" s="58" t="e">
        <f t="shared" si="90"/>
        <v>#VALUE!</v>
      </c>
      <c r="J410" s="50" t="e">
        <f t="shared" si="96"/>
        <v>#VALUE!</v>
      </c>
      <c r="K410" s="50" t="e">
        <f t="shared" si="97"/>
        <v>#VALUE!</v>
      </c>
      <c r="L410" s="50" t="e">
        <f t="shared" si="97"/>
        <v>#VALUE!</v>
      </c>
      <c r="M410" s="50" t="e">
        <f t="shared" si="91"/>
        <v>#VALUE!</v>
      </c>
      <c r="N410" s="50" t="e">
        <f t="shared" si="92"/>
        <v>#VALUE!</v>
      </c>
      <c r="O410" s="50">
        <f t="shared" si="93"/>
        <v>0</v>
      </c>
      <c r="Q410" s="55" t="e">
        <f t="shared" si="94"/>
        <v>#VALUE!</v>
      </c>
      <c r="R410" s="55" t="e">
        <f t="shared" si="98"/>
        <v>#VALUE!</v>
      </c>
      <c r="S410" s="55" t="e">
        <f t="shared" si="95"/>
        <v>#VALUE!</v>
      </c>
      <c r="T410" s="50" t="e">
        <f t="shared" si="99"/>
        <v>#VALUE!</v>
      </c>
      <c r="U410" s="50" t="e">
        <f t="shared" si="100"/>
        <v>#VALUE!</v>
      </c>
      <c r="V410" s="50" t="e">
        <f t="shared" si="101"/>
        <v>#VALUE!</v>
      </c>
    </row>
    <row r="411" spans="2:22" x14ac:dyDescent="0.25">
      <c r="B411" s="50" t="b">
        <f t="shared" si="102"/>
        <v>0</v>
      </c>
      <c r="C411" s="50" t="e">
        <f t="shared" si="89"/>
        <v>#VALUE!</v>
      </c>
      <c r="E411" s="56">
        <v>407</v>
      </c>
      <c r="G411" s="138"/>
      <c r="H411" s="135">
        <v>1</v>
      </c>
      <c r="I411" s="58" t="e">
        <f t="shared" si="90"/>
        <v>#VALUE!</v>
      </c>
      <c r="J411" s="50" t="e">
        <f t="shared" si="96"/>
        <v>#VALUE!</v>
      </c>
      <c r="K411" s="50" t="e">
        <f t="shared" si="97"/>
        <v>#VALUE!</v>
      </c>
      <c r="L411" s="50" t="e">
        <f t="shared" si="97"/>
        <v>#VALUE!</v>
      </c>
      <c r="M411" s="50" t="e">
        <f t="shared" si="91"/>
        <v>#VALUE!</v>
      </c>
      <c r="N411" s="50" t="e">
        <f t="shared" si="92"/>
        <v>#VALUE!</v>
      </c>
      <c r="O411" s="50">
        <f t="shared" si="93"/>
        <v>0</v>
      </c>
      <c r="Q411" s="55" t="e">
        <f t="shared" si="94"/>
        <v>#VALUE!</v>
      </c>
      <c r="R411" s="55" t="e">
        <f t="shared" si="98"/>
        <v>#VALUE!</v>
      </c>
      <c r="S411" s="55" t="e">
        <f t="shared" si="95"/>
        <v>#VALUE!</v>
      </c>
      <c r="T411" s="50" t="e">
        <f t="shared" si="99"/>
        <v>#VALUE!</v>
      </c>
      <c r="U411" s="50" t="e">
        <f t="shared" si="100"/>
        <v>#VALUE!</v>
      </c>
      <c r="V411" s="50" t="e">
        <f t="shared" si="101"/>
        <v>#VALUE!</v>
      </c>
    </row>
    <row r="412" spans="2:22" x14ac:dyDescent="0.25">
      <c r="B412" s="50" t="b">
        <f t="shared" si="102"/>
        <v>0</v>
      </c>
      <c r="C412" s="50" t="e">
        <f t="shared" si="89"/>
        <v>#VALUE!</v>
      </c>
      <c r="E412" s="56">
        <v>408</v>
      </c>
      <c r="G412" s="138"/>
      <c r="H412" s="135">
        <v>1</v>
      </c>
      <c r="I412" s="58" t="e">
        <f t="shared" si="90"/>
        <v>#VALUE!</v>
      </c>
      <c r="J412" s="50" t="e">
        <f t="shared" si="96"/>
        <v>#VALUE!</v>
      </c>
      <c r="K412" s="50" t="e">
        <f t="shared" si="97"/>
        <v>#VALUE!</v>
      </c>
      <c r="L412" s="50" t="e">
        <f t="shared" si="97"/>
        <v>#VALUE!</v>
      </c>
      <c r="M412" s="50" t="e">
        <f t="shared" si="91"/>
        <v>#VALUE!</v>
      </c>
      <c r="N412" s="50" t="e">
        <f t="shared" si="92"/>
        <v>#VALUE!</v>
      </c>
      <c r="O412" s="50">
        <f t="shared" si="93"/>
        <v>0</v>
      </c>
      <c r="Q412" s="55" t="e">
        <f t="shared" si="94"/>
        <v>#VALUE!</v>
      </c>
      <c r="R412" s="55" t="e">
        <f t="shared" si="98"/>
        <v>#VALUE!</v>
      </c>
      <c r="S412" s="55" t="e">
        <f t="shared" si="95"/>
        <v>#VALUE!</v>
      </c>
      <c r="T412" s="50" t="e">
        <f t="shared" si="99"/>
        <v>#VALUE!</v>
      </c>
      <c r="U412" s="50" t="e">
        <f t="shared" si="100"/>
        <v>#VALUE!</v>
      </c>
      <c r="V412" s="50" t="e">
        <f t="shared" si="101"/>
        <v>#VALUE!</v>
      </c>
    </row>
    <row r="413" spans="2:22" x14ac:dyDescent="0.25">
      <c r="B413" s="50" t="b">
        <f t="shared" si="102"/>
        <v>0</v>
      </c>
      <c r="C413" s="50" t="e">
        <f t="shared" si="89"/>
        <v>#VALUE!</v>
      </c>
      <c r="E413" s="56">
        <v>409</v>
      </c>
      <c r="G413" s="138"/>
      <c r="H413" s="135">
        <v>1</v>
      </c>
      <c r="I413" s="58" t="e">
        <f t="shared" si="90"/>
        <v>#VALUE!</v>
      </c>
      <c r="J413" s="50" t="e">
        <f t="shared" si="96"/>
        <v>#VALUE!</v>
      </c>
      <c r="K413" s="50" t="e">
        <f t="shared" si="97"/>
        <v>#VALUE!</v>
      </c>
      <c r="L413" s="50" t="e">
        <f t="shared" si="97"/>
        <v>#VALUE!</v>
      </c>
      <c r="M413" s="50" t="e">
        <f t="shared" si="91"/>
        <v>#VALUE!</v>
      </c>
      <c r="N413" s="50" t="e">
        <f t="shared" si="92"/>
        <v>#VALUE!</v>
      </c>
      <c r="O413" s="50">
        <f t="shared" si="93"/>
        <v>0</v>
      </c>
      <c r="Q413" s="55" t="e">
        <f t="shared" si="94"/>
        <v>#VALUE!</v>
      </c>
      <c r="R413" s="55" t="e">
        <f t="shared" si="98"/>
        <v>#VALUE!</v>
      </c>
      <c r="S413" s="55" t="e">
        <f t="shared" si="95"/>
        <v>#VALUE!</v>
      </c>
      <c r="T413" s="50" t="e">
        <f t="shared" si="99"/>
        <v>#VALUE!</v>
      </c>
      <c r="U413" s="50" t="e">
        <f t="shared" si="100"/>
        <v>#VALUE!</v>
      </c>
      <c r="V413" s="50" t="e">
        <f t="shared" si="101"/>
        <v>#VALUE!</v>
      </c>
    </row>
    <row r="414" spans="2:22" x14ac:dyDescent="0.25">
      <c r="B414" s="50" t="b">
        <f t="shared" si="102"/>
        <v>0</v>
      </c>
      <c r="C414" s="50" t="e">
        <f t="shared" si="89"/>
        <v>#VALUE!</v>
      </c>
      <c r="E414" s="56">
        <v>410</v>
      </c>
      <c r="G414" s="138"/>
      <c r="H414" s="135">
        <v>1</v>
      </c>
      <c r="I414" s="58" t="e">
        <f t="shared" si="90"/>
        <v>#VALUE!</v>
      </c>
      <c r="J414" s="50" t="e">
        <f t="shared" si="96"/>
        <v>#VALUE!</v>
      </c>
      <c r="K414" s="50" t="e">
        <f t="shared" si="97"/>
        <v>#VALUE!</v>
      </c>
      <c r="L414" s="50" t="e">
        <f t="shared" si="97"/>
        <v>#VALUE!</v>
      </c>
      <c r="M414" s="50" t="e">
        <f t="shared" si="91"/>
        <v>#VALUE!</v>
      </c>
      <c r="N414" s="50" t="e">
        <f t="shared" si="92"/>
        <v>#VALUE!</v>
      </c>
      <c r="O414" s="50">
        <f t="shared" si="93"/>
        <v>0</v>
      </c>
      <c r="Q414" s="55" t="e">
        <f t="shared" si="94"/>
        <v>#VALUE!</v>
      </c>
      <c r="R414" s="55" t="e">
        <f t="shared" si="98"/>
        <v>#VALUE!</v>
      </c>
      <c r="S414" s="55" t="e">
        <f t="shared" si="95"/>
        <v>#VALUE!</v>
      </c>
      <c r="T414" s="50" t="e">
        <f t="shared" si="99"/>
        <v>#VALUE!</v>
      </c>
      <c r="U414" s="50" t="e">
        <f t="shared" si="100"/>
        <v>#VALUE!</v>
      </c>
      <c r="V414" s="50" t="e">
        <f t="shared" si="101"/>
        <v>#VALUE!</v>
      </c>
    </row>
    <row r="415" spans="2:22" x14ac:dyDescent="0.25">
      <c r="B415" s="50" t="b">
        <f t="shared" si="102"/>
        <v>0</v>
      </c>
      <c r="C415" s="50" t="e">
        <f t="shared" si="89"/>
        <v>#VALUE!</v>
      </c>
      <c r="E415" s="56">
        <v>411</v>
      </c>
      <c r="G415" s="138"/>
      <c r="H415" s="135">
        <v>1</v>
      </c>
      <c r="I415" s="58" t="e">
        <f t="shared" si="90"/>
        <v>#VALUE!</v>
      </c>
      <c r="J415" s="50" t="e">
        <f t="shared" si="96"/>
        <v>#VALUE!</v>
      </c>
      <c r="K415" s="50" t="e">
        <f t="shared" si="97"/>
        <v>#VALUE!</v>
      </c>
      <c r="L415" s="50" t="e">
        <f t="shared" si="97"/>
        <v>#VALUE!</v>
      </c>
      <c r="M415" s="50" t="e">
        <f t="shared" si="91"/>
        <v>#VALUE!</v>
      </c>
      <c r="N415" s="50" t="e">
        <f t="shared" si="92"/>
        <v>#VALUE!</v>
      </c>
      <c r="O415" s="50">
        <f t="shared" si="93"/>
        <v>0</v>
      </c>
      <c r="Q415" s="55" t="e">
        <f t="shared" si="94"/>
        <v>#VALUE!</v>
      </c>
      <c r="R415" s="55" t="e">
        <f t="shared" si="98"/>
        <v>#VALUE!</v>
      </c>
      <c r="S415" s="55" t="e">
        <f t="shared" si="95"/>
        <v>#VALUE!</v>
      </c>
      <c r="T415" s="50" t="e">
        <f t="shared" si="99"/>
        <v>#VALUE!</v>
      </c>
      <c r="U415" s="50" t="e">
        <f t="shared" si="100"/>
        <v>#VALUE!</v>
      </c>
      <c r="V415" s="50" t="e">
        <f t="shared" si="101"/>
        <v>#VALUE!</v>
      </c>
    </row>
    <row r="416" spans="2:22" x14ac:dyDescent="0.25">
      <c r="B416" s="50" t="b">
        <f t="shared" si="102"/>
        <v>0</v>
      </c>
      <c r="C416" s="50" t="e">
        <f t="shared" si="89"/>
        <v>#VALUE!</v>
      </c>
      <c r="E416" s="56">
        <v>412</v>
      </c>
      <c r="G416" s="138"/>
      <c r="H416" s="135">
        <v>1</v>
      </c>
      <c r="I416" s="58" t="e">
        <f t="shared" si="90"/>
        <v>#VALUE!</v>
      </c>
      <c r="J416" s="50" t="e">
        <f t="shared" si="96"/>
        <v>#VALUE!</v>
      </c>
      <c r="K416" s="50" t="e">
        <f t="shared" si="97"/>
        <v>#VALUE!</v>
      </c>
      <c r="L416" s="50" t="e">
        <f t="shared" si="97"/>
        <v>#VALUE!</v>
      </c>
      <c r="M416" s="50" t="e">
        <f t="shared" si="91"/>
        <v>#VALUE!</v>
      </c>
      <c r="N416" s="50" t="e">
        <f t="shared" si="92"/>
        <v>#VALUE!</v>
      </c>
      <c r="O416" s="50">
        <f t="shared" si="93"/>
        <v>0</v>
      </c>
      <c r="Q416" s="55" t="e">
        <f t="shared" si="94"/>
        <v>#VALUE!</v>
      </c>
      <c r="R416" s="55" t="e">
        <f t="shared" si="98"/>
        <v>#VALUE!</v>
      </c>
      <c r="S416" s="55" t="e">
        <f t="shared" si="95"/>
        <v>#VALUE!</v>
      </c>
      <c r="T416" s="50" t="e">
        <f t="shared" si="99"/>
        <v>#VALUE!</v>
      </c>
      <c r="U416" s="50" t="e">
        <f t="shared" si="100"/>
        <v>#VALUE!</v>
      </c>
      <c r="V416" s="50" t="e">
        <f t="shared" si="101"/>
        <v>#VALUE!</v>
      </c>
    </row>
    <row r="417" spans="2:22" x14ac:dyDescent="0.25">
      <c r="B417" s="50" t="b">
        <f t="shared" si="102"/>
        <v>0</v>
      </c>
      <c r="C417" s="50" t="e">
        <f t="shared" si="89"/>
        <v>#VALUE!</v>
      </c>
      <c r="E417" s="56">
        <v>413</v>
      </c>
      <c r="G417" s="138"/>
      <c r="H417" s="135">
        <v>1</v>
      </c>
      <c r="I417" s="58" t="e">
        <f t="shared" si="90"/>
        <v>#VALUE!</v>
      </c>
      <c r="J417" s="50" t="e">
        <f t="shared" si="96"/>
        <v>#VALUE!</v>
      </c>
      <c r="K417" s="50" t="e">
        <f t="shared" si="97"/>
        <v>#VALUE!</v>
      </c>
      <c r="L417" s="50" t="e">
        <f t="shared" si="97"/>
        <v>#VALUE!</v>
      </c>
      <c r="M417" s="50" t="e">
        <f t="shared" si="91"/>
        <v>#VALUE!</v>
      </c>
      <c r="N417" s="50" t="e">
        <f t="shared" si="92"/>
        <v>#VALUE!</v>
      </c>
      <c r="O417" s="50">
        <f t="shared" si="93"/>
        <v>0</v>
      </c>
      <c r="Q417" s="55" t="e">
        <f t="shared" si="94"/>
        <v>#VALUE!</v>
      </c>
      <c r="R417" s="55" t="e">
        <f t="shared" si="98"/>
        <v>#VALUE!</v>
      </c>
      <c r="S417" s="55" t="e">
        <f t="shared" si="95"/>
        <v>#VALUE!</v>
      </c>
      <c r="T417" s="50" t="e">
        <f t="shared" si="99"/>
        <v>#VALUE!</v>
      </c>
      <c r="U417" s="50" t="e">
        <f t="shared" si="100"/>
        <v>#VALUE!</v>
      </c>
      <c r="V417" s="50" t="e">
        <f t="shared" si="101"/>
        <v>#VALUE!</v>
      </c>
    </row>
    <row r="418" spans="2:22" x14ac:dyDescent="0.25">
      <c r="B418" s="50" t="b">
        <f t="shared" si="102"/>
        <v>0</v>
      </c>
      <c r="C418" s="50" t="e">
        <f t="shared" si="89"/>
        <v>#VALUE!</v>
      </c>
      <c r="E418" s="56">
        <v>414</v>
      </c>
      <c r="G418" s="138"/>
      <c r="H418" s="135">
        <v>1</v>
      </c>
      <c r="I418" s="58" t="e">
        <f t="shared" si="90"/>
        <v>#VALUE!</v>
      </c>
      <c r="J418" s="50" t="e">
        <f t="shared" si="96"/>
        <v>#VALUE!</v>
      </c>
      <c r="K418" s="50" t="e">
        <f t="shared" si="97"/>
        <v>#VALUE!</v>
      </c>
      <c r="L418" s="50" t="e">
        <f t="shared" si="97"/>
        <v>#VALUE!</v>
      </c>
      <c r="M418" s="50" t="e">
        <f t="shared" si="91"/>
        <v>#VALUE!</v>
      </c>
      <c r="N418" s="50" t="e">
        <f t="shared" si="92"/>
        <v>#VALUE!</v>
      </c>
      <c r="O418" s="50">
        <f t="shared" si="93"/>
        <v>0</v>
      </c>
      <c r="Q418" s="55" t="e">
        <f t="shared" si="94"/>
        <v>#VALUE!</v>
      </c>
      <c r="R418" s="55" t="e">
        <f t="shared" si="98"/>
        <v>#VALUE!</v>
      </c>
      <c r="S418" s="55" t="e">
        <f t="shared" si="95"/>
        <v>#VALUE!</v>
      </c>
      <c r="T418" s="50" t="e">
        <f t="shared" si="99"/>
        <v>#VALUE!</v>
      </c>
      <c r="U418" s="50" t="e">
        <f t="shared" si="100"/>
        <v>#VALUE!</v>
      </c>
      <c r="V418" s="50" t="e">
        <f t="shared" si="101"/>
        <v>#VALUE!</v>
      </c>
    </row>
    <row r="419" spans="2:22" x14ac:dyDescent="0.25">
      <c r="B419" s="50" t="b">
        <f t="shared" si="102"/>
        <v>0</v>
      </c>
      <c r="C419" s="50" t="e">
        <f t="shared" si="89"/>
        <v>#VALUE!</v>
      </c>
      <c r="E419" s="56">
        <v>415</v>
      </c>
      <c r="G419" s="138"/>
      <c r="H419" s="135">
        <v>1</v>
      </c>
      <c r="I419" s="58" t="e">
        <f t="shared" si="90"/>
        <v>#VALUE!</v>
      </c>
      <c r="J419" s="50" t="e">
        <f t="shared" si="96"/>
        <v>#VALUE!</v>
      </c>
      <c r="K419" s="50" t="e">
        <f t="shared" si="97"/>
        <v>#VALUE!</v>
      </c>
      <c r="L419" s="50" t="e">
        <f t="shared" si="97"/>
        <v>#VALUE!</v>
      </c>
      <c r="M419" s="50" t="e">
        <f t="shared" si="91"/>
        <v>#VALUE!</v>
      </c>
      <c r="N419" s="50" t="e">
        <f t="shared" si="92"/>
        <v>#VALUE!</v>
      </c>
      <c r="O419" s="50">
        <f t="shared" si="93"/>
        <v>0</v>
      </c>
      <c r="Q419" s="55" t="e">
        <f t="shared" si="94"/>
        <v>#VALUE!</v>
      </c>
      <c r="R419" s="55" t="e">
        <f t="shared" si="98"/>
        <v>#VALUE!</v>
      </c>
      <c r="S419" s="55" t="e">
        <f t="shared" si="95"/>
        <v>#VALUE!</v>
      </c>
      <c r="T419" s="50" t="e">
        <f t="shared" si="99"/>
        <v>#VALUE!</v>
      </c>
      <c r="U419" s="50" t="e">
        <f t="shared" si="100"/>
        <v>#VALUE!</v>
      </c>
      <c r="V419" s="50" t="e">
        <f t="shared" si="101"/>
        <v>#VALUE!</v>
      </c>
    </row>
    <row r="420" spans="2:22" x14ac:dyDescent="0.25">
      <c r="B420" s="50" t="b">
        <f t="shared" si="102"/>
        <v>0</v>
      </c>
      <c r="C420" s="50" t="e">
        <f t="shared" si="89"/>
        <v>#VALUE!</v>
      </c>
      <c r="E420" s="56">
        <v>416</v>
      </c>
      <c r="G420" s="138"/>
      <c r="H420" s="135">
        <v>1</v>
      </c>
      <c r="I420" s="58" t="e">
        <f t="shared" si="90"/>
        <v>#VALUE!</v>
      </c>
      <c r="J420" s="50" t="e">
        <f t="shared" si="96"/>
        <v>#VALUE!</v>
      </c>
      <c r="K420" s="50" t="e">
        <f t="shared" si="97"/>
        <v>#VALUE!</v>
      </c>
      <c r="L420" s="50" t="e">
        <f t="shared" si="97"/>
        <v>#VALUE!</v>
      </c>
      <c r="M420" s="50" t="e">
        <f t="shared" si="91"/>
        <v>#VALUE!</v>
      </c>
      <c r="N420" s="50" t="e">
        <f t="shared" si="92"/>
        <v>#VALUE!</v>
      </c>
      <c r="O420" s="50">
        <f t="shared" si="93"/>
        <v>0</v>
      </c>
      <c r="Q420" s="55" t="e">
        <f t="shared" si="94"/>
        <v>#VALUE!</v>
      </c>
      <c r="R420" s="55" t="e">
        <f t="shared" si="98"/>
        <v>#VALUE!</v>
      </c>
      <c r="S420" s="55" t="e">
        <f t="shared" si="95"/>
        <v>#VALUE!</v>
      </c>
      <c r="T420" s="50" t="e">
        <f t="shared" si="99"/>
        <v>#VALUE!</v>
      </c>
      <c r="U420" s="50" t="e">
        <f t="shared" si="100"/>
        <v>#VALUE!</v>
      </c>
      <c r="V420" s="50" t="e">
        <f t="shared" si="101"/>
        <v>#VALUE!</v>
      </c>
    </row>
    <row r="421" spans="2:22" x14ac:dyDescent="0.25">
      <c r="B421" s="50" t="b">
        <f t="shared" si="102"/>
        <v>0</v>
      </c>
      <c r="C421" s="50" t="e">
        <f t="shared" si="89"/>
        <v>#VALUE!</v>
      </c>
      <c r="E421" s="56">
        <v>417</v>
      </c>
      <c r="G421" s="138"/>
      <c r="H421" s="135">
        <v>1</v>
      </c>
      <c r="I421" s="58" t="e">
        <f t="shared" si="90"/>
        <v>#VALUE!</v>
      </c>
      <c r="J421" s="50" t="e">
        <f t="shared" si="96"/>
        <v>#VALUE!</v>
      </c>
      <c r="K421" s="50" t="e">
        <f t="shared" si="97"/>
        <v>#VALUE!</v>
      </c>
      <c r="L421" s="50" t="e">
        <f t="shared" si="97"/>
        <v>#VALUE!</v>
      </c>
      <c r="M421" s="50" t="e">
        <f t="shared" si="91"/>
        <v>#VALUE!</v>
      </c>
      <c r="N421" s="50" t="e">
        <f t="shared" si="92"/>
        <v>#VALUE!</v>
      </c>
      <c r="O421" s="50">
        <f t="shared" si="93"/>
        <v>0</v>
      </c>
      <c r="Q421" s="55" t="e">
        <f t="shared" si="94"/>
        <v>#VALUE!</v>
      </c>
      <c r="R421" s="55" t="e">
        <f t="shared" si="98"/>
        <v>#VALUE!</v>
      </c>
      <c r="S421" s="55" t="e">
        <f t="shared" si="95"/>
        <v>#VALUE!</v>
      </c>
      <c r="T421" s="50" t="e">
        <f t="shared" si="99"/>
        <v>#VALUE!</v>
      </c>
      <c r="U421" s="50" t="e">
        <f t="shared" si="100"/>
        <v>#VALUE!</v>
      </c>
      <c r="V421" s="50" t="e">
        <f t="shared" si="101"/>
        <v>#VALUE!</v>
      </c>
    </row>
    <row r="422" spans="2:22" x14ac:dyDescent="0.25">
      <c r="B422" s="50" t="b">
        <f t="shared" si="102"/>
        <v>0</v>
      </c>
      <c r="C422" s="50" t="e">
        <f t="shared" si="89"/>
        <v>#VALUE!</v>
      </c>
      <c r="E422" s="56">
        <v>418</v>
      </c>
      <c r="G422" s="138"/>
      <c r="H422" s="135">
        <v>1</v>
      </c>
      <c r="I422" s="58" t="e">
        <f t="shared" si="90"/>
        <v>#VALUE!</v>
      </c>
      <c r="J422" s="50" t="e">
        <f t="shared" si="96"/>
        <v>#VALUE!</v>
      </c>
      <c r="K422" s="50" t="e">
        <f t="shared" si="97"/>
        <v>#VALUE!</v>
      </c>
      <c r="L422" s="50" t="e">
        <f t="shared" si="97"/>
        <v>#VALUE!</v>
      </c>
      <c r="M422" s="50" t="e">
        <f t="shared" si="91"/>
        <v>#VALUE!</v>
      </c>
      <c r="N422" s="50" t="e">
        <f t="shared" si="92"/>
        <v>#VALUE!</v>
      </c>
      <c r="O422" s="50">
        <f t="shared" si="93"/>
        <v>0</v>
      </c>
      <c r="Q422" s="55" t="e">
        <f t="shared" si="94"/>
        <v>#VALUE!</v>
      </c>
      <c r="R422" s="55" t="e">
        <f t="shared" si="98"/>
        <v>#VALUE!</v>
      </c>
      <c r="S422" s="55" t="e">
        <f t="shared" si="95"/>
        <v>#VALUE!</v>
      </c>
      <c r="T422" s="50" t="e">
        <f t="shared" si="99"/>
        <v>#VALUE!</v>
      </c>
      <c r="U422" s="50" t="e">
        <f t="shared" si="100"/>
        <v>#VALUE!</v>
      </c>
      <c r="V422" s="50" t="e">
        <f t="shared" si="101"/>
        <v>#VALUE!</v>
      </c>
    </row>
    <row r="423" spans="2:22" x14ac:dyDescent="0.25">
      <c r="B423" s="50" t="b">
        <f t="shared" si="102"/>
        <v>0</v>
      </c>
      <c r="C423" s="50" t="e">
        <f t="shared" si="89"/>
        <v>#VALUE!</v>
      </c>
      <c r="E423" s="56">
        <v>419</v>
      </c>
      <c r="G423" s="138"/>
      <c r="H423" s="135">
        <v>1</v>
      </c>
      <c r="I423" s="58" t="e">
        <f t="shared" si="90"/>
        <v>#VALUE!</v>
      </c>
      <c r="J423" s="50" t="e">
        <f t="shared" si="96"/>
        <v>#VALUE!</v>
      </c>
      <c r="K423" s="50" t="e">
        <f t="shared" si="97"/>
        <v>#VALUE!</v>
      </c>
      <c r="L423" s="50" t="e">
        <f t="shared" si="97"/>
        <v>#VALUE!</v>
      </c>
      <c r="M423" s="50" t="e">
        <f t="shared" si="91"/>
        <v>#VALUE!</v>
      </c>
      <c r="N423" s="50" t="e">
        <f t="shared" si="92"/>
        <v>#VALUE!</v>
      </c>
      <c r="O423" s="50">
        <f t="shared" si="93"/>
        <v>0</v>
      </c>
      <c r="Q423" s="55" t="e">
        <f t="shared" si="94"/>
        <v>#VALUE!</v>
      </c>
      <c r="R423" s="55" t="e">
        <f t="shared" si="98"/>
        <v>#VALUE!</v>
      </c>
      <c r="S423" s="55" t="e">
        <f t="shared" si="95"/>
        <v>#VALUE!</v>
      </c>
      <c r="T423" s="50" t="e">
        <f t="shared" si="99"/>
        <v>#VALUE!</v>
      </c>
      <c r="U423" s="50" t="e">
        <f t="shared" si="100"/>
        <v>#VALUE!</v>
      </c>
      <c r="V423" s="50" t="e">
        <f t="shared" si="101"/>
        <v>#VALUE!</v>
      </c>
    </row>
    <row r="424" spans="2:22" x14ac:dyDescent="0.25">
      <c r="B424" s="50" t="b">
        <f t="shared" si="102"/>
        <v>0</v>
      </c>
      <c r="C424" s="50" t="e">
        <f t="shared" si="89"/>
        <v>#VALUE!</v>
      </c>
      <c r="E424" s="56">
        <v>420</v>
      </c>
      <c r="G424" s="138"/>
      <c r="H424" s="135">
        <v>1</v>
      </c>
      <c r="I424" s="58" t="e">
        <f t="shared" si="90"/>
        <v>#VALUE!</v>
      </c>
      <c r="J424" s="50" t="e">
        <f t="shared" si="96"/>
        <v>#VALUE!</v>
      </c>
      <c r="K424" s="50" t="e">
        <f t="shared" si="97"/>
        <v>#VALUE!</v>
      </c>
      <c r="L424" s="50" t="e">
        <f t="shared" si="97"/>
        <v>#VALUE!</v>
      </c>
      <c r="M424" s="50" t="e">
        <f t="shared" si="91"/>
        <v>#VALUE!</v>
      </c>
      <c r="N424" s="50" t="e">
        <f t="shared" si="92"/>
        <v>#VALUE!</v>
      </c>
      <c r="O424" s="50">
        <f t="shared" si="93"/>
        <v>0</v>
      </c>
      <c r="Q424" s="55" t="e">
        <f t="shared" si="94"/>
        <v>#VALUE!</v>
      </c>
      <c r="R424" s="55" t="e">
        <f t="shared" si="98"/>
        <v>#VALUE!</v>
      </c>
      <c r="S424" s="55" t="e">
        <f t="shared" si="95"/>
        <v>#VALUE!</v>
      </c>
      <c r="T424" s="50" t="e">
        <f t="shared" si="99"/>
        <v>#VALUE!</v>
      </c>
      <c r="U424" s="50" t="e">
        <f t="shared" si="100"/>
        <v>#VALUE!</v>
      </c>
      <c r="V424" s="50" t="e">
        <f t="shared" si="101"/>
        <v>#VALUE!</v>
      </c>
    </row>
    <row r="425" spans="2:22" x14ac:dyDescent="0.25">
      <c r="B425" s="50" t="b">
        <f t="shared" si="102"/>
        <v>0</v>
      </c>
      <c r="C425" s="50" t="e">
        <f t="shared" si="89"/>
        <v>#VALUE!</v>
      </c>
      <c r="E425" s="56">
        <v>421</v>
      </c>
      <c r="G425" s="138"/>
      <c r="H425" s="135">
        <v>1</v>
      </c>
      <c r="I425" s="58" t="e">
        <f t="shared" si="90"/>
        <v>#VALUE!</v>
      </c>
      <c r="J425" s="50" t="e">
        <f t="shared" si="96"/>
        <v>#VALUE!</v>
      </c>
      <c r="K425" s="50" t="e">
        <f t="shared" si="97"/>
        <v>#VALUE!</v>
      </c>
      <c r="L425" s="50" t="e">
        <f t="shared" si="97"/>
        <v>#VALUE!</v>
      </c>
      <c r="M425" s="50" t="e">
        <f t="shared" si="91"/>
        <v>#VALUE!</v>
      </c>
      <c r="N425" s="50" t="e">
        <f t="shared" si="92"/>
        <v>#VALUE!</v>
      </c>
      <c r="O425" s="50">
        <f t="shared" si="93"/>
        <v>0</v>
      </c>
      <c r="Q425" s="55" t="e">
        <f t="shared" si="94"/>
        <v>#VALUE!</v>
      </c>
      <c r="R425" s="55" t="e">
        <f t="shared" si="98"/>
        <v>#VALUE!</v>
      </c>
      <c r="S425" s="55" t="e">
        <f t="shared" si="95"/>
        <v>#VALUE!</v>
      </c>
      <c r="T425" s="50" t="e">
        <f t="shared" si="99"/>
        <v>#VALUE!</v>
      </c>
      <c r="U425" s="50" t="e">
        <f t="shared" si="100"/>
        <v>#VALUE!</v>
      </c>
      <c r="V425" s="50" t="e">
        <f t="shared" si="101"/>
        <v>#VALUE!</v>
      </c>
    </row>
    <row r="426" spans="2:22" x14ac:dyDescent="0.25">
      <c r="B426" s="50" t="b">
        <f t="shared" si="102"/>
        <v>0</v>
      </c>
      <c r="C426" s="50" t="e">
        <f t="shared" si="89"/>
        <v>#VALUE!</v>
      </c>
      <c r="E426" s="56">
        <v>422</v>
      </c>
      <c r="G426" s="138"/>
      <c r="H426" s="135">
        <v>1</v>
      </c>
      <c r="I426" s="58" t="e">
        <f t="shared" si="90"/>
        <v>#VALUE!</v>
      </c>
      <c r="J426" s="50" t="e">
        <f t="shared" si="96"/>
        <v>#VALUE!</v>
      </c>
      <c r="K426" s="50" t="e">
        <f t="shared" si="97"/>
        <v>#VALUE!</v>
      </c>
      <c r="L426" s="50" t="e">
        <f t="shared" si="97"/>
        <v>#VALUE!</v>
      </c>
      <c r="M426" s="50" t="e">
        <f t="shared" si="91"/>
        <v>#VALUE!</v>
      </c>
      <c r="N426" s="50" t="e">
        <f t="shared" si="92"/>
        <v>#VALUE!</v>
      </c>
      <c r="O426" s="50">
        <f t="shared" si="93"/>
        <v>0</v>
      </c>
      <c r="Q426" s="55" t="e">
        <f t="shared" si="94"/>
        <v>#VALUE!</v>
      </c>
      <c r="R426" s="55" t="e">
        <f t="shared" si="98"/>
        <v>#VALUE!</v>
      </c>
      <c r="S426" s="55" t="e">
        <f t="shared" si="95"/>
        <v>#VALUE!</v>
      </c>
      <c r="T426" s="50" t="e">
        <f t="shared" si="99"/>
        <v>#VALUE!</v>
      </c>
      <c r="U426" s="50" t="e">
        <f t="shared" si="100"/>
        <v>#VALUE!</v>
      </c>
      <c r="V426" s="50" t="e">
        <f t="shared" si="101"/>
        <v>#VALUE!</v>
      </c>
    </row>
    <row r="427" spans="2:22" x14ac:dyDescent="0.25">
      <c r="B427" s="50" t="b">
        <f t="shared" si="102"/>
        <v>0</v>
      </c>
      <c r="C427" s="50" t="e">
        <f t="shared" si="89"/>
        <v>#VALUE!</v>
      </c>
      <c r="E427" s="56">
        <v>423</v>
      </c>
      <c r="G427" s="138"/>
      <c r="H427" s="135">
        <v>1</v>
      </c>
      <c r="I427" s="58" t="e">
        <f t="shared" si="90"/>
        <v>#VALUE!</v>
      </c>
      <c r="J427" s="50" t="e">
        <f t="shared" si="96"/>
        <v>#VALUE!</v>
      </c>
      <c r="K427" s="50" t="e">
        <f t="shared" si="97"/>
        <v>#VALUE!</v>
      </c>
      <c r="L427" s="50" t="e">
        <f t="shared" si="97"/>
        <v>#VALUE!</v>
      </c>
      <c r="M427" s="50" t="e">
        <f t="shared" si="91"/>
        <v>#VALUE!</v>
      </c>
      <c r="N427" s="50" t="e">
        <f t="shared" si="92"/>
        <v>#VALUE!</v>
      </c>
      <c r="O427" s="50">
        <f t="shared" si="93"/>
        <v>0</v>
      </c>
      <c r="Q427" s="55" t="e">
        <f t="shared" si="94"/>
        <v>#VALUE!</v>
      </c>
      <c r="R427" s="55" t="e">
        <f t="shared" si="98"/>
        <v>#VALUE!</v>
      </c>
      <c r="S427" s="55" t="e">
        <f t="shared" si="95"/>
        <v>#VALUE!</v>
      </c>
      <c r="T427" s="50" t="e">
        <f t="shared" si="99"/>
        <v>#VALUE!</v>
      </c>
      <c r="U427" s="50" t="e">
        <f t="shared" si="100"/>
        <v>#VALUE!</v>
      </c>
      <c r="V427" s="50" t="e">
        <f t="shared" si="101"/>
        <v>#VALUE!</v>
      </c>
    </row>
    <row r="428" spans="2:22" x14ac:dyDescent="0.25">
      <c r="B428" s="50" t="b">
        <f t="shared" si="102"/>
        <v>0</v>
      </c>
      <c r="C428" s="50" t="e">
        <f t="shared" si="89"/>
        <v>#VALUE!</v>
      </c>
      <c r="E428" s="56">
        <v>424</v>
      </c>
      <c r="G428" s="138"/>
      <c r="H428" s="135">
        <v>1</v>
      </c>
      <c r="I428" s="58" t="e">
        <f t="shared" si="90"/>
        <v>#VALUE!</v>
      </c>
      <c r="J428" s="50" t="e">
        <f t="shared" si="96"/>
        <v>#VALUE!</v>
      </c>
      <c r="K428" s="50" t="e">
        <f t="shared" si="97"/>
        <v>#VALUE!</v>
      </c>
      <c r="L428" s="50" t="e">
        <f t="shared" si="97"/>
        <v>#VALUE!</v>
      </c>
      <c r="M428" s="50" t="e">
        <f t="shared" si="91"/>
        <v>#VALUE!</v>
      </c>
      <c r="N428" s="50" t="e">
        <f t="shared" si="92"/>
        <v>#VALUE!</v>
      </c>
      <c r="O428" s="50">
        <f t="shared" si="93"/>
        <v>0</v>
      </c>
      <c r="Q428" s="55" t="e">
        <f t="shared" si="94"/>
        <v>#VALUE!</v>
      </c>
      <c r="R428" s="55" t="e">
        <f t="shared" si="98"/>
        <v>#VALUE!</v>
      </c>
      <c r="S428" s="55" t="e">
        <f t="shared" si="95"/>
        <v>#VALUE!</v>
      </c>
      <c r="T428" s="50" t="e">
        <f t="shared" si="99"/>
        <v>#VALUE!</v>
      </c>
      <c r="U428" s="50" t="e">
        <f t="shared" si="100"/>
        <v>#VALUE!</v>
      </c>
      <c r="V428" s="50" t="e">
        <f t="shared" si="101"/>
        <v>#VALUE!</v>
      </c>
    </row>
    <row r="429" spans="2:22" x14ac:dyDescent="0.25">
      <c r="B429" s="50" t="b">
        <f t="shared" si="102"/>
        <v>0</v>
      </c>
      <c r="C429" s="50" t="e">
        <f t="shared" si="89"/>
        <v>#VALUE!</v>
      </c>
      <c r="E429" s="56">
        <v>425</v>
      </c>
      <c r="G429" s="138"/>
      <c r="H429" s="135">
        <v>1</v>
      </c>
      <c r="I429" s="58" t="e">
        <f t="shared" si="90"/>
        <v>#VALUE!</v>
      </c>
      <c r="J429" s="50" t="e">
        <f t="shared" si="96"/>
        <v>#VALUE!</v>
      </c>
      <c r="K429" s="50" t="e">
        <f t="shared" si="97"/>
        <v>#VALUE!</v>
      </c>
      <c r="L429" s="50" t="e">
        <f t="shared" si="97"/>
        <v>#VALUE!</v>
      </c>
      <c r="M429" s="50" t="e">
        <f t="shared" si="91"/>
        <v>#VALUE!</v>
      </c>
      <c r="N429" s="50" t="e">
        <f t="shared" si="92"/>
        <v>#VALUE!</v>
      </c>
      <c r="O429" s="50">
        <f t="shared" si="93"/>
        <v>0</v>
      </c>
      <c r="Q429" s="55" t="e">
        <f t="shared" si="94"/>
        <v>#VALUE!</v>
      </c>
      <c r="R429" s="55" t="e">
        <f t="shared" si="98"/>
        <v>#VALUE!</v>
      </c>
      <c r="S429" s="55" t="e">
        <f t="shared" si="95"/>
        <v>#VALUE!</v>
      </c>
      <c r="T429" s="50" t="e">
        <f t="shared" si="99"/>
        <v>#VALUE!</v>
      </c>
      <c r="U429" s="50" t="e">
        <f t="shared" si="100"/>
        <v>#VALUE!</v>
      </c>
      <c r="V429" s="50" t="e">
        <f t="shared" si="101"/>
        <v>#VALUE!</v>
      </c>
    </row>
    <row r="430" spans="2:22" x14ac:dyDescent="0.25">
      <c r="B430" s="50" t="b">
        <f t="shared" si="102"/>
        <v>0</v>
      </c>
      <c r="C430" s="50" t="e">
        <f t="shared" si="89"/>
        <v>#VALUE!</v>
      </c>
      <c r="E430" s="56">
        <v>426</v>
      </c>
      <c r="G430" s="138"/>
      <c r="H430" s="135">
        <v>1</v>
      </c>
      <c r="I430" s="58" t="e">
        <f t="shared" si="90"/>
        <v>#VALUE!</v>
      </c>
      <c r="J430" s="50" t="e">
        <f t="shared" si="96"/>
        <v>#VALUE!</v>
      </c>
      <c r="K430" s="50" t="e">
        <f t="shared" si="97"/>
        <v>#VALUE!</v>
      </c>
      <c r="L430" s="50" t="e">
        <f t="shared" si="97"/>
        <v>#VALUE!</v>
      </c>
      <c r="M430" s="50" t="e">
        <f t="shared" si="91"/>
        <v>#VALUE!</v>
      </c>
      <c r="N430" s="50" t="e">
        <f t="shared" si="92"/>
        <v>#VALUE!</v>
      </c>
      <c r="O430" s="50">
        <f t="shared" si="93"/>
        <v>0</v>
      </c>
      <c r="Q430" s="55" t="e">
        <f t="shared" si="94"/>
        <v>#VALUE!</v>
      </c>
      <c r="R430" s="55" t="e">
        <f t="shared" si="98"/>
        <v>#VALUE!</v>
      </c>
      <c r="S430" s="55" t="e">
        <f t="shared" si="95"/>
        <v>#VALUE!</v>
      </c>
      <c r="T430" s="50" t="e">
        <f t="shared" si="99"/>
        <v>#VALUE!</v>
      </c>
      <c r="U430" s="50" t="e">
        <f t="shared" si="100"/>
        <v>#VALUE!</v>
      </c>
      <c r="V430" s="50" t="e">
        <f t="shared" si="101"/>
        <v>#VALUE!</v>
      </c>
    </row>
    <row r="431" spans="2:22" x14ac:dyDescent="0.25">
      <c r="B431" s="50" t="b">
        <f t="shared" si="102"/>
        <v>0</v>
      </c>
      <c r="C431" s="50" t="e">
        <f t="shared" si="89"/>
        <v>#VALUE!</v>
      </c>
      <c r="E431" s="56">
        <v>427</v>
      </c>
      <c r="G431" s="138"/>
      <c r="H431" s="135">
        <v>1</v>
      </c>
      <c r="I431" s="58" t="e">
        <f t="shared" si="90"/>
        <v>#VALUE!</v>
      </c>
      <c r="J431" s="50" t="e">
        <f t="shared" si="96"/>
        <v>#VALUE!</v>
      </c>
      <c r="K431" s="50" t="e">
        <f t="shared" si="97"/>
        <v>#VALUE!</v>
      </c>
      <c r="L431" s="50" t="e">
        <f t="shared" si="97"/>
        <v>#VALUE!</v>
      </c>
      <c r="M431" s="50" t="e">
        <f t="shared" si="91"/>
        <v>#VALUE!</v>
      </c>
      <c r="N431" s="50" t="e">
        <f t="shared" si="92"/>
        <v>#VALUE!</v>
      </c>
      <c r="O431" s="50">
        <f t="shared" si="93"/>
        <v>0</v>
      </c>
      <c r="Q431" s="55" t="e">
        <f t="shared" si="94"/>
        <v>#VALUE!</v>
      </c>
      <c r="R431" s="55" t="e">
        <f t="shared" si="98"/>
        <v>#VALUE!</v>
      </c>
      <c r="S431" s="55" t="e">
        <f t="shared" si="95"/>
        <v>#VALUE!</v>
      </c>
      <c r="T431" s="50" t="e">
        <f t="shared" si="99"/>
        <v>#VALUE!</v>
      </c>
      <c r="U431" s="50" t="e">
        <f t="shared" si="100"/>
        <v>#VALUE!</v>
      </c>
      <c r="V431" s="50" t="e">
        <f t="shared" si="101"/>
        <v>#VALUE!</v>
      </c>
    </row>
    <row r="432" spans="2:22" x14ac:dyDescent="0.25">
      <c r="B432" s="50" t="b">
        <f t="shared" si="102"/>
        <v>0</v>
      </c>
      <c r="C432" s="50" t="e">
        <f t="shared" si="89"/>
        <v>#VALUE!</v>
      </c>
      <c r="E432" s="56">
        <v>428</v>
      </c>
      <c r="G432" s="138"/>
      <c r="H432" s="135">
        <v>1</v>
      </c>
      <c r="I432" s="58" t="e">
        <f t="shared" si="90"/>
        <v>#VALUE!</v>
      </c>
      <c r="J432" s="50" t="e">
        <f t="shared" si="96"/>
        <v>#VALUE!</v>
      </c>
      <c r="K432" s="50" t="e">
        <f t="shared" si="97"/>
        <v>#VALUE!</v>
      </c>
      <c r="L432" s="50" t="e">
        <f t="shared" si="97"/>
        <v>#VALUE!</v>
      </c>
      <c r="M432" s="50" t="e">
        <f t="shared" si="91"/>
        <v>#VALUE!</v>
      </c>
      <c r="N432" s="50" t="e">
        <f t="shared" si="92"/>
        <v>#VALUE!</v>
      </c>
      <c r="O432" s="50">
        <f t="shared" si="93"/>
        <v>0</v>
      </c>
      <c r="Q432" s="55" t="e">
        <f t="shared" si="94"/>
        <v>#VALUE!</v>
      </c>
      <c r="R432" s="55" t="e">
        <f t="shared" si="98"/>
        <v>#VALUE!</v>
      </c>
      <c r="S432" s="55" t="e">
        <f t="shared" si="95"/>
        <v>#VALUE!</v>
      </c>
      <c r="T432" s="50" t="e">
        <f t="shared" si="99"/>
        <v>#VALUE!</v>
      </c>
      <c r="U432" s="50" t="e">
        <f t="shared" si="100"/>
        <v>#VALUE!</v>
      </c>
      <c r="V432" s="50" t="e">
        <f t="shared" si="101"/>
        <v>#VALUE!</v>
      </c>
    </row>
    <row r="433" spans="2:22" x14ac:dyDescent="0.25">
      <c r="B433" s="50" t="b">
        <f t="shared" si="102"/>
        <v>0</v>
      </c>
      <c r="C433" s="50" t="e">
        <f t="shared" si="89"/>
        <v>#VALUE!</v>
      </c>
      <c r="E433" s="56">
        <v>429</v>
      </c>
      <c r="G433" s="138"/>
      <c r="H433" s="135">
        <v>1</v>
      </c>
      <c r="I433" s="58" t="e">
        <f t="shared" si="90"/>
        <v>#VALUE!</v>
      </c>
      <c r="J433" s="50" t="e">
        <f t="shared" si="96"/>
        <v>#VALUE!</v>
      </c>
      <c r="K433" s="50" t="e">
        <f t="shared" si="97"/>
        <v>#VALUE!</v>
      </c>
      <c r="L433" s="50" t="e">
        <f t="shared" si="97"/>
        <v>#VALUE!</v>
      </c>
      <c r="M433" s="50" t="e">
        <f t="shared" si="91"/>
        <v>#VALUE!</v>
      </c>
      <c r="N433" s="50" t="e">
        <f t="shared" si="92"/>
        <v>#VALUE!</v>
      </c>
      <c r="O433" s="50">
        <f t="shared" si="93"/>
        <v>0</v>
      </c>
      <c r="Q433" s="55" t="e">
        <f t="shared" si="94"/>
        <v>#VALUE!</v>
      </c>
      <c r="R433" s="55" t="e">
        <f t="shared" si="98"/>
        <v>#VALUE!</v>
      </c>
      <c r="S433" s="55" t="e">
        <f t="shared" si="95"/>
        <v>#VALUE!</v>
      </c>
      <c r="T433" s="50" t="e">
        <f t="shared" si="99"/>
        <v>#VALUE!</v>
      </c>
      <c r="U433" s="50" t="e">
        <f t="shared" si="100"/>
        <v>#VALUE!</v>
      </c>
      <c r="V433" s="50" t="e">
        <f t="shared" si="101"/>
        <v>#VALUE!</v>
      </c>
    </row>
    <row r="434" spans="2:22" x14ac:dyDescent="0.25">
      <c r="B434" s="50" t="b">
        <f t="shared" si="102"/>
        <v>0</v>
      </c>
      <c r="C434" s="50" t="e">
        <f t="shared" si="89"/>
        <v>#VALUE!</v>
      </c>
      <c r="E434" s="56">
        <v>430</v>
      </c>
      <c r="G434" s="138"/>
      <c r="H434" s="135">
        <v>1</v>
      </c>
      <c r="I434" s="58" t="e">
        <f t="shared" si="90"/>
        <v>#VALUE!</v>
      </c>
      <c r="J434" s="50" t="e">
        <f t="shared" si="96"/>
        <v>#VALUE!</v>
      </c>
      <c r="K434" s="50" t="e">
        <f t="shared" si="97"/>
        <v>#VALUE!</v>
      </c>
      <c r="L434" s="50" t="e">
        <f t="shared" si="97"/>
        <v>#VALUE!</v>
      </c>
      <c r="M434" s="50" t="e">
        <f t="shared" si="91"/>
        <v>#VALUE!</v>
      </c>
      <c r="N434" s="50" t="e">
        <f t="shared" si="92"/>
        <v>#VALUE!</v>
      </c>
      <c r="O434" s="50">
        <f t="shared" si="93"/>
        <v>0</v>
      </c>
      <c r="Q434" s="55" t="e">
        <f t="shared" si="94"/>
        <v>#VALUE!</v>
      </c>
      <c r="R434" s="55" t="e">
        <f t="shared" si="98"/>
        <v>#VALUE!</v>
      </c>
      <c r="S434" s="55" t="e">
        <f t="shared" si="95"/>
        <v>#VALUE!</v>
      </c>
      <c r="T434" s="50" t="e">
        <f t="shared" si="99"/>
        <v>#VALUE!</v>
      </c>
      <c r="U434" s="50" t="e">
        <f t="shared" si="100"/>
        <v>#VALUE!</v>
      </c>
      <c r="V434" s="50" t="e">
        <f t="shared" si="101"/>
        <v>#VALUE!</v>
      </c>
    </row>
    <row r="435" spans="2:22" x14ac:dyDescent="0.25">
      <c r="B435" s="50" t="b">
        <f t="shared" si="102"/>
        <v>0</v>
      </c>
      <c r="C435" s="50" t="e">
        <f t="shared" si="89"/>
        <v>#VALUE!</v>
      </c>
      <c r="E435" s="56">
        <v>431</v>
      </c>
      <c r="G435" s="138"/>
      <c r="H435" s="135">
        <v>1</v>
      </c>
      <c r="I435" s="58" t="e">
        <f t="shared" si="90"/>
        <v>#VALUE!</v>
      </c>
      <c r="J435" s="50" t="e">
        <f t="shared" si="96"/>
        <v>#VALUE!</v>
      </c>
      <c r="K435" s="50" t="e">
        <f t="shared" si="97"/>
        <v>#VALUE!</v>
      </c>
      <c r="L435" s="50" t="e">
        <f t="shared" si="97"/>
        <v>#VALUE!</v>
      </c>
      <c r="M435" s="50" t="e">
        <f t="shared" si="91"/>
        <v>#VALUE!</v>
      </c>
      <c r="N435" s="50" t="e">
        <f t="shared" si="92"/>
        <v>#VALUE!</v>
      </c>
      <c r="O435" s="50">
        <f t="shared" si="93"/>
        <v>0</v>
      </c>
      <c r="Q435" s="55" t="e">
        <f t="shared" si="94"/>
        <v>#VALUE!</v>
      </c>
      <c r="R435" s="55" t="e">
        <f t="shared" si="98"/>
        <v>#VALUE!</v>
      </c>
      <c r="S435" s="55" t="e">
        <f t="shared" si="95"/>
        <v>#VALUE!</v>
      </c>
      <c r="T435" s="50" t="e">
        <f t="shared" si="99"/>
        <v>#VALUE!</v>
      </c>
      <c r="U435" s="50" t="e">
        <f t="shared" si="100"/>
        <v>#VALUE!</v>
      </c>
      <c r="V435" s="50" t="e">
        <f t="shared" si="101"/>
        <v>#VALUE!</v>
      </c>
    </row>
    <row r="436" spans="2:22" x14ac:dyDescent="0.25">
      <c r="B436" s="50" t="b">
        <f t="shared" si="102"/>
        <v>0</v>
      </c>
      <c r="C436" s="50" t="e">
        <f t="shared" si="89"/>
        <v>#VALUE!</v>
      </c>
      <c r="E436" s="56">
        <v>432</v>
      </c>
      <c r="G436" s="138"/>
      <c r="H436" s="135">
        <v>1</v>
      </c>
      <c r="I436" s="58" t="e">
        <f t="shared" si="90"/>
        <v>#VALUE!</v>
      </c>
      <c r="J436" s="50" t="e">
        <f t="shared" si="96"/>
        <v>#VALUE!</v>
      </c>
      <c r="K436" s="50" t="e">
        <f t="shared" si="97"/>
        <v>#VALUE!</v>
      </c>
      <c r="L436" s="50" t="e">
        <f t="shared" si="97"/>
        <v>#VALUE!</v>
      </c>
      <c r="M436" s="50" t="e">
        <f t="shared" si="91"/>
        <v>#VALUE!</v>
      </c>
      <c r="N436" s="50" t="e">
        <f t="shared" si="92"/>
        <v>#VALUE!</v>
      </c>
      <c r="O436" s="50">
        <f t="shared" si="93"/>
        <v>0</v>
      </c>
      <c r="Q436" s="55" t="e">
        <f t="shared" si="94"/>
        <v>#VALUE!</v>
      </c>
      <c r="R436" s="55" t="e">
        <f t="shared" si="98"/>
        <v>#VALUE!</v>
      </c>
      <c r="S436" s="55" t="e">
        <f t="shared" si="95"/>
        <v>#VALUE!</v>
      </c>
      <c r="T436" s="50" t="e">
        <f t="shared" si="99"/>
        <v>#VALUE!</v>
      </c>
      <c r="U436" s="50" t="e">
        <f t="shared" si="100"/>
        <v>#VALUE!</v>
      </c>
      <c r="V436" s="50" t="e">
        <f t="shared" si="101"/>
        <v>#VALUE!</v>
      </c>
    </row>
    <row r="437" spans="2:22" x14ac:dyDescent="0.25">
      <c r="B437" s="50" t="b">
        <f t="shared" si="102"/>
        <v>0</v>
      </c>
      <c r="C437" s="50" t="e">
        <f t="shared" si="89"/>
        <v>#VALUE!</v>
      </c>
      <c r="E437" s="56">
        <v>433</v>
      </c>
      <c r="G437" s="138"/>
      <c r="H437" s="135">
        <v>1</v>
      </c>
      <c r="I437" s="58" t="e">
        <f t="shared" si="90"/>
        <v>#VALUE!</v>
      </c>
      <c r="J437" s="50" t="e">
        <f t="shared" si="96"/>
        <v>#VALUE!</v>
      </c>
      <c r="K437" s="50" t="e">
        <f t="shared" si="97"/>
        <v>#VALUE!</v>
      </c>
      <c r="L437" s="50" t="e">
        <f t="shared" si="97"/>
        <v>#VALUE!</v>
      </c>
      <c r="M437" s="50" t="e">
        <f t="shared" si="91"/>
        <v>#VALUE!</v>
      </c>
      <c r="N437" s="50" t="e">
        <f t="shared" si="92"/>
        <v>#VALUE!</v>
      </c>
      <c r="O437" s="50">
        <f t="shared" si="93"/>
        <v>0</v>
      </c>
      <c r="Q437" s="55" t="e">
        <f t="shared" si="94"/>
        <v>#VALUE!</v>
      </c>
      <c r="R437" s="55" t="e">
        <f t="shared" si="98"/>
        <v>#VALUE!</v>
      </c>
      <c r="S437" s="55" t="e">
        <f t="shared" si="95"/>
        <v>#VALUE!</v>
      </c>
      <c r="T437" s="50" t="e">
        <f t="shared" si="99"/>
        <v>#VALUE!</v>
      </c>
      <c r="U437" s="50" t="e">
        <f t="shared" si="100"/>
        <v>#VALUE!</v>
      </c>
      <c r="V437" s="50" t="e">
        <f t="shared" si="101"/>
        <v>#VALUE!</v>
      </c>
    </row>
    <row r="438" spans="2:22" x14ac:dyDescent="0.25">
      <c r="B438" s="50" t="b">
        <f t="shared" si="102"/>
        <v>0</v>
      </c>
      <c r="C438" s="50" t="e">
        <f t="shared" ref="C438:C501" si="103">SUM(T438:V438)</f>
        <v>#VALUE!</v>
      </c>
      <c r="E438" s="56">
        <v>434</v>
      </c>
      <c r="G438" s="138"/>
      <c r="H438" s="135">
        <v>1</v>
      </c>
      <c r="I438" s="58" t="e">
        <f t="shared" si="90"/>
        <v>#VALUE!</v>
      </c>
      <c r="J438" s="50" t="e">
        <f t="shared" si="96"/>
        <v>#VALUE!</v>
      </c>
      <c r="K438" s="50" t="e">
        <f t="shared" si="97"/>
        <v>#VALUE!</v>
      </c>
      <c r="L438" s="50" t="e">
        <f t="shared" si="97"/>
        <v>#VALUE!</v>
      </c>
      <c r="M438" s="50" t="e">
        <f t="shared" si="91"/>
        <v>#VALUE!</v>
      </c>
      <c r="N438" s="50" t="e">
        <f t="shared" si="92"/>
        <v>#VALUE!</v>
      </c>
      <c r="O438" s="50">
        <f t="shared" si="93"/>
        <v>0</v>
      </c>
      <c r="Q438" s="55" t="e">
        <f t="shared" si="94"/>
        <v>#VALUE!</v>
      </c>
      <c r="R438" s="55" t="e">
        <f t="shared" si="98"/>
        <v>#VALUE!</v>
      </c>
      <c r="S438" s="55" t="e">
        <f t="shared" si="95"/>
        <v>#VALUE!</v>
      </c>
      <c r="T438" s="50" t="e">
        <f t="shared" si="99"/>
        <v>#VALUE!</v>
      </c>
      <c r="U438" s="50" t="e">
        <f t="shared" si="100"/>
        <v>#VALUE!</v>
      </c>
      <c r="V438" s="50" t="e">
        <f t="shared" si="101"/>
        <v>#VALUE!</v>
      </c>
    </row>
    <row r="439" spans="2:22" x14ac:dyDescent="0.25">
      <c r="B439" s="50" t="b">
        <f t="shared" si="102"/>
        <v>0</v>
      </c>
      <c r="C439" s="50" t="e">
        <f t="shared" si="103"/>
        <v>#VALUE!</v>
      </c>
      <c r="E439" s="56">
        <v>435</v>
      </c>
      <c r="G439" s="138"/>
      <c r="H439" s="135">
        <v>1</v>
      </c>
      <c r="I439" s="58" t="e">
        <f t="shared" si="90"/>
        <v>#VALUE!</v>
      </c>
      <c r="J439" s="50" t="e">
        <f t="shared" si="96"/>
        <v>#VALUE!</v>
      </c>
      <c r="K439" s="50" t="e">
        <f t="shared" si="97"/>
        <v>#VALUE!</v>
      </c>
      <c r="L439" s="50" t="e">
        <f t="shared" si="97"/>
        <v>#VALUE!</v>
      </c>
      <c r="M439" s="50" t="e">
        <f t="shared" si="91"/>
        <v>#VALUE!</v>
      </c>
      <c r="N439" s="50" t="e">
        <f t="shared" si="92"/>
        <v>#VALUE!</v>
      </c>
      <c r="O439" s="50">
        <f t="shared" si="93"/>
        <v>0</v>
      </c>
      <c r="Q439" s="55" t="e">
        <f t="shared" si="94"/>
        <v>#VALUE!</v>
      </c>
      <c r="R439" s="55" t="e">
        <f t="shared" si="98"/>
        <v>#VALUE!</v>
      </c>
      <c r="S439" s="55" t="e">
        <f t="shared" si="95"/>
        <v>#VALUE!</v>
      </c>
      <c r="T439" s="50" t="e">
        <f t="shared" si="99"/>
        <v>#VALUE!</v>
      </c>
      <c r="U439" s="50" t="e">
        <f t="shared" si="100"/>
        <v>#VALUE!</v>
      </c>
      <c r="V439" s="50" t="e">
        <f t="shared" si="101"/>
        <v>#VALUE!</v>
      </c>
    </row>
    <row r="440" spans="2:22" x14ac:dyDescent="0.25">
      <c r="B440" s="50" t="b">
        <f t="shared" si="102"/>
        <v>0</v>
      </c>
      <c r="C440" s="50" t="e">
        <f t="shared" si="103"/>
        <v>#VALUE!</v>
      </c>
      <c r="E440" s="56">
        <v>436</v>
      </c>
      <c r="G440" s="138"/>
      <c r="H440" s="135">
        <v>1</v>
      </c>
      <c r="I440" s="58" t="e">
        <f t="shared" si="90"/>
        <v>#VALUE!</v>
      </c>
      <c r="J440" s="50" t="e">
        <f t="shared" si="96"/>
        <v>#VALUE!</v>
      </c>
      <c r="K440" s="50" t="e">
        <f t="shared" si="97"/>
        <v>#VALUE!</v>
      </c>
      <c r="L440" s="50" t="e">
        <f t="shared" si="97"/>
        <v>#VALUE!</v>
      </c>
      <c r="M440" s="50" t="e">
        <f t="shared" si="91"/>
        <v>#VALUE!</v>
      </c>
      <c r="N440" s="50" t="e">
        <f t="shared" si="92"/>
        <v>#VALUE!</v>
      </c>
      <c r="O440" s="50">
        <f t="shared" si="93"/>
        <v>0</v>
      </c>
      <c r="Q440" s="55" t="e">
        <f t="shared" si="94"/>
        <v>#VALUE!</v>
      </c>
      <c r="R440" s="55" t="e">
        <f t="shared" si="98"/>
        <v>#VALUE!</v>
      </c>
      <c r="S440" s="55" t="e">
        <f t="shared" si="95"/>
        <v>#VALUE!</v>
      </c>
      <c r="T440" s="50" t="e">
        <f t="shared" si="99"/>
        <v>#VALUE!</v>
      </c>
      <c r="U440" s="50" t="e">
        <f t="shared" si="100"/>
        <v>#VALUE!</v>
      </c>
      <c r="V440" s="50" t="e">
        <f t="shared" si="101"/>
        <v>#VALUE!</v>
      </c>
    </row>
    <row r="441" spans="2:22" x14ac:dyDescent="0.25">
      <c r="B441" s="50" t="b">
        <f t="shared" si="102"/>
        <v>0</v>
      </c>
      <c r="C441" s="50" t="e">
        <f t="shared" si="103"/>
        <v>#VALUE!</v>
      </c>
      <c r="E441" s="56">
        <v>437</v>
      </c>
      <c r="G441" s="138"/>
      <c r="H441" s="135">
        <v>1</v>
      </c>
      <c r="I441" s="58" t="e">
        <f t="shared" si="90"/>
        <v>#VALUE!</v>
      </c>
      <c r="J441" s="50" t="e">
        <f t="shared" si="96"/>
        <v>#VALUE!</v>
      </c>
      <c r="K441" s="50" t="e">
        <f t="shared" si="97"/>
        <v>#VALUE!</v>
      </c>
      <c r="L441" s="50" t="e">
        <f t="shared" si="97"/>
        <v>#VALUE!</v>
      </c>
      <c r="M441" s="50" t="e">
        <f t="shared" si="91"/>
        <v>#VALUE!</v>
      </c>
      <c r="N441" s="50" t="e">
        <f t="shared" si="92"/>
        <v>#VALUE!</v>
      </c>
      <c r="O441" s="50">
        <f t="shared" si="93"/>
        <v>0</v>
      </c>
      <c r="Q441" s="55" t="e">
        <f t="shared" si="94"/>
        <v>#VALUE!</v>
      </c>
      <c r="R441" s="55" t="e">
        <f t="shared" si="98"/>
        <v>#VALUE!</v>
      </c>
      <c r="S441" s="55" t="e">
        <f t="shared" si="95"/>
        <v>#VALUE!</v>
      </c>
      <c r="T441" s="50" t="e">
        <f t="shared" si="99"/>
        <v>#VALUE!</v>
      </c>
      <c r="U441" s="50" t="e">
        <f t="shared" si="100"/>
        <v>#VALUE!</v>
      </c>
      <c r="V441" s="50" t="e">
        <f t="shared" si="101"/>
        <v>#VALUE!</v>
      </c>
    </row>
    <row r="442" spans="2:22" x14ac:dyDescent="0.25">
      <c r="B442" s="50" t="b">
        <f t="shared" si="102"/>
        <v>0</v>
      </c>
      <c r="C442" s="50" t="e">
        <f t="shared" si="103"/>
        <v>#VALUE!</v>
      </c>
      <c r="E442" s="56">
        <v>438</v>
      </c>
      <c r="G442" s="138"/>
      <c r="H442" s="135">
        <v>1</v>
      </c>
      <c r="I442" s="58" t="e">
        <f t="shared" si="90"/>
        <v>#VALUE!</v>
      </c>
      <c r="J442" s="50" t="e">
        <f t="shared" si="96"/>
        <v>#VALUE!</v>
      </c>
      <c r="K442" s="50" t="e">
        <f t="shared" si="97"/>
        <v>#VALUE!</v>
      </c>
      <c r="L442" s="50" t="e">
        <f t="shared" si="97"/>
        <v>#VALUE!</v>
      </c>
      <c r="M442" s="50" t="e">
        <f t="shared" si="91"/>
        <v>#VALUE!</v>
      </c>
      <c r="N442" s="50" t="e">
        <f t="shared" si="92"/>
        <v>#VALUE!</v>
      </c>
      <c r="O442" s="50">
        <f t="shared" si="93"/>
        <v>0</v>
      </c>
      <c r="Q442" s="55" t="e">
        <f t="shared" si="94"/>
        <v>#VALUE!</v>
      </c>
      <c r="R442" s="55" t="e">
        <f t="shared" si="98"/>
        <v>#VALUE!</v>
      </c>
      <c r="S442" s="55" t="e">
        <f t="shared" si="95"/>
        <v>#VALUE!</v>
      </c>
      <c r="T442" s="50" t="e">
        <f t="shared" si="99"/>
        <v>#VALUE!</v>
      </c>
      <c r="U442" s="50" t="e">
        <f t="shared" si="100"/>
        <v>#VALUE!</v>
      </c>
      <c r="V442" s="50" t="e">
        <f t="shared" si="101"/>
        <v>#VALUE!</v>
      </c>
    </row>
    <row r="443" spans="2:22" x14ac:dyDescent="0.25">
      <c r="B443" s="50" t="b">
        <f t="shared" si="102"/>
        <v>0</v>
      </c>
      <c r="C443" s="50" t="e">
        <f t="shared" si="103"/>
        <v>#VALUE!</v>
      </c>
      <c r="E443" s="56">
        <v>439</v>
      </c>
      <c r="G443" s="138"/>
      <c r="H443" s="135">
        <v>1</v>
      </c>
      <c r="I443" s="58" t="e">
        <f t="shared" si="90"/>
        <v>#VALUE!</v>
      </c>
      <c r="J443" s="50" t="e">
        <f t="shared" si="96"/>
        <v>#VALUE!</v>
      </c>
      <c r="K443" s="50" t="e">
        <f t="shared" si="97"/>
        <v>#VALUE!</v>
      </c>
      <c r="L443" s="50" t="e">
        <f t="shared" si="97"/>
        <v>#VALUE!</v>
      </c>
      <c r="M443" s="50" t="e">
        <f t="shared" si="91"/>
        <v>#VALUE!</v>
      </c>
      <c r="N443" s="50" t="e">
        <f t="shared" si="92"/>
        <v>#VALUE!</v>
      </c>
      <c r="O443" s="50">
        <f t="shared" si="93"/>
        <v>0</v>
      </c>
      <c r="Q443" s="55" t="e">
        <f t="shared" si="94"/>
        <v>#VALUE!</v>
      </c>
      <c r="R443" s="55" t="e">
        <f t="shared" si="98"/>
        <v>#VALUE!</v>
      </c>
      <c r="S443" s="55" t="e">
        <f t="shared" si="95"/>
        <v>#VALUE!</v>
      </c>
      <c r="T443" s="50" t="e">
        <f t="shared" si="99"/>
        <v>#VALUE!</v>
      </c>
      <c r="U443" s="50" t="e">
        <f t="shared" si="100"/>
        <v>#VALUE!</v>
      </c>
      <c r="V443" s="50" t="e">
        <f t="shared" si="101"/>
        <v>#VALUE!</v>
      </c>
    </row>
    <row r="444" spans="2:22" x14ac:dyDescent="0.25">
      <c r="B444" s="50" t="b">
        <f t="shared" si="102"/>
        <v>0</v>
      </c>
      <c r="C444" s="50" t="e">
        <f t="shared" si="103"/>
        <v>#VALUE!</v>
      </c>
      <c r="E444" s="56">
        <v>440</v>
      </c>
      <c r="G444" s="138"/>
      <c r="H444" s="135">
        <v>1</v>
      </c>
      <c r="I444" s="58" t="e">
        <f t="shared" si="90"/>
        <v>#VALUE!</v>
      </c>
      <c r="J444" s="50" t="e">
        <f t="shared" si="96"/>
        <v>#VALUE!</v>
      </c>
      <c r="K444" s="50" t="e">
        <f t="shared" si="97"/>
        <v>#VALUE!</v>
      </c>
      <c r="L444" s="50" t="e">
        <f t="shared" si="97"/>
        <v>#VALUE!</v>
      </c>
      <c r="M444" s="50" t="e">
        <f t="shared" si="91"/>
        <v>#VALUE!</v>
      </c>
      <c r="N444" s="50" t="e">
        <f t="shared" si="92"/>
        <v>#VALUE!</v>
      </c>
      <c r="O444" s="50">
        <f t="shared" si="93"/>
        <v>0</v>
      </c>
      <c r="Q444" s="55" t="e">
        <f t="shared" si="94"/>
        <v>#VALUE!</v>
      </c>
      <c r="R444" s="55" t="e">
        <f t="shared" si="98"/>
        <v>#VALUE!</v>
      </c>
      <c r="S444" s="55" t="e">
        <f t="shared" si="95"/>
        <v>#VALUE!</v>
      </c>
      <c r="T444" s="50" t="e">
        <f t="shared" si="99"/>
        <v>#VALUE!</v>
      </c>
      <c r="U444" s="50" t="e">
        <f t="shared" si="100"/>
        <v>#VALUE!</v>
      </c>
      <c r="V444" s="50" t="e">
        <f t="shared" si="101"/>
        <v>#VALUE!</v>
      </c>
    </row>
    <row r="445" spans="2:22" x14ac:dyDescent="0.25">
      <c r="B445" s="50" t="b">
        <f t="shared" si="102"/>
        <v>0</v>
      </c>
      <c r="C445" s="50" t="e">
        <f t="shared" si="103"/>
        <v>#VALUE!</v>
      </c>
      <c r="E445" s="56">
        <v>441</v>
      </c>
      <c r="G445" s="138"/>
      <c r="H445" s="135">
        <v>1</v>
      </c>
      <c r="I445" s="58" t="e">
        <f t="shared" si="90"/>
        <v>#VALUE!</v>
      </c>
      <c r="J445" s="50" t="e">
        <f t="shared" si="96"/>
        <v>#VALUE!</v>
      </c>
      <c r="K445" s="50" t="e">
        <f t="shared" si="97"/>
        <v>#VALUE!</v>
      </c>
      <c r="L445" s="50" t="e">
        <f t="shared" si="97"/>
        <v>#VALUE!</v>
      </c>
      <c r="M445" s="50" t="e">
        <f t="shared" si="91"/>
        <v>#VALUE!</v>
      </c>
      <c r="N445" s="50" t="e">
        <f t="shared" si="92"/>
        <v>#VALUE!</v>
      </c>
      <c r="O445" s="50">
        <f t="shared" si="93"/>
        <v>0</v>
      </c>
      <c r="Q445" s="55" t="e">
        <f t="shared" si="94"/>
        <v>#VALUE!</v>
      </c>
      <c r="R445" s="55" t="e">
        <f t="shared" si="98"/>
        <v>#VALUE!</v>
      </c>
      <c r="S445" s="55" t="e">
        <f t="shared" si="95"/>
        <v>#VALUE!</v>
      </c>
      <c r="T445" s="50" t="e">
        <f t="shared" si="99"/>
        <v>#VALUE!</v>
      </c>
      <c r="U445" s="50" t="e">
        <f t="shared" si="100"/>
        <v>#VALUE!</v>
      </c>
      <c r="V445" s="50" t="e">
        <f t="shared" si="101"/>
        <v>#VALUE!</v>
      </c>
    </row>
    <row r="446" spans="2:22" x14ac:dyDescent="0.25">
      <c r="B446" s="50" t="b">
        <f t="shared" si="102"/>
        <v>0</v>
      </c>
      <c r="C446" s="50" t="e">
        <f t="shared" si="103"/>
        <v>#VALUE!</v>
      </c>
      <c r="E446" s="56">
        <v>442</v>
      </c>
      <c r="G446" s="138"/>
      <c r="H446" s="135">
        <v>1</v>
      </c>
      <c r="I446" s="58" t="e">
        <f t="shared" si="90"/>
        <v>#VALUE!</v>
      </c>
      <c r="J446" s="50" t="e">
        <f t="shared" si="96"/>
        <v>#VALUE!</v>
      </c>
      <c r="K446" s="50" t="e">
        <f t="shared" si="97"/>
        <v>#VALUE!</v>
      </c>
      <c r="L446" s="50" t="e">
        <f t="shared" si="97"/>
        <v>#VALUE!</v>
      </c>
      <c r="M446" s="50" t="e">
        <f t="shared" si="91"/>
        <v>#VALUE!</v>
      </c>
      <c r="N446" s="50" t="e">
        <f t="shared" si="92"/>
        <v>#VALUE!</v>
      </c>
      <c r="O446" s="50">
        <f t="shared" si="93"/>
        <v>0</v>
      </c>
      <c r="Q446" s="55" t="e">
        <f t="shared" si="94"/>
        <v>#VALUE!</v>
      </c>
      <c r="R446" s="55" t="e">
        <f t="shared" si="98"/>
        <v>#VALUE!</v>
      </c>
      <c r="S446" s="55" t="e">
        <f t="shared" si="95"/>
        <v>#VALUE!</v>
      </c>
      <c r="T446" s="50" t="e">
        <f t="shared" si="99"/>
        <v>#VALUE!</v>
      </c>
      <c r="U446" s="50" t="e">
        <f t="shared" si="100"/>
        <v>#VALUE!</v>
      </c>
      <c r="V446" s="50" t="e">
        <f t="shared" si="101"/>
        <v>#VALUE!</v>
      </c>
    </row>
    <row r="447" spans="2:22" x14ac:dyDescent="0.25">
      <c r="B447" s="50" t="b">
        <f t="shared" si="102"/>
        <v>0</v>
      </c>
      <c r="C447" s="50" t="e">
        <f t="shared" si="103"/>
        <v>#VALUE!</v>
      </c>
      <c r="E447" s="56">
        <v>443</v>
      </c>
      <c r="G447" s="138"/>
      <c r="H447" s="135">
        <v>1</v>
      </c>
      <c r="I447" s="58" t="e">
        <f t="shared" si="90"/>
        <v>#VALUE!</v>
      </c>
      <c r="J447" s="50" t="e">
        <f t="shared" si="96"/>
        <v>#VALUE!</v>
      </c>
      <c r="K447" s="50" t="e">
        <f t="shared" si="97"/>
        <v>#VALUE!</v>
      </c>
      <c r="L447" s="50" t="e">
        <f t="shared" si="97"/>
        <v>#VALUE!</v>
      </c>
      <c r="M447" s="50" t="e">
        <f t="shared" si="91"/>
        <v>#VALUE!</v>
      </c>
      <c r="N447" s="50" t="e">
        <f t="shared" si="92"/>
        <v>#VALUE!</v>
      </c>
      <c r="O447" s="50">
        <f t="shared" si="93"/>
        <v>0</v>
      </c>
      <c r="Q447" s="55" t="e">
        <f t="shared" si="94"/>
        <v>#VALUE!</v>
      </c>
      <c r="R447" s="55" t="e">
        <f t="shared" si="98"/>
        <v>#VALUE!</v>
      </c>
      <c r="S447" s="55" t="e">
        <f t="shared" si="95"/>
        <v>#VALUE!</v>
      </c>
      <c r="T447" s="50" t="e">
        <f t="shared" si="99"/>
        <v>#VALUE!</v>
      </c>
      <c r="U447" s="50" t="e">
        <f t="shared" si="100"/>
        <v>#VALUE!</v>
      </c>
      <c r="V447" s="50" t="e">
        <f t="shared" si="101"/>
        <v>#VALUE!</v>
      </c>
    </row>
    <row r="448" spans="2:22" x14ac:dyDescent="0.25">
      <c r="B448" s="50" t="b">
        <f t="shared" si="102"/>
        <v>0</v>
      </c>
      <c r="C448" s="50" t="e">
        <f t="shared" si="103"/>
        <v>#VALUE!</v>
      </c>
      <c r="E448" s="56">
        <v>444</v>
      </c>
      <c r="G448" s="138"/>
      <c r="H448" s="135">
        <v>1</v>
      </c>
      <c r="I448" s="58" t="e">
        <f t="shared" si="90"/>
        <v>#VALUE!</v>
      </c>
      <c r="J448" s="50" t="e">
        <f t="shared" si="96"/>
        <v>#VALUE!</v>
      </c>
      <c r="K448" s="50" t="e">
        <f t="shared" si="97"/>
        <v>#VALUE!</v>
      </c>
      <c r="L448" s="50" t="e">
        <f t="shared" si="97"/>
        <v>#VALUE!</v>
      </c>
      <c r="M448" s="50" t="e">
        <f t="shared" si="91"/>
        <v>#VALUE!</v>
      </c>
      <c r="N448" s="50" t="e">
        <f t="shared" si="92"/>
        <v>#VALUE!</v>
      </c>
      <c r="O448" s="50">
        <f t="shared" si="93"/>
        <v>0</v>
      </c>
      <c r="Q448" s="55" t="e">
        <f t="shared" si="94"/>
        <v>#VALUE!</v>
      </c>
      <c r="R448" s="55" t="e">
        <f t="shared" si="98"/>
        <v>#VALUE!</v>
      </c>
      <c r="S448" s="55" t="e">
        <f t="shared" si="95"/>
        <v>#VALUE!</v>
      </c>
      <c r="T448" s="50" t="e">
        <f t="shared" si="99"/>
        <v>#VALUE!</v>
      </c>
      <c r="U448" s="50" t="e">
        <f t="shared" si="100"/>
        <v>#VALUE!</v>
      </c>
      <c r="V448" s="50" t="e">
        <f t="shared" si="101"/>
        <v>#VALUE!</v>
      </c>
    </row>
    <row r="449" spans="2:22" x14ac:dyDescent="0.25">
      <c r="B449" s="50" t="b">
        <f t="shared" si="102"/>
        <v>0</v>
      </c>
      <c r="C449" s="50" t="e">
        <f t="shared" si="103"/>
        <v>#VALUE!</v>
      </c>
      <c r="E449" s="56">
        <v>445</v>
      </c>
      <c r="G449" s="138"/>
      <c r="H449" s="135">
        <v>1</v>
      </c>
      <c r="I449" s="58" t="e">
        <f t="shared" si="90"/>
        <v>#VALUE!</v>
      </c>
      <c r="J449" s="50" t="e">
        <f t="shared" si="96"/>
        <v>#VALUE!</v>
      </c>
      <c r="K449" s="50" t="e">
        <f t="shared" si="97"/>
        <v>#VALUE!</v>
      </c>
      <c r="L449" s="50" t="e">
        <f t="shared" si="97"/>
        <v>#VALUE!</v>
      </c>
      <c r="M449" s="50" t="e">
        <f t="shared" si="91"/>
        <v>#VALUE!</v>
      </c>
      <c r="N449" s="50" t="e">
        <f t="shared" si="92"/>
        <v>#VALUE!</v>
      </c>
      <c r="O449" s="50">
        <f t="shared" si="93"/>
        <v>0</v>
      </c>
      <c r="Q449" s="55" t="e">
        <f t="shared" si="94"/>
        <v>#VALUE!</v>
      </c>
      <c r="R449" s="55" t="e">
        <f t="shared" si="98"/>
        <v>#VALUE!</v>
      </c>
      <c r="S449" s="55" t="e">
        <f t="shared" si="95"/>
        <v>#VALUE!</v>
      </c>
      <c r="T449" s="50" t="e">
        <f t="shared" si="99"/>
        <v>#VALUE!</v>
      </c>
      <c r="U449" s="50" t="e">
        <f t="shared" si="100"/>
        <v>#VALUE!</v>
      </c>
      <c r="V449" s="50" t="e">
        <f t="shared" si="101"/>
        <v>#VALUE!</v>
      </c>
    </row>
    <row r="450" spans="2:22" x14ac:dyDescent="0.25">
      <c r="B450" s="50" t="b">
        <f t="shared" si="102"/>
        <v>0</v>
      </c>
      <c r="C450" s="50" t="e">
        <f t="shared" si="103"/>
        <v>#VALUE!</v>
      </c>
      <c r="E450" s="56">
        <v>446</v>
      </c>
      <c r="G450" s="138"/>
      <c r="H450" s="135">
        <v>1</v>
      </c>
      <c r="I450" s="58" t="e">
        <f t="shared" si="90"/>
        <v>#VALUE!</v>
      </c>
      <c r="J450" s="50" t="e">
        <f t="shared" si="96"/>
        <v>#VALUE!</v>
      </c>
      <c r="K450" s="50" t="e">
        <f t="shared" si="97"/>
        <v>#VALUE!</v>
      </c>
      <c r="L450" s="50" t="e">
        <f t="shared" si="97"/>
        <v>#VALUE!</v>
      </c>
      <c r="M450" s="50" t="e">
        <f t="shared" si="91"/>
        <v>#VALUE!</v>
      </c>
      <c r="N450" s="50" t="e">
        <f t="shared" si="92"/>
        <v>#VALUE!</v>
      </c>
      <c r="O450" s="50">
        <f t="shared" si="93"/>
        <v>0</v>
      </c>
      <c r="Q450" s="55" t="e">
        <f t="shared" si="94"/>
        <v>#VALUE!</v>
      </c>
      <c r="R450" s="55" t="e">
        <f t="shared" si="98"/>
        <v>#VALUE!</v>
      </c>
      <c r="S450" s="55" t="e">
        <f t="shared" si="95"/>
        <v>#VALUE!</v>
      </c>
      <c r="T450" s="50" t="e">
        <f t="shared" si="99"/>
        <v>#VALUE!</v>
      </c>
      <c r="U450" s="50" t="e">
        <f t="shared" si="100"/>
        <v>#VALUE!</v>
      </c>
      <c r="V450" s="50" t="e">
        <f t="shared" si="101"/>
        <v>#VALUE!</v>
      </c>
    </row>
    <row r="451" spans="2:22" x14ac:dyDescent="0.25">
      <c r="B451" s="50" t="b">
        <f t="shared" si="102"/>
        <v>0</v>
      </c>
      <c r="C451" s="50" t="e">
        <f t="shared" si="103"/>
        <v>#VALUE!</v>
      </c>
      <c r="E451" s="56">
        <v>447</v>
      </c>
      <c r="G451" s="138"/>
      <c r="H451" s="135">
        <v>1</v>
      </c>
      <c r="I451" s="58" t="e">
        <f t="shared" si="90"/>
        <v>#VALUE!</v>
      </c>
      <c r="J451" s="50" t="e">
        <f t="shared" si="96"/>
        <v>#VALUE!</v>
      </c>
      <c r="K451" s="50" t="e">
        <f t="shared" si="97"/>
        <v>#VALUE!</v>
      </c>
      <c r="L451" s="50" t="e">
        <f t="shared" si="97"/>
        <v>#VALUE!</v>
      </c>
      <c r="M451" s="50" t="e">
        <f t="shared" si="91"/>
        <v>#VALUE!</v>
      </c>
      <c r="N451" s="50" t="e">
        <f t="shared" si="92"/>
        <v>#VALUE!</v>
      </c>
      <c r="O451" s="50">
        <f t="shared" si="93"/>
        <v>0</v>
      </c>
      <c r="Q451" s="55" t="e">
        <f t="shared" si="94"/>
        <v>#VALUE!</v>
      </c>
      <c r="R451" s="55" t="e">
        <f t="shared" si="98"/>
        <v>#VALUE!</v>
      </c>
      <c r="S451" s="55" t="e">
        <f t="shared" si="95"/>
        <v>#VALUE!</v>
      </c>
      <c r="T451" s="50" t="e">
        <f t="shared" si="99"/>
        <v>#VALUE!</v>
      </c>
      <c r="U451" s="50" t="e">
        <f t="shared" si="100"/>
        <v>#VALUE!</v>
      </c>
      <c r="V451" s="50" t="e">
        <f t="shared" si="101"/>
        <v>#VALUE!</v>
      </c>
    </row>
    <row r="452" spans="2:22" x14ac:dyDescent="0.25">
      <c r="B452" s="50" t="b">
        <f t="shared" si="102"/>
        <v>0</v>
      </c>
      <c r="C452" s="50" t="e">
        <f t="shared" si="103"/>
        <v>#VALUE!</v>
      </c>
      <c r="E452" s="56">
        <v>448</v>
      </c>
      <c r="G452" s="138"/>
      <c r="H452" s="135">
        <v>1</v>
      </c>
      <c r="I452" s="58" t="e">
        <f t="shared" ref="I452:I515" si="104">RIGHT(G452,J452)</f>
        <v>#VALUE!</v>
      </c>
      <c r="J452" s="50" t="e">
        <f t="shared" si="96"/>
        <v>#VALUE!</v>
      </c>
      <c r="K452" s="50" t="e">
        <f t="shared" si="97"/>
        <v>#VALUE!</v>
      </c>
      <c r="L452" s="50" t="e">
        <f t="shared" si="97"/>
        <v>#VALUE!</v>
      </c>
      <c r="M452" s="50" t="e">
        <f t="shared" ref="M452:M515" si="105">SEARCH("-",G452,2)</f>
        <v>#VALUE!</v>
      </c>
      <c r="N452" s="50" t="e">
        <f t="shared" ref="N452:N515" si="106">SEARCH("-",G452,M452+1)</f>
        <v>#VALUE!</v>
      </c>
      <c r="O452" s="50">
        <f t="shared" ref="O452:O515" si="107">LEN(G452)</f>
        <v>0</v>
      </c>
      <c r="Q452" s="55" t="e">
        <f t="shared" ref="Q452:Q515" si="108">LEFT(G452,M452-1)</f>
        <v>#VALUE!</v>
      </c>
      <c r="R452" s="55" t="e">
        <f t="shared" si="98"/>
        <v>#VALUE!</v>
      </c>
      <c r="S452" s="55" t="e">
        <f t="shared" ref="S452:S515" si="109">RIGHT(G452,L452)</f>
        <v>#VALUE!</v>
      </c>
      <c r="T452" s="50" t="e">
        <f t="shared" si="99"/>
        <v>#VALUE!</v>
      </c>
      <c r="U452" s="50" t="e">
        <f t="shared" si="100"/>
        <v>#VALUE!</v>
      </c>
      <c r="V452" s="50" t="e">
        <f t="shared" si="101"/>
        <v>#VALUE!</v>
      </c>
    </row>
    <row r="453" spans="2:22" x14ac:dyDescent="0.25">
      <c r="B453" s="50" t="b">
        <f t="shared" si="102"/>
        <v>0</v>
      </c>
      <c r="C453" s="50" t="e">
        <f t="shared" si="103"/>
        <v>#VALUE!</v>
      </c>
      <c r="E453" s="56">
        <v>449</v>
      </c>
      <c r="G453" s="138"/>
      <c r="H453" s="135">
        <v>1</v>
      </c>
      <c r="I453" s="58" t="e">
        <f t="shared" si="104"/>
        <v>#VALUE!</v>
      </c>
      <c r="J453" s="50" t="e">
        <f t="shared" ref="J453:J516" si="110">O453-M453</f>
        <v>#VALUE!</v>
      </c>
      <c r="K453" s="50" t="e">
        <f t="shared" ref="K453:L516" si="111">N453-M453</f>
        <v>#VALUE!</v>
      </c>
      <c r="L453" s="50" t="e">
        <f t="shared" si="111"/>
        <v>#VALUE!</v>
      </c>
      <c r="M453" s="50" t="e">
        <f t="shared" si="105"/>
        <v>#VALUE!</v>
      </c>
      <c r="N453" s="50" t="e">
        <f t="shared" si="106"/>
        <v>#VALUE!</v>
      </c>
      <c r="O453" s="50">
        <f t="shared" si="107"/>
        <v>0</v>
      </c>
      <c r="Q453" s="55" t="e">
        <f t="shared" si="108"/>
        <v>#VALUE!</v>
      </c>
      <c r="R453" s="55" t="e">
        <f t="shared" ref="R453:R516" si="112">LEFT(I453,K453-1)</f>
        <v>#VALUE!</v>
      </c>
      <c r="S453" s="55" t="e">
        <f t="shared" si="109"/>
        <v>#VALUE!</v>
      </c>
      <c r="T453" s="50" t="e">
        <f t="shared" ref="T453:T516" si="113">Q453*1*$H453</f>
        <v>#VALUE!</v>
      </c>
      <c r="U453" s="50" t="e">
        <f t="shared" ref="U453:U516" si="114">R453*1*$H453</f>
        <v>#VALUE!</v>
      </c>
      <c r="V453" s="50" t="e">
        <f t="shared" ref="V453:V516" si="115">S453*1*$H453</f>
        <v>#VALUE!</v>
      </c>
    </row>
    <row r="454" spans="2:22" x14ac:dyDescent="0.25">
      <c r="B454" s="50" t="b">
        <f t="shared" si="102"/>
        <v>0</v>
      </c>
      <c r="C454" s="50" t="e">
        <f t="shared" si="103"/>
        <v>#VALUE!</v>
      </c>
      <c r="E454" s="56">
        <v>450</v>
      </c>
      <c r="G454" s="138"/>
      <c r="H454" s="135">
        <v>1</v>
      </c>
      <c r="I454" s="58" t="e">
        <f t="shared" si="104"/>
        <v>#VALUE!</v>
      </c>
      <c r="J454" s="50" t="e">
        <f t="shared" si="110"/>
        <v>#VALUE!</v>
      </c>
      <c r="K454" s="50" t="e">
        <f t="shared" si="111"/>
        <v>#VALUE!</v>
      </c>
      <c r="L454" s="50" t="e">
        <f t="shared" si="111"/>
        <v>#VALUE!</v>
      </c>
      <c r="M454" s="50" t="e">
        <f t="shared" si="105"/>
        <v>#VALUE!</v>
      </c>
      <c r="N454" s="50" t="e">
        <f t="shared" si="106"/>
        <v>#VALUE!</v>
      </c>
      <c r="O454" s="50">
        <f t="shared" si="107"/>
        <v>0</v>
      </c>
      <c r="Q454" s="55" t="e">
        <f t="shared" si="108"/>
        <v>#VALUE!</v>
      </c>
      <c r="R454" s="55" t="e">
        <f t="shared" si="112"/>
        <v>#VALUE!</v>
      </c>
      <c r="S454" s="55" t="e">
        <f t="shared" si="109"/>
        <v>#VALUE!</v>
      </c>
      <c r="T454" s="50" t="e">
        <f t="shared" si="113"/>
        <v>#VALUE!</v>
      </c>
      <c r="U454" s="50" t="e">
        <f t="shared" si="114"/>
        <v>#VALUE!</v>
      </c>
      <c r="V454" s="50" t="e">
        <f t="shared" si="115"/>
        <v>#VALUE!</v>
      </c>
    </row>
    <row r="455" spans="2:22" x14ac:dyDescent="0.25">
      <c r="B455" s="50" t="b">
        <f t="shared" si="102"/>
        <v>0</v>
      </c>
      <c r="C455" s="50" t="e">
        <f t="shared" si="103"/>
        <v>#VALUE!</v>
      </c>
      <c r="E455" s="56">
        <v>451</v>
      </c>
      <c r="G455" s="138"/>
      <c r="H455" s="135">
        <v>1</v>
      </c>
      <c r="I455" s="58" t="e">
        <f t="shared" si="104"/>
        <v>#VALUE!</v>
      </c>
      <c r="J455" s="50" t="e">
        <f t="shared" si="110"/>
        <v>#VALUE!</v>
      </c>
      <c r="K455" s="50" t="e">
        <f t="shared" si="111"/>
        <v>#VALUE!</v>
      </c>
      <c r="L455" s="50" t="e">
        <f t="shared" si="111"/>
        <v>#VALUE!</v>
      </c>
      <c r="M455" s="50" t="e">
        <f t="shared" si="105"/>
        <v>#VALUE!</v>
      </c>
      <c r="N455" s="50" t="e">
        <f t="shared" si="106"/>
        <v>#VALUE!</v>
      </c>
      <c r="O455" s="50">
        <f t="shared" si="107"/>
        <v>0</v>
      </c>
      <c r="Q455" s="55" t="e">
        <f t="shared" si="108"/>
        <v>#VALUE!</v>
      </c>
      <c r="R455" s="55" t="e">
        <f t="shared" si="112"/>
        <v>#VALUE!</v>
      </c>
      <c r="S455" s="55" t="e">
        <f t="shared" si="109"/>
        <v>#VALUE!</v>
      </c>
      <c r="T455" s="50" t="e">
        <f t="shared" si="113"/>
        <v>#VALUE!</v>
      </c>
      <c r="U455" s="50" t="e">
        <f t="shared" si="114"/>
        <v>#VALUE!</v>
      </c>
      <c r="V455" s="50" t="e">
        <f t="shared" si="115"/>
        <v>#VALUE!</v>
      </c>
    </row>
    <row r="456" spans="2:22" x14ac:dyDescent="0.25">
      <c r="B456" s="50" t="b">
        <f t="shared" si="102"/>
        <v>0</v>
      </c>
      <c r="C456" s="50" t="e">
        <f t="shared" si="103"/>
        <v>#VALUE!</v>
      </c>
      <c r="E456" s="56">
        <v>452</v>
      </c>
      <c r="G456" s="138"/>
      <c r="H456" s="135">
        <v>1</v>
      </c>
      <c r="I456" s="58" t="e">
        <f t="shared" si="104"/>
        <v>#VALUE!</v>
      </c>
      <c r="J456" s="50" t="e">
        <f t="shared" si="110"/>
        <v>#VALUE!</v>
      </c>
      <c r="K456" s="50" t="e">
        <f t="shared" si="111"/>
        <v>#VALUE!</v>
      </c>
      <c r="L456" s="50" t="e">
        <f t="shared" si="111"/>
        <v>#VALUE!</v>
      </c>
      <c r="M456" s="50" t="e">
        <f t="shared" si="105"/>
        <v>#VALUE!</v>
      </c>
      <c r="N456" s="50" t="e">
        <f t="shared" si="106"/>
        <v>#VALUE!</v>
      </c>
      <c r="O456" s="50">
        <f t="shared" si="107"/>
        <v>0</v>
      </c>
      <c r="Q456" s="55" t="e">
        <f t="shared" si="108"/>
        <v>#VALUE!</v>
      </c>
      <c r="R456" s="55" t="e">
        <f t="shared" si="112"/>
        <v>#VALUE!</v>
      </c>
      <c r="S456" s="55" t="e">
        <f t="shared" si="109"/>
        <v>#VALUE!</v>
      </c>
      <c r="T456" s="50" t="e">
        <f t="shared" si="113"/>
        <v>#VALUE!</v>
      </c>
      <c r="U456" s="50" t="e">
        <f t="shared" si="114"/>
        <v>#VALUE!</v>
      </c>
      <c r="V456" s="50" t="e">
        <f t="shared" si="115"/>
        <v>#VALUE!</v>
      </c>
    </row>
    <row r="457" spans="2:22" x14ac:dyDescent="0.25">
      <c r="B457" s="50" t="b">
        <f t="shared" si="102"/>
        <v>0</v>
      </c>
      <c r="C457" s="50" t="e">
        <f t="shared" si="103"/>
        <v>#VALUE!</v>
      </c>
      <c r="E457" s="56">
        <v>453</v>
      </c>
      <c r="G457" s="138"/>
      <c r="H457" s="135">
        <v>1</v>
      </c>
      <c r="I457" s="58" t="e">
        <f t="shared" si="104"/>
        <v>#VALUE!</v>
      </c>
      <c r="J457" s="50" t="e">
        <f t="shared" si="110"/>
        <v>#VALUE!</v>
      </c>
      <c r="K457" s="50" t="e">
        <f t="shared" si="111"/>
        <v>#VALUE!</v>
      </c>
      <c r="L457" s="50" t="e">
        <f t="shared" si="111"/>
        <v>#VALUE!</v>
      </c>
      <c r="M457" s="50" t="e">
        <f t="shared" si="105"/>
        <v>#VALUE!</v>
      </c>
      <c r="N457" s="50" t="e">
        <f t="shared" si="106"/>
        <v>#VALUE!</v>
      </c>
      <c r="O457" s="50">
        <f t="shared" si="107"/>
        <v>0</v>
      </c>
      <c r="Q457" s="55" t="e">
        <f t="shared" si="108"/>
        <v>#VALUE!</v>
      </c>
      <c r="R457" s="55" t="e">
        <f t="shared" si="112"/>
        <v>#VALUE!</v>
      </c>
      <c r="S457" s="55" t="e">
        <f t="shared" si="109"/>
        <v>#VALUE!</v>
      </c>
      <c r="T457" s="50" t="e">
        <f t="shared" si="113"/>
        <v>#VALUE!</v>
      </c>
      <c r="U457" s="50" t="e">
        <f t="shared" si="114"/>
        <v>#VALUE!</v>
      </c>
      <c r="V457" s="50" t="e">
        <f t="shared" si="115"/>
        <v>#VALUE!</v>
      </c>
    </row>
    <row r="458" spans="2:22" x14ac:dyDescent="0.25">
      <c r="B458" s="50" t="b">
        <f t="shared" si="102"/>
        <v>0</v>
      </c>
      <c r="C458" s="50" t="e">
        <f t="shared" si="103"/>
        <v>#VALUE!</v>
      </c>
      <c r="E458" s="56">
        <v>454</v>
      </c>
      <c r="G458" s="138"/>
      <c r="H458" s="135">
        <v>1</v>
      </c>
      <c r="I458" s="58" t="e">
        <f t="shared" si="104"/>
        <v>#VALUE!</v>
      </c>
      <c r="J458" s="50" t="e">
        <f t="shared" si="110"/>
        <v>#VALUE!</v>
      </c>
      <c r="K458" s="50" t="e">
        <f t="shared" si="111"/>
        <v>#VALUE!</v>
      </c>
      <c r="L458" s="50" t="e">
        <f t="shared" si="111"/>
        <v>#VALUE!</v>
      </c>
      <c r="M458" s="50" t="e">
        <f t="shared" si="105"/>
        <v>#VALUE!</v>
      </c>
      <c r="N458" s="50" t="e">
        <f t="shared" si="106"/>
        <v>#VALUE!</v>
      </c>
      <c r="O458" s="50">
        <f t="shared" si="107"/>
        <v>0</v>
      </c>
      <c r="Q458" s="55" t="e">
        <f t="shared" si="108"/>
        <v>#VALUE!</v>
      </c>
      <c r="R458" s="55" t="e">
        <f t="shared" si="112"/>
        <v>#VALUE!</v>
      </c>
      <c r="S458" s="55" t="e">
        <f t="shared" si="109"/>
        <v>#VALUE!</v>
      </c>
      <c r="T458" s="50" t="e">
        <f t="shared" si="113"/>
        <v>#VALUE!</v>
      </c>
      <c r="U458" s="50" t="e">
        <f t="shared" si="114"/>
        <v>#VALUE!</v>
      </c>
      <c r="V458" s="50" t="e">
        <f t="shared" si="115"/>
        <v>#VALUE!</v>
      </c>
    </row>
    <row r="459" spans="2:22" x14ac:dyDescent="0.25">
      <c r="B459" s="50" t="b">
        <f t="shared" si="102"/>
        <v>0</v>
      </c>
      <c r="C459" s="50" t="e">
        <f t="shared" si="103"/>
        <v>#VALUE!</v>
      </c>
      <c r="E459" s="56">
        <v>455</v>
      </c>
      <c r="G459" s="138"/>
      <c r="H459" s="135">
        <v>1</v>
      </c>
      <c r="I459" s="58" t="e">
        <f t="shared" si="104"/>
        <v>#VALUE!</v>
      </c>
      <c r="J459" s="50" t="e">
        <f t="shared" si="110"/>
        <v>#VALUE!</v>
      </c>
      <c r="K459" s="50" t="e">
        <f t="shared" si="111"/>
        <v>#VALUE!</v>
      </c>
      <c r="L459" s="50" t="e">
        <f t="shared" si="111"/>
        <v>#VALUE!</v>
      </c>
      <c r="M459" s="50" t="e">
        <f t="shared" si="105"/>
        <v>#VALUE!</v>
      </c>
      <c r="N459" s="50" t="e">
        <f t="shared" si="106"/>
        <v>#VALUE!</v>
      </c>
      <c r="O459" s="50">
        <f t="shared" si="107"/>
        <v>0</v>
      </c>
      <c r="Q459" s="55" t="e">
        <f t="shared" si="108"/>
        <v>#VALUE!</v>
      </c>
      <c r="R459" s="55" t="e">
        <f t="shared" si="112"/>
        <v>#VALUE!</v>
      </c>
      <c r="S459" s="55" t="e">
        <f t="shared" si="109"/>
        <v>#VALUE!</v>
      </c>
      <c r="T459" s="50" t="e">
        <f t="shared" si="113"/>
        <v>#VALUE!</v>
      </c>
      <c r="U459" s="50" t="e">
        <f t="shared" si="114"/>
        <v>#VALUE!</v>
      </c>
      <c r="V459" s="50" t="e">
        <f t="shared" si="115"/>
        <v>#VALUE!</v>
      </c>
    </row>
    <row r="460" spans="2:22" x14ac:dyDescent="0.25">
      <c r="B460" s="50" t="b">
        <f t="shared" si="102"/>
        <v>0</v>
      </c>
      <c r="C460" s="50" t="e">
        <f t="shared" si="103"/>
        <v>#VALUE!</v>
      </c>
      <c r="E460" s="56">
        <v>456</v>
      </c>
      <c r="G460" s="138"/>
      <c r="H460" s="135">
        <v>1</v>
      </c>
      <c r="I460" s="58" t="e">
        <f t="shared" si="104"/>
        <v>#VALUE!</v>
      </c>
      <c r="J460" s="50" t="e">
        <f t="shared" si="110"/>
        <v>#VALUE!</v>
      </c>
      <c r="K460" s="50" t="e">
        <f t="shared" si="111"/>
        <v>#VALUE!</v>
      </c>
      <c r="L460" s="50" t="e">
        <f t="shared" si="111"/>
        <v>#VALUE!</v>
      </c>
      <c r="M460" s="50" t="e">
        <f t="shared" si="105"/>
        <v>#VALUE!</v>
      </c>
      <c r="N460" s="50" t="e">
        <f t="shared" si="106"/>
        <v>#VALUE!</v>
      </c>
      <c r="O460" s="50">
        <f t="shared" si="107"/>
        <v>0</v>
      </c>
      <c r="Q460" s="55" t="e">
        <f t="shared" si="108"/>
        <v>#VALUE!</v>
      </c>
      <c r="R460" s="55" t="e">
        <f t="shared" si="112"/>
        <v>#VALUE!</v>
      </c>
      <c r="S460" s="55" t="e">
        <f t="shared" si="109"/>
        <v>#VALUE!</v>
      </c>
      <c r="T460" s="50" t="e">
        <f t="shared" si="113"/>
        <v>#VALUE!</v>
      </c>
      <c r="U460" s="50" t="e">
        <f t="shared" si="114"/>
        <v>#VALUE!</v>
      </c>
      <c r="V460" s="50" t="e">
        <f t="shared" si="115"/>
        <v>#VALUE!</v>
      </c>
    </row>
    <row r="461" spans="2:22" x14ac:dyDescent="0.25">
      <c r="B461" s="50" t="b">
        <f t="shared" si="102"/>
        <v>0</v>
      </c>
      <c r="C461" s="50" t="e">
        <f t="shared" si="103"/>
        <v>#VALUE!</v>
      </c>
      <c r="E461" s="56">
        <v>457</v>
      </c>
      <c r="G461" s="138"/>
      <c r="H461" s="135">
        <v>1</v>
      </c>
      <c r="I461" s="58" t="e">
        <f t="shared" si="104"/>
        <v>#VALUE!</v>
      </c>
      <c r="J461" s="50" t="e">
        <f t="shared" si="110"/>
        <v>#VALUE!</v>
      </c>
      <c r="K461" s="50" t="e">
        <f t="shared" si="111"/>
        <v>#VALUE!</v>
      </c>
      <c r="L461" s="50" t="e">
        <f t="shared" si="111"/>
        <v>#VALUE!</v>
      </c>
      <c r="M461" s="50" t="e">
        <f t="shared" si="105"/>
        <v>#VALUE!</v>
      </c>
      <c r="N461" s="50" t="e">
        <f t="shared" si="106"/>
        <v>#VALUE!</v>
      </c>
      <c r="O461" s="50">
        <f t="shared" si="107"/>
        <v>0</v>
      </c>
      <c r="Q461" s="55" t="e">
        <f t="shared" si="108"/>
        <v>#VALUE!</v>
      </c>
      <c r="R461" s="55" t="e">
        <f t="shared" si="112"/>
        <v>#VALUE!</v>
      </c>
      <c r="S461" s="55" t="e">
        <f t="shared" si="109"/>
        <v>#VALUE!</v>
      </c>
      <c r="T461" s="50" t="e">
        <f t="shared" si="113"/>
        <v>#VALUE!</v>
      </c>
      <c r="U461" s="50" t="e">
        <f t="shared" si="114"/>
        <v>#VALUE!</v>
      </c>
      <c r="V461" s="50" t="e">
        <f t="shared" si="115"/>
        <v>#VALUE!</v>
      </c>
    </row>
    <row r="462" spans="2:22" x14ac:dyDescent="0.25">
      <c r="B462" s="50" t="b">
        <f t="shared" ref="B462:B525" si="116">ISNUMBER(C462)</f>
        <v>0</v>
      </c>
      <c r="C462" s="50" t="e">
        <f t="shared" si="103"/>
        <v>#VALUE!</v>
      </c>
      <c r="E462" s="56">
        <v>458</v>
      </c>
      <c r="G462" s="138"/>
      <c r="H462" s="135">
        <v>1</v>
      </c>
      <c r="I462" s="58" t="e">
        <f t="shared" si="104"/>
        <v>#VALUE!</v>
      </c>
      <c r="J462" s="50" t="e">
        <f t="shared" si="110"/>
        <v>#VALUE!</v>
      </c>
      <c r="K462" s="50" t="e">
        <f t="shared" si="111"/>
        <v>#VALUE!</v>
      </c>
      <c r="L462" s="50" t="e">
        <f t="shared" si="111"/>
        <v>#VALUE!</v>
      </c>
      <c r="M462" s="50" t="e">
        <f t="shared" si="105"/>
        <v>#VALUE!</v>
      </c>
      <c r="N462" s="50" t="e">
        <f t="shared" si="106"/>
        <v>#VALUE!</v>
      </c>
      <c r="O462" s="50">
        <f t="shared" si="107"/>
        <v>0</v>
      </c>
      <c r="Q462" s="55" t="e">
        <f t="shared" si="108"/>
        <v>#VALUE!</v>
      </c>
      <c r="R462" s="55" t="e">
        <f t="shared" si="112"/>
        <v>#VALUE!</v>
      </c>
      <c r="S462" s="55" t="e">
        <f t="shared" si="109"/>
        <v>#VALUE!</v>
      </c>
      <c r="T462" s="50" t="e">
        <f t="shared" si="113"/>
        <v>#VALUE!</v>
      </c>
      <c r="U462" s="50" t="e">
        <f t="shared" si="114"/>
        <v>#VALUE!</v>
      </c>
      <c r="V462" s="50" t="e">
        <f t="shared" si="115"/>
        <v>#VALUE!</v>
      </c>
    </row>
    <row r="463" spans="2:22" x14ac:dyDescent="0.25">
      <c r="B463" s="50" t="b">
        <f t="shared" si="116"/>
        <v>0</v>
      </c>
      <c r="C463" s="50" t="e">
        <f t="shared" si="103"/>
        <v>#VALUE!</v>
      </c>
      <c r="E463" s="56">
        <v>459</v>
      </c>
      <c r="G463" s="138"/>
      <c r="H463" s="135">
        <v>1</v>
      </c>
      <c r="I463" s="58" t="e">
        <f t="shared" si="104"/>
        <v>#VALUE!</v>
      </c>
      <c r="J463" s="50" t="e">
        <f t="shared" si="110"/>
        <v>#VALUE!</v>
      </c>
      <c r="K463" s="50" t="e">
        <f t="shared" si="111"/>
        <v>#VALUE!</v>
      </c>
      <c r="L463" s="50" t="e">
        <f t="shared" si="111"/>
        <v>#VALUE!</v>
      </c>
      <c r="M463" s="50" t="e">
        <f t="shared" si="105"/>
        <v>#VALUE!</v>
      </c>
      <c r="N463" s="50" t="e">
        <f t="shared" si="106"/>
        <v>#VALUE!</v>
      </c>
      <c r="O463" s="50">
        <f t="shared" si="107"/>
        <v>0</v>
      </c>
      <c r="Q463" s="55" t="e">
        <f t="shared" si="108"/>
        <v>#VALUE!</v>
      </c>
      <c r="R463" s="55" t="e">
        <f t="shared" si="112"/>
        <v>#VALUE!</v>
      </c>
      <c r="S463" s="55" t="e">
        <f t="shared" si="109"/>
        <v>#VALUE!</v>
      </c>
      <c r="T463" s="50" t="e">
        <f t="shared" si="113"/>
        <v>#VALUE!</v>
      </c>
      <c r="U463" s="50" t="e">
        <f t="shared" si="114"/>
        <v>#VALUE!</v>
      </c>
      <c r="V463" s="50" t="e">
        <f t="shared" si="115"/>
        <v>#VALUE!</v>
      </c>
    </row>
    <row r="464" spans="2:22" x14ac:dyDescent="0.25">
      <c r="B464" s="50" t="b">
        <f t="shared" si="116"/>
        <v>0</v>
      </c>
      <c r="C464" s="50" t="e">
        <f t="shared" si="103"/>
        <v>#VALUE!</v>
      </c>
      <c r="E464" s="56">
        <v>460</v>
      </c>
      <c r="G464" s="138"/>
      <c r="H464" s="135">
        <v>1</v>
      </c>
      <c r="I464" s="58" t="e">
        <f t="shared" si="104"/>
        <v>#VALUE!</v>
      </c>
      <c r="J464" s="50" t="e">
        <f t="shared" si="110"/>
        <v>#VALUE!</v>
      </c>
      <c r="K464" s="50" t="e">
        <f t="shared" si="111"/>
        <v>#VALUE!</v>
      </c>
      <c r="L464" s="50" t="e">
        <f t="shared" si="111"/>
        <v>#VALUE!</v>
      </c>
      <c r="M464" s="50" t="e">
        <f t="shared" si="105"/>
        <v>#VALUE!</v>
      </c>
      <c r="N464" s="50" t="e">
        <f t="shared" si="106"/>
        <v>#VALUE!</v>
      </c>
      <c r="O464" s="50">
        <f t="shared" si="107"/>
        <v>0</v>
      </c>
      <c r="Q464" s="55" t="e">
        <f t="shared" si="108"/>
        <v>#VALUE!</v>
      </c>
      <c r="R464" s="55" t="e">
        <f t="shared" si="112"/>
        <v>#VALUE!</v>
      </c>
      <c r="S464" s="55" t="e">
        <f t="shared" si="109"/>
        <v>#VALUE!</v>
      </c>
      <c r="T464" s="50" t="e">
        <f t="shared" si="113"/>
        <v>#VALUE!</v>
      </c>
      <c r="U464" s="50" t="e">
        <f t="shared" si="114"/>
        <v>#VALUE!</v>
      </c>
      <c r="V464" s="50" t="e">
        <f t="shared" si="115"/>
        <v>#VALUE!</v>
      </c>
    </row>
    <row r="465" spans="2:22" x14ac:dyDescent="0.25">
      <c r="B465" s="50" t="b">
        <f t="shared" si="116"/>
        <v>0</v>
      </c>
      <c r="C465" s="50" t="e">
        <f t="shared" si="103"/>
        <v>#VALUE!</v>
      </c>
      <c r="E465" s="56">
        <v>461</v>
      </c>
      <c r="G465" s="138"/>
      <c r="H465" s="135">
        <v>1</v>
      </c>
      <c r="I465" s="58" t="e">
        <f t="shared" si="104"/>
        <v>#VALUE!</v>
      </c>
      <c r="J465" s="50" t="e">
        <f t="shared" si="110"/>
        <v>#VALUE!</v>
      </c>
      <c r="K465" s="50" t="e">
        <f t="shared" si="111"/>
        <v>#VALUE!</v>
      </c>
      <c r="L465" s="50" t="e">
        <f t="shared" si="111"/>
        <v>#VALUE!</v>
      </c>
      <c r="M465" s="50" t="e">
        <f t="shared" si="105"/>
        <v>#VALUE!</v>
      </c>
      <c r="N465" s="50" t="e">
        <f t="shared" si="106"/>
        <v>#VALUE!</v>
      </c>
      <c r="O465" s="50">
        <f t="shared" si="107"/>
        <v>0</v>
      </c>
      <c r="Q465" s="55" t="e">
        <f t="shared" si="108"/>
        <v>#VALUE!</v>
      </c>
      <c r="R465" s="55" t="e">
        <f t="shared" si="112"/>
        <v>#VALUE!</v>
      </c>
      <c r="S465" s="55" t="e">
        <f t="shared" si="109"/>
        <v>#VALUE!</v>
      </c>
      <c r="T465" s="50" t="e">
        <f t="shared" si="113"/>
        <v>#VALUE!</v>
      </c>
      <c r="U465" s="50" t="e">
        <f t="shared" si="114"/>
        <v>#VALUE!</v>
      </c>
      <c r="V465" s="50" t="e">
        <f t="shared" si="115"/>
        <v>#VALUE!</v>
      </c>
    </row>
    <row r="466" spans="2:22" x14ac:dyDescent="0.25">
      <c r="B466" s="50" t="b">
        <f t="shared" si="116"/>
        <v>0</v>
      </c>
      <c r="C466" s="50" t="e">
        <f t="shared" si="103"/>
        <v>#VALUE!</v>
      </c>
      <c r="E466" s="56">
        <v>462</v>
      </c>
      <c r="G466" s="138"/>
      <c r="H466" s="135">
        <v>1</v>
      </c>
      <c r="I466" s="58" t="e">
        <f t="shared" si="104"/>
        <v>#VALUE!</v>
      </c>
      <c r="J466" s="50" t="e">
        <f t="shared" si="110"/>
        <v>#VALUE!</v>
      </c>
      <c r="K466" s="50" t="e">
        <f t="shared" si="111"/>
        <v>#VALUE!</v>
      </c>
      <c r="L466" s="50" t="e">
        <f t="shared" si="111"/>
        <v>#VALUE!</v>
      </c>
      <c r="M466" s="50" t="e">
        <f t="shared" si="105"/>
        <v>#VALUE!</v>
      </c>
      <c r="N466" s="50" t="e">
        <f t="shared" si="106"/>
        <v>#VALUE!</v>
      </c>
      <c r="O466" s="50">
        <f t="shared" si="107"/>
        <v>0</v>
      </c>
      <c r="Q466" s="55" t="e">
        <f t="shared" si="108"/>
        <v>#VALUE!</v>
      </c>
      <c r="R466" s="55" t="e">
        <f t="shared" si="112"/>
        <v>#VALUE!</v>
      </c>
      <c r="S466" s="55" t="e">
        <f t="shared" si="109"/>
        <v>#VALUE!</v>
      </c>
      <c r="T466" s="50" t="e">
        <f t="shared" si="113"/>
        <v>#VALUE!</v>
      </c>
      <c r="U466" s="50" t="e">
        <f t="shared" si="114"/>
        <v>#VALUE!</v>
      </c>
      <c r="V466" s="50" t="e">
        <f t="shared" si="115"/>
        <v>#VALUE!</v>
      </c>
    </row>
    <row r="467" spans="2:22" x14ac:dyDescent="0.25">
      <c r="B467" s="50" t="b">
        <f t="shared" si="116"/>
        <v>0</v>
      </c>
      <c r="C467" s="50" t="e">
        <f t="shared" si="103"/>
        <v>#VALUE!</v>
      </c>
      <c r="E467" s="56">
        <v>463</v>
      </c>
      <c r="G467" s="138"/>
      <c r="H467" s="135">
        <v>1</v>
      </c>
      <c r="I467" s="58" t="e">
        <f t="shared" si="104"/>
        <v>#VALUE!</v>
      </c>
      <c r="J467" s="50" t="e">
        <f t="shared" si="110"/>
        <v>#VALUE!</v>
      </c>
      <c r="K467" s="50" t="e">
        <f t="shared" si="111"/>
        <v>#VALUE!</v>
      </c>
      <c r="L467" s="50" t="e">
        <f t="shared" si="111"/>
        <v>#VALUE!</v>
      </c>
      <c r="M467" s="50" t="e">
        <f t="shared" si="105"/>
        <v>#VALUE!</v>
      </c>
      <c r="N467" s="50" t="e">
        <f t="shared" si="106"/>
        <v>#VALUE!</v>
      </c>
      <c r="O467" s="50">
        <f t="shared" si="107"/>
        <v>0</v>
      </c>
      <c r="Q467" s="55" t="e">
        <f t="shared" si="108"/>
        <v>#VALUE!</v>
      </c>
      <c r="R467" s="55" t="e">
        <f t="shared" si="112"/>
        <v>#VALUE!</v>
      </c>
      <c r="S467" s="55" t="e">
        <f t="shared" si="109"/>
        <v>#VALUE!</v>
      </c>
      <c r="T467" s="50" t="e">
        <f t="shared" si="113"/>
        <v>#VALUE!</v>
      </c>
      <c r="U467" s="50" t="e">
        <f t="shared" si="114"/>
        <v>#VALUE!</v>
      </c>
      <c r="V467" s="50" t="e">
        <f t="shared" si="115"/>
        <v>#VALUE!</v>
      </c>
    </row>
    <row r="468" spans="2:22" x14ac:dyDescent="0.25">
      <c r="B468" s="50" t="b">
        <f t="shared" si="116"/>
        <v>0</v>
      </c>
      <c r="C468" s="50" t="e">
        <f t="shared" si="103"/>
        <v>#VALUE!</v>
      </c>
      <c r="E468" s="56">
        <v>464</v>
      </c>
      <c r="G468" s="138"/>
      <c r="H468" s="135">
        <v>1</v>
      </c>
      <c r="I468" s="58" t="e">
        <f t="shared" si="104"/>
        <v>#VALUE!</v>
      </c>
      <c r="J468" s="50" t="e">
        <f t="shared" si="110"/>
        <v>#VALUE!</v>
      </c>
      <c r="K468" s="50" t="e">
        <f t="shared" si="111"/>
        <v>#VALUE!</v>
      </c>
      <c r="L468" s="50" t="e">
        <f t="shared" si="111"/>
        <v>#VALUE!</v>
      </c>
      <c r="M468" s="50" t="e">
        <f t="shared" si="105"/>
        <v>#VALUE!</v>
      </c>
      <c r="N468" s="50" t="e">
        <f t="shared" si="106"/>
        <v>#VALUE!</v>
      </c>
      <c r="O468" s="50">
        <f t="shared" si="107"/>
        <v>0</v>
      </c>
      <c r="Q468" s="55" t="e">
        <f t="shared" si="108"/>
        <v>#VALUE!</v>
      </c>
      <c r="R468" s="55" t="e">
        <f t="shared" si="112"/>
        <v>#VALUE!</v>
      </c>
      <c r="S468" s="55" t="e">
        <f t="shared" si="109"/>
        <v>#VALUE!</v>
      </c>
      <c r="T468" s="50" t="e">
        <f t="shared" si="113"/>
        <v>#VALUE!</v>
      </c>
      <c r="U468" s="50" t="e">
        <f t="shared" si="114"/>
        <v>#VALUE!</v>
      </c>
      <c r="V468" s="50" t="e">
        <f t="shared" si="115"/>
        <v>#VALUE!</v>
      </c>
    </row>
    <row r="469" spans="2:22" x14ac:dyDescent="0.25">
      <c r="B469" s="50" t="b">
        <f t="shared" si="116"/>
        <v>0</v>
      </c>
      <c r="C469" s="50" t="e">
        <f t="shared" si="103"/>
        <v>#VALUE!</v>
      </c>
      <c r="E469" s="56">
        <v>465</v>
      </c>
      <c r="G469" s="138"/>
      <c r="H469" s="135">
        <v>1</v>
      </c>
      <c r="I469" s="58" t="e">
        <f t="shared" si="104"/>
        <v>#VALUE!</v>
      </c>
      <c r="J469" s="50" t="e">
        <f t="shared" si="110"/>
        <v>#VALUE!</v>
      </c>
      <c r="K469" s="50" t="e">
        <f t="shared" si="111"/>
        <v>#VALUE!</v>
      </c>
      <c r="L469" s="50" t="e">
        <f t="shared" si="111"/>
        <v>#VALUE!</v>
      </c>
      <c r="M469" s="50" t="e">
        <f t="shared" si="105"/>
        <v>#VALUE!</v>
      </c>
      <c r="N469" s="50" t="e">
        <f t="shared" si="106"/>
        <v>#VALUE!</v>
      </c>
      <c r="O469" s="50">
        <f t="shared" si="107"/>
        <v>0</v>
      </c>
      <c r="Q469" s="55" t="e">
        <f t="shared" si="108"/>
        <v>#VALUE!</v>
      </c>
      <c r="R469" s="55" t="e">
        <f t="shared" si="112"/>
        <v>#VALUE!</v>
      </c>
      <c r="S469" s="55" t="e">
        <f t="shared" si="109"/>
        <v>#VALUE!</v>
      </c>
      <c r="T469" s="50" t="e">
        <f t="shared" si="113"/>
        <v>#VALUE!</v>
      </c>
      <c r="U469" s="50" t="e">
        <f t="shared" si="114"/>
        <v>#VALUE!</v>
      </c>
      <c r="V469" s="50" t="e">
        <f t="shared" si="115"/>
        <v>#VALUE!</v>
      </c>
    </row>
    <row r="470" spans="2:22" x14ac:dyDescent="0.25">
      <c r="B470" s="50" t="b">
        <f t="shared" si="116"/>
        <v>0</v>
      </c>
      <c r="C470" s="50" t="e">
        <f t="shared" si="103"/>
        <v>#VALUE!</v>
      </c>
      <c r="E470" s="56">
        <v>466</v>
      </c>
      <c r="G470" s="138"/>
      <c r="H470" s="135">
        <v>1</v>
      </c>
      <c r="I470" s="58" t="e">
        <f t="shared" si="104"/>
        <v>#VALUE!</v>
      </c>
      <c r="J470" s="50" t="e">
        <f t="shared" si="110"/>
        <v>#VALUE!</v>
      </c>
      <c r="K470" s="50" t="e">
        <f t="shared" si="111"/>
        <v>#VALUE!</v>
      </c>
      <c r="L470" s="50" t="e">
        <f t="shared" si="111"/>
        <v>#VALUE!</v>
      </c>
      <c r="M470" s="50" t="e">
        <f t="shared" si="105"/>
        <v>#VALUE!</v>
      </c>
      <c r="N470" s="50" t="e">
        <f t="shared" si="106"/>
        <v>#VALUE!</v>
      </c>
      <c r="O470" s="50">
        <f t="shared" si="107"/>
        <v>0</v>
      </c>
      <c r="Q470" s="55" t="e">
        <f t="shared" si="108"/>
        <v>#VALUE!</v>
      </c>
      <c r="R470" s="55" t="e">
        <f t="shared" si="112"/>
        <v>#VALUE!</v>
      </c>
      <c r="S470" s="55" t="e">
        <f t="shared" si="109"/>
        <v>#VALUE!</v>
      </c>
      <c r="T470" s="50" t="e">
        <f t="shared" si="113"/>
        <v>#VALUE!</v>
      </c>
      <c r="U470" s="50" t="e">
        <f t="shared" si="114"/>
        <v>#VALUE!</v>
      </c>
      <c r="V470" s="50" t="e">
        <f t="shared" si="115"/>
        <v>#VALUE!</v>
      </c>
    </row>
    <row r="471" spans="2:22" x14ac:dyDescent="0.25">
      <c r="B471" s="50" t="b">
        <f t="shared" si="116"/>
        <v>0</v>
      </c>
      <c r="C471" s="50" t="e">
        <f t="shared" si="103"/>
        <v>#VALUE!</v>
      </c>
      <c r="E471" s="56">
        <v>467</v>
      </c>
      <c r="G471" s="138"/>
      <c r="H471" s="135">
        <v>1</v>
      </c>
      <c r="I471" s="58" t="e">
        <f t="shared" si="104"/>
        <v>#VALUE!</v>
      </c>
      <c r="J471" s="50" t="e">
        <f t="shared" si="110"/>
        <v>#VALUE!</v>
      </c>
      <c r="K471" s="50" t="e">
        <f t="shared" si="111"/>
        <v>#VALUE!</v>
      </c>
      <c r="L471" s="50" t="e">
        <f t="shared" si="111"/>
        <v>#VALUE!</v>
      </c>
      <c r="M471" s="50" t="e">
        <f t="shared" si="105"/>
        <v>#VALUE!</v>
      </c>
      <c r="N471" s="50" t="e">
        <f t="shared" si="106"/>
        <v>#VALUE!</v>
      </c>
      <c r="O471" s="50">
        <f t="shared" si="107"/>
        <v>0</v>
      </c>
      <c r="Q471" s="55" t="e">
        <f t="shared" si="108"/>
        <v>#VALUE!</v>
      </c>
      <c r="R471" s="55" t="e">
        <f t="shared" si="112"/>
        <v>#VALUE!</v>
      </c>
      <c r="S471" s="55" t="e">
        <f t="shared" si="109"/>
        <v>#VALUE!</v>
      </c>
      <c r="T471" s="50" t="e">
        <f t="shared" si="113"/>
        <v>#VALUE!</v>
      </c>
      <c r="U471" s="50" t="e">
        <f t="shared" si="114"/>
        <v>#VALUE!</v>
      </c>
      <c r="V471" s="50" t="e">
        <f t="shared" si="115"/>
        <v>#VALUE!</v>
      </c>
    </row>
    <row r="472" spans="2:22" x14ac:dyDescent="0.25">
      <c r="B472" s="50" t="b">
        <f t="shared" si="116"/>
        <v>0</v>
      </c>
      <c r="C472" s="50" t="e">
        <f t="shared" si="103"/>
        <v>#VALUE!</v>
      </c>
      <c r="E472" s="56">
        <v>468</v>
      </c>
      <c r="G472" s="138"/>
      <c r="H472" s="135">
        <v>1</v>
      </c>
      <c r="I472" s="58" t="e">
        <f t="shared" si="104"/>
        <v>#VALUE!</v>
      </c>
      <c r="J472" s="50" t="e">
        <f t="shared" si="110"/>
        <v>#VALUE!</v>
      </c>
      <c r="K472" s="50" t="e">
        <f t="shared" si="111"/>
        <v>#VALUE!</v>
      </c>
      <c r="L472" s="50" t="e">
        <f t="shared" si="111"/>
        <v>#VALUE!</v>
      </c>
      <c r="M472" s="50" t="e">
        <f t="shared" si="105"/>
        <v>#VALUE!</v>
      </c>
      <c r="N472" s="50" t="e">
        <f t="shared" si="106"/>
        <v>#VALUE!</v>
      </c>
      <c r="O472" s="50">
        <f t="shared" si="107"/>
        <v>0</v>
      </c>
      <c r="Q472" s="55" t="e">
        <f t="shared" si="108"/>
        <v>#VALUE!</v>
      </c>
      <c r="R472" s="55" t="e">
        <f t="shared" si="112"/>
        <v>#VALUE!</v>
      </c>
      <c r="S472" s="55" t="e">
        <f t="shared" si="109"/>
        <v>#VALUE!</v>
      </c>
      <c r="T472" s="50" t="e">
        <f t="shared" si="113"/>
        <v>#VALUE!</v>
      </c>
      <c r="U472" s="50" t="e">
        <f t="shared" si="114"/>
        <v>#VALUE!</v>
      </c>
      <c r="V472" s="50" t="e">
        <f t="shared" si="115"/>
        <v>#VALUE!</v>
      </c>
    </row>
    <row r="473" spans="2:22" x14ac:dyDescent="0.25">
      <c r="B473" s="50" t="b">
        <f t="shared" si="116"/>
        <v>0</v>
      </c>
      <c r="C473" s="50" t="e">
        <f t="shared" si="103"/>
        <v>#VALUE!</v>
      </c>
      <c r="E473" s="56">
        <v>469</v>
      </c>
      <c r="G473" s="138"/>
      <c r="H473" s="135">
        <v>1</v>
      </c>
      <c r="I473" s="58" t="e">
        <f t="shared" si="104"/>
        <v>#VALUE!</v>
      </c>
      <c r="J473" s="50" t="e">
        <f t="shared" si="110"/>
        <v>#VALUE!</v>
      </c>
      <c r="K473" s="50" t="e">
        <f t="shared" si="111"/>
        <v>#VALUE!</v>
      </c>
      <c r="L473" s="50" t="e">
        <f t="shared" si="111"/>
        <v>#VALUE!</v>
      </c>
      <c r="M473" s="50" t="e">
        <f t="shared" si="105"/>
        <v>#VALUE!</v>
      </c>
      <c r="N473" s="50" t="e">
        <f t="shared" si="106"/>
        <v>#VALUE!</v>
      </c>
      <c r="O473" s="50">
        <f t="shared" si="107"/>
        <v>0</v>
      </c>
      <c r="Q473" s="55" t="e">
        <f t="shared" si="108"/>
        <v>#VALUE!</v>
      </c>
      <c r="R473" s="55" t="e">
        <f t="shared" si="112"/>
        <v>#VALUE!</v>
      </c>
      <c r="S473" s="55" t="e">
        <f t="shared" si="109"/>
        <v>#VALUE!</v>
      </c>
      <c r="T473" s="50" t="e">
        <f t="shared" si="113"/>
        <v>#VALUE!</v>
      </c>
      <c r="U473" s="50" t="e">
        <f t="shared" si="114"/>
        <v>#VALUE!</v>
      </c>
      <c r="V473" s="50" t="e">
        <f t="shared" si="115"/>
        <v>#VALUE!</v>
      </c>
    </row>
    <row r="474" spans="2:22" x14ac:dyDescent="0.25">
      <c r="B474" s="50" t="b">
        <f t="shared" si="116"/>
        <v>0</v>
      </c>
      <c r="C474" s="50" t="e">
        <f t="shared" si="103"/>
        <v>#VALUE!</v>
      </c>
      <c r="E474" s="56">
        <v>470</v>
      </c>
      <c r="G474" s="138"/>
      <c r="H474" s="135">
        <v>1</v>
      </c>
      <c r="I474" s="58" t="e">
        <f t="shared" si="104"/>
        <v>#VALUE!</v>
      </c>
      <c r="J474" s="50" t="e">
        <f t="shared" si="110"/>
        <v>#VALUE!</v>
      </c>
      <c r="K474" s="50" t="e">
        <f t="shared" si="111"/>
        <v>#VALUE!</v>
      </c>
      <c r="L474" s="50" t="e">
        <f t="shared" si="111"/>
        <v>#VALUE!</v>
      </c>
      <c r="M474" s="50" t="e">
        <f t="shared" si="105"/>
        <v>#VALUE!</v>
      </c>
      <c r="N474" s="50" t="e">
        <f t="shared" si="106"/>
        <v>#VALUE!</v>
      </c>
      <c r="O474" s="50">
        <f t="shared" si="107"/>
        <v>0</v>
      </c>
      <c r="Q474" s="55" t="e">
        <f t="shared" si="108"/>
        <v>#VALUE!</v>
      </c>
      <c r="R474" s="55" t="e">
        <f t="shared" si="112"/>
        <v>#VALUE!</v>
      </c>
      <c r="S474" s="55" t="e">
        <f t="shared" si="109"/>
        <v>#VALUE!</v>
      </c>
      <c r="T474" s="50" t="e">
        <f t="shared" si="113"/>
        <v>#VALUE!</v>
      </c>
      <c r="U474" s="50" t="e">
        <f t="shared" si="114"/>
        <v>#VALUE!</v>
      </c>
      <c r="V474" s="50" t="e">
        <f t="shared" si="115"/>
        <v>#VALUE!</v>
      </c>
    </row>
    <row r="475" spans="2:22" x14ac:dyDescent="0.25">
      <c r="B475" s="50" t="b">
        <f t="shared" si="116"/>
        <v>0</v>
      </c>
      <c r="C475" s="50" t="e">
        <f t="shared" si="103"/>
        <v>#VALUE!</v>
      </c>
      <c r="E475" s="56">
        <v>471</v>
      </c>
      <c r="G475" s="138"/>
      <c r="H475" s="135">
        <v>1</v>
      </c>
      <c r="I475" s="58" t="e">
        <f t="shared" si="104"/>
        <v>#VALUE!</v>
      </c>
      <c r="J475" s="50" t="e">
        <f t="shared" si="110"/>
        <v>#VALUE!</v>
      </c>
      <c r="K475" s="50" t="e">
        <f t="shared" si="111"/>
        <v>#VALUE!</v>
      </c>
      <c r="L475" s="50" t="e">
        <f t="shared" si="111"/>
        <v>#VALUE!</v>
      </c>
      <c r="M475" s="50" t="e">
        <f t="shared" si="105"/>
        <v>#VALUE!</v>
      </c>
      <c r="N475" s="50" t="e">
        <f t="shared" si="106"/>
        <v>#VALUE!</v>
      </c>
      <c r="O475" s="50">
        <f t="shared" si="107"/>
        <v>0</v>
      </c>
      <c r="Q475" s="55" t="e">
        <f t="shared" si="108"/>
        <v>#VALUE!</v>
      </c>
      <c r="R475" s="55" t="e">
        <f t="shared" si="112"/>
        <v>#VALUE!</v>
      </c>
      <c r="S475" s="55" t="e">
        <f t="shared" si="109"/>
        <v>#VALUE!</v>
      </c>
      <c r="T475" s="50" t="e">
        <f t="shared" si="113"/>
        <v>#VALUE!</v>
      </c>
      <c r="U475" s="50" t="e">
        <f t="shared" si="114"/>
        <v>#VALUE!</v>
      </c>
      <c r="V475" s="50" t="e">
        <f t="shared" si="115"/>
        <v>#VALUE!</v>
      </c>
    </row>
    <row r="476" spans="2:22" x14ac:dyDescent="0.25">
      <c r="B476" s="50" t="b">
        <f t="shared" si="116"/>
        <v>0</v>
      </c>
      <c r="C476" s="50" t="e">
        <f t="shared" si="103"/>
        <v>#VALUE!</v>
      </c>
      <c r="E476" s="56">
        <v>472</v>
      </c>
      <c r="G476" s="138"/>
      <c r="H476" s="135">
        <v>1</v>
      </c>
      <c r="I476" s="58" t="e">
        <f t="shared" si="104"/>
        <v>#VALUE!</v>
      </c>
      <c r="J476" s="50" t="e">
        <f t="shared" si="110"/>
        <v>#VALUE!</v>
      </c>
      <c r="K476" s="50" t="e">
        <f t="shared" si="111"/>
        <v>#VALUE!</v>
      </c>
      <c r="L476" s="50" t="e">
        <f t="shared" si="111"/>
        <v>#VALUE!</v>
      </c>
      <c r="M476" s="50" t="e">
        <f t="shared" si="105"/>
        <v>#VALUE!</v>
      </c>
      <c r="N476" s="50" t="e">
        <f t="shared" si="106"/>
        <v>#VALUE!</v>
      </c>
      <c r="O476" s="50">
        <f t="shared" si="107"/>
        <v>0</v>
      </c>
      <c r="Q476" s="55" t="e">
        <f t="shared" si="108"/>
        <v>#VALUE!</v>
      </c>
      <c r="R476" s="55" t="e">
        <f t="shared" si="112"/>
        <v>#VALUE!</v>
      </c>
      <c r="S476" s="55" t="e">
        <f t="shared" si="109"/>
        <v>#VALUE!</v>
      </c>
      <c r="T476" s="50" t="e">
        <f t="shared" si="113"/>
        <v>#VALUE!</v>
      </c>
      <c r="U476" s="50" t="e">
        <f t="shared" si="114"/>
        <v>#VALUE!</v>
      </c>
      <c r="V476" s="50" t="e">
        <f t="shared" si="115"/>
        <v>#VALUE!</v>
      </c>
    </row>
    <row r="477" spans="2:22" x14ac:dyDescent="0.25">
      <c r="B477" s="50" t="b">
        <f t="shared" si="116"/>
        <v>0</v>
      </c>
      <c r="C477" s="50" t="e">
        <f t="shared" si="103"/>
        <v>#VALUE!</v>
      </c>
      <c r="E477" s="56">
        <v>473</v>
      </c>
      <c r="G477" s="138"/>
      <c r="H477" s="135">
        <v>1</v>
      </c>
      <c r="I477" s="58" t="e">
        <f t="shared" si="104"/>
        <v>#VALUE!</v>
      </c>
      <c r="J477" s="50" t="e">
        <f t="shared" si="110"/>
        <v>#VALUE!</v>
      </c>
      <c r="K477" s="50" t="e">
        <f t="shared" si="111"/>
        <v>#VALUE!</v>
      </c>
      <c r="L477" s="50" t="e">
        <f t="shared" si="111"/>
        <v>#VALUE!</v>
      </c>
      <c r="M477" s="50" t="e">
        <f t="shared" si="105"/>
        <v>#VALUE!</v>
      </c>
      <c r="N477" s="50" t="e">
        <f t="shared" si="106"/>
        <v>#VALUE!</v>
      </c>
      <c r="O477" s="50">
        <f t="shared" si="107"/>
        <v>0</v>
      </c>
      <c r="Q477" s="55" t="e">
        <f t="shared" si="108"/>
        <v>#VALUE!</v>
      </c>
      <c r="R477" s="55" t="e">
        <f t="shared" si="112"/>
        <v>#VALUE!</v>
      </c>
      <c r="S477" s="55" t="e">
        <f t="shared" si="109"/>
        <v>#VALUE!</v>
      </c>
      <c r="T477" s="50" t="e">
        <f t="shared" si="113"/>
        <v>#VALUE!</v>
      </c>
      <c r="U477" s="50" t="e">
        <f t="shared" si="114"/>
        <v>#VALUE!</v>
      </c>
      <c r="V477" s="50" t="e">
        <f t="shared" si="115"/>
        <v>#VALUE!</v>
      </c>
    </row>
    <row r="478" spans="2:22" x14ac:dyDescent="0.25">
      <c r="B478" s="50" t="b">
        <f t="shared" si="116"/>
        <v>0</v>
      </c>
      <c r="C478" s="50" t="e">
        <f t="shared" si="103"/>
        <v>#VALUE!</v>
      </c>
      <c r="E478" s="56">
        <v>474</v>
      </c>
      <c r="G478" s="138"/>
      <c r="H478" s="135">
        <v>1</v>
      </c>
      <c r="I478" s="58" t="e">
        <f t="shared" si="104"/>
        <v>#VALUE!</v>
      </c>
      <c r="J478" s="50" t="e">
        <f t="shared" si="110"/>
        <v>#VALUE!</v>
      </c>
      <c r="K478" s="50" t="e">
        <f t="shared" si="111"/>
        <v>#VALUE!</v>
      </c>
      <c r="L478" s="50" t="e">
        <f t="shared" si="111"/>
        <v>#VALUE!</v>
      </c>
      <c r="M478" s="50" t="e">
        <f t="shared" si="105"/>
        <v>#VALUE!</v>
      </c>
      <c r="N478" s="50" t="e">
        <f t="shared" si="106"/>
        <v>#VALUE!</v>
      </c>
      <c r="O478" s="50">
        <f t="shared" si="107"/>
        <v>0</v>
      </c>
      <c r="Q478" s="55" t="e">
        <f t="shared" si="108"/>
        <v>#VALUE!</v>
      </c>
      <c r="R478" s="55" t="e">
        <f t="shared" si="112"/>
        <v>#VALUE!</v>
      </c>
      <c r="S478" s="55" t="e">
        <f t="shared" si="109"/>
        <v>#VALUE!</v>
      </c>
      <c r="T478" s="50" t="e">
        <f t="shared" si="113"/>
        <v>#VALUE!</v>
      </c>
      <c r="U478" s="50" t="e">
        <f t="shared" si="114"/>
        <v>#VALUE!</v>
      </c>
      <c r="V478" s="50" t="e">
        <f t="shared" si="115"/>
        <v>#VALUE!</v>
      </c>
    </row>
    <row r="479" spans="2:22" x14ac:dyDescent="0.25">
      <c r="B479" s="50" t="b">
        <f t="shared" si="116"/>
        <v>0</v>
      </c>
      <c r="C479" s="50" t="e">
        <f t="shared" si="103"/>
        <v>#VALUE!</v>
      </c>
      <c r="E479" s="56">
        <v>475</v>
      </c>
      <c r="G479" s="138"/>
      <c r="H479" s="135">
        <v>1</v>
      </c>
      <c r="I479" s="58" t="e">
        <f t="shared" si="104"/>
        <v>#VALUE!</v>
      </c>
      <c r="J479" s="50" t="e">
        <f t="shared" si="110"/>
        <v>#VALUE!</v>
      </c>
      <c r="K479" s="50" t="e">
        <f t="shared" si="111"/>
        <v>#VALUE!</v>
      </c>
      <c r="L479" s="50" t="e">
        <f t="shared" si="111"/>
        <v>#VALUE!</v>
      </c>
      <c r="M479" s="50" t="e">
        <f t="shared" si="105"/>
        <v>#VALUE!</v>
      </c>
      <c r="N479" s="50" t="e">
        <f t="shared" si="106"/>
        <v>#VALUE!</v>
      </c>
      <c r="O479" s="50">
        <f t="shared" si="107"/>
        <v>0</v>
      </c>
      <c r="Q479" s="55" t="e">
        <f t="shared" si="108"/>
        <v>#VALUE!</v>
      </c>
      <c r="R479" s="55" t="e">
        <f t="shared" si="112"/>
        <v>#VALUE!</v>
      </c>
      <c r="S479" s="55" t="e">
        <f t="shared" si="109"/>
        <v>#VALUE!</v>
      </c>
      <c r="T479" s="50" t="e">
        <f t="shared" si="113"/>
        <v>#VALUE!</v>
      </c>
      <c r="U479" s="50" t="e">
        <f t="shared" si="114"/>
        <v>#VALUE!</v>
      </c>
      <c r="V479" s="50" t="e">
        <f t="shared" si="115"/>
        <v>#VALUE!</v>
      </c>
    </row>
    <row r="480" spans="2:22" x14ac:dyDescent="0.25">
      <c r="B480" s="50" t="b">
        <f t="shared" si="116"/>
        <v>0</v>
      </c>
      <c r="C480" s="50" t="e">
        <f t="shared" si="103"/>
        <v>#VALUE!</v>
      </c>
      <c r="E480" s="56">
        <v>476</v>
      </c>
      <c r="G480" s="138"/>
      <c r="H480" s="135">
        <v>1</v>
      </c>
      <c r="I480" s="58" t="e">
        <f t="shared" si="104"/>
        <v>#VALUE!</v>
      </c>
      <c r="J480" s="50" t="e">
        <f t="shared" si="110"/>
        <v>#VALUE!</v>
      </c>
      <c r="K480" s="50" t="e">
        <f t="shared" si="111"/>
        <v>#VALUE!</v>
      </c>
      <c r="L480" s="50" t="e">
        <f t="shared" si="111"/>
        <v>#VALUE!</v>
      </c>
      <c r="M480" s="50" t="e">
        <f t="shared" si="105"/>
        <v>#VALUE!</v>
      </c>
      <c r="N480" s="50" t="e">
        <f t="shared" si="106"/>
        <v>#VALUE!</v>
      </c>
      <c r="O480" s="50">
        <f t="shared" si="107"/>
        <v>0</v>
      </c>
      <c r="Q480" s="55" t="e">
        <f t="shared" si="108"/>
        <v>#VALUE!</v>
      </c>
      <c r="R480" s="55" t="e">
        <f t="shared" si="112"/>
        <v>#VALUE!</v>
      </c>
      <c r="S480" s="55" t="e">
        <f t="shared" si="109"/>
        <v>#VALUE!</v>
      </c>
      <c r="T480" s="50" t="e">
        <f t="shared" si="113"/>
        <v>#VALUE!</v>
      </c>
      <c r="U480" s="50" t="e">
        <f t="shared" si="114"/>
        <v>#VALUE!</v>
      </c>
      <c r="V480" s="50" t="e">
        <f t="shared" si="115"/>
        <v>#VALUE!</v>
      </c>
    </row>
    <row r="481" spans="2:22" x14ac:dyDescent="0.25">
      <c r="B481" s="50" t="b">
        <f t="shared" si="116"/>
        <v>0</v>
      </c>
      <c r="C481" s="50" t="e">
        <f t="shared" si="103"/>
        <v>#VALUE!</v>
      </c>
      <c r="E481" s="56">
        <v>477</v>
      </c>
      <c r="G481" s="138"/>
      <c r="H481" s="135">
        <v>1</v>
      </c>
      <c r="I481" s="58" t="e">
        <f t="shared" si="104"/>
        <v>#VALUE!</v>
      </c>
      <c r="J481" s="50" t="e">
        <f t="shared" si="110"/>
        <v>#VALUE!</v>
      </c>
      <c r="K481" s="50" t="e">
        <f t="shared" si="111"/>
        <v>#VALUE!</v>
      </c>
      <c r="L481" s="50" t="e">
        <f t="shared" si="111"/>
        <v>#VALUE!</v>
      </c>
      <c r="M481" s="50" t="e">
        <f t="shared" si="105"/>
        <v>#VALUE!</v>
      </c>
      <c r="N481" s="50" t="e">
        <f t="shared" si="106"/>
        <v>#VALUE!</v>
      </c>
      <c r="O481" s="50">
        <f t="shared" si="107"/>
        <v>0</v>
      </c>
      <c r="Q481" s="55" t="e">
        <f t="shared" si="108"/>
        <v>#VALUE!</v>
      </c>
      <c r="R481" s="55" t="e">
        <f t="shared" si="112"/>
        <v>#VALUE!</v>
      </c>
      <c r="S481" s="55" t="e">
        <f t="shared" si="109"/>
        <v>#VALUE!</v>
      </c>
      <c r="T481" s="50" t="e">
        <f t="shared" si="113"/>
        <v>#VALUE!</v>
      </c>
      <c r="U481" s="50" t="e">
        <f t="shared" si="114"/>
        <v>#VALUE!</v>
      </c>
      <c r="V481" s="50" t="e">
        <f t="shared" si="115"/>
        <v>#VALUE!</v>
      </c>
    </row>
    <row r="482" spans="2:22" x14ac:dyDescent="0.25">
      <c r="B482" s="50" t="b">
        <f t="shared" si="116"/>
        <v>0</v>
      </c>
      <c r="C482" s="50" t="e">
        <f t="shared" si="103"/>
        <v>#VALUE!</v>
      </c>
      <c r="E482" s="56">
        <v>478</v>
      </c>
      <c r="G482" s="138"/>
      <c r="H482" s="135">
        <v>1</v>
      </c>
      <c r="I482" s="58" t="e">
        <f t="shared" si="104"/>
        <v>#VALUE!</v>
      </c>
      <c r="J482" s="50" t="e">
        <f t="shared" si="110"/>
        <v>#VALUE!</v>
      </c>
      <c r="K482" s="50" t="e">
        <f t="shared" si="111"/>
        <v>#VALUE!</v>
      </c>
      <c r="L482" s="50" t="e">
        <f t="shared" si="111"/>
        <v>#VALUE!</v>
      </c>
      <c r="M482" s="50" t="e">
        <f t="shared" si="105"/>
        <v>#VALUE!</v>
      </c>
      <c r="N482" s="50" t="e">
        <f t="shared" si="106"/>
        <v>#VALUE!</v>
      </c>
      <c r="O482" s="50">
        <f t="shared" si="107"/>
        <v>0</v>
      </c>
      <c r="Q482" s="55" t="e">
        <f t="shared" si="108"/>
        <v>#VALUE!</v>
      </c>
      <c r="R482" s="55" t="e">
        <f t="shared" si="112"/>
        <v>#VALUE!</v>
      </c>
      <c r="S482" s="55" t="e">
        <f t="shared" si="109"/>
        <v>#VALUE!</v>
      </c>
      <c r="T482" s="50" t="e">
        <f t="shared" si="113"/>
        <v>#VALUE!</v>
      </c>
      <c r="U482" s="50" t="e">
        <f t="shared" si="114"/>
        <v>#VALUE!</v>
      </c>
      <c r="V482" s="50" t="e">
        <f t="shared" si="115"/>
        <v>#VALUE!</v>
      </c>
    </row>
    <row r="483" spans="2:22" x14ac:dyDescent="0.25">
      <c r="B483" s="50" t="b">
        <f t="shared" si="116"/>
        <v>0</v>
      </c>
      <c r="C483" s="50" t="e">
        <f t="shared" si="103"/>
        <v>#VALUE!</v>
      </c>
      <c r="E483" s="56">
        <v>479</v>
      </c>
      <c r="G483" s="138"/>
      <c r="H483" s="135">
        <v>1</v>
      </c>
      <c r="I483" s="58" t="e">
        <f t="shared" si="104"/>
        <v>#VALUE!</v>
      </c>
      <c r="J483" s="50" t="e">
        <f t="shared" si="110"/>
        <v>#VALUE!</v>
      </c>
      <c r="K483" s="50" t="e">
        <f t="shared" si="111"/>
        <v>#VALUE!</v>
      </c>
      <c r="L483" s="50" t="e">
        <f t="shared" si="111"/>
        <v>#VALUE!</v>
      </c>
      <c r="M483" s="50" t="e">
        <f t="shared" si="105"/>
        <v>#VALUE!</v>
      </c>
      <c r="N483" s="50" t="e">
        <f t="shared" si="106"/>
        <v>#VALUE!</v>
      </c>
      <c r="O483" s="50">
        <f t="shared" si="107"/>
        <v>0</v>
      </c>
      <c r="Q483" s="55" t="e">
        <f t="shared" si="108"/>
        <v>#VALUE!</v>
      </c>
      <c r="R483" s="55" t="e">
        <f t="shared" si="112"/>
        <v>#VALUE!</v>
      </c>
      <c r="S483" s="55" t="e">
        <f t="shared" si="109"/>
        <v>#VALUE!</v>
      </c>
      <c r="T483" s="50" t="e">
        <f t="shared" si="113"/>
        <v>#VALUE!</v>
      </c>
      <c r="U483" s="50" t="e">
        <f t="shared" si="114"/>
        <v>#VALUE!</v>
      </c>
      <c r="V483" s="50" t="e">
        <f t="shared" si="115"/>
        <v>#VALUE!</v>
      </c>
    </row>
    <row r="484" spans="2:22" x14ac:dyDescent="0.25">
      <c r="B484" s="50" t="b">
        <f t="shared" si="116"/>
        <v>0</v>
      </c>
      <c r="C484" s="50" t="e">
        <f t="shared" si="103"/>
        <v>#VALUE!</v>
      </c>
      <c r="E484" s="56">
        <v>480</v>
      </c>
      <c r="G484" s="138"/>
      <c r="H484" s="135">
        <v>1</v>
      </c>
      <c r="I484" s="58" t="e">
        <f t="shared" si="104"/>
        <v>#VALUE!</v>
      </c>
      <c r="J484" s="50" t="e">
        <f t="shared" si="110"/>
        <v>#VALUE!</v>
      </c>
      <c r="K484" s="50" t="e">
        <f t="shared" si="111"/>
        <v>#VALUE!</v>
      </c>
      <c r="L484" s="50" t="e">
        <f t="shared" si="111"/>
        <v>#VALUE!</v>
      </c>
      <c r="M484" s="50" t="e">
        <f t="shared" si="105"/>
        <v>#VALUE!</v>
      </c>
      <c r="N484" s="50" t="e">
        <f t="shared" si="106"/>
        <v>#VALUE!</v>
      </c>
      <c r="O484" s="50">
        <f t="shared" si="107"/>
        <v>0</v>
      </c>
      <c r="Q484" s="55" t="e">
        <f t="shared" si="108"/>
        <v>#VALUE!</v>
      </c>
      <c r="R484" s="55" t="e">
        <f t="shared" si="112"/>
        <v>#VALUE!</v>
      </c>
      <c r="S484" s="55" t="e">
        <f t="shared" si="109"/>
        <v>#VALUE!</v>
      </c>
      <c r="T484" s="50" t="e">
        <f t="shared" si="113"/>
        <v>#VALUE!</v>
      </c>
      <c r="U484" s="50" t="e">
        <f t="shared" si="114"/>
        <v>#VALUE!</v>
      </c>
      <c r="V484" s="50" t="e">
        <f t="shared" si="115"/>
        <v>#VALUE!</v>
      </c>
    </row>
    <row r="485" spans="2:22" x14ac:dyDescent="0.25">
      <c r="B485" s="50" t="b">
        <f t="shared" si="116"/>
        <v>0</v>
      </c>
      <c r="C485" s="50" t="e">
        <f t="shared" si="103"/>
        <v>#VALUE!</v>
      </c>
      <c r="E485" s="56">
        <v>481</v>
      </c>
      <c r="G485" s="138"/>
      <c r="H485" s="135">
        <v>1</v>
      </c>
      <c r="I485" s="58" t="e">
        <f t="shared" si="104"/>
        <v>#VALUE!</v>
      </c>
      <c r="J485" s="50" t="e">
        <f t="shared" si="110"/>
        <v>#VALUE!</v>
      </c>
      <c r="K485" s="50" t="e">
        <f t="shared" si="111"/>
        <v>#VALUE!</v>
      </c>
      <c r="L485" s="50" t="e">
        <f t="shared" si="111"/>
        <v>#VALUE!</v>
      </c>
      <c r="M485" s="50" t="e">
        <f t="shared" si="105"/>
        <v>#VALUE!</v>
      </c>
      <c r="N485" s="50" t="e">
        <f t="shared" si="106"/>
        <v>#VALUE!</v>
      </c>
      <c r="O485" s="50">
        <f t="shared" si="107"/>
        <v>0</v>
      </c>
      <c r="Q485" s="55" t="e">
        <f t="shared" si="108"/>
        <v>#VALUE!</v>
      </c>
      <c r="R485" s="55" t="e">
        <f t="shared" si="112"/>
        <v>#VALUE!</v>
      </c>
      <c r="S485" s="55" t="e">
        <f t="shared" si="109"/>
        <v>#VALUE!</v>
      </c>
      <c r="T485" s="50" t="e">
        <f t="shared" si="113"/>
        <v>#VALUE!</v>
      </c>
      <c r="U485" s="50" t="e">
        <f t="shared" si="114"/>
        <v>#VALUE!</v>
      </c>
      <c r="V485" s="50" t="e">
        <f t="shared" si="115"/>
        <v>#VALUE!</v>
      </c>
    </row>
    <row r="486" spans="2:22" x14ac:dyDescent="0.25">
      <c r="B486" s="50" t="b">
        <f t="shared" si="116"/>
        <v>0</v>
      </c>
      <c r="C486" s="50" t="e">
        <f t="shared" si="103"/>
        <v>#VALUE!</v>
      </c>
      <c r="E486" s="56">
        <v>482</v>
      </c>
      <c r="G486" s="138"/>
      <c r="H486" s="135">
        <v>1</v>
      </c>
      <c r="I486" s="58" t="e">
        <f t="shared" si="104"/>
        <v>#VALUE!</v>
      </c>
      <c r="J486" s="50" t="e">
        <f t="shared" si="110"/>
        <v>#VALUE!</v>
      </c>
      <c r="K486" s="50" t="e">
        <f t="shared" si="111"/>
        <v>#VALUE!</v>
      </c>
      <c r="L486" s="50" t="e">
        <f t="shared" si="111"/>
        <v>#VALUE!</v>
      </c>
      <c r="M486" s="50" t="e">
        <f t="shared" si="105"/>
        <v>#VALUE!</v>
      </c>
      <c r="N486" s="50" t="e">
        <f t="shared" si="106"/>
        <v>#VALUE!</v>
      </c>
      <c r="O486" s="50">
        <f t="shared" si="107"/>
        <v>0</v>
      </c>
      <c r="Q486" s="55" t="e">
        <f t="shared" si="108"/>
        <v>#VALUE!</v>
      </c>
      <c r="R486" s="55" t="e">
        <f t="shared" si="112"/>
        <v>#VALUE!</v>
      </c>
      <c r="S486" s="55" t="e">
        <f t="shared" si="109"/>
        <v>#VALUE!</v>
      </c>
      <c r="T486" s="50" t="e">
        <f t="shared" si="113"/>
        <v>#VALUE!</v>
      </c>
      <c r="U486" s="50" t="e">
        <f t="shared" si="114"/>
        <v>#VALUE!</v>
      </c>
      <c r="V486" s="50" t="e">
        <f t="shared" si="115"/>
        <v>#VALUE!</v>
      </c>
    </row>
    <row r="487" spans="2:22" x14ac:dyDescent="0.25">
      <c r="B487" s="50" t="b">
        <f t="shared" si="116"/>
        <v>0</v>
      </c>
      <c r="C487" s="50" t="e">
        <f t="shared" si="103"/>
        <v>#VALUE!</v>
      </c>
      <c r="E487" s="56">
        <v>483</v>
      </c>
      <c r="G487" s="138"/>
      <c r="H487" s="135">
        <v>1</v>
      </c>
      <c r="I487" s="58" t="e">
        <f t="shared" si="104"/>
        <v>#VALUE!</v>
      </c>
      <c r="J487" s="50" t="e">
        <f t="shared" si="110"/>
        <v>#VALUE!</v>
      </c>
      <c r="K487" s="50" t="e">
        <f t="shared" si="111"/>
        <v>#VALUE!</v>
      </c>
      <c r="L487" s="50" t="e">
        <f t="shared" si="111"/>
        <v>#VALUE!</v>
      </c>
      <c r="M487" s="50" t="e">
        <f t="shared" si="105"/>
        <v>#VALUE!</v>
      </c>
      <c r="N487" s="50" t="e">
        <f t="shared" si="106"/>
        <v>#VALUE!</v>
      </c>
      <c r="O487" s="50">
        <f t="shared" si="107"/>
        <v>0</v>
      </c>
      <c r="Q487" s="55" t="e">
        <f t="shared" si="108"/>
        <v>#VALUE!</v>
      </c>
      <c r="R487" s="55" t="e">
        <f t="shared" si="112"/>
        <v>#VALUE!</v>
      </c>
      <c r="S487" s="55" t="e">
        <f t="shared" si="109"/>
        <v>#VALUE!</v>
      </c>
      <c r="T487" s="50" t="e">
        <f t="shared" si="113"/>
        <v>#VALUE!</v>
      </c>
      <c r="U487" s="50" t="e">
        <f t="shared" si="114"/>
        <v>#VALUE!</v>
      </c>
      <c r="V487" s="50" t="e">
        <f t="shared" si="115"/>
        <v>#VALUE!</v>
      </c>
    </row>
    <row r="488" spans="2:22" x14ac:dyDescent="0.25">
      <c r="B488" s="50" t="b">
        <f t="shared" si="116"/>
        <v>0</v>
      </c>
      <c r="C488" s="50" t="e">
        <f t="shared" si="103"/>
        <v>#VALUE!</v>
      </c>
      <c r="E488" s="56">
        <v>484</v>
      </c>
      <c r="G488" s="138"/>
      <c r="H488" s="135">
        <v>1</v>
      </c>
      <c r="I488" s="58" t="e">
        <f t="shared" si="104"/>
        <v>#VALUE!</v>
      </c>
      <c r="J488" s="50" t="e">
        <f t="shared" si="110"/>
        <v>#VALUE!</v>
      </c>
      <c r="K488" s="50" t="e">
        <f t="shared" si="111"/>
        <v>#VALUE!</v>
      </c>
      <c r="L488" s="50" t="e">
        <f t="shared" si="111"/>
        <v>#VALUE!</v>
      </c>
      <c r="M488" s="50" t="e">
        <f t="shared" si="105"/>
        <v>#VALUE!</v>
      </c>
      <c r="N488" s="50" t="e">
        <f t="shared" si="106"/>
        <v>#VALUE!</v>
      </c>
      <c r="O488" s="50">
        <f t="shared" si="107"/>
        <v>0</v>
      </c>
      <c r="Q488" s="55" t="e">
        <f t="shared" si="108"/>
        <v>#VALUE!</v>
      </c>
      <c r="R488" s="55" t="e">
        <f t="shared" si="112"/>
        <v>#VALUE!</v>
      </c>
      <c r="S488" s="55" t="e">
        <f t="shared" si="109"/>
        <v>#VALUE!</v>
      </c>
      <c r="T488" s="50" t="e">
        <f t="shared" si="113"/>
        <v>#VALUE!</v>
      </c>
      <c r="U488" s="50" t="e">
        <f t="shared" si="114"/>
        <v>#VALUE!</v>
      </c>
      <c r="V488" s="50" t="e">
        <f t="shared" si="115"/>
        <v>#VALUE!</v>
      </c>
    </row>
    <row r="489" spans="2:22" x14ac:dyDescent="0.25">
      <c r="B489" s="50" t="b">
        <f t="shared" si="116"/>
        <v>0</v>
      </c>
      <c r="C489" s="50" t="e">
        <f t="shared" si="103"/>
        <v>#VALUE!</v>
      </c>
      <c r="E489" s="56">
        <v>485</v>
      </c>
      <c r="G489" s="138"/>
      <c r="H489" s="135">
        <v>1</v>
      </c>
      <c r="I489" s="58" t="e">
        <f t="shared" si="104"/>
        <v>#VALUE!</v>
      </c>
      <c r="J489" s="50" t="e">
        <f t="shared" si="110"/>
        <v>#VALUE!</v>
      </c>
      <c r="K489" s="50" t="e">
        <f t="shared" si="111"/>
        <v>#VALUE!</v>
      </c>
      <c r="L489" s="50" t="e">
        <f t="shared" si="111"/>
        <v>#VALUE!</v>
      </c>
      <c r="M489" s="50" t="e">
        <f t="shared" si="105"/>
        <v>#VALUE!</v>
      </c>
      <c r="N489" s="50" t="e">
        <f t="shared" si="106"/>
        <v>#VALUE!</v>
      </c>
      <c r="O489" s="50">
        <f t="shared" si="107"/>
        <v>0</v>
      </c>
      <c r="Q489" s="55" t="e">
        <f t="shared" si="108"/>
        <v>#VALUE!</v>
      </c>
      <c r="R489" s="55" t="e">
        <f t="shared" si="112"/>
        <v>#VALUE!</v>
      </c>
      <c r="S489" s="55" t="e">
        <f t="shared" si="109"/>
        <v>#VALUE!</v>
      </c>
      <c r="T489" s="50" t="e">
        <f t="shared" si="113"/>
        <v>#VALUE!</v>
      </c>
      <c r="U489" s="50" t="e">
        <f t="shared" si="114"/>
        <v>#VALUE!</v>
      </c>
      <c r="V489" s="50" t="e">
        <f t="shared" si="115"/>
        <v>#VALUE!</v>
      </c>
    </row>
    <row r="490" spans="2:22" x14ac:dyDescent="0.25">
      <c r="B490" s="50" t="b">
        <f t="shared" si="116"/>
        <v>0</v>
      </c>
      <c r="C490" s="50" t="e">
        <f t="shared" si="103"/>
        <v>#VALUE!</v>
      </c>
      <c r="E490" s="56">
        <v>486</v>
      </c>
      <c r="G490" s="138"/>
      <c r="H490" s="135">
        <v>1</v>
      </c>
      <c r="I490" s="58" t="e">
        <f t="shared" si="104"/>
        <v>#VALUE!</v>
      </c>
      <c r="J490" s="50" t="e">
        <f t="shared" si="110"/>
        <v>#VALUE!</v>
      </c>
      <c r="K490" s="50" t="e">
        <f t="shared" si="111"/>
        <v>#VALUE!</v>
      </c>
      <c r="L490" s="50" t="e">
        <f t="shared" si="111"/>
        <v>#VALUE!</v>
      </c>
      <c r="M490" s="50" t="e">
        <f t="shared" si="105"/>
        <v>#VALUE!</v>
      </c>
      <c r="N490" s="50" t="e">
        <f t="shared" si="106"/>
        <v>#VALUE!</v>
      </c>
      <c r="O490" s="50">
        <f t="shared" si="107"/>
        <v>0</v>
      </c>
      <c r="Q490" s="55" t="e">
        <f t="shared" si="108"/>
        <v>#VALUE!</v>
      </c>
      <c r="R490" s="55" t="e">
        <f t="shared" si="112"/>
        <v>#VALUE!</v>
      </c>
      <c r="S490" s="55" t="e">
        <f t="shared" si="109"/>
        <v>#VALUE!</v>
      </c>
      <c r="T490" s="50" t="e">
        <f t="shared" si="113"/>
        <v>#VALUE!</v>
      </c>
      <c r="U490" s="50" t="e">
        <f t="shared" si="114"/>
        <v>#VALUE!</v>
      </c>
      <c r="V490" s="50" t="e">
        <f t="shared" si="115"/>
        <v>#VALUE!</v>
      </c>
    </row>
    <row r="491" spans="2:22" x14ac:dyDescent="0.25">
      <c r="B491" s="50" t="b">
        <f t="shared" si="116"/>
        <v>0</v>
      </c>
      <c r="C491" s="50" t="e">
        <f t="shared" si="103"/>
        <v>#VALUE!</v>
      </c>
      <c r="E491" s="56">
        <v>487</v>
      </c>
      <c r="G491" s="138"/>
      <c r="H491" s="135">
        <v>1</v>
      </c>
      <c r="I491" s="58" t="e">
        <f t="shared" si="104"/>
        <v>#VALUE!</v>
      </c>
      <c r="J491" s="50" t="e">
        <f t="shared" si="110"/>
        <v>#VALUE!</v>
      </c>
      <c r="K491" s="50" t="e">
        <f t="shared" si="111"/>
        <v>#VALUE!</v>
      </c>
      <c r="L491" s="50" t="e">
        <f t="shared" si="111"/>
        <v>#VALUE!</v>
      </c>
      <c r="M491" s="50" t="e">
        <f t="shared" si="105"/>
        <v>#VALUE!</v>
      </c>
      <c r="N491" s="50" t="e">
        <f t="shared" si="106"/>
        <v>#VALUE!</v>
      </c>
      <c r="O491" s="50">
        <f t="shared" si="107"/>
        <v>0</v>
      </c>
      <c r="Q491" s="55" t="e">
        <f t="shared" si="108"/>
        <v>#VALUE!</v>
      </c>
      <c r="R491" s="55" t="e">
        <f t="shared" si="112"/>
        <v>#VALUE!</v>
      </c>
      <c r="S491" s="55" t="e">
        <f t="shared" si="109"/>
        <v>#VALUE!</v>
      </c>
      <c r="T491" s="50" t="e">
        <f t="shared" si="113"/>
        <v>#VALUE!</v>
      </c>
      <c r="U491" s="50" t="e">
        <f t="shared" si="114"/>
        <v>#VALUE!</v>
      </c>
      <c r="V491" s="50" t="e">
        <f t="shared" si="115"/>
        <v>#VALUE!</v>
      </c>
    </row>
    <row r="492" spans="2:22" x14ac:dyDescent="0.25">
      <c r="B492" s="50" t="b">
        <f t="shared" si="116"/>
        <v>0</v>
      </c>
      <c r="C492" s="50" t="e">
        <f t="shared" si="103"/>
        <v>#VALUE!</v>
      </c>
      <c r="E492" s="56">
        <v>488</v>
      </c>
      <c r="G492" s="138"/>
      <c r="H492" s="135">
        <v>1</v>
      </c>
      <c r="I492" s="58" t="e">
        <f t="shared" si="104"/>
        <v>#VALUE!</v>
      </c>
      <c r="J492" s="50" t="e">
        <f t="shared" si="110"/>
        <v>#VALUE!</v>
      </c>
      <c r="K492" s="50" t="e">
        <f t="shared" si="111"/>
        <v>#VALUE!</v>
      </c>
      <c r="L492" s="50" t="e">
        <f t="shared" si="111"/>
        <v>#VALUE!</v>
      </c>
      <c r="M492" s="50" t="e">
        <f t="shared" si="105"/>
        <v>#VALUE!</v>
      </c>
      <c r="N492" s="50" t="e">
        <f t="shared" si="106"/>
        <v>#VALUE!</v>
      </c>
      <c r="O492" s="50">
        <f t="shared" si="107"/>
        <v>0</v>
      </c>
      <c r="Q492" s="55" t="e">
        <f t="shared" si="108"/>
        <v>#VALUE!</v>
      </c>
      <c r="R492" s="55" t="e">
        <f t="shared" si="112"/>
        <v>#VALUE!</v>
      </c>
      <c r="S492" s="55" t="e">
        <f t="shared" si="109"/>
        <v>#VALUE!</v>
      </c>
      <c r="T492" s="50" t="e">
        <f t="shared" si="113"/>
        <v>#VALUE!</v>
      </c>
      <c r="U492" s="50" t="e">
        <f t="shared" si="114"/>
        <v>#VALUE!</v>
      </c>
      <c r="V492" s="50" t="e">
        <f t="shared" si="115"/>
        <v>#VALUE!</v>
      </c>
    </row>
    <row r="493" spans="2:22" x14ac:dyDescent="0.25">
      <c r="B493" s="50" t="b">
        <f t="shared" si="116"/>
        <v>0</v>
      </c>
      <c r="C493" s="50" t="e">
        <f t="shared" si="103"/>
        <v>#VALUE!</v>
      </c>
      <c r="E493" s="56">
        <v>489</v>
      </c>
      <c r="G493" s="138"/>
      <c r="H493" s="135">
        <v>1</v>
      </c>
      <c r="I493" s="58" t="e">
        <f t="shared" si="104"/>
        <v>#VALUE!</v>
      </c>
      <c r="J493" s="50" t="e">
        <f t="shared" si="110"/>
        <v>#VALUE!</v>
      </c>
      <c r="K493" s="50" t="e">
        <f t="shared" si="111"/>
        <v>#VALUE!</v>
      </c>
      <c r="L493" s="50" t="e">
        <f t="shared" si="111"/>
        <v>#VALUE!</v>
      </c>
      <c r="M493" s="50" t="e">
        <f t="shared" si="105"/>
        <v>#VALUE!</v>
      </c>
      <c r="N493" s="50" t="e">
        <f t="shared" si="106"/>
        <v>#VALUE!</v>
      </c>
      <c r="O493" s="50">
        <f t="shared" si="107"/>
        <v>0</v>
      </c>
      <c r="Q493" s="55" t="e">
        <f t="shared" si="108"/>
        <v>#VALUE!</v>
      </c>
      <c r="R493" s="55" t="e">
        <f t="shared" si="112"/>
        <v>#VALUE!</v>
      </c>
      <c r="S493" s="55" t="e">
        <f t="shared" si="109"/>
        <v>#VALUE!</v>
      </c>
      <c r="T493" s="50" t="e">
        <f t="shared" si="113"/>
        <v>#VALUE!</v>
      </c>
      <c r="U493" s="50" t="e">
        <f t="shared" si="114"/>
        <v>#VALUE!</v>
      </c>
      <c r="V493" s="50" t="e">
        <f t="shared" si="115"/>
        <v>#VALUE!</v>
      </c>
    </row>
    <row r="494" spans="2:22" x14ac:dyDescent="0.25">
      <c r="B494" s="50" t="b">
        <f t="shared" si="116"/>
        <v>0</v>
      </c>
      <c r="C494" s="50" t="e">
        <f t="shared" si="103"/>
        <v>#VALUE!</v>
      </c>
      <c r="E494" s="56">
        <v>490</v>
      </c>
      <c r="G494" s="138"/>
      <c r="H494" s="135">
        <v>1</v>
      </c>
      <c r="I494" s="58" t="e">
        <f t="shared" si="104"/>
        <v>#VALUE!</v>
      </c>
      <c r="J494" s="50" t="e">
        <f t="shared" si="110"/>
        <v>#VALUE!</v>
      </c>
      <c r="K494" s="50" t="e">
        <f t="shared" si="111"/>
        <v>#VALUE!</v>
      </c>
      <c r="L494" s="50" t="e">
        <f t="shared" si="111"/>
        <v>#VALUE!</v>
      </c>
      <c r="M494" s="50" t="e">
        <f t="shared" si="105"/>
        <v>#VALUE!</v>
      </c>
      <c r="N494" s="50" t="e">
        <f t="shared" si="106"/>
        <v>#VALUE!</v>
      </c>
      <c r="O494" s="50">
        <f t="shared" si="107"/>
        <v>0</v>
      </c>
      <c r="Q494" s="55" t="e">
        <f t="shared" si="108"/>
        <v>#VALUE!</v>
      </c>
      <c r="R494" s="55" t="e">
        <f t="shared" si="112"/>
        <v>#VALUE!</v>
      </c>
      <c r="S494" s="55" t="e">
        <f t="shared" si="109"/>
        <v>#VALUE!</v>
      </c>
      <c r="T494" s="50" t="e">
        <f t="shared" si="113"/>
        <v>#VALUE!</v>
      </c>
      <c r="U494" s="50" t="e">
        <f t="shared" si="114"/>
        <v>#VALUE!</v>
      </c>
      <c r="V494" s="50" t="e">
        <f t="shared" si="115"/>
        <v>#VALUE!</v>
      </c>
    </row>
    <row r="495" spans="2:22" x14ac:dyDescent="0.25">
      <c r="B495" s="50" t="b">
        <f t="shared" si="116"/>
        <v>0</v>
      </c>
      <c r="C495" s="50" t="e">
        <f t="shared" si="103"/>
        <v>#VALUE!</v>
      </c>
      <c r="E495" s="56">
        <v>491</v>
      </c>
      <c r="G495" s="138"/>
      <c r="H495" s="135">
        <v>1</v>
      </c>
      <c r="I495" s="58" t="e">
        <f t="shared" si="104"/>
        <v>#VALUE!</v>
      </c>
      <c r="J495" s="50" t="e">
        <f t="shared" si="110"/>
        <v>#VALUE!</v>
      </c>
      <c r="K495" s="50" t="e">
        <f t="shared" si="111"/>
        <v>#VALUE!</v>
      </c>
      <c r="L495" s="50" t="e">
        <f t="shared" si="111"/>
        <v>#VALUE!</v>
      </c>
      <c r="M495" s="50" t="e">
        <f t="shared" si="105"/>
        <v>#VALUE!</v>
      </c>
      <c r="N495" s="50" t="e">
        <f t="shared" si="106"/>
        <v>#VALUE!</v>
      </c>
      <c r="O495" s="50">
        <f t="shared" si="107"/>
        <v>0</v>
      </c>
      <c r="Q495" s="55" t="e">
        <f t="shared" si="108"/>
        <v>#VALUE!</v>
      </c>
      <c r="R495" s="55" t="e">
        <f t="shared" si="112"/>
        <v>#VALUE!</v>
      </c>
      <c r="S495" s="55" t="e">
        <f t="shared" si="109"/>
        <v>#VALUE!</v>
      </c>
      <c r="T495" s="50" t="e">
        <f t="shared" si="113"/>
        <v>#VALUE!</v>
      </c>
      <c r="U495" s="50" t="e">
        <f t="shared" si="114"/>
        <v>#VALUE!</v>
      </c>
      <c r="V495" s="50" t="e">
        <f t="shared" si="115"/>
        <v>#VALUE!</v>
      </c>
    </row>
    <row r="496" spans="2:22" x14ac:dyDescent="0.25">
      <c r="B496" s="50" t="b">
        <f t="shared" si="116"/>
        <v>0</v>
      </c>
      <c r="C496" s="50" t="e">
        <f t="shared" si="103"/>
        <v>#VALUE!</v>
      </c>
      <c r="E496" s="56">
        <v>492</v>
      </c>
      <c r="G496" s="138"/>
      <c r="H496" s="135">
        <v>1</v>
      </c>
      <c r="I496" s="58" t="e">
        <f t="shared" si="104"/>
        <v>#VALUE!</v>
      </c>
      <c r="J496" s="50" t="e">
        <f t="shared" si="110"/>
        <v>#VALUE!</v>
      </c>
      <c r="K496" s="50" t="e">
        <f t="shared" si="111"/>
        <v>#VALUE!</v>
      </c>
      <c r="L496" s="50" t="e">
        <f t="shared" si="111"/>
        <v>#VALUE!</v>
      </c>
      <c r="M496" s="50" t="e">
        <f t="shared" si="105"/>
        <v>#VALUE!</v>
      </c>
      <c r="N496" s="50" t="e">
        <f t="shared" si="106"/>
        <v>#VALUE!</v>
      </c>
      <c r="O496" s="50">
        <f t="shared" si="107"/>
        <v>0</v>
      </c>
      <c r="Q496" s="55" t="e">
        <f t="shared" si="108"/>
        <v>#VALUE!</v>
      </c>
      <c r="R496" s="55" t="e">
        <f t="shared" si="112"/>
        <v>#VALUE!</v>
      </c>
      <c r="S496" s="55" t="e">
        <f t="shared" si="109"/>
        <v>#VALUE!</v>
      </c>
      <c r="T496" s="50" t="e">
        <f t="shared" si="113"/>
        <v>#VALUE!</v>
      </c>
      <c r="U496" s="50" t="e">
        <f t="shared" si="114"/>
        <v>#VALUE!</v>
      </c>
      <c r="V496" s="50" t="e">
        <f t="shared" si="115"/>
        <v>#VALUE!</v>
      </c>
    </row>
    <row r="497" spans="2:22" x14ac:dyDescent="0.25">
      <c r="B497" s="50" t="b">
        <f t="shared" si="116"/>
        <v>0</v>
      </c>
      <c r="C497" s="50" t="e">
        <f t="shared" si="103"/>
        <v>#VALUE!</v>
      </c>
      <c r="E497" s="56">
        <v>493</v>
      </c>
      <c r="G497" s="138"/>
      <c r="H497" s="135">
        <v>1</v>
      </c>
      <c r="I497" s="58" t="e">
        <f t="shared" si="104"/>
        <v>#VALUE!</v>
      </c>
      <c r="J497" s="50" t="e">
        <f t="shared" si="110"/>
        <v>#VALUE!</v>
      </c>
      <c r="K497" s="50" t="e">
        <f t="shared" si="111"/>
        <v>#VALUE!</v>
      </c>
      <c r="L497" s="50" t="e">
        <f t="shared" si="111"/>
        <v>#VALUE!</v>
      </c>
      <c r="M497" s="50" t="e">
        <f t="shared" si="105"/>
        <v>#VALUE!</v>
      </c>
      <c r="N497" s="50" t="e">
        <f t="shared" si="106"/>
        <v>#VALUE!</v>
      </c>
      <c r="O497" s="50">
        <f t="shared" si="107"/>
        <v>0</v>
      </c>
      <c r="Q497" s="55" t="e">
        <f t="shared" si="108"/>
        <v>#VALUE!</v>
      </c>
      <c r="R497" s="55" t="e">
        <f t="shared" si="112"/>
        <v>#VALUE!</v>
      </c>
      <c r="S497" s="55" t="e">
        <f t="shared" si="109"/>
        <v>#VALUE!</v>
      </c>
      <c r="T497" s="50" t="e">
        <f t="shared" si="113"/>
        <v>#VALUE!</v>
      </c>
      <c r="U497" s="50" t="e">
        <f t="shared" si="114"/>
        <v>#VALUE!</v>
      </c>
      <c r="V497" s="50" t="e">
        <f t="shared" si="115"/>
        <v>#VALUE!</v>
      </c>
    </row>
    <row r="498" spans="2:22" x14ac:dyDescent="0.25">
      <c r="B498" s="50" t="b">
        <f t="shared" si="116"/>
        <v>0</v>
      </c>
      <c r="C498" s="50" t="e">
        <f t="shared" si="103"/>
        <v>#VALUE!</v>
      </c>
      <c r="E498" s="56">
        <v>494</v>
      </c>
      <c r="G498" s="138"/>
      <c r="H498" s="135">
        <v>1</v>
      </c>
      <c r="I498" s="58" t="e">
        <f t="shared" si="104"/>
        <v>#VALUE!</v>
      </c>
      <c r="J498" s="50" t="e">
        <f t="shared" si="110"/>
        <v>#VALUE!</v>
      </c>
      <c r="K498" s="50" t="e">
        <f t="shared" si="111"/>
        <v>#VALUE!</v>
      </c>
      <c r="L498" s="50" t="e">
        <f t="shared" si="111"/>
        <v>#VALUE!</v>
      </c>
      <c r="M498" s="50" t="e">
        <f t="shared" si="105"/>
        <v>#VALUE!</v>
      </c>
      <c r="N498" s="50" t="e">
        <f t="shared" si="106"/>
        <v>#VALUE!</v>
      </c>
      <c r="O498" s="50">
        <f t="shared" si="107"/>
        <v>0</v>
      </c>
      <c r="Q498" s="55" t="e">
        <f t="shared" si="108"/>
        <v>#VALUE!</v>
      </c>
      <c r="R498" s="55" t="e">
        <f t="shared" si="112"/>
        <v>#VALUE!</v>
      </c>
      <c r="S498" s="55" t="e">
        <f t="shared" si="109"/>
        <v>#VALUE!</v>
      </c>
      <c r="T498" s="50" t="e">
        <f t="shared" si="113"/>
        <v>#VALUE!</v>
      </c>
      <c r="U498" s="50" t="e">
        <f t="shared" si="114"/>
        <v>#VALUE!</v>
      </c>
      <c r="V498" s="50" t="e">
        <f t="shared" si="115"/>
        <v>#VALUE!</v>
      </c>
    </row>
    <row r="499" spans="2:22" x14ac:dyDescent="0.25">
      <c r="B499" s="50" t="b">
        <f t="shared" si="116"/>
        <v>0</v>
      </c>
      <c r="C499" s="50" t="e">
        <f t="shared" si="103"/>
        <v>#VALUE!</v>
      </c>
      <c r="E499" s="56">
        <v>495</v>
      </c>
      <c r="G499" s="138"/>
      <c r="H499" s="135">
        <v>1</v>
      </c>
      <c r="I499" s="58" t="e">
        <f t="shared" si="104"/>
        <v>#VALUE!</v>
      </c>
      <c r="J499" s="50" t="e">
        <f t="shared" si="110"/>
        <v>#VALUE!</v>
      </c>
      <c r="K499" s="50" t="e">
        <f t="shared" si="111"/>
        <v>#VALUE!</v>
      </c>
      <c r="L499" s="50" t="e">
        <f t="shared" si="111"/>
        <v>#VALUE!</v>
      </c>
      <c r="M499" s="50" t="e">
        <f t="shared" si="105"/>
        <v>#VALUE!</v>
      </c>
      <c r="N499" s="50" t="e">
        <f t="shared" si="106"/>
        <v>#VALUE!</v>
      </c>
      <c r="O499" s="50">
        <f t="shared" si="107"/>
        <v>0</v>
      </c>
      <c r="Q499" s="55" t="e">
        <f t="shared" si="108"/>
        <v>#VALUE!</v>
      </c>
      <c r="R499" s="55" t="e">
        <f t="shared" si="112"/>
        <v>#VALUE!</v>
      </c>
      <c r="S499" s="55" t="e">
        <f t="shared" si="109"/>
        <v>#VALUE!</v>
      </c>
      <c r="T499" s="50" t="e">
        <f t="shared" si="113"/>
        <v>#VALUE!</v>
      </c>
      <c r="U499" s="50" t="e">
        <f t="shared" si="114"/>
        <v>#VALUE!</v>
      </c>
      <c r="V499" s="50" t="e">
        <f t="shared" si="115"/>
        <v>#VALUE!</v>
      </c>
    </row>
    <row r="500" spans="2:22" x14ac:dyDescent="0.25">
      <c r="B500" s="50" t="b">
        <f t="shared" si="116"/>
        <v>0</v>
      </c>
      <c r="C500" s="50" t="e">
        <f t="shared" si="103"/>
        <v>#VALUE!</v>
      </c>
      <c r="E500" s="56">
        <v>496</v>
      </c>
      <c r="G500" s="138"/>
      <c r="H500" s="135">
        <v>1</v>
      </c>
      <c r="I500" s="58" t="e">
        <f t="shared" si="104"/>
        <v>#VALUE!</v>
      </c>
      <c r="J500" s="50" t="e">
        <f t="shared" si="110"/>
        <v>#VALUE!</v>
      </c>
      <c r="K500" s="50" t="e">
        <f t="shared" si="111"/>
        <v>#VALUE!</v>
      </c>
      <c r="L500" s="50" t="e">
        <f t="shared" si="111"/>
        <v>#VALUE!</v>
      </c>
      <c r="M500" s="50" t="e">
        <f t="shared" si="105"/>
        <v>#VALUE!</v>
      </c>
      <c r="N500" s="50" t="e">
        <f t="shared" si="106"/>
        <v>#VALUE!</v>
      </c>
      <c r="O500" s="50">
        <f t="shared" si="107"/>
        <v>0</v>
      </c>
      <c r="Q500" s="55" t="e">
        <f t="shared" si="108"/>
        <v>#VALUE!</v>
      </c>
      <c r="R500" s="55" t="e">
        <f t="shared" si="112"/>
        <v>#VALUE!</v>
      </c>
      <c r="S500" s="55" t="e">
        <f t="shared" si="109"/>
        <v>#VALUE!</v>
      </c>
      <c r="T500" s="50" t="e">
        <f t="shared" si="113"/>
        <v>#VALUE!</v>
      </c>
      <c r="U500" s="50" t="e">
        <f t="shared" si="114"/>
        <v>#VALUE!</v>
      </c>
      <c r="V500" s="50" t="e">
        <f t="shared" si="115"/>
        <v>#VALUE!</v>
      </c>
    </row>
    <row r="501" spans="2:22" x14ac:dyDescent="0.25">
      <c r="B501" s="50" t="b">
        <f t="shared" si="116"/>
        <v>0</v>
      </c>
      <c r="C501" s="50" t="e">
        <f t="shared" si="103"/>
        <v>#VALUE!</v>
      </c>
      <c r="E501" s="56">
        <v>497</v>
      </c>
      <c r="G501" s="138"/>
      <c r="H501" s="135">
        <v>1</v>
      </c>
      <c r="I501" s="58" t="e">
        <f t="shared" si="104"/>
        <v>#VALUE!</v>
      </c>
      <c r="J501" s="50" t="e">
        <f t="shared" si="110"/>
        <v>#VALUE!</v>
      </c>
      <c r="K501" s="50" t="e">
        <f t="shared" si="111"/>
        <v>#VALUE!</v>
      </c>
      <c r="L501" s="50" t="e">
        <f t="shared" si="111"/>
        <v>#VALUE!</v>
      </c>
      <c r="M501" s="50" t="e">
        <f t="shared" si="105"/>
        <v>#VALUE!</v>
      </c>
      <c r="N501" s="50" t="e">
        <f t="shared" si="106"/>
        <v>#VALUE!</v>
      </c>
      <c r="O501" s="50">
        <f t="shared" si="107"/>
        <v>0</v>
      </c>
      <c r="Q501" s="55" t="e">
        <f t="shared" si="108"/>
        <v>#VALUE!</v>
      </c>
      <c r="R501" s="55" t="e">
        <f t="shared" si="112"/>
        <v>#VALUE!</v>
      </c>
      <c r="S501" s="55" t="e">
        <f t="shared" si="109"/>
        <v>#VALUE!</v>
      </c>
      <c r="T501" s="50" t="e">
        <f t="shared" si="113"/>
        <v>#VALUE!</v>
      </c>
      <c r="U501" s="50" t="e">
        <f t="shared" si="114"/>
        <v>#VALUE!</v>
      </c>
      <c r="V501" s="50" t="e">
        <f t="shared" si="115"/>
        <v>#VALUE!</v>
      </c>
    </row>
    <row r="502" spans="2:22" x14ac:dyDescent="0.25">
      <c r="B502" s="50" t="b">
        <f t="shared" si="116"/>
        <v>0</v>
      </c>
      <c r="C502" s="50" t="e">
        <f t="shared" ref="C502:C565" si="117">SUM(T502:V502)</f>
        <v>#VALUE!</v>
      </c>
      <c r="E502" s="56">
        <v>498</v>
      </c>
      <c r="G502" s="138"/>
      <c r="H502" s="135">
        <v>1</v>
      </c>
      <c r="I502" s="58" t="e">
        <f t="shared" si="104"/>
        <v>#VALUE!</v>
      </c>
      <c r="J502" s="50" t="e">
        <f t="shared" si="110"/>
        <v>#VALUE!</v>
      </c>
      <c r="K502" s="50" t="e">
        <f t="shared" si="111"/>
        <v>#VALUE!</v>
      </c>
      <c r="L502" s="50" t="e">
        <f t="shared" si="111"/>
        <v>#VALUE!</v>
      </c>
      <c r="M502" s="50" t="e">
        <f t="shared" si="105"/>
        <v>#VALUE!</v>
      </c>
      <c r="N502" s="50" t="e">
        <f t="shared" si="106"/>
        <v>#VALUE!</v>
      </c>
      <c r="O502" s="50">
        <f t="shared" si="107"/>
        <v>0</v>
      </c>
      <c r="Q502" s="55" t="e">
        <f t="shared" si="108"/>
        <v>#VALUE!</v>
      </c>
      <c r="R502" s="55" t="e">
        <f t="shared" si="112"/>
        <v>#VALUE!</v>
      </c>
      <c r="S502" s="55" t="e">
        <f t="shared" si="109"/>
        <v>#VALUE!</v>
      </c>
      <c r="T502" s="50" t="e">
        <f t="shared" si="113"/>
        <v>#VALUE!</v>
      </c>
      <c r="U502" s="50" t="e">
        <f t="shared" si="114"/>
        <v>#VALUE!</v>
      </c>
      <c r="V502" s="50" t="e">
        <f t="shared" si="115"/>
        <v>#VALUE!</v>
      </c>
    </row>
    <row r="503" spans="2:22" x14ac:dyDescent="0.25">
      <c r="B503" s="50" t="b">
        <f t="shared" si="116"/>
        <v>0</v>
      </c>
      <c r="C503" s="50" t="e">
        <f t="shared" si="117"/>
        <v>#VALUE!</v>
      </c>
      <c r="E503" s="56">
        <v>499</v>
      </c>
      <c r="G503" s="138"/>
      <c r="H503" s="135">
        <v>1</v>
      </c>
      <c r="I503" s="58" t="e">
        <f t="shared" si="104"/>
        <v>#VALUE!</v>
      </c>
      <c r="J503" s="50" t="e">
        <f t="shared" si="110"/>
        <v>#VALUE!</v>
      </c>
      <c r="K503" s="50" t="e">
        <f t="shared" si="111"/>
        <v>#VALUE!</v>
      </c>
      <c r="L503" s="50" t="e">
        <f t="shared" si="111"/>
        <v>#VALUE!</v>
      </c>
      <c r="M503" s="50" t="e">
        <f t="shared" si="105"/>
        <v>#VALUE!</v>
      </c>
      <c r="N503" s="50" t="e">
        <f t="shared" si="106"/>
        <v>#VALUE!</v>
      </c>
      <c r="O503" s="50">
        <f t="shared" si="107"/>
        <v>0</v>
      </c>
      <c r="Q503" s="55" t="e">
        <f t="shared" si="108"/>
        <v>#VALUE!</v>
      </c>
      <c r="R503" s="55" t="e">
        <f t="shared" si="112"/>
        <v>#VALUE!</v>
      </c>
      <c r="S503" s="55" t="e">
        <f t="shared" si="109"/>
        <v>#VALUE!</v>
      </c>
      <c r="T503" s="50" t="e">
        <f t="shared" si="113"/>
        <v>#VALUE!</v>
      </c>
      <c r="U503" s="50" t="e">
        <f t="shared" si="114"/>
        <v>#VALUE!</v>
      </c>
      <c r="V503" s="50" t="e">
        <f t="shared" si="115"/>
        <v>#VALUE!</v>
      </c>
    </row>
    <row r="504" spans="2:22" x14ac:dyDescent="0.25">
      <c r="B504" s="50" t="b">
        <f t="shared" si="116"/>
        <v>0</v>
      </c>
      <c r="C504" s="50" t="e">
        <f t="shared" si="117"/>
        <v>#VALUE!</v>
      </c>
      <c r="E504" s="56">
        <v>500</v>
      </c>
      <c r="G504" s="138"/>
      <c r="H504" s="135">
        <v>1</v>
      </c>
      <c r="I504" s="58" t="e">
        <f t="shared" si="104"/>
        <v>#VALUE!</v>
      </c>
      <c r="J504" s="50" t="e">
        <f t="shared" si="110"/>
        <v>#VALUE!</v>
      </c>
      <c r="K504" s="50" t="e">
        <f t="shared" si="111"/>
        <v>#VALUE!</v>
      </c>
      <c r="L504" s="50" t="e">
        <f t="shared" si="111"/>
        <v>#VALUE!</v>
      </c>
      <c r="M504" s="50" t="e">
        <f t="shared" si="105"/>
        <v>#VALUE!</v>
      </c>
      <c r="N504" s="50" t="e">
        <f t="shared" si="106"/>
        <v>#VALUE!</v>
      </c>
      <c r="O504" s="50">
        <f t="shared" si="107"/>
        <v>0</v>
      </c>
      <c r="Q504" s="55" t="e">
        <f t="shared" si="108"/>
        <v>#VALUE!</v>
      </c>
      <c r="R504" s="55" t="e">
        <f t="shared" si="112"/>
        <v>#VALUE!</v>
      </c>
      <c r="S504" s="55" t="e">
        <f t="shared" si="109"/>
        <v>#VALUE!</v>
      </c>
      <c r="T504" s="50" t="e">
        <f t="shared" si="113"/>
        <v>#VALUE!</v>
      </c>
      <c r="U504" s="50" t="e">
        <f t="shared" si="114"/>
        <v>#VALUE!</v>
      </c>
      <c r="V504" s="50" t="e">
        <f t="shared" si="115"/>
        <v>#VALUE!</v>
      </c>
    </row>
    <row r="505" spans="2:22" x14ac:dyDescent="0.25">
      <c r="B505" s="50" t="b">
        <f t="shared" si="116"/>
        <v>0</v>
      </c>
      <c r="C505" s="50" t="e">
        <f t="shared" si="117"/>
        <v>#VALUE!</v>
      </c>
      <c r="E505" s="56">
        <v>501</v>
      </c>
      <c r="G505" s="138"/>
      <c r="H505" s="135">
        <v>1</v>
      </c>
      <c r="I505" s="58" t="e">
        <f t="shared" si="104"/>
        <v>#VALUE!</v>
      </c>
      <c r="J505" s="50" t="e">
        <f t="shared" si="110"/>
        <v>#VALUE!</v>
      </c>
      <c r="K505" s="50" t="e">
        <f t="shared" si="111"/>
        <v>#VALUE!</v>
      </c>
      <c r="L505" s="50" t="e">
        <f t="shared" si="111"/>
        <v>#VALUE!</v>
      </c>
      <c r="M505" s="50" t="e">
        <f t="shared" si="105"/>
        <v>#VALUE!</v>
      </c>
      <c r="N505" s="50" t="e">
        <f t="shared" si="106"/>
        <v>#VALUE!</v>
      </c>
      <c r="O505" s="50">
        <f t="shared" si="107"/>
        <v>0</v>
      </c>
      <c r="Q505" s="55" t="e">
        <f t="shared" si="108"/>
        <v>#VALUE!</v>
      </c>
      <c r="R505" s="55" t="e">
        <f t="shared" si="112"/>
        <v>#VALUE!</v>
      </c>
      <c r="S505" s="55" t="e">
        <f t="shared" si="109"/>
        <v>#VALUE!</v>
      </c>
      <c r="T505" s="50" t="e">
        <f t="shared" si="113"/>
        <v>#VALUE!</v>
      </c>
      <c r="U505" s="50" t="e">
        <f t="shared" si="114"/>
        <v>#VALUE!</v>
      </c>
      <c r="V505" s="50" t="e">
        <f t="shared" si="115"/>
        <v>#VALUE!</v>
      </c>
    </row>
    <row r="506" spans="2:22" x14ac:dyDescent="0.25">
      <c r="B506" s="50" t="b">
        <f t="shared" si="116"/>
        <v>0</v>
      </c>
      <c r="C506" s="50" t="e">
        <f t="shared" si="117"/>
        <v>#VALUE!</v>
      </c>
      <c r="E506" s="56">
        <v>502</v>
      </c>
      <c r="G506" s="138"/>
      <c r="H506" s="135">
        <v>1</v>
      </c>
      <c r="I506" s="58" t="e">
        <f t="shared" si="104"/>
        <v>#VALUE!</v>
      </c>
      <c r="J506" s="50" t="e">
        <f t="shared" si="110"/>
        <v>#VALUE!</v>
      </c>
      <c r="K506" s="50" t="e">
        <f t="shared" si="111"/>
        <v>#VALUE!</v>
      </c>
      <c r="L506" s="50" t="e">
        <f t="shared" si="111"/>
        <v>#VALUE!</v>
      </c>
      <c r="M506" s="50" t="e">
        <f t="shared" si="105"/>
        <v>#VALUE!</v>
      </c>
      <c r="N506" s="50" t="e">
        <f t="shared" si="106"/>
        <v>#VALUE!</v>
      </c>
      <c r="O506" s="50">
        <f t="shared" si="107"/>
        <v>0</v>
      </c>
      <c r="Q506" s="55" t="e">
        <f t="shared" si="108"/>
        <v>#VALUE!</v>
      </c>
      <c r="R506" s="55" t="e">
        <f t="shared" si="112"/>
        <v>#VALUE!</v>
      </c>
      <c r="S506" s="55" t="e">
        <f t="shared" si="109"/>
        <v>#VALUE!</v>
      </c>
      <c r="T506" s="50" t="e">
        <f t="shared" si="113"/>
        <v>#VALUE!</v>
      </c>
      <c r="U506" s="50" t="e">
        <f t="shared" si="114"/>
        <v>#VALUE!</v>
      </c>
      <c r="V506" s="50" t="e">
        <f t="shared" si="115"/>
        <v>#VALUE!</v>
      </c>
    </row>
    <row r="507" spans="2:22" x14ac:dyDescent="0.25">
      <c r="B507" s="50" t="b">
        <f t="shared" si="116"/>
        <v>0</v>
      </c>
      <c r="C507" s="50" t="e">
        <f t="shared" si="117"/>
        <v>#VALUE!</v>
      </c>
      <c r="E507" s="56">
        <v>503</v>
      </c>
      <c r="G507" s="138"/>
      <c r="H507" s="135">
        <v>1</v>
      </c>
      <c r="I507" s="58" t="e">
        <f t="shared" si="104"/>
        <v>#VALUE!</v>
      </c>
      <c r="J507" s="50" t="e">
        <f t="shared" si="110"/>
        <v>#VALUE!</v>
      </c>
      <c r="K507" s="50" t="e">
        <f t="shared" si="111"/>
        <v>#VALUE!</v>
      </c>
      <c r="L507" s="50" t="e">
        <f t="shared" si="111"/>
        <v>#VALUE!</v>
      </c>
      <c r="M507" s="50" t="e">
        <f t="shared" si="105"/>
        <v>#VALUE!</v>
      </c>
      <c r="N507" s="50" t="e">
        <f t="shared" si="106"/>
        <v>#VALUE!</v>
      </c>
      <c r="O507" s="50">
        <f t="shared" si="107"/>
        <v>0</v>
      </c>
      <c r="Q507" s="55" t="e">
        <f t="shared" si="108"/>
        <v>#VALUE!</v>
      </c>
      <c r="R507" s="55" t="e">
        <f t="shared" si="112"/>
        <v>#VALUE!</v>
      </c>
      <c r="S507" s="55" t="e">
        <f t="shared" si="109"/>
        <v>#VALUE!</v>
      </c>
      <c r="T507" s="50" t="e">
        <f t="shared" si="113"/>
        <v>#VALUE!</v>
      </c>
      <c r="U507" s="50" t="e">
        <f t="shared" si="114"/>
        <v>#VALUE!</v>
      </c>
      <c r="V507" s="50" t="e">
        <f t="shared" si="115"/>
        <v>#VALUE!</v>
      </c>
    </row>
    <row r="508" spans="2:22" x14ac:dyDescent="0.25">
      <c r="B508" s="50" t="b">
        <f t="shared" si="116"/>
        <v>0</v>
      </c>
      <c r="C508" s="50" t="e">
        <f t="shared" si="117"/>
        <v>#VALUE!</v>
      </c>
      <c r="E508" s="56">
        <v>504</v>
      </c>
      <c r="G508" s="138"/>
      <c r="H508" s="135">
        <v>1</v>
      </c>
      <c r="I508" s="58" t="e">
        <f t="shared" si="104"/>
        <v>#VALUE!</v>
      </c>
      <c r="J508" s="50" t="e">
        <f t="shared" si="110"/>
        <v>#VALUE!</v>
      </c>
      <c r="K508" s="50" t="e">
        <f t="shared" si="111"/>
        <v>#VALUE!</v>
      </c>
      <c r="L508" s="50" t="e">
        <f t="shared" si="111"/>
        <v>#VALUE!</v>
      </c>
      <c r="M508" s="50" t="e">
        <f t="shared" si="105"/>
        <v>#VALUE!</v>
      </c>
      <c r="N508" s="50" t="e">
        <f t="shared" si="106"/>
        <v>#VALUE!</v>
      </c>
      <c r="O508" s="50">
        <f t="shared" si="107"/>
        <v>0</v>
      </c>
      <c r="Q508" s="55" t="e">
        <f t="shared" si="108"/>
        <v>#VALUE!</v>
      </c>
      <c r="R508" s="55" t="e">
        <f t="shared" si="112"/>
        <v>#VALUE!</v>
      </c>
      <c r="S508" s="55" t="e">
        <f t="shared" si="109"/>
        <v>#VALUE!</v>
      </c>
      <c r="T508" s="50" t="e">
        <f t="shared" si="113"/>
        <v>#VALUE!</v>
      </c>
      <c r="U508" s="50" t="e">
        <f t="shared" si="114"/>
        <v>#VALUE!</v>
      </c>
      <c r="V508" s="50" t="e">
        <f t="shared" si="115"/>
        <v>#VALUE!</v>
      </c>
    </row>
    <row r="509" spans="2:22" x14ac:dyDescent="0.25">
      <c r="B509" s="50" t="b">
        <f t="shared" si="116"/>
        <v>0</v>
      </c>
      <c r="C509" s="50" t="e">
        <f t="shared" si="117"/>
        <v>#VALUE!</v>
      </c>
      <c r="E509" s="56">
        <v>505</v>
      </c>
      <c r="G509" s="138"/>
      <c r="H509" s="135">
        <v>1</v>
      </c>
      <c r="I509" s="58" t="e">
        <f t="shared" si="104"/>
        <v>#VALUE!</v>
      </c>
      <c r="J509" s="50" t="e">
        <f t="shared" si="110"/>
        <v>#VALUE!</v>
      </c>
      <c r="K509" s="50" t="e">
        <f t="shared" si="111"/>
        <v>#VALUE!</v>
      </c>
      <c r="L509" s="50" t="e">
        <f t="shared" si="111"/>
        <v>#VALUE!</v>
      </c>
      <c r="M509" s="50" t="e">
        <f t="shared" si="105"/>
        <v>#VALUE!</v>
      </c>
      <c r="N509" s="50" t="e">
        <f t="shared" si="106"/>
        <v>#VALUE!</v>
      </c>
      <c r="O509" s="50">
        <f t="shared" si="107"/>
        <v>0</v>
      </c>
      <c r="Q509" s="55" t="e">
        <f t="shared" si="108"/>
        <v>#VALUE!</v>
      </c>
      <c r="R509" s="55" t="e">
        <f t="shared" si="112"/>
        <v>#VALUE!</v>
      </c>
      <c r="S509" s="55" t="e">
        <f t="shared" si="109"/>
        <v>#VALUE!</v>
      </c>
      <c r="T509" s="50" t="e">
        <f t="shared" si="113"/>
        <v>#VALUE!</v>
      </c>
      <c r="U509" s="50" t="e">
        <f t="shared" si="114"/>
        <v>#VALUE!</v>
      </c>
      <c r="V509" s="50" t="e">
        <f t="shared" si="115"/>
        <v>#VALUE!</v>
      </c>
    </row>
    <row r="510" spans="2:22" x14ac:dyDescent="0.25">
      <c r="B510" s="50" t="b">
        <f t="shared" si="116"/>
        <v>0</v>
      </c>
      <c r="C510" s="50" t="e">
        <f t="shared" si="117"/>
        <v>#VALUE!</v>
      </c>
      <c r="E510" s="56">
        <v>506</v>
      </c>
      <c r="G510" s="138"/>
      <c r="H510" s="135">
        <v>1</v>
      </c>
      <c r="I510" s="58" t="e">
        <f t="shared" si="104"/>
        <v>#VALUE!</v>
      </c>
      <c r="J510" s="50" t="e">
        <f t="shared" si="110"/>
        <v>#VALUE!</v>
      </c>
      <c r="K510" s="50" t="e">
        <f t="shared" si="111"/>
        <v>#VALUE!</v>
      </c>
      <c r="L510" s="50" t="e">
        <f t="shared" si="111"/>
        <v>#VALUE!</v>
      </c>
      <c r="M510" s="50" t="e">
        <f t="shared" si="105"/>
        <v>#VALUE!</v>
      </c>
      <c r="N510" s="50" t="e">
        <f t="shared" si="106"/>
        <v>#VALUE!</v>
      </c>
      <c r="O510" s="50">
        <f t="shared" si="107"/>
        <v>0</v>
      </c>
      <c r="Q510" s="55" t="e">
        <f t="shared" si="108"/>
        <v>#VALUE!</v>
      </c>
      <c r="R510" s="55" t="e">
        <f t="shared" si="112"/>
        <v>#VALUE!</v>
      </c>
      <c r="S510" s="55" t="e">
        <f t="shared" si="109"/>
        <v>#VALUE!</v>
      </c>
      <c r="T510" s="50" t="e">
        <f t="shared" si="113"/>
        <v>#VALUE!</v>
      </c>
      <c r="U510" s="50" t="e">
        <f t="shared" si="114"/>
        <v>#VALUE!</v>
      </c>
      <c r="V510" s="50" t="e">
        <f t="shared" si="115"/>
        <v>#VALUE!</v>
      </c>
    </row>
    <row r="511" spans="2:22" x14ac:dyDescent="0.25">
      <c r="B511" s="50" t="b">
        <f t="shared" si="116"/>
        <v>0</v>
      </c>
      <c r="C511" s="50" t="e">
        <f t="shared" si="117"/>
        <v>#VALUE!</v>
      </c>
      <c r="E511" s="56">
        <v>507</v>
      </c>
      <c r="G511" s="138"/>
      <c r="H511" s="135">
        <v>1</v>
      </c>
      <c r="I511" s="58" t="e">
        <f t="shared" si="104"/>
        <v>#VALUE!</v>
      </c>
      <c r="J511" s="50" t="e">
        <f t="shared" si="110"/>
        <v>#VALUE!</v>
      </c>
      <c r="K511" s="50" t="e">
        <f t="shared" si="111"/>
        <v>#VALUE!</v>
      </c>
      <c r="L511" s="50" t="e">
        <f t="shared" si="111"/>
        <v>#VALUE!</v>
      </c>
      <c r="M511" s="50" t="e">
        <f t="shared" si="105"/>
        <v>#VALUE!</v>
      </c>
      <c r="N511" s="50" t="e">
        <f t="shared" si="106"/>
        <v>#VALUE!</v>
      </c>
      <c r="O511" s="50">
        <f t="shared" si="107"/>
        <v>0</v>
      </c>
      <c r="Q511" s="55" t="e">
        <f t="shared" si="108"/>
        <v>#VALUE!</v>
      </c>
      <c r="R511" s="55" t="e">
        <f t="shared" si="112"/>
        <v>#VALUE!</v>
      </c>
      <c r="S511" s="55" t="e">
        <f t="shared" si="109"/>
        <v>#VALUE!</v>
      </c>
      <c r="T511" s="50" t="e">
        <f t="shared" si="113"/>
        <v>#VALUE!</v>
      </c>
      <c r="U511" s="50" t="e">
        <f t="shared" si="114"/>
        <v>#VALUE!</v>
      </c>
      <c r="V511" s="50" t="e">
        <f t="shared" si="115"/>
        <v>#VALUE!</v>
      </c>
    </row>
    <row r="512" spans="2:22" x14ac:dyDescent="0.25">
      <c r="B512" s="50" t="b">
        <f t="shared" si="116"/>
        <v>0</v>
      </c>
      <c r="C512" s="50" t="e">
        <f t="shared" si="117"/>
        <v>#VALUE!</v>
      </c>
      <c r="E512" s="56">
        <v>508</v>
      </c>
      <c r="G512" s="138"/>
      <c r="H512" s="135">
        <v>1</v>
      </c>
      <c r="I512" s="58" t="e">
        <f t="shared" si="104"/>
        <v>#VALUE!</v>
      </c>
      <c r="J512" s="50" t="e">
        <f t="shared" si="110"/>
        <v>#VALUE!</v>
      </c>
      <c r="K512" s="50" t="e">
        <f t="shared" si="111"/>
        <v>#VALUE!</v>
      </c>
      <c r="L512" s="50" t="e">
        <f t="shared" si="111"/>
        <v>#VALUE!</v>
      </c>
      <c r="M512" s="50" t="e">
        <f t="shared" si="105"/>
        <v>#VALUE!</v>
      </c>
      <c r="N512" s="50" t="e">
        <f t="shared" si="106"/>
        <v>#VALUE!</v>
      </c>
      <c r="O512" s="50">
        <f t="shared" si="107"/>
        <v>0</v>
      </c>
      <c r="Q512" s="55" t="e">
        <f t="shared" si="108"/>
        <v>#VALUE!</v>
      </c>
      <c r="R512" s="55" t="e">
        <f t="shared" si="112"/>
        <v>#VALUE!</v>
      </c>
      <c r="S512" s="55" t="e">
        <f t="shared" si="109"/>
        <v>#VALUE!</v>
      </c>
      <c r="T512" s="50" t="e">
        <f t="shared" si="113"/>
        <v>#VALUE!</v>
      </c>
      <c r="U512" s="50" t="e">
        <f t="shared" si="114"/>
        <v>#VALUE!</v>
      </c>
      <c r="V512" s="50" t="e">
        <f t="shared" si="115"/>
        <v>#VALUE!</v>
      </c>
    </row>
    <row r="513" spans="2:22" x14ac:dyDescent="0.25">
      <c r="B513" s="50" t="b">
        <f t="shared" si="116"/>
        <v>0</v>
      </c>
      <c r="C513" s="50" t="e">
        <f t="shared" si="117"/>
        <v>#VALUE!</v>
      </c>
      <c r="E513" s="56">
        <v>509</v>
      </c>
      <c r="G513" s="138"/>
      <c r="H513" s="135">
        <v>1</v>
      </c>
      <c r="I513" s="58" t="e">
        <f t="shared" si="104"/>
        <v>#VALUE!</v>
      </c>
      <c r="J513" s="50" t="e">
        <f t="shared" si="110"/>
        <v>#VALUE!</v>
      </c>
      <c r="K513" s="50" t="e">
        <f t="shared" si="111"/>
        <v>#VALUE!</v>
      </c>
      <c r="L513" s="50" t="e">
        <f t="shared" si="111"/>
        <v>#VALUE!</v>
      </c>
      <c r="M513" s="50" t="e">
        <f t="shared" si="105"/>
        <v>#VALUE!</v>
      </c>
      <c r="N513" s="50" t="e">
        <f t="shared" si="106"/>
        <v>#VALUE!</v>
      </c>
      <c r="O513" s="50">
        <f t="shared" si="107"/>
        <v>0</v>
      </c>
      <c r="Q513" s="55" t="e">
        <f t="shared" si="108"/>
        <v>#VALUE!</v>
      </c>
      <c r="R513" s="55" t="e">
        <f t="shared" si="112"/>
        <v>#VALUE!</v>
      </c>
      <c r="S513" s="55" t="e">
        <f t="shared" si="109"/>
        <v>#VALUE!</v>
      </c>
      <c r="T513" s="50" t="e">
        <f t="shared" si="113"/>
        <v>#VALUE!</v>
      </c>
      <c r="U513" s="50" t="e">
        <f t="shared" si="114"/>
        <v>#VALUE!</v>
      </c>
      <c r="V513" s="50" t="e">
        <f t="shared" si="115"/>
        <v>#VALUE!</v>
      </c>
    </row>
    <row r="514" spans="2:22" x14ac:dyDescent="0.25">
      <c r="B514" s="50" t="b">
        <f t="shared" si="116"/>
        <v>0</v>
      </c>
      <c r="C514" s="50" t="e">
        <f t="shared" si="117"/>
        <v>#VALUE!</v>
      </c>
      <c r="E514" s="56">
        <v>510</v>
      </c>
      <c r="G514" s="138"/>
      <c r="H514" s="135">
        <v>1</v>
      </c>
      <c r="I514" s="58" t="e">
        <f t="shared" si="104"/>
        <v>#VALUE!</v>
      </c>
      <c r="J514" s="50" t="e">
        <f t="shared" si="110"/>
        <v>#VALUE!</v>
      </c>
      <c r="K514" s="50" t="e">
        <f t="shared" si="111"/>
        <v>#VALUE!</v>
      </c>
      <c r="L514" s="50" t="e">
        <f t="shared" si="111"/>
        <v>#VALUE!</v>
      </c>
      <c r="M514" s="50" t="e">
        <f t="shared" si="105"/>
        <v>#VALUE!</v>
      </c>
      <c r="N514" s="50" t="e">
        <f t="shared" si="106"/>
        <v>#VALUE!</v>
      </c>
      <c r="O514" s="50">
        <f t="shared" si="107"/>
        <v>0</v>
      </c>
      <c r="Q514" s="55" t="e">
        <f t="shared" si="108"/>
        <v>#VALUE!</v>
      </c>
      <c r="R514" s="55" t="e">
        <f t="shared" si="112"/>
        <v>#VALUE!</v>
      </c>
      <c r="S514" s="55" t="e">
        <f t="shared" si="109"/>
        <v>#VALUE!</v>
      </c>
      <c r="T514" s="50" t="e">
        <f t="shared" si="113"/>
        <v>#VALUE!</v>
      </c>
      <c r="U514" s="50" t="e">
        <f t="shared" si="114"/>
        <v>#VALUE!</v>
      </c>
      <c r="V514" s="50" t="e">
        <f t="shared" si="115"/>
        <v>#VALUE!</v>
      </c>
    </row>
    <row r="515" spans="2:22" x14ac:dyDescent="0.25">
      <c r="B515" s="50" t="b">
        <f t="shared" si="116"/>
        <v>0</v>
      </c>
      <c r="C515" s="50" t="e">
        <f t="shared" si="117"/>
        <v>#VALUE!</v>
      </c>
      <c r="E515" s="56">
        <v>511</v>
      </c>
      <c r="G515" s="138"/>
      <c r="H515" s="135">
        <v>1</v>
      </c>
      <c r="I515" s="58" t="e">
        <f t="shared" si="104"/>
        <v>#VALUE!</v>
      </c>
      <c r="J515" s="50" t="e">
        <f t="shared" si="110"/>
        <v>#VALUE!</v>
      </c>
      <c r="K515" s="50" t="e">
        <f t="shared" si="111"/>
        <v>#VALUE!</v>
      </c>
      <c r="L515" s="50" t="e">
        <f t="shared" si="111"/>
        <v>#VALUE!</v>
      </c>
      <c r="M515" s="50" t="e">
        <f t="shared" si="105"/>
        <v>#VALUE!</v>
      </c>
      <c r="N515" s="50" t="e">
        <f t="shared" si="106"/>
        <v>#VALUE!</v>
      </c>
      <c r="O515" s="50">
        <f t="shared" si="107"/>
        <v>0</v>
      </c>
      <c r="Q515" s="55" t="e">
        <f t="shared" si="108"/>
        <v>#VALUE!</v>
      </c>
      <c r="R515" s="55" t="e">
        <f t="shared" si="112"/>
        <v>#VALUE!</v>
      </c>
      <c r="S515" s="55" t="e">
        <f t="shared" si="109"/>
        <v>#VALUE!</v>
      </c>
      <c r="T515" s="50" t="e">
        <f t="shared" si="113"/>
        <v>#VALUE!</v>
      </c>
      <c r="U515" s="50" t="e">
        <f t="shared" si="114"/>
        <v>#VALUE!</v>
      </c>
      <c r="V515" s="50" t="e">
        <f t="shared" si="115"/>
        <v>#VALUE!</v>
      </c>
    </row>
    <row r="516" spans="2:22" x14ac:dyDescent="0.25">
      <c r="B516" s="50" t="b">
        <f t="shared" si="116"/>
        <v>0</v>
      </c>
      <c r="C516" s="50" t="e">
        <f t="shared" si="117"/>
        <v>#VALUE!</v>
      </c>
      <c r="E516" s="56">
        <v>512</v>
      </c>
      <c r="G516" s="138"/>
      <c r="H516" s="135">
        <v>1</v>
      </c>
      <c r="I516" s="58" t="e">
        <f t="shared" ref="I516:I579" si="118">RIGHT(G516,J516)</f>
        <v>#VALUE!</v>
      </c>
      <c r="J516" s="50" t="e">
        <f t="shared" si="110"/>
        <v>#VALUE!</v>
      </c>
      <c r="K516" s="50" t="e">
        <f t="shared" si="111"/>
        <v>#VALUE!</v>
      </c>
      <c r="L516" s="50" t="e">
        <f t="shared" si="111"/>
        <v>#VALUE!</v>
      </c>
      <c r="M516" s="50" t="e">
        <f t="shared" ref="M516:M579" si="119">SEARCH("-",G516,2)</f>
        <v>#VALUE!</v>
      </c>
      <c r="N516" s="50" t="e">
        <f t="shared" ref="N516:N579" si="120">SEARCH("-",G516,M516+1)</f>
        <v>#VALUE!</v>
      </c>
      <c r="O516" s="50">
        <f t="shared" ref="O516:O579" si="121">LEN(G516)</f>
        <v>0</v>
      </c>
      <c r="Q516" s="55" t="e">
        <f t="shared" ref="Q516:Q579" si="122">LEFT(G516,M516-1)</f>
        <v>#VALUE!</v>
      </c>
      <c r="R516" s="55" t="e">
        <f t="shared" si="112"/>
        <v>#VALUE!</v>
      </c>
      <c r="S516" s="55" t="e">
        <f t="shared" ref="S516:S579" si="123">RIGHT(G516,L516)</f>
        <v>#VALUE!</v>
      </c>
      <c r="T516" s="50" t="e">
        <f t="shared" si="113"/>
        <v>#VALUE!</v>
      </c>
      <c r="U516" s="50" t="e">
        <f t="shared" si="114"/>
        <v>#VALUE!</v>
      </c>
      <c r="V516" s="50" t="e">
        <f t="shared" si="115"/>
        <v>#VALUE!</v>
      </c>
    </row>
    <row r="517" spans="2:22" x14ac:dyDescent="0.25">
      <c r="B517" s="50" t="b">
        <f t="shared" si="116"/>
        <v>0</v>
      </c>
      <c r="C517" s="50" t="e">
        <f t="shared" si="117"/>
        <v>#VALUE!</v>
      </c>
      <c r="E517" s="56">
        <v>513</v>
      </c>
      <c r="G517" s="138"/>
      <c r="H517" s="135">
        <v>1</v>
      </c>
      <c r="I517" s="58" t="e">
        <f t="shared" si="118"/>
        <v>#VALUE!</v>
      </c>
      <c r="J517" s="50" t="e">
        <f t="shared" ref="J517:J580" si="124">O517-M517</f>
        <v>#VALUE!</v>
      </c>
      <c r="K517" s="50" t="e">
        <f t="shared" ref="K517:L580" si="125">N517-M517</f>
        <v>#VALUE!</v>
      </c>
      <c r="L517" s="50" t="e">
        <f t="shared" si="125"/>
        <v>#VALUE!</v>
      </c>
      <c r="M517" s="50" t="e">
        <f t="shared" si="119"/>
        <v>#VALUE!</v>
      </c>
      <c r="N517" s="50" t="e">
        <f t="shared" si="120"/>
        <v>#VALUE!</v>
      </c>
      <c r="O517" s="50">
        <f t="shared" si="121"/>
        <v>0</v>
      </c>
      <c r="Q517" s="55" t="e">
        <f t="shared" si="122"/>
        <v>#VALUE!</v>
      </c>
      <c r="R517" s="55" t="e">
        <f t="shared" ref="R517:R580" si="126">LEFT(I517,K517-1)</f>
        <v>#VALUE!</v>
      </c>
      <c r="S517" s="55" t="e">
        <f t="shared" si="123"/>
        <v>#VALUE!</v>
      </c>
      <c r="T517" s="50" t="e">
        <f t="shared" ref="T517:T580" si="127">Q517*1*$H517</f>
        <v>#VALUE!</v>
      </c>
      <c r="U517" s="50" t="e">
        <f t="shared" ref="U517:U580" si="128">R517*1*$H517</f>
        <v>#VALUE!</v>
      </c>
      <c r="V517" s="50" t="e">
        <f t="shared" ref="V517:V580" si="129">S517*1*$H517</f>
        <v>#VALUE!</v>
      </c>
    </row>
    <row r="518" spans="2:22" x14ac:dyDescent="0.25">
      <c r="B518" s="50" t="b">
        <f t="shared" si="116"/>
        <v>0</v>
      </c>
      <c r="C518" s="50" t="e">
        <f t="shared" si="117"/>
        <v>#VALUE!</v>
      </c>
      <c r="E518" s="56">
        <v>514</v>
      </c>
      <c r="G518" s="138"/>
      <c r="H518" s="135">
        <v>1</v>
      </c>
      <c r="I518" s="58" t="e">
        <f t="shared" si="118"/>
        <v>#VALUE!</v>
      </c>
      <c r="J518" s="50" t="e">
        <f t="shared" si="124"/>
        <v>#VALUE!</v>
      </c>
      <c r="K518" s="50" t="e">
        <f t="shared" si="125"/>
        <v>#VALUE!</v>
      </c>
      <c r="L518" s="50" t="e">
        <f t="shared" si="125"/>
        <v>#VALUE!</v>
      </c>
      <c r="M518" s="50" t="e">
        <f t="shared" si="119"/>
        <v>#VALUE!</v>
      </c>
      <c r="N518" s="50" t="e">
        <f t="shared" si="120"/>
        <v>#VALUE!</v>
      </c>
      <c r="O518" s="50">
        <f t="shared" si="121"/>
        <v>0</v>
      </c>
      <c r="Q518" s="55" t="e">
        <f t="shared" si="122"/>
        <v>#VALUE!</v>
      </c>
      <c r="R518" s="55" t="e">
        <f t="shared" si="126"/>
        <v>#VALUE!</v>
      </c>
      <c r="S518" s="55" t="e">
        <f t="shared" si="123"/>
        <v>#VALUE!</v>
      </c>
      <c r="T518" s="50" t="e">
        <f t="shared" si="127"/>
        <v>#VALUE!</v>
      </c>
      <c r="U518" s="50" t="e">
        <f t="shared" si="128"/>
        <v>#VALUE!</v>
      </c>
      <c r="V518" s="50" t="e">
        <f t="shared" si="129"/>
        <v>#VALUE!</v>
      </c>
    </row>
    <row r="519" spans="2:22" x14ac:dyDescent="0.25">
      <c r="B519" s="50" t="b">
        <f t="shared" si="116"/>
        <v>0</v>
      </c>
      <c r="C519" s="50" t="e">
        <f t="shared" si="117"/>
        <v>#VALUE!</v>
      </c>
      <c r="E519" s="56">
        <v>515</v>
      </c>
      <c r="G519" s="138"/>
      <c r="H519" s="135">
        <v>1</v>
      </c>
      <c r="I519" s="58" t="e">
        <f t="shared" si="118"/>
        <v>#VALUE!</v>
      </c>
      <c r="J519" s="50" t="e">
        <f t="shared" si="124"/>
        <v>#VALUE!</v>
      </c>
      <c r="K519" s="50" t="e">
        <f t="shared" si="125"/>
        <v>#VALUE!</v>
      </c>
      <c r="L519" s="50" t="e">
        <f t="shared" si="125"/>
        <v>#VALUE!</v>
      </c>
      <c r="M519" s="50" t="e">
        <f t="shared" si="119"/>
        <v>#VALUE!</v>
      </c>
      <c r="N519" s="50" t="e">
        <f t="shared" si="120"/>
        <v>#VALUE!</v>
      </c>
      <c r="O519" s="50">
        <f t="shared" si="121"/>
        <v>0</v>
      </c>
      <c r="Q519" s="55" t="e">
        <f t="shared" si="122"/>
        <v>#VALUE!</v>
      </c>
      <c r="R519" s="55" t="e">
        <f t="shared" si="126"/>
        <v>#VALUE!</v>
      </c>
      <c r="S519" s="55" t="e">
        <f t="shared" si="123"/>
        <v>#VALUE!</v>
      </c>
      <c r="T519" s="50" t="e">
        <f t="shared" si="127"/>
        <v>#VALUE!</v>
      </c>
      <c r="U519" s="50" t="e">
        <f t="shared" si="128"/>
        <v>#VALUE!</v>
      </c>
      <c r="V519" s="50" t="e">
        <f t="shared" si="129"/>
        <v>#VALUE!</v>
      </c>
    </row>
    <row r="520" spans="2:22" x14ac:dyDescent="0.25">
      <c r="B520" s="50" t="b">
        <f t="shared" si="116"/>
        <v>0</v>
      </c>
      <c r="C520" s="50" t="e">
        <f t="shared" si="117"/>
        <v>#VALUE!</v>
      </c>
      <c r="E520" s="56">
        <v>516</v>
      </c>
      <c r="G520" s="138"/>
      <c r="H520" s="135">
        <v>1</v>
      </c>
      <c r="I520" s="58" t="e">
        <f t="shared" si="118"/>
        <v>#VALUE!</v>
      </c>
      <c r="J520" s="50" t="e">
        <f t="shared" si="124"/>
        <v>#VALUE!</v>
      </c>
      <c r="K520" s="50" t="e">
        <f t="shared" si="125"/>
        <v>#VALUE!</v>
      </c>
      <c r="L520" s="50" t="e">
        <f t="shared" si="125"/>
        <v>#VALUE!</v>
      </c>
      <c r="M520" s="50" t="e">
        <f t="shared" si="119"/>
        <v>#VALUE!</v>
      </c>
      <c r="N520" s="50" t="e">
        <f t="shared" si="120"/>
        <v>#VALUE!</v>
      </c>
      <c r="O520" s="50">
        <f t="shared" si="121"/>
        <v>0</v>
      </c>
      <c r="Q520" s="55" t="e">
        <f t="shared" si="122"/>
        <v>#VALUE!</v>
      </c>
      <c r="R520" s="55" t="e">
        <f t="shared" si="126"/>
        <v>#VALUE!</v>
      </c>
      <c r="S520" s="55" t="e">
        <f t="shared" si="123"/>
        <v>#VALUE!</v>
      </c>
      <c r="T520" s="50" t="e">
        <f t="shared" si="127"/>
        <v>#VALUE!</v>
      </c>
      <c r="U520" s="50" t="e">
        <f t="shared" si="128"/>
        <v>#VALUE!</v>
      </c>
      <c r="V520" s="50" t="e">
        <f t="shared" si="129"/>
        <v>#VALUE!</v>
      </c>
    </row>
    <row r="521" spans="2:22" x14ac:dyDescent="0.25">
      <c r="B521" s="50" t="b">
        <f t="shared" si="116"/>
        <v>0</v>
      </c>
      <c r="C521" s="50" t="e">
        <f t="shared" si="117"/>
        <v>#VALUE!</v>
      </c>
      <c r="E521" s="56">
        <v>517</v>
      </c>
      <c r="G521" s="138"/>
      <c r="H521" s="135">
        <v>1</v>
      </c>
      <c r="I521" s="58" t="e">
        <f t="shared" si="118"/>
        <v>#VALUE!</v>
      </c>
      <c r="J521" s="50" t="e">
        <f t="shared" si="124"/>
        <v>#VALUE!</v>
      </c>
      <c r="K521" s="50" t="e">
        <f t="shared" si="125"/>
        <v>#VALUE!</v>
      </c>
      <c r="L521" s="50" t="e">
        <f t="shared" si="125"/>
        <v>#VALUE!</v>
      </c>
      <c r="M521" s="50" t="e">
        <f t="shared" si="119"/>
        <v>#VALUE!</v>
      </c>
      <c r="N521" s="50" t="e">
        <f t="shared" si="120"/>
        <v>#VALUE!</v>
      </c>
      <c r="O521" s="50">
        <f t="shared" si="121"/>
        <v>0</v>
      </c>
      <c r="Q521" s="55" t="e">
        <f t="shared" si="122"/>
        <v>#VALUE!</v>
      </c>
      <c r="R521" s="55" t="e">
        <f t="shared" si="126"/>
        <v>#VALUE!</v>
      </c>
      <c r="S521" s="55" t="e">
        <f t="shared" si="123"/>
        <v>#VALUE!</v>
      </c>
      <c r="T521" s="50" t="e">
        <f t="shared" si="127"/>
        <v>#VALUE!</v>
      </c>
      <c r="U521" s="50" t="e">
        <f t="shared" si="128"/>
        <v>#VALUE!</v>
      </c>
      <c r="V521" s="50" t="e">
        <f t="shared" si="129"/>
        <v>#VALUE!</v>
      </c>
    </row>
    <row r="522" spans="2:22" x14ac:dyDescent="0.25">
      <c r="B522" s="50" t="b">
        <f t="shared" si="116"/>
        <v>0</v>
      </c>
      <c r="C522" s="50" t="e">
        <f t="shared" si="117"/>
        <v>#VALUE!</v>
      </c>
      <c r="E522" s="56">
        <v>518</v>
      </c>
      <c r="G522" s="138"/>
      <c r="H522" s="135">
        <v>1</v>
      </c>
      <c r="I522" s="58" t="e">
        <f t="shared" si="118"/>
        <v>#VALUE!</v>
      </c>
      <c r="J522" s="50" t="e">
        <f t="shared" si="124"/>
        <v>#VALUE!</v>
      </c>
      <c r="K522" s="50" t="e">
        <f t="shared" si="125"/>
        <v>#VALUE!</v>
      </c>
      <c r="L522" s="50" t="e">
        <f t="shared" si="125"/>
        <v>#VALUE!</v>
      </c>
      <c r="M522" s="50" t="e">
        <f t="shared" si="119"/>
        <v>#VALUE!</v>
      </c>
      <c r="N522" s="50" t="e">
        <f t="shared" si="120"/>
        <v>#VALUE!</v>
      </c>
      <c r="O522" s="50">
        <f t="shared" si="121"/>
        <v>0</v>
      </c>
      <c r="Q522" s="55" t="e">
        <f t="shared" si="122"/>
        <v>#VALUE!</v>
      </c>
      <c r="R522" s="55" t="e">
        <f t="shared" si="126"/>
        <v>#VALUE!</v>
      </c>
      <c r="S522" s="55" t="e">
        <f t="shared" si="123"/>
        <v>#VALUE!</v>
      </c>
      <c r="T522" s="50" t="e">
        <f t="shared" si="127"/>
        <v>#VALUE!</v>
      </c>
      <c r="U522" s="50" t="e">
        <f t="shared" si="128"/>
        <v>#VALUE!</v>
      </c>
      <c r="V522" s="50" t="e">
        <f t="shared" si="129"/>
        <v>#VALUE!</v>
      </c>
    </row>
    <row r="523" spans="2:22" x14ac:dyDescent="0.25">
      <c r="B523" s="50" t="b">
        <f t="shared" si="116"/>
        <v>0</v>
      </c>
      <c r="C523" s="50" t="e">
        <f t="shared" si="117"/>
        <v>#VALUE!</v>
      </c>
      <c r="E523" s="56">
        <v>519</v>
      </c>
      <c r="G523" s="138"/>
      <c r="H523" s="135">
        <v>1</v>
      </c>
      <c r="I523" s="58" t="e">
        <f t="shared" si="118"/>
        <v>#VALUE!</v>
      </c>
      <c r="J523" s="50" t="e">
        <f t="shared" si="124"/>
        <v>#VALUE!</v>
      </c>
      <c r="K523" s="50" t="e">
        <f t="shared" si="125"/>
        <v>#VALUE!</v>
      </c>
      <c r="L523" s="50" t="e">
        <f t="shared" si="125"/>
        <v>#VALUE!</v>
      </c>
      <c r="M523" s="50" t="e">
        <f t="shared" si="119"/>
        <v>#VALUE!</v>
      </c>
      <c r="N523" s="50" t="e">
        <f t="shared" si="120"/>
        <v>#VALUE!</v>
      </c>
      <c r="O523" s="50">
        <f t="shared" si="121"/>
        <v>0</v>
      </c>
      <c r="Q523" s="55" t="e">
        <f t="shared" si="122"/>
        <v>#VALUE!</v>
      </c>
      <c r="R523" s="55" t="e">
        <f t="shared" si="126"/>
        <v>#VALUE!</v>
      </c>
      <c r="S523" s="55" t="e">
        <f t="shared" si="123"/>
        <v>#VALUE!</v>
      </c>
      <c r="T523" s="50" t="e">
        <f t="shared" si="127"/>
        <v>#VALUE!</v>
      </c>
      <c r="U523" s="50" t="e">
        <f t="shared" si="128"/>
        <v>#VALUE!</v>
      </c>
      <c r="V523" s="50" t="e">
        <f t="shared" si="129"/>
        <v>#VALUE!</v>
      </c>
    </row>
    <row r="524" spans="2:22" x14ac:dyDescent="0.25">
      <c r="B524" s="50" t="b">
        <f t="shared" si="116"/>
        <v>0</v>
      </c>
      <c r="C524" s="50" t="e">
        <f t="shared" si="117"/>
        <v>#VALUE!</v>
      </c>
      <c r="E524" s="56">
        <v>520</v>
      </c>
      <c r="G524" s="138"/>
      <c r="H524" s="135">
        <v>1</v>
      </c>
      <c r="I524" s="58" t="e">
        <f t="shared" si="118"/>
        <v>#VALUE!</v>
      </c>
      <c r="J524" s="50" t="e">
        <f t="shared" si="124"/>
        <v>#VALUE!</v>
      </c>
      <c r="K524" s="50" t="e">
        <f t="shared" si="125"/>
        <v>#VALUE!</v>
      </c>
      <c r="L524" s="50" t="e">
        <f t="shared" si="125"/>
        <v>#VALUE!</v>
      </c>
      <c r="M524" s="50" t="e">
        <f t="shared" si="119"/>
        <v>#VALUE!</v>
      </c>
      <c r="N524" s="50" t="e">
        <f t="shared" si="120"/>
        <v>#VALUE!</v>
      </c>
      <c r="O524" s="50">
        <f t="shared" si="121"/>
        <v>0</v>
      </c>
      <c r="Q524" s="55" t="e">
        <f t="shared" si="122"/>
        <v>#VALUE!</v>
      </c>
      <c r="R524" s="55" t="e">
        <f t="shared" si="126"/>
        <v>#VALUE!</v>
      </c>
      <c r="S524" s="55" t="e">
        <f t="shared" si="123"/>
        <v>#VALUE!</v>
      </c>
      <c r="T524" s="50" t="e">
        <f t="shared" si="127"/>
        <v>#VALUE!</v>
      </c>
      <c r="U524" s="50" t="e">
        <f t="shared" si="128"/>
        <v>#VALUE!</v>
      </c>
      <c r="V524" s="50" t="e">
        <f t="shared" si="129"/>
        <v>#VALUE!</v>
      </c>
    </row>
    <row r="525" spans="2:22" x14ac:dyDescent="0.25">
      <c r="B525" s="50" t="b">
        <f t="shared" si="116"/>
        <v>0</v>
      </c>
      <c r="C525" s="50" t="e">
        <f t="shared" si="117"/>
        <v>#VALUE!</v>
      </c>
      <c r="E525" s="56">
        <v>521</v>
      </c>
      <c r="G525" s="138"/>
      <c r="H525" s="135">
        <v>1</v>
      </c>
      <c r="I525" s="58" t="e">
        <f t="shared" si="118"/>
        <v>#VALUE!</v>
      </c>
      <c r="J525" s="50" t="e">
        <f t="shared" si="124"/>
        <v>#VALUE!</v>
      </c>
      <c r="K525" s="50" t="e">
        <f t="shared" si="125"/>
        <v>#VALUE!</v>
      </c>
      <c r="L525" s="50" t="e">
        <f t="shared" si="125"/>
        <v>#VALUE!</v>
      </c>
      <c r="M525" s="50" t="e">
        <f t="shared" si="119"/>
        <v>#VALUE!</v>
      </c>
      <c r="N525" s="50" t="e">
        <f t="shared" si="120"/>
        <v>#VALUE!</v>
      </c>
      <c r="O525" s="50">
        <f t="shared" si="121"/>
        <v>0</v>
      </c>
      <c r="Q525" s="55" t="e">
        <f t="shared" si="122"/>
        <v>#VALUE!</v>
      </c>
      <c r="R525" s="55" t="e">
        <f t="shared" si="126"/>
        <v>#VALUE!</v>
      </c>
      <c r="S525" s="55" t="e">
        <f t="shared" si="123"/>
        <v>#VALUE!</v>
      </c>
      <c r="T525" s="50" t="e">
        <f t="shared" si="127"/>
        <v>#VALUE!</v>
      </c>
      <c r="U525" s="50" t="e">
        <f t="shared" si="128"/>
        <v>#VALUE!</v>
      </c>
      <c r="V525" s="50" t="e">
        <f t="shared" si="129"/>
        <v>#VALUE!</v>
      </c>
    </row>
    <row r="526" spans="2:22" x14ac:dyDescent="0.25">
      <c r="B526" s="50" t="b">
        <f t="shared" ref="B526:B589" si="130">ISNUMBER(C526)</f>
        <v>0</v>
      </c>
      <c r="C526" s="50" t="e">
        <f t="shared" si="117"/>
        <v>#VALUE!</v>
      </c>
      <c r="E526" s="56">
        <v>522</v>
      </c>
      <c r="G526" s="138"/>
      <c r="H526" s="135">
        <v>1</v>
      </c>
      <c r="I526" s="58" t="e">
        <f t="shared" si="118"/>
        <v>#VALUE!</v>
      </c>
      <c r="J526" s="50" t="e">
        <f t="shared" si="124"/>
        <v>#VALUE!</v>
      </c>
      <c r="K526" s="50" t="e">
        <f t="shared" si="125"/>
        <v>#VALUE!</v>
      </c>
      <c r="L526" s="50" t="e">
        <f t="shared" si="125"/>
        <v>#VALUE!</v>
      </c>
      <c r="M526" s="50" t="e">
        <f t="shared" si="119"/>
        <v>#VALUE!</v>
      </c>
      <c r="N526" s="50" t="e">
        <f t="shared" si="120"/>
        <v>#VALUE!</v>
      </c>
      <c r="O526" s="50">
        <f t="shared" si="121"/>
        <v>0</v>
      </c>
      <c r="Q526" s="55" t="e">
        <f t="shared" si="122"/>
        <v>#VALUE!</v>
      </c>
      <c r="R526" s="55" t="e">
        <f t="shared" si="126"/>
        <v>#VALUE!</v>
      </c>
      <c r="S526" s="55" t="e">
        <f t="shared" si="123"/>
        <v>#VALUE!</v>
      </c>
      <c r="T526" s="50" t="e">
        <f t="shared" si="127"/>
        <v>#VALUE!</v>
      </c>
      <c r="U526" s="50" t="e">
        <f t="shared" si="128"/>
        <v>#VALUE!</v>
      </c>
      <c r="V526" s="50" t="e">
        <f t="shared" si="129"/>
        <v>#VALUE!</v>
      </c>
    </row>
    <row r="527" spans="2:22" x14ac:dyDescent="0.25">
      <c r="B527" s="50" t="b">
        <f t="shared" si="130"/>
        <v>0</v>
      </c>
      <c r="C527" s="50" t="e">
        <f t="shared" si="117"/>
        <v>#VALUE!</v>
      </c>
      <c r="E527" s="56">
        <v>523</v>
      </c>
      <c r="G527" s="138"/>
      <c r="H527" s="135">
        <v>1</v>
      </c>
      <c r="I527" s="58" t="e">
        <f t="shared" si="118"/>
        <v>#VALUE!</v>
      </c>
      <c r="J527" s="50" t="e">
        <f t="shared" si="124"/>
        <v>#VALUE!</v>
      </c>
      <c r="K527" s="50" t="e">
        <f t="shared" si="125"/>
        <v>#VALUE!</v>
      </c>
      <c r="L527" s="50" t="e">
        <f t="shared" si="125"/>
        <v>#VALUE!</v>
      </c>
      <c r="M527" s="50" t="e">
        <f t="shared" si="119"/>
        <v>#VALUE!</v>
      </c>
      <c r="N527" s="50" t="e">
        <f t="shared" si="120"/>
        <v>#VALUE!</v>
      </c>
      <c r="O527" s="50">
        <f t="shared" si="121"/>
        <v>0</v>
      </c>
      <c r="Q527" s="55" t="e">
        <f t="shared" si="122"/>
        <v>#VALUE!</v>
      </c>
      <c r="R527" s="55" t="e">
        <f t="shared" si="126"/>
        <v>#VALUE!</v>
      </c>
      <c r="S527" s="55" t="e">
        <f t="shared" si="123"/>
        <v>#VALUE!</v>
      </c>
      <c r="T527" s="50" t="e">
        <f t="shared" si="127"/>
        <v>#VALUE!</v>
      </c>
      <c r="U527" s="50" t="e">
        <f t="shared" si="128"/>
        <v>#VALUE!</v>
      </c>
      <c r="V527" s="50" t="e">
        <f t="shared" si="129"/>
        <v>#VALUE!</v>
      </c>
    </row>
    <row r="528" spans="2:22" x14ac:dyDescent="0.25">
      <c r="B528" s="50" t="b">
        <f t="shared" si="130"/>
        <v>0</v>
      </c>
      <c r="C528" s="50" t="e">
        <f t="shared" si="117"/>
        <v>#VALUE!</v>
      </c>
      <c r="E528" s="56">
        <v>524</v>
      </c>
      <c r="G528" s="138"/>
      <c r="H528" s="135">
        <v>1</v>
      </c>
      <c r="I528" s="58" t="e">
        <f t="shared" si="118"/>
        <v>#VALUE!</v>
      </c>
      <c r="J528" s="50" t="e">
        <f t="shared" si="124"/>
        <v>#VALUE!</v>
      </c>
      <c r="K528" s="50" t="e">
        <f t="shared" si="125"/>
        <v>#VALUE!</v>
      </c>
      <c r="L528" s="50" t="e">
        <f t="shared" si="125"/>
        <v>#VALUE!</v>
      </c>
      <c r="M528" s="50" t="e">
        <f t="shared" si="119"/>
        <v>#VALUE!</v>
      </c>
      <c r="N528" s="50" t="e">
        <f t="shared" si="120"/>
        <v>#VALUE!</v>
      </c>
      <c r="O528" s="50">
        <f t="shared" si="121"/>
        <v>0</v>
      </c>
      <c r="Q528" s="55" t="e">
        <f t="shared" si="122"/>
        <v>#VALUE!</v>
      </c>
      <c r="R528" s="55" t="e">
        <f t="shared" si="126"/>
        <v>#VALUE!</v>
      </c>
      <c r="S528" s="55" t="e">
        <f t="shared" si="123"/>
        <v>#VALUE!</v>
      </c>
      <c r="T528" s="50" t="e">
        <f t="shared" si="127"/>
        <v>#VALUE!</v>
      </c>
      <c r="U528" s="50" t="e">
        <f t="shared" si="128"/>
        <v>#VALUE!</v>
      </c>
      <c r="V528" s="50" t="e">
        <f t="shared" si="129"/>
        <v>#VALUE!</v>
      </c>
    </row>
    <row r="529" spans="2:22" x14ac:dyDescent="0.25">
      <c r="B529" s="50" t="b">
        <f t="shared" si="130"/>
        <v>0</v>
      </c>
      <c r="C529" s="50" t="e">
        <f t="shared" si="117"/>
        <v>#VALUE!</v>
      </c>
      <c r="E529" s="56">
        <v>525</v>
      </c>
      <c r="G529" s="138"/>
      <c r="H529" s="135">
        <v>1</v>
      </c>
      <c r="I529" s="58" t="e">
        <f t="shared" si="118"/>
        <v>#VALUE!</v>
      </c>
      <c r="J529" s="50" t="e">
        <f t="shared" si="124"/>
        <v>#VALUE!</v>
      </c>
      <c r="K529" s="50" t="e">
        <f t="shared" si="125"/>
        <v>#VALUE!</v>
      </c>
      <c r="L529" s="50" t="e">
        <f t="shared" si="125"/>
        <v>#VALUE!</v>
      </c>
      <c r="M529" s="50" t="e">
        <f t="shared" si="119"/>
        <v>#VALUE!</v>
      </c>
      <c r="N529" s="50" t="e">
        <f t="shared" si="120"/>
        <v>#VALUE!</v>
      </c>
      <c r="O529" s="50">
        <f t="shared" si="121"/>
        <v>0</v>
      </c>
      <c r="Q529" s="55" t="e">
        <f t="shared" si="122"/>
        <v>#VALUE!</v>
      </c>
      <c r="R529" s="55" t="e">
        <f t="shared" si="126"/>
        <v>#VALUE!</v>
      </c>
      <c r="S529" s="55" t="e">
        <f t="shared" si="123"/>
        <v>#VALUE!</v>
      </c>
      <c r="T529" s="50" t="e">
        <f t="shared" si="127"/>
        <v>#VALUE!</v>
      </c>
      <c r="U529" s="50" t="e">
        <f t="shared" si="128"/>
        <v>#VALUE!</v>
      </c>
      <c r="V529" s="50" t="e">
        <f t="shared" si="129"/>
        <v>#VALUE!</v>
      </c>
    </row>
    <row r="530" spans="2:22" x14ac:dyDescent="0.25">
      <c r="B530" s="50" t="b">
        <f t="shared" si="130"/>
        <v>0</v>
      </c>
      <c r="C530" s="50" t="e">
        <f t="shared" si="117"/>
        <v>#VALUE!</v>
      </c>
      <c r="E530" s="56">
        <v>526</v>
      </c>
      <c r="G530" s="138"/>
      <c r="H530" s="135">
        <v>1</v>
      </c>
      <c r="I530" s="58" t="e">
        <f t="shared" si="118"/>
        <v>#VALUE!</v>
      </c>
      <c r="J530" s="50" t="e">
        <f t="shared" si="124"/>
        <v>#VALUE!</v>
      </c>
      <c r="K530" s="50" t="e">
        <f t="shared" si="125"/>
        <v>#VALUE!</v>
      </c>
      <c r="L530" s="50" t="e">
        <f t="shared" si="125"/>
        <v>#VALUE!</v>
      </c>
      <c r="M530" s="50" t="e">
        <f t="shared" si="119"/>
        <v>#VALUE!</v>
      </c>
      <c r="N530" s="50" t="e">
        <f t="shared" si="120"/>
        <v>#VALUE!</v>
      </c>
      <c r="O530" s="50">
        <f t="shared" si="121"/>
        <v>0</v>
      </c>
      <c r="Q530" s="55" t="e">
        <f t="shared" si="122"/>
        <v>#VALUE!</v>
      </c>
      <c r="R530" s="55" t="e">
        <f t="shared" si="126"/>
        <v>#VALUE!</v>
      </c>
      <c r="S530" s="55" t="e">
        <f t="shared" si="123"/>
        <v>#VALUE!</v>
      </c>
      <c r="T530" s="50" t="e">
        <f t="shared" si="127"/>
        <v>#VALUE!</v>
      </c>
      <c r="U530" s="50" t="e">
        <f t="shared" si="128"/>
        <v>#VALUE!</v>
      </c>
      <c r="V530" s="50" t="e">
        <f t="shared" si="129"/>
        <v>#VALUE!</v>
      </c>
    </row>
    <row r="531" spans="2:22" x14ac:dyDescent="0.25">
      <c r="B531" s="50" t="b">
        <f t="shared" si="130"/>
        <v>0</v>
      </c>
      <c r="C531" s="50" t="e">
        <f t="shared" si="117"/>
        <v>#VALUE!</v>
      </c>
      <c r="E531" s="56">
        <v>527</v>
      </c>
      <c r="G531" s="138"/>
      <c r="H531" s="135">
        <v>1</v>
      </c>
      <c r="I531" s="58" t="e">
        <f t="shared" si="118"/>
        <v>#VALUE!</v>
      </c>
      <c r="J531" s="50" t="e">
        <f t="shared" si="124"/>
        <v>#VALUE!</v>
      </c>
      <c r="K531" s="50" t="e">
        <f t="shared" si="125"/>
        <v>#VALUE!</v>
      </c>
      <c r="L531" s="50" t="e">
        <f t="shared" si="125"/>
        <v>#VALUE!</v>
      </c>
      <c r="M531" s="50" t="e">
        <f t="shared" si="119"/>
        <v>#VALUE!</v>
      </c>
      <c r="N531" s="50" t="e">
        <f t="shared" si="120"/>
        <v>#VALUE!</v>
      </c>
      <c r="O531" s="50">
        <f t="shared" si="121"/>
        <v>0</v>
      </c>
      <c r="Q531" s="55" t="e">
        <f t="shared" si="122"/>
        <v>#VALUE!</v>
      </c>
      <c r="R531" s="55" t="e">
        <f t="shared" si="126"/>
        <v>#VALUE!</v>
      </c>
      <c r="S531" s="55" t="e">
        <f t="shared" si="123"/>
        <v>#VALUE!</v>
      </c>
      <c r="T531" s="50" t="e">
        <f t="shared" si="127"/>
        <v>#VALUE!</v>
      </c>
      <c r="U531" s="50" t="e">
        <f t="shared" si="128"/>
        <v>#VALUE!</v>
      </c>
      <c r="V531" s="50" t="e">
        <f t="shared" si="129"/>
        <v>#VALUE!</v>
      </c>
    </row>
    <row r="532" spans="2:22" x14ac:dyDescent="0.25">
      <c r="B532" s="50" t="b">
        <f t="shared" si="130"/>
        <v>0</v>
      </c>
      <c r="C532" s="50" t="e">
        <f t="shared" si="117"/>
        <v>#VALUE!</v>
      </c>
      <c r="E532" s="56">
        <v>528</v>
      </c>
      <c r="G532" s="138"/>
      <c r="H532" s="135">
        <v>1</v>
      </c>
      <c r="I532" s="58" t="e">
        <f t="shared" si="118"/>
        <v>#VALUE!</v>
      </c>
      <c r="J532" s="50" t="e">
        <f t="shared" si="124"/>
        <v>#VALUE!</v>
      </c>
      <c r="K532" s="50" t="e">
        <f t="shared" si="125"/>
        <v>#VALUE!</v>
      </c>
      <c r="L532" s="50" t="e">
        <f t="shared" si="125"/>
        <v>#VALUE!</v>
      </c>
      <c r="M532" s="50" t="e">
        <f t="shared" si="119"/>
        <v>#VALUE!</v>
      </c>
      <c r="N532" s="50" t="e">
        <f t="shared" si="120"/>
        <v>#VALUE!</v>
      </c>
      <c r="O532" s="50">
        <f t="shared" si="121"/>
        <v>0</v>
      </c>
      <c r="Q532" s="55" t="e">
        <f t="shared" si="122"/>
        <v>#VALUE!</v>
      </c>
      <c r="R532" s="55" t="e">
        <f t="shared" si="126"/>
        <v>#VALUE!</v>
      </c>
      <c r="S532" s="55" t="e">
        <f t="shared" si="123"/>
        <v>#VALUE!</v>
      </c>
      <c r="T532" s="50" t="e">
        <f t="shared" si="127"/>
        <v>#VALUE!</v>
      </c>
      <c r="U532" s="50" t="e">
        <f t="shared" si="128"/>
        <v>#VALUE!</v>
      </c>
      <c r="V532" s="50" t="e">
        <f t="shared" si="129"/>
        <v>#VALUE!</v>
      </c>
    </row>
    <row r="533" spans="2:22" x14ac:dyDescent="0.25">
      <c r="B533" s="50" t="b">
        <f t="shared" si="130"/>
        <v>0</v>
      </c>
      <c r="C533" s="50" t="e">
        <f t="shared" si="117"/>
        <v>#VALUE!</v>
      </c>
      <c r="E533" s="56">
        <v>529</v>
      </c>
      <c r="G533" s="138"/>
      <c r="H533" s="135">
        <v>1</v>
      </c>
      <c r="I533" s="58" t="e">
        <f t="shared" si="118"/>
        <v>#VALUE!</v>
      </c>
      <c r="J533" s="50" t="e">
        <f t="shared" si="124"/>
        <v>#VALUE!</v>
      </c>
      <c r="K533" s="50" t="e">
        <f t="shared" si="125"/>
        <v>#VALUE!</v>
      </c>
      <c r="L533" s="50" t="e">
        <f t="shared" si="125"/>
        <v>#VALUE!</v>
      </c>
      <c r="M533" s="50" t="e">
        <f t="shared" si="119"/>
        <v>#VALUE!</v>
      </c>
      <c r="N533" s="50" t="e">
        <f t="shared" si="120"/>
        <v>#VALUE!</v>
      </c>
      <c r="O533" s="50">
        <f t="shared" si="121"/>
        <v>0</v>
      </c>
      <c r="Q533" s="55" t="e">
        <f t="shared" si="122"/>
        <v>#VALUE!</v>
      </c>
      <c r="R533" s="55" t="e">
        <f t="shared" si="126"/>
        <v>#VALUE!</v>
      </c>
      <c r="S533" s="55" t="e">
        <f t="shared" si="123"/>
        <v>#VALUE!</v>
      </c>
      <c r="T533" s="50" t="e">
        <f t="shared" si="127"/>
        <v>#VALUE!</v>
      </c>
      <c r="U533" s="50" t="e">
        <f t="shared" si="128"/>
        <v>#VALUE!</v>
      </c>
      <c r="V533" s="50" t="e">
        <f t="shared" si="129"/>
        <v>#VALUE!</v>
      </c>
    </row>
    <row r="534" spans="2:22" x14ac:dyDescent="0.25">
      <c r="B534" s="50" t="b">
        <f t="shared" si="130"/>
        <v>0</v>
      </c>
      <c r="C534" s="50" t="e">
        <f t="shared" si="117"/>
        <v>#VALUE!</v>
      </c>
      <c r="E534" s="56">
        <v>530</v>
      </c>
      <c r="G534" s="138"/>
      <c r="H534" s="135">
        <v>1</v>
      </c>
      <c r="I534" s="58" t="e">
        <f t="shared" si="118"/>
        <v>#VALUE!</v>
      </c>
      <c r="J534" s="50" t="e">
        <f t="shared" si="124"/>
        <v>#VALUE!</v>
      </c>
      <c r="K534" s="50" t="e">
        <f t="shared" si="125"/>
        <v>#VALUE!</v>
      </c>
      <c r="L534" s="50" t="e">
        <f t="shared" si="125"/>
        <v>#VALUE!</v>
      </c>
      <c r="M534" s="50" t="e">
        <f t="shared" si="119"/>
        <v>#VALUE!</v>
      </c>
      <c r="N534" s="50" t="e">
        <f t="shared" si="120"/>
        <v>#VALUE!</v>
      </c>
      <c r="O534" s="50">
        <f t="shared" si="121"/>
        <v>0</v>
      </c>
      <c r="Q534" s="55" t="e">
        <f t="shared" si="122"/>
        <v>#VALUE!</v>
      </c>
      <c r="R534" s="55" t="e">
        <f t="shared" si="126"/>
        <v>#VALUE!</v>
      </c>
      <c r="S534" s="55" t="e">
        <f t="shared" si="123"/>
        <v>#VALUE!</v>
      </c>
      <c r="T534" s="50" t="e">
        <f t="shared" si="127"/>
        <v>#VALUE!</v>
      </c>
      <c r="U534" s="50" t="e">
        <f t="shared" si="128"/>
        <v>#VALUE!</v>
      </c>
      <c r="V534" s="50" t="e">
        <f t="shared" si="129"/>
        <v>#VALUE!</v>
      </c>
    </row>
    <row r="535" spans="2:22" x14ac:dyDescent="0.25">
      <c r="B535" s="50" t="b">
        <f t="shared" si="130"/>
        <v>0</v>
      </c>
      <c r="C535" s="50" t="e">
        <f t="shared" si="117"/>
        <v>#VALUE!</v>
      </c>
      <c r="E535" s="56">
        <v>531</v>
      </c>
      <c r="G535" s="138"/>
      <c r="H535" s="135">
        <v>1</v>
      </c>
      <c r="I535" s="58" t="e">
        <f t="shared" si="118"/>
        <v>#VALUE!</v>
      </c>
      <c r="J535" s="50" t="e">
        <f t="shared" si="124"/>
        <v>#VALUE!</v>
      </c>
      <c r="K535" s="50" t="e">
        <f t="shared" si="125"/>
        <v>#VALUE!</v>
      </c>
      <c r="L535" s="50" t="e">
        <f t="shared" si="125"/>
        <v>#VALUE!</v>
      </c>
      <c r="M535" s="50" t="e">
        <f t="shared" si="119"/>
        <v>#VALUE!</v>
      </c>
      <c r="N535" s="50" t="e">
        <f t="shared" si="120"/>
        <v>#VALUE!</v>
      </c>
      <c r="O535" s="50">
        <f t="shared" si="121"/>
        <v>0</v>
      </c>
      <c r="Q535" s="55" t="e">
        <f t="shared" si="122"/>
        <v>#VALUE!</v>
      </c>
      <c r="R535" s="55" t="e">
        <f t="shared" si="126"/>
        <v>#VALUE!</v>
      </c>
      <c r="S535" s="55" t="e">
        <f t="shared" si="123"/>
        <v>#VALUE!</v>
      </c>
      <c r="T535" s="50" t="e">
        <f t="shared" si="127"/>
        <v>#VALUE!</v>
      </c>
      <c r="U535" s="50" t="e">
        <f t="shared" si="128"/>
        <v>#VALUE!</v>
      </c>
      <c r="V535" s="50" t="e">
        <f t="shared" si="129"/>
        <v>#VALUE!</v>
      </c>
    </row>
    <row r="536" spans="2:22" x14ac:dyDescent="0.25">
      <c r="B536" s="50" t="b">
        <f t="shared" si="130"/>
        <v>0</v>
      </c>
      <c r="C536" s="50" t="e">
        <f t="shared" si="117"/>
        <v>#VALUE!</v>
      </c>
      <c r="E536" s="56">
        <v>532</v>
      </c>
      <c r="G536" s="138"/>
      <c r="H536" s="135">
        <v>1</v>
      </c>
      <c r="I536" s="58" t="e">
        <f t="shared" si="118"/>
        <v>#VALUE!</v>
      </c>
      <c r="J536" s="50" t="e">
        <f t="shared" si="124"/>
        <v>#VALUE!</v>
      </c>
      <c r="K536" s="50" t="e">
        <f t="shared" si="125"/>
        <v>#VALUE!</v>
      </c>
      <c r="L536" s="50" t="e">
        <f t="shared" si="125"/>
        <v>#VALUE!</v>
      </c>
      <c r="M536" s="50" t="e">
        <f t="shared" si="119"/>
        <v>#VALUE!</v>
      </c>
      <c r="N536" s="50" t="e">
        <f t="shared" si="120"/>
        <v>#VALUE!</v>
      </c>
      <c r="O536" s="50">
        <f t="shared" si="121"/>
        <v>0</v>
      </c>
      <c r="Q536" s="55" t="e">
        <f t="shared" si="122"/>
        <v>#VALUE!</v>
      </c>
      <c r="R536" s="55" t="e">
        <f t="shared" si="126"/>
        <v>#VALUE!</v>
      </c>
      <c r="S536" s="55" t="e">
        <f t="shared" si="123"/>
        <v>#VALUE!</v>
      </c>
      <c r="T536" s="50" t="e">
        <f t="shared" si="127"/>
        <v>#VALUE!</v>
      </c>
      <c r="U536" s="50" t="e">
        <f t="shared" si="128"/>
        <v>#VALUE!</v>
      </c>
      <c r="V536" s="50" t="e">
        <f t="shared" si="129"/>
        <v>#VALUE!</v>
      </c>
    </row>
    <row r="537" spans="2:22" x14ac:dyDescent="0.25">
      <c r="B537" s="50" t="b">
        <f t="shared" si="130"/>
        <v>0</v>
      </c>
      <c r="C537" s="50" t="e">
        <f t="shared" si="117"/>
        <v>#VALUE!</v>
      </c>
      <c r="E537" s="56">
        <v>533</v>
      </c>
      <c r="G537" s="138"/>
      <c r="H537" s="135">
        <v>1</v>
      </c>
      <c r="I537" s="58" t="e">
        <f t="shared" si="118"/>
        <v>#VALUE!</v>
      </c>
      <c r="J537" s="50" t="e">
        <f t="shared" si="124"/>
        <v>#VALUE!</v>
      </c>
      <c r="K537" s="50" t="e">
        <f t="shared" si="125"/>
        <v>#VALUE!</v>
      </c>
      <c r="L537" s="50" t="e">
        <f t="shared" si="125"/>
        <v>#VALUE!</v>
      </c>
      <c r="M537" s="50" t="e">
        <f t="shared" si="119"/>
        <v>#VALUE!</v>
      </c>
      <c r="N537" s="50" t="e">
        <f t="shared" si="120"/>
        <v>#VALUE!</v>
      </c>
      <c r="O537" s="50">
        <f t="shared" si="121"/>
        <v>0</v>
      </c>
      <c r="Q537" s="55" t="e">
        <f t="shared" si="122"/>
        <v>#VALUE!</v>
      </c>
      <c r="R537" s="55" t="e">
        <f t="shared" si="126"/>
        <v>#VALUE!</v>
      </c>
      <c r="S537" s="55" t="e">
        <f t="shared" si="123"/>
        <v>#VALUE!</v>
      </c>
      <c r="T537" s="50" t="e">
        <f t="shared" si="127"/>
        <v>#VALUE!</v>
      </c>
      <c r="U537" s="50" t="e">
        <f t="shared" si="128"/>
        <v>#VALUE!</v>
      </c>
      <c r="V537" s="50" t="e">
        <f t="shared" si="129"/>
        <v>#VALUE!</v>
      </c>
    </row>
    <row r="538" spans="2:22" x14ac:dyDescent="0.25">
      <c r="B538" s="50" t="b">
        <f t="shared" si="130"/>
        <v>0</v>
      </c>
      <c r="C538" s="50" t="e">
        <f t="shared" si="117"/>
        <v>#VALUE!</v>
      </c>
      <c r="E538" s="56">
        <v>534</v>
      </c>
      <c r="G538" s="138"/>
      <c r="H538" s="135">
        <v>1</v>
      </c>
      <c r="I538" s="58" t="e">
        <f t="shared" si="118"/>
        <v>#VALUE!</v>
      </c>
      <c r="J538" s="50" t="e">
        <f t="shared" si="124"/>
        <v>#VALUE!</v>
      </c>
      <c r="K538" s="50" t="e">
        <f t="shared" si="125"/>
        <v>#VALUE!</v>
      </c>
      <c r="L538" s="50" t="e">
        <f t="shared" si="125"/>
        <v>#VALUE!</v>
      </c>
      <c r="M538" s="50" t="e">
        <f t="shared" si="119"/>
        <v>#VALUE!</v>
      </c>
      <c r="N538" s="50" t="e">
        <f t="shared" si="120"/>
        <v>#VALUE!</v>
      </c>
      <c r="O538" s="50">
        <f t="shared" si="121"/>
        <v>0</v>
      </c>
      <c r="Q538" s="55" t="e">
        <f t="shared" si="122"/>
        <v>#VALUE!</v>
      </c>
      <c r="R538" s="55" t="e">
        <f t="shared" si="126"/>
        <v>#VALUE!</v>
      </c>
      <c r="S538" s="55" t="e">
        <f t="shared" si="123"/>
        <v>#VALUE!</v>
      </c>
      <c r="T538" s="50" t="e">
        <f t="shared" si="127"/>
        <v>#VALUE!</v>
      </c>
      <c r="U538" s="50" t="e">
        <f t="shared" si="128"/>
        <v>#VALUE!</v>
      </c>
      <c r="V538" s="50" t="e">
        <f t="shared" si="129"/>
        <v>#VALUE!</v>
      </c>
    </row>
    <row r="539" spans="2:22" x14ac:dyDescent="0.25">
      <c r="B539" s="50" t="b">
        <f t="shared" si="130"/>
        <v>0</v>
      </c>
      <c r="C539" s="50" t="e">
        <f t="shared" si="117"/>
        <v>#VALUE!</v>
      </c>
      <c r="E539" s="56">
        <v>535</v>
      </c>
      <c r="G539" s="138"/>
      <c r="H539" s="135">
        <v>1</v>
      </c>
      <c r="I539" s="58" t="e">
        <f t="shared" si="118"/>
        <v>#VALUE!</v>
      </c>
      <c r="J539" s="50" t="e">
        <f t="shared" si="124"/>
        <v>#VALUE!</v>
      </c>
      <c r="K539" s="50" t="e">
        <f t="shared" si="125"/>
        <v>#VALUE!</v>
      </c>
      <c r="L539" s="50" t="e">
        <f t="shared" si="125"/>
        <v>#VALUE!</v>
      </c>
      <c r="M539" s="50" t="e">
        <f t="shared" si="119"/>
        <v>#VALUE!</v>
      </c>
      <c r="N539" s="50" t="e">
        <f t="shared" si="120"/>
        <v>#VALUE!</v>
      </c>
      <c r="O539" s="50">
        <f t="shared" si="121"/>
        <v>0</v>
      </c>
      <c r="Q539" s="55" t="e">
        <f t="shared" si="122"/>
        <v>#VALUE!</v>
      </c>
      <c r="R539" s="55" t="e">
        <f t="shared" si="126"/>
        <v>#VALUE!</v>
      </c>
      <c r="S539" s="55" t="e">
        <f t="shared" si="123"/>
        <v>#VALUE!</v>
      </c>
      <c r="T539" s="50" t="e">
        <f t="shared" si="127"/>
        <v>#VALUE!</v>
      </c>
      <c r="U539" s="50" t="e">
        <f t="shared" si="128"/>
        <v>#VALUE!</v>
      </c>
      <c r="V539" s="50" t="e">
        <f t="shared" si="129"/>
        <v>#VALUE!</v>
      </c>
    </row>
    <row r="540" spans="2:22" x14ac:dyDescent="0.25">
      <c r="B540" s="50" t="b">
        <f t="shared" si="130"/>
        <v>0</v>
      </c>
      <c r="C540" s="50" t="e">
        <f t="shared" si="117"/>
        <v>#VALUE!</v>
      </c>
      <c r="E540" s="56">
        <v>536</v>
      </c>
      <c r="G540" s="138"/>
      <c r="H540" s="135">
        <v>1</v>
      </c>
      <c r="I540" s="58" t="e">
        <f t="shared" si="118"/>
        <v>#VALUE!</v>
      </c>
      <c r="J540" s="50" t="e">
        <f t="shared" si="124"/>
        <v>#VALUE!</v>
      </c>
      <c r="K540" s="50" t="e">
        <f t="shared" si="125"/>
        <v>#VALUE!</v>
      </c>
      <c r="L540" s="50" t="e">
        <f t="shared" si="125"/>
        <v>#VALUE!</v>
      </c>
      <c r="M540" s="50" t="e">
        <f t="shared" si="119"/>
        <v>#VALUE!</v>
      </c>
      <c r="N540" s="50" t="e">
        <f t="shared" si="120"/>
        <v>#VALUE!</v>
      </c>
      <c r="O540" s="50">
        <f t="shared" si="121"/>
        <v>0</v>
      </c>
      <c r="Q540" s="55" t="e">
        <f t="shared" si="122"/>
        <v>#VALUE!</v>
      </c>
      <c r="R540" s="55" t="e">
        <f t="shared" si="126"/>
        <v>#VALUE!</v>
      </c>
      <c r="S540" s="55" t="e">
        <f t="shared" si="123"/>
        <v>#VALUE!</v>
      </c>
      <c r="T540" s="50" t="e">
        <f t="shared" si="127"/>
        <v>#VALUE!</v>
      </c>
      <c r="U540" s="50" t="e">
        <f t="shared" si="128"/>
        <v>#VALUE!</v>
      </c>
      <c r="V540" s="50" t="e">
        <f t="shared" si="129"/>
        <v>#VALUE!</v>
      </c>
    </row>
    <row r="541" spans="2:22" x14ac:dyDescent="0.25">
      <c r="B541" s="50" t="b">
        <f t="shared" si="130"/>
        <v>0</v>
      </c>
      <c r="C541" s="50" t="e">
        <f t="shared" si="117"/>
        <v>#VALUE!</v>
      </c>
      <c r="E541" s="56">
        <v>537</v>
      </c>
      <c r="G541" s="138"/>
      <c r="H541" s="135">
        <v>1</v>
      </c>
      <c r="I541" s="58" t="e">
        <f t="shared" si="118"/>
        <v>#VALUE!</v>
      </c>
      <c r="J541" s="50" t="e">
        <f t="shared" si="124"/>
        <v>#VALUE!</v>
      </c>
      <c r="K541" s="50" t="e">
        <f t="shared" si="125"/>
        <v>#VALUE!</v>
      </c>
      <c r="L541" s="50" t="e">
        <f t="shared" si="125"/>
        <v>#VALUE!</v>
      </c>
      <c r="M541" s="50" t="e">
        <f t="shared" si="119"/>
        <v>#VALUE!</v>
      </c>
      <c r="N541" s="50" t="e">
        <f t="shared" si="120"/>
        <v>#VALUE!</v>
      </c>
      <c r="O541" s="50">
        <f t="shared" si="121"/>
        <v>0</v>
      </c>
      <c r="Q541" s="55" t="e">
        <f t="shared" si="122"/>
        <v>#VALUE!</v>
      </c>
      <c r="R541" s="55" t="e">
        <f t="shared" si="126"/>
        <v>#VALUE!</v>
      </c>
      <c r="S541" s="55" t="e">
        <f t="shared" si="123"/>
        <v>#VALUE!</v>
      </c>
      <c r="T541" s="50" t="e">
        <f t="shared" si="127"/>
        <v>#VALUE!</v>
      </c>
      <c r="U541" s="50" t="e">
        <f t="shared" si="128"/>
        <v>#VALUE!</v>
      </c>
      <c r="V541" s="50" t="e">
        <f t="shared" si="129"/>
        <v>#VALUE!</v>
      </c>
    </row>
    <row r="542" spans="2:22" x14ac:dyDescent="0.25">
      <c r="B542" s="50" t="b">
        <f t="shared" si="130"/>
        <v>0</v>
      </c>
      <c r="C542" s="50" t="e">
        <f t="shared" si="117"/>
        <v>#VALUE!</v>
      </c>
      <c r="E542" s="56">
        <v>538</v>
      </c>
      <c r="G542" s="138"/>
      <c r="H542" s="135">
        <v>1</v>
      </c>
      <c r="I542" s="58" t="e">
        <f t="shared" si="118"/>
        <v>#VALUE!</v>
      </c>
      <c r="J542" s="50" t="e">
        <f t="shared" si="124"/>
        <v>#VALUE!</v>
      </c>
      <c r="K542" s="50" t="e">
        <f t="shared" si="125"/>
        <v>#VALUE!</v>
      </c>
      <c r="L542" s="50" t="e">
        <f t="shared" si="125"/>
        <v>#VALUE!</v>
      </c>
      <c r="M542" s="50" t="e">
        <f t="shared" si="119"/>
        <v>#VALUE!</v>
      </c>
      <c r="N542" s="50" t="e">
        <f t="shared" si="120"/>
        <v>#VALUE!</v>
      </c>
      <c r="O542" s="50">
        <f t="shared" si="121"/>
        <v>0</v>
      </c>
      <c r="Q542" s="55" t="e">
        <f t="shared" si="122"/>
        <v>#VALUE!</v>
      </c>
      <c r="R542" s="55" t="e">
        <f t="shared" si="126"/>
        <v>#VALUE!</v>
      </c>
      <c r="S542" s="55" t="e">
        <f t="shared" si="123"/>
        <v>#VALUE!</v>
      </c>
      <c r="T542" s="50" t="e">
        <f t="shared" si="127"/>
        <v>#VALUE!</v>
      </c>
      <c r="U542" s="50" t="e">
        <f t="shared" si="128"/>
        <v>#VALUE!</v>
      </c>
      <c r="V542" s="50" t="e">
        <f t="shared" si="129"/>
        <v>#VALUE!</v>
      </c>
    </row>
    <row r="543" spans="2:22" x14ac:dyDescent="0.25">
      <c r="B543" s="50" t="b">
        <f t="shared" si="130"/>
        <v>0</v>
      </c>
      <c r="C543" s="50" t="e">
        <f t="shared" si="117"/>
        <v>#VALUE!</v>
      </c>
      <c r="E543" s="56">
        <v>539</v>
      </c>
      <c r="G543" s="138"/>
      <c r="H543" s="135">
        <v>1</v>
      </c>
      <c r="I543" s="58" t="e">
        <f t="shared" si="118"/>
        <v>#VALUE!</v>
      </c>
      <c r="J543" s="50" t="e">
        <f t="shared" si="124"/>
        <v>#VALUE!</v>
      </c>
      <c r="K543" s="50" t="e">
        <f t="shared" si="125"/>
        <v>#VALUE!</v>
      </c>
      <c r="L543" s="50" t="e">
        <f t="shared" si="125"/>
        <v>#VALUE!</v>
      </c>
      <c r="M543" s="50" t="e">
        <f t="shared" si="119"/>
        <v>#VALUE!</v>
      </c>
      <c r="N543" s="50" t="e">
        <f t="shared" si="120"/>
        <v>#VALUE!</v>
      </c>
      <c r="O543" s="50">
        <f t="shared" si="121"/>
        <v>0</v>
      </c>
      <c r="Q543" s="55" t="e">
        <f t="shared" si="122"/>
        <v>#VALUE!</v>
      </c>
      <c r="R543" s="55" t="e">
        <f t="shared" si="126"/>
        <v>#VALUE!</v>
      </c>
      <c r="S543" s="55" t="e">
        <f t="shared" si="123"/>
        <v>#VALUE!</v>
      </c>
      <c r="T543" s="50" t="e">
        <f t="shared" si="127"/>
        <v>#VALUE!</v>
      </c>
      <c r="U543" s="50" t="e">
        <f t="shared" si="128"/>
        <v>#VALUE!</v>
      </c>
      <c r="V543" s="50" t="e">
        <f t="shared" si="129"/>
        <v>#VALUE!</v>
      </c>
    </row>
    <row r="544" spans="2:22" x14ac:dyDescent="0.25">
      <c r="B544" s="50" t="b">
        <f t="shared" si="130"/>
        <v>0</v>
      </c>
      <c r="C544" s="50" t="e">
        <f t="shared" si="117"/>
        <v>#VALUE!</v>
      </c>
      <c r="E544" s="56">
        <v>540</v>
      </c>
      <c r="G544" s="138"/>
      <c r="H544" s="135">
        <v>1</v>
      </c>
      <c r="I544" s="58" t="e">
        <f t="shared" si="118"/>
        <v>#VALUE!</v>
      </c>
      <c r="J544" s="50" t="e">
        <f t="shared" si="124"/>
        <v>#VALUE!</v>
      </c>
      <c r="K544" s="50" t="e">
        <f t="shared" si="125"/>
        <v>#VALUE!</v>
      </c>
      <c r="L544" s="50" t="e">
        <f t="shared" si="125"/>
        <v>#VALUE!</v>
      </c>
      <c r="M544" s="50" t="e">
        <f t="shared" si="119"/>
        <v>#VALUE!</v>
      </c>
      <c r="N544" s="50" t="e">
        <f t="shared" si="120"/>
        <v>#VALUE!</v>
      </c>
      <c r="O544" s="50">
        <f t="shared" si="121"/>
        <v>0</v>
      </c>
      <c r="Q544" s="55" t="e">
        <f t="shared" si="122"/>
        <v>#VALUE!</v>
      </c>
      <c r="R544" s="55" t="e">
        <f t="shared" si="126"/>
        <v>#VALUE!</v>
      </c>
      <c r="S544" s="55" t="e">
        <f t="shared" si="123"/>
        <v>#VALUE!</v>
      </c>
      <c r="T544" s="50" t="e">
        <f t="shared" si="127"/>
        <v>#VALUE!</v>
      </c>
      <c r="U544" s="50" t="e">
        <f t="shared" si="128"/>
        <v>#VALUE!</v>
      </c>
      <c r="V544" s="50" t="e">
        <f t="shared" si="129"/>
        <v>#VALUE!</v>
      </c>
    </row>
    <row r="545" spans="2:22" x14ac:dyDescent="0.25">
      <c r="B545" s="50" t="b">
        <f t="shared" si="130"/>
        <v>0</v>
      </c>
      <c r="C545" s="50" t="e">
        <f t="shared" si="117"/>
        <v>#VALUE!</v>
      </c>
      <c r="E545" s="56">
        <v>541</v>
      </c>
      <c r="G545" s="138"/>
      <c r="H545" s="135">
        <v>1</v>
      </c>
      <c r="I545" s="58" t="e">
        <f t="shared" si="118"/>
        <v>#VALUE!</v>
      </c>
      <c r="J545" s="50" t="e">
        <f t="shared" si="124"/>
        <v>#VALUE!</v>
      </c>
      <c r="K545" s="50" t="e">
        <f t="shared" si="125"/>
        <v>#VALUE!</v>
      </c>
      <c r="L545" s="50" t="e">
        <f t="shared" si="125"/>
        <v>#VALUE!</v>
      </c>
      <c r="M545" s="50" t="e">
        <f t="shared" si="119"/>
        <v>#VALUE!</v>
      </c>
      <c r="N545" s="50" t="e">
        <f t="shared" si="120"/>
        <v>#VALUE!</v>
      </c>
      <c r="O545" s="50">
        <f t="shared" si="121"/>
        <v>0</v>
      </c>
      <c r="Q545" s="55" t="e">
        <f t="shared" si="122"/>
        <v>#VALUE!</v>
      </c>
      <c r="R545" s="55" t="e">
        <f t="shared" si="126"/>
        <v>#VALUE!</v>
      </c>
      <c r="S545" s="55" t="e">
        <f t="shared" si="123"/>
        <v>#VALUE!</v>
      </c>
      <c r="T545" s="50" t="e">
        <f t="shared" si="127"/>
        <v>#VALUE!</v>
      </c>
      <c r="U545" s="50" t="e">
        <f t="shared" si="128"/>
        <v>#VALUE!</v>
      </c>
      <c r="V545" s="50" t="e">
        <f t="shared" si="129"/>
        <v>#VALUE!</v>
      </c>
    </row>
    <row r="546" spans="2:22" x14ac:dyDescent="0.25">
      <c r="B546" s="50" t="b">
        <f t="shared" si="130"/>
        <v>0</v>
      </c>
      <c r="C546" s="50" t="e">
        <f t="shared" si="117"/>
        <v>#VALUE!</v>
      </c>
      <c r="E546" s="56">
        <v>542</v>
      </c>
      <c r="G546" s="138"/>
      <c r="H546" s="135">
        <v>1</v>
      </c>
      <c r="I546" s="58" t="e">
        <f t="shared" si="118"/>
        <v>#VALUE!</v>
      </c>
      <c r="J546" s="50" t="e">
        <f t="shared" si="124"/>
        <v>#VALUE!</v>
      </c>
      <c r="K546" s="50" t="e">
        <f t="shared" si="125"/>
        <v>#VALUE!</v>
      </c>
      <c r="L546" s="50" t="e">
        <f t="shared" si="125"/>
        <v>#VALUE!</v>
      </c>
      <c r="M546" s="50" t="e">
        <f t="shared" si="119"/>
        <v>#VALUE!</v>
      </c>
      <c r="N546" s="50" t="e">
        <f t="shared" si="120"/>
        <v>#VALUE!</v>
      </c>
      <c r="O546" s="50">
        <f t="shared" si="121"/>
        <v>0</v>
      </c>
      <c r="Q546" s="55" t="e">
        <f t="shared" si="122"/>
        <v>#VALUE!</v>
      </c>
      <c r="R546" s="55" t="e">
        <f t="shared" si="126"/>
        <v>#VALUE!</v>
      </c>
      <c r="S546" s="55" t="e">
        <f t="shared" si="123"/>
        <v>#VALUE!</v>
      </c>
      <c r="T546" s="50" t="e">
        <f t="shared" si="127"/>
        <v>#VALUE!</v>
      </c>
      <c r="U546" s="50" t="e">
        <f t="shared" si="128"/>
        <v>#VALUE!</v>
      </c>
      <c r="V546" s="50" t="e">
        <f t="shared" si="129"/>
        <v>#VALUE!</v>
      </c>
    </row>
    <row r="547" spans="2:22" x14ac:dyDescent="0.25">
      <c r="B547" s="50" t="b">
        <f t="shared" si="130"/>
        <v>0</v>
      </c>
      <c r="C547" s="50" t="e">
        <f t="shared" si="117"/>
        <v>#VALUE!</v>
      </c>
      <c r="E547" s="56">
        <v>543</v>
      </c>
      <c r="G547" s="138"/>
      <c r="H547" s="135">
        <v>1</v>
      </c>
      <c r="I547" s="58" t="e">
        <f t="shared" si="118"/>
        <v>#VALUE!</v>
      </c>
      <c r="J547" s="50" t="e">
        <f t="shared" si="124"/>
        <v>#VALUE!</v>
      </c>
      <c r="K547" s="50" t="e">
        <f t="shared" si="125"/>
        <v>#VALUE!</v>
      </c>
      <c r="L547" s="50" t="e">
        <f t="shared" si="125"/>
        <v>#VALUE!</v>
      </c>
      <c r="M547" s="50" t="e">
        <f t="shared" si="119"/>
        <v>#VALUE!</v>
      </c>
      <c r="N547" s="50" t="e">
        <f t="shared" si="120"/>
        <v>#VALUE!</v>
      </c>
      <c r="O547" s="50">
        <f t="shared" si="121"/>
        <v>0</v>
      </c>
      <c r="Q547" s="55" t="e">
        <f t="shared" si="122"/>
        <v>#VALUE!</v>
      </c>
      <c r="R547" s="55" t="e">
        <f t="shared" si="126"/>
        <v>#VALUE!</v>
      </c>
      <c r="S547" s="55" t="e">
        <f t="shared" si="123"/>
        <v>#VALUE!</v>
      </c>
      <c r="T547" s="50" t="e">
        <f t="shared" si="127"/>
        <v>#VALUE!</v>
      </c>
      <c r="U547" s="50" t="e">
        <f t="shared" si="128"/>
        <v>#VALUE!</v>
      </c>
      <c r="V547" s="50" t="e">
        <f t="shared" si="129"/>
        <v>#VALUE!</v>
      </c>
    </row>
    <row r="548" spans="2:22" x14ac:dyDescent="0.25">
      <c r="B548" s="50" t="b">
        <f t="shared" si="130"/>
        <v>0</v>
      </c>
      <c r="C548" s="50" t="e">
        <f t="shared" si="117"/>
        <v>#VALUE!</v>
      </c>
      <c r="E548" s="56">
        <v>544</v>
      </c>
      <c r="G548" s="138"/>
      <c r="H548" s="135">
        <v>1</v>
      </c>
      <c r="I548" s="58" t="e">
        <f t="shared" si="118"/>
        <v>#VALUE!</v>
      </c>
      <c r="J548" s="50" t="e">
        <f t="shared" si="124"/>
        <v>#VALUE!</v>
      </c>
      <c r="K548" s="50" t="e">
        <f t="shared" si="125"/>
        <v>#VALUE!</v>
      </c>
      <c r="L548" s="50" t="e">
        <f t="shared" si="125"/>
        <v>#VALUE!</v>
      </c>
      <c r="M548" s="50" t="e">
        <f t="shared" si="119"/>
        <v>#VALUE!</v>
      </c>
      <c r="N548" s="50" t="e">
        <f t="shared" si="120"/>
        <v>#VALUE!</v>
      </c>
      <c r="O548" s="50">
        <f t="shared" si="121"/>
        <v>0</v>
      </c>
      <c r="Q548" s="55" t="e">
        <f t="shared" si="122"/>
        <v>#VALUE!</v>
      </c>
      <c r="R548" s="55" t="e">
        <f t="shared" si="126"/>
        <v>#VALUE!</v>
      </c>
      <c r="S548" s="55" t="e">
        <f t="shared" si="123"/>
        <v>#VALUE!</v>
      </c>
      <c r="T548" s="50" t="e">
        <f t="shared" si="127"/>
        <v>#VALUE!</v>
      </c>
      <c r="U548" s="50" t="e">
        <f t="shared" si="128"/>
        <v>#VALUE!</v>
      </c>
      <c r="V548" s="50" t="e">
        <f t="shared" si="129"/>
        <v>#VALUE!</v>
      </c>
    </row>
    <row r="549" spans="2:22" x14ac:dyDescent="0.25">
      <c r="B549" s="50" t="b">
        <f t="shared" si="130"/>
        <v>0</v>
      </c>
      <c r="C549" s="50" t="e">
        <f t="shared" si="117"/>
        <v>#VALUE!</v>
      </c>
      <c r="E549" s="56">
        <v>545</v>
      </c>
      <c r="G549" s="138"/>
      <c r="H549" s="135">
        <v>1</v>
      </c>
      <c r="I549" s="58" t="e">
        <f t="shared" si="118"/>
        <v>#VALUE!</v>
      </c>
      <c r="J549" s="50" t="e">
        <f t="shared" si="124"/>
        <v>#VALUE!</v>
      </c>
      <c r="K549" s="50" t="e">
        <f t="shared" si="125"/>
        <v>#VALUE!</v>
      </c>
      <c r="L549" s="50" t="e">
        <f t="shared" si="125"/>
        <v>#VALUE!</v>
      </c>
      <c r="M549" s="50" t="e">
        <f t="shared" si="119"/>
        <v>#VALUE!</v>
      </c>
      <c r="N549" s="50" t="e">
        <f t="shared" si="120"/>
        <v>#VALUE!</v>
      </c>
      <c r="O549" s="50">
        <f t="shared" si="121"/>
        <v>0</v>
      </c>
      <c r="Q549" s="55" t="e">
        <f t="shared" si="122"/>
        <v>#VALUE!</v>
      </c>
      <c r="R549" s="55" t="e">
        <f t="shared" si="126"/>
        <v>#VALUE!</v>
      </c>
      <c r="S549" s="55" t="e">
        <f t="shared" si="123"/>
        <v>#VALUE!</v>
      </c>
      <c r="T549" s="50" t="e">
        <f t="shared" si="127"/>
        <v>#VALUE!</v>
      </c>
      <c r="U549" s="50" t="e">
        <f t="shared" si="128"/>
        <v>#VALUE!</v>
      </c>
      <c r="V549" s="50" t="e">
        <f t="shared" si="129"/>
        <v>#VALUE!</v>
      </c>
    </row>
    <row r="550" spans="2:22" x14ac:dyDescent="0.25">
      <c r="B550" s="50" t="b">
        <f t="shared" si="130"/>
        <v>0</v>
      </c>
      <c r="C550" s="50" t="e">
        <f t="shared" si="117"/>
        <v>#VALUE!</v>
      </c>
      <c r="E550" s="56">
        <v>546</v>
      </c>
      <c r="G550" s="138"/>
      <c r="H550" s="135">
        <v>1</v>
      </c>
      <c r="I550" s="58" t="e">
        <f t="shared" si="118"/>
        <v>#VALUE!</v>
      </c>
      <c r="J550" s="50" t="e">
        <f t="shared" si="124"/>
        <v>#VALUE!</v>
      </c>
      <c r="K550" s="50" t="e">
        <f t="shared" si="125"/>
        <v>#VALUE!</v>
      </c>
      <c r="L550" s="50" t="e">
        <f t="shared" si="125"/>
        <v>#VALUE!</v>
      </c>
      <c r="M550" s="50" t="e">
        <f t="shared" si="119"/>
        <v>#VALUE!</v>
      </c>
      <c r="N550" s="50" t="e">
        <f t="shared" si="120"/>
        <v>#VALUE!</v>
      </c>
      <c r="O550" s="50">
        <f t="shared" si="121"/>
        <v>0</v>
      </c>
      <c r="Q550" s="55" t="e">
        <f t="shared" si="122"/>
        <v>#VALUE!</v>
      </c>
      <c r="R550" s="55" t="e">
        <f t="shared" si="126"/>
        <v>#VALUE!</v>
      </c>
      <c r="S550" s="55" t="e">
        <f t="shared" si="123"/>
        <v>#VALUE!</v>
      </c>
      <c r="T550" s="50" t="e">
        <f t="shared" si="127"/>
        <v>#VALUE!</v>
      </c>
      <c r="U550" s="50" t="e">
        <f t="shared" si="128"/>
        <v>#VALUE!</v>
      </c>
      <c r="V550" s="50" t="e">
        <f t="shared" si="129"/>
        <v>#VALUE!</v>
      </c>
    </row>
    <row r="551" spans="2:22" x14ac:dyDescent="0.25">
      <c r="B551" s="50" t="b">
        <f t="shared" si="130"/>
        <v>0</v>
      </c>
      <c r="C551" s="50" t="e">
        <f t="shared" si="117"/>
        <v>#VALUE!</v>
      </c>
      <c r="E551" s="56">
        <v>547</v>
      </c>
      <c r="G551" s="138"/>
      <c r="H551" s="135">
        <v>1</v>
      </c>
      <c r="I551" s="58" t="e">
        <f t="shared" si="118"/>
        <v>#VALUE!</v>
      </c>
      <c r="J551" s="50" t="e">
        <f t="shared" si="124"/>
        <v>#VALUE!</v>
      </c>
      <c r="K551" s="50" t="e">
        <f t="shared" si="125"/>
        <v>#VALUE!</v>
      </c>
      <c r="L551" s="50" t="e">
        <f t="shared" si="125"/>
        <v>#VALUE!</v>
      </c>
      <c r="M551" s="50" t="e">
        <f t="shared" si="119"/>
        <v>#VALUE!</v>
      </c>
      <c r="N551" s="50" t="e">
        <f t="shared" si="120"/>
        <v>#VALUE!</v>
      </c>
      <c r="O551" s="50">
        <f t="shared" si="121"/>
        <v>0</v>
      </c>
      <c r="Q551" s="55" t="e">
        <f t="shared" si="122"/>
        <v>#VALUE!</v>
      </c>
      <c r="R551" s="55" t="e">
        <f t="shared" si="126"/>
        <v>#VALUE!</v>
      </c>
      <c r="S551" s="55" t="e">
        <f t="shared" si="123"/>
        <v>#VALUE!</v>
      </c>
      <c r="T551" s="50" t="e">
        <f t="shared" si="127"/>
        <v>#VALUE!</v>
      </c>
      <c r="U551" s="50" t="e">
        <f t="shared" si="128"/>
        <v>#VALUE!</v>
      </c>
      <c r="V551" s="50" t="e">
        <f t="shared" si="129"/>
        <v>#VALUE!</v>
      </c>
    </row>
    <row r="552" spans="2:22" x14ac:dyDescent="0.25">
      <c r="B552" s="50" t="b">
        <f t="shared" si="130"/>
        <v>0</v>
      </c>
      <c r="C552" s="50" t="e">
        <f t="shared" si="117"/>
        <v>#VALUE!</v>
      </c>
      <c r="E552" s="56">
        <v>548</v>
      </c>
      <c r="G552" s="138"/>
      <c r="H552" s="135">
        <v>1</v>
      </c>
      <c r="I552" s="58" t="e">
        <f t="shared" si="118"/>
        <v>#VALUE!</v>
      </c>
      <c r="J552" s="50" t="e">
        <f t="shared" si="124"/>
        <v>#VALUE!</v>
      </c>
      <c r="K552" s="50" t="e">
        <f t="shared" si="125"/>
        <v>#VALUE!</v>
      </c>
      <c r="L552" s="50" t="e">
        <f t="shared" si="125"/>
        <v>#VALUE!</v>
      </c>
      <c r="M552" s="50" t="e">
        <f t="shared" si="119"/>
        <v>#VALUE!</v>
      </c>
      <c r="N552" s="50" t="e">
        <f t="shared" si="120"/>
        <v>#VALUE!</v>
      </c>
      <c r="O552" s="50">
        <f t="shared" si="121"/>
        <v>0</v>
      </c>
      <c r="Q552" s="55" t="e">
        <f t="shared" si="122"/>
        <v>#VALUE!</v>
      </c>
      <c r="R552" s="55" t="e">
        <f t="shared" si="126"/>
        <v>#VALUE!</v>
      </c>
      <c r="S552" s="55" t="e">
        <f t="shared" si="123"/>
        <v>#VALUE!</v>
      </c>
      <c r="T552" s="50" t="e">
        <f t="shared" si="127"/>
        <v>#VALUE!</v>
      </c>
      <c r="U552" s="50" t="e">
        <f t="shared" si="128"/>
        <v>#VALUE!</v>
      </c>
      <c r="V552" s="50" t="e">
        <f t="shared" si="129"/>
        <v>#VALUE!</v>
      </c>
    </row>
    <row r="553" spans="2:22" x14ac:dyDescent="0.25">
      <c r="B553" s="50" t="b">
        <f t="shared" si="130"/>
        <v>0</v>
      </c>
      <c r="C553" s="50" t="e">
        <f t="shared" si="117"/>
        <v>#VALUE!</v>
      </c>
      <c r="E553" s="56">
        <v>549</v>
      </c>
      <c r="G553" s="138"/>
      <c r="H553" s="135">
        <v>1</v>
      </c>
      <c r="I553" s="58" t="e">
        <f t="shared" si="118"/>
        <v>#VALUE!</v>
      </c>
      <c r="J553" s="50" t="e">
        <f t="shared" si="124"/>
        <v>#VALUE!</v>
      </c>
      <c r="K553" s="50" t="e">
        <f t="shared" si="125"/>
        <v>#VALUE!</v>
      </c>
      <c r="L553" s="50" t="e">
        <f t="shared" si="125"/>
        <v>#VALUE!</v>
      </c>
      <c r="M553" s="50" t="e">
        <f t="shared" si="119"/>
        <v>#VALUE!</v>
      </c>
      <c r="N553" s="50" t="e">
        <f t="shared" si="120"/>
        <v>#VALUE!</v>
      </c>
      <c r="O553" s="50">
        <f t="shared" si="121"/>
        <v>0</v>
      </c>
      <c r="Q553" s="55" t="e">
        <f t="shared" si="122"/>
        <v>#VALUE!</v>
      </c>
      <c r="R553" s="55" t="e">
        <f t="shared" si="126"/>
        <v>#VALUE!</v>
      </c>
      <c r="S553" s="55" t="e">
        <f t="shared" si="123"/>
        <v>#VALUE!</v>
      </c>
      <c r="T553" s="50" t="e">
        <f t="shared" si="127"/>
        <v>#VALUE!</v>
      </c>
      <c r="U553" s="50" t="e">
        <f t="shared" si="128"/>
        <v>#VALUE!</v>
      </c>
      <c r="V553" s="50" t="e">
        <f t="shared" si="129"/>
        <v>#VALUE!</v>
      </c>
    </row>
    <row r="554" spans="2:22" x14ac:dyDescent="0.25">
      <c r="B554" s="50" t="b">
        <f t="shared" si="130"/>
        <v>0</v>
      </c>
      <c r="C554" s="50" t="e">
        <f t="shared" si="117"/>
        <v>#VALUE!</v>
      </c>
      <c r="E554" s="56">
        <v>550</v>
      </c>
      <c r="G554" s="138"/>
      <c r="H554" s="135">
        <v>1</v>
      </c>
      <c r="I554" s="58" t="e">
        <f t="shared" si="118"/>
        <v>#VALUE!</v>
      </c>
      <c r="J554" s="50" t="e">
        <f t="shared" si="124"/>
        <v>#VALUE!</v>
      </c>
      <c r="K554" s="50" t="e">
        <f t="shared" si="125"/>
        <v>#VALUE!</v>
      </c>
      <c r="L554" s="50" t="e">
        <f t="shared" si="125"/>
        <v>#VALUE!</v>
      </c>
      <c r="M554" s="50" t="e">
        <f t="shared" si="119"/>
        <v>#VALUE!</v>
      </c>
      <c r="N554" s="50" t="e">
        <f t="shared" si="120"/>
        <v>#VALUE!</v>
      </c>
      <c r="O554" s="50">
        <f t="shared" si="121"/>
        <v>0</v>
      </c>
      <c r="Q554" s="55" t="e">
        <f t="shared" si="122"/>
        <v>#VALUE!</v>
      </c>
      <c r="R554" s="55" t="e">
        <f t="shared" si="126"/>
        <v>#VALUE!</v>
      </c>
      <c r="S554" s="55" t="e">
        <f t="shared" si="123"/>
        <v>#VALUE!</v>
      </c>
      <c r="T554" s="50" t="e">
        <f t="shared" si="127"/>
        <v>#VALUE!</v>
      </c>
      <c r="U554" s="50" t="e">
        <f t="shared" si="128"/>
        <v>#VALUE!</v>
      </c>
      <c r="V554" s="50" t="e">
        <f t="shared" si="129"/>
        <v>#VALUE!</v>
      </c>
    </row>
    <row r="555" spans="2:22" x14ac:dyDescent="0.25">
      <c r="B555" s="50" t="b">
        <f t="shared" si="130"/>
        <v>0</v>
      </c>
      <c r="C555" s="50" t="e">
        <f t="shared" si="117"/>
        <v>#VALUE!</v>
      </c>
      <c r="E555" s="56">
        <v>551</v>
      </c>
      <c r="G555" s="138"/>
      <c r="H555" s="135">
        <v>1</v>
      </c>
      <c r="I555" s="58" t="e">
        <f t="shared" si="118"/>
        <v>#VALUE!</v>
      </c>
      <c r="J555" s="50" t="e">
        <f t="shared" si="124"/>
        <v>#VALUE!</v>
      </c>
      <c r="K555" s="50" t="e">
        <f t="shared" si="125"/>
        <v>#VALUE!</v>
      </c>
      <c r="L555" s="50" t="e">
        <f t="shared" si="125"/>
        <v>#VALUE!</v>
      </c>
      <c r="M555" s="50" t="e">
        <f t="shared" si="119"/>
        <v>#VALUE!</v>
      </c>
      <c r="N555" s="50" t="e">
        <f t="shared" si="120"/>
        <v>#VALUE!</v>
      </c>
      <c r="O555" s="50">
        <f t="shared" si="121"/>
        <v>0</v>
      </c>
      <c r="Q555" s="55" t="e">
        <f t="shared" si="122"/>
        <v>#VALUE!</v>
      </c>
      <c r="R555" s="55" t="e">
        <f t="shared" si="126"/>
        <v>#VALUE!</v>
      </c>
      <c r="S555" s="55" t="e">
        <f t="shared" si="123"/>
        <v>#VALUE!</v>
      </c>
      <c r="T555" s="50" t="e">
        <f t="shared" si="127"/>
        <v>#VALUE!</v>
      </c>
      <c r="U555" s="50" t="e">
        <f t="shared" si="128"/>
        <v>#VALUE!</v>
      </c>
      <c r="V555" s="50" t="e">
        <f t="shared" si="129"/>
        <v>#VALUE!</v>
      </c>
    </row>
    <row r="556" spans="2:22" x14ac:dyDescent="0.25">
      <c r="B556" s="50" t="b">
        <f t="shared" si="130"/>
        <v>0</v>
      </c>
      <c r="C556" s="50" t="e">
        <f t="shared" si="117"/>
        <v>#VALUE!</v>
      </c>
      <c r="E556" s="56">
        <v>552</v>
      </c>
      <c r="G556" s="138"/>
      <c r="H556" s="135">
        <v>1</v>
      </c>
      <c r="I556" s="58" t="e">
        <f t="shared" si="118"/>
        <v>#VALUE!</v>
      </c>
      <c r="J556" s="50" t="e">
        <f t="shared" si="124"/>
        <v>#VALUE!</v>
      </c>
      <c r="K556" s="50" t="e">
        <f t="shared" si="125"/>
        <v>#VALUE!</v>
      </c>
      <c r="L556" s="50" t="e">
        <f t="shared" si="125"/>
        <v>#VALUE!</v>
      </c>
      <c r="M556" s="50" t="e">
        <f t="shared" si="119"/>
        <v>#VALUE!</v>
      </c>
      <c r="N556" s="50" t="e">
        <f t="shared" si="120"/>
        <v>#VALUE!</v>
      </c>
      <c r="O556" s="50">
        <f t="shared" si="121"/>
        <v>0</v>
      </c>
      <c r="Q556" s="55" t="e">
        <f t="shared" si="122"/>
        <v>#VALUE!</v>
      </c>
      <c r="R556" s="55" t="e">
        <f t="shared" si="126"/>
        <v>#VALUE!</v>
      </c>
      <c r="S556" s="55" t="e">
        <f t="shared" si="123"/>
        <v>#VALUE!</v>
      </c>
      <c r="T556" s="50" t="e">
        <f t="shared" si="127"/>
        <v>#VALUE!</v>
      </c>
      <c r="U556" s="50" t="e">
        <f t="shared" si="128"/>
        <v>#VALUE!</v>
      </c>
      <c r="V556" s="50" t="e">
        <f t="shared" si="129"/>
        <v>#VALUE!</v>
      </c>
    </row>
    <row r="557" spans="2:22" x14ac:dyDescent="0.25">
      <c r="B557" s="50" t="b">
        <f t="shared" si="130"/>
        <v>0</v>
      </c>
      <c r="C557" s="50" t="e">
        <f t="shared" si="117"/>
        <v>#VALUE!</v>
      </c>
      <c r="E557" s="56">
        <v>553</v>
      </c>
      <c r="G557" s="138"/>
      <c r="H557" s="135">
        <v>1</v>
      </c>
      <c r="I557" s="58" t="e">
        <f t="shared" si="118"/>
        <v>#VALUE!</v>
      </c>
      <c r="J557" s="50" t="e">
        <f t="shared" si="124"/>
        <v>#VALUE!</v>
      </c>
      <c r="K557" s="50" t="e">
        <f t="shared" si="125"/>
        <v>#VALUE!</v>
      </c>
      <c r="L557" s="50" t="e">
        <f t="shared" si="125"/>
        <v>#VALUE!</v>
      </c>
      <c r="M557" s="50" t="e">
        <f t="shared" si="119"/>
        <v>#VALUE!</v>
      </c>
      <c r="N557" s="50" t="e">
        <f t="shared" si="120"/>
        <v>#VALUE!</v>
      </c>
      <c r="O557" s="50">
        <f t="shared" si="121"/>
        <v>0</v>
      </c>
      <c r="Q557" s="55" t="e">
        <f t="shared" si="122"/>
        <v>#VALUE!</v>
      </c>
      <c r="R557" s="55" t="e">
        <f t="shared" si="126"/>
        <v>#VALUE!</v>
      </c>
      <c r="S557" s="55" t="e">
        <f t="shared" si="123"/>
        <v>#VALUE!</v>
      </c>
      <c r="T557" s="50" t="e">
        <f t="shared" si="127"/>
        <v>#VALUE!</v>
      </c>
      <c r="U557" s="50" t="e">
        <f t="shared" si="128"/>
        <v>#VALUE!</v>
      </c>
      <c r="V557" s="50" t="e">
        <f t="shared" si="129"/>
        <v>#VALUE!</v>
      </c>
    </row>
    <row r="558" spans="2:22" x14ac:dyDescent="0.25">
      <c r="B558" s="50" t="b">
        <f t="shared" si="130"/>
        <v>0</v>
      </c>
      <c r="C558" s="50" t="e">
        <f t="shared" si="117"/>
        <v>#VALUE!</v>
      </c>
      <c r="E558" s="56">
        <v>554</v>
      </c>
      <c r="G558" s="138"/>
      <c r="H558" s="135">
        <v>1</v>
      </c>
      <c r="I558" s="58" t="e">
        <f t="shared" si="118"/>
        <v>#VALUE!</v>
      </c>
      <c r="J558" s="50" t="e">
        <f t="shared" si="124"/>
        <v>#VALUE!</v>
      </c>
      <c r="K558" s="50" t="e">
        <f t="shared" si="125"/>
        <v>#VALUE!</v>
      </c>
      <c r="L558" s="50" t="e">
        <f t="shared" si="125"/>
        <v>#VALUE!</v>
      </c>
      <c r="M558" s="50" t="e">
        <f t="shared" si="119"/>
        <v>#VALUE!</v>
      </c>
      <c r="N558" s="50" t="e">
        <f t="shared" si="120"/>
        <v>#VALUE!</v>
      </c>
      <c r="O558" s="50">
        <f t="shared" si="121"/>
        <v>0</v>
      </c>
      <c r="Q558" s="55" t="e">
        <f t="shared" si="122"/>
        <v>#VALUE!</v>
      </c>
      <c r="R558" s="55" t="e">
        <f t="shared" si="126"/>
        <v>#VALUE!</v>
      </c>
      <c r="S558" s="55" t="e">
        <f t="shared" si="123"/>
        <v>#VALUE!</v>
      </c>
      <c r="T558" s="50" t="e">
        <f t="shared" si="127"/>
        <v>#VALUE!</v>
      </c>
      <c r="U558" s="50" t="e">
        <f t="shared" si="128"/>
        <v>#VALUE!</v>
      </c>
      <c r="V558" s="50" t="e">
        <f t="shared" si="129"/>
        <v>#VALUE!</v>
      </c>
    </row>
    <row r="559" spans="2:22" x14ac:dyDescent="0.25">
      <c r="B559" s="50" t="b">
        <f t="shared" si="130"/>
        <v>0</v>
      </c>
      <c r="C559" s="50" t="e">
        <f t="shared" si="117"/>
        <v>#VALUE!</v>
      </c>
      <c r="E559" s="56">
        <v>555</v>
      </c>
      <c r="G559" s="138"/>
      <c r="H559" s="135">
        <v>1</v>
      </c>
      <c r="I559" s="58" t="e">
        <f t="shared" si="118"/>
        <v>#VALUE!</v>
      </c>
      <c r="J559" s="50" t="e">
        <f t="shared" si="124"/>
        <v>#VALUE!</v>
      </c>
      <c r="K559" s="50" t="e">
        <f t="shared" si="125"/>
        <v>#VALUE!</v>
      </c>
      <c r="L559" s="50" t="e">
        <f t="shared" si="125"/>
        <v>#VALUE!</v>
      </c>
      <c r="M559" s="50" t="e">
        <f t="shared" si="119"/>
        <v>#VALUE!</v>
      </c>
      <c r="N559" s="50" t="e">
        <f t="shared" si="120"/>
        <v>#VALUE!</v>
      </c>
      <c r="O559" s="50">
        <f t="shared" si="121"/>
        <v>0</v>
      </c>
      <c r="Q559" s="55" t="e">
        <f t="shared" si="122"/>
        <v>#VALUE!</v>
      </c>
      <c r="R559" s="55" t="e">
        <f t="shared" si="126"/>
        <v>#VALUE!</v>
      </c>
      <c r="S559" s="55" t="e">
        <f t="shared" si="123"/>
        <v>#VALUE!</v>
      </c>
      <c r="T559" s="50" t="e">
        <f t="shared" si="127"/>
        <v>#VALUE!</v>
      </c>
      <c r="U559" s="50" t="e">
        <f t="shared" si="128"/>
        <v>#VALUE!</v>
      </c>
      <c r="V559" s="50" t="e">
        <f t="shared" si="129"/>
        <v>#VALUE!</v>
      </c>
    </row>
    <row r="560" spans="2:22" x14ac:dyDescent="0.25">
      <c r="B560" s="50" t="b">
        <f t="shared" si="130"/>
        <v>0</v>
      </c>
      <c r="C560" s="50" t="e">
        <f t="shared" si="117"/>
        <v>#VALUE!</v>
      </c>
      <c r="E560" s="56">
        <v>556</v>
      </c>
      <c r="G560" s="138"/>
      <c r="H560" s="135">
        <v>1</v>
      </c>
      <c r="I560" s="58" t="e">
        <f t="shared" si="118"/>
        <v>#VALUE!</v>
      </c>
      <c r="J560" s="50" t="e">
        <f t="shared" si="124"/>
        <v>#VALUE!</v>
      </c>
      <c r="K560" s="50" t="e">
        <f t="shared" si="125"/>
        <v>#VALUE!</v>
      </c>
      <c r="L560" s="50" t="e">
        <f t="shared" si="125"/>
        <v>#VALUE!</v>
      </c>
      <c r="M560" s="50" t="e">
        <f t="shared" si="119"/>
        <v>#VALUE!</v>
      </c>
      <c r="N560" s="50" t="e">
        <f t="shared" si="120"/>
        <v>#VALUE!</v>
      </c>
      <c r="O560" s="50">
        <f t="shared" si="121"/>
        <v>0</v>
      </c>
      <c r="Q560" s="55" t="e">
        <f t="shared" si="122"/>
        <v>#VALUE!</v>
      </c>
      <c r="R560" s="55" t="e">
        <f t="shared" si="126"/>
        <v>#VALUE!</v>
      </c>
      <c r="S560" s="55" t="e">
        <f t="shared" si="123"/>
        <v>#VALUE!</v>
      </c>
      <c r="T560" s="50" t="e">
        <f t="shared" si="127"/>
        <v>#VALUE!</v>
      </c>
      <c r="U560" s="50" t="e">
        <f t="shared" si="128"/>
        <v>#VALUE!</v>
      </c>
      <c r="V560" s="50" t="e">
        <f t="shared" si="129"/>
        <v>#VALUE!</v>
      </c>
    </row>
    <row r="561" spans="2:22" x14ac:dyDescent="0.25">
      <c r="B561" s="50" t="b">
        <f t="shared" si="130"/>
        <v>0</v>
      </c>
      <c r="C561" s="50" t="e">
        <f t="shared" si="117"/>
        <v>#VALUE!</v>
      </c>
      <c r="E561" s="56">
        <v>557</v>
      </c>
      <c r="G561" s="138"/>
      <c r="H561" s="135">
        <v>1</v>
      </c>
      <c r="I561" s="58" t="e">
        <f t="shared" si="118"/>
        <v>#VALUE!</v>
      </c>
      <c r="J561" s="50" t="e">
        <f t="shared" si="124"/>
        <v>#VALUE!</v>
      </c>
      <c r="K561" s="50" t="e">
        <f t="shared" si="125"/>
        <v>#VALUE!</v>
      </c>
      <c r="L561" s="50" t="e">
        <f t="shared" si="125"/>
        <v>#VALUE!</v>
      </c>
      <c r="M561" s="50" t="e">
        <f t="shared" si="119"/>
        <v>#VALUE!</v>
      </c>
      <c r="N561" s="50" t="e">
        <f t="shared" si="120"/>
        <v>#VALUE!</v>
      </c>
      <c r="O561" s="50">
        <f t="shared" si="121"/>
        <v>0</v>
      </c>
      <c r="Q561" s="55" t="e">
        <f t="shared" si="122"/>
        <v>#VALUE!</v>
      </c>
      <c r="R561" s="55" t="e">
        <f t="shared" si="126"/>
        <v>#VALUE!</v>
      </c>
      <c r="S561" s="55" t="e">
        <f t="shared" si="123"/>
        <v>#VALUE!</v>
      </c>
      <c r="T561" s="50" t="e">
        <f t="shared" si="127"/>
        <v>#VALUE!</v>
      </c>
      <c r="U561" s="50" t="e">
        <f t="shared" si="128"/>
        <v>#VALUE!</v>
      </c>
      <c r="V561" s="50" t="e">
        <f t="shared" si="129"/>
        <v>#VALUE!</v>
      </c>
    </row>
    <row r="562" spans="2:22" x14ac:dyDescent="0.25">
      <c r="B562" s="50" t="b">
        <f t="shared" si="130"/>
        <v>0</v>
      </c>
      <c r="C562" s="50" t="e">
        <f t="shared" si="117"/>
        <v>#VALUE!</v>
      </c>
      <c r="E562" s="56">
        <v>558</v>
      </c>
      <c r="G562" s="138"/>
      <c r="H562" s="135">
        <v>1</v>
      </c>
      <c r="I562" s="58" t="e">
        <f t="shared" si="118"/>
        <v>#VALUE!</v>
      </c>
      <c r="J562" s="50" t="e">
        <f t="shared" si="124"/>
        <v>#VALUE!</v>
      </c>
      <c r="K562" s="50" t="e">
        <f t="shared" si="125"/>
        <v>#VALUE!</v>
      </c>
      <c r="L562" s="50" t="e">
        <f t="shared" si="125"/>
        <v>#VALUE!</v>
      </c>
      <c r="M562" s="50" t="e">
        <f t="shared" si="119"/>
        <v>#VALUE!</v>
      </c>
      <c r="N562" s="50" t="e">
        <f t="shared" si="120"/>
        <v>#VALUE!</v>
      </c>
      <c r="O562" s="50">
        <f t="shared" si="121"/>
        <v>0</v>
      </c>
      <c r="Q562" s="55" t="e">
        <f t="shared" si="122"/>
        <v>#VALUE!</v>
      </c>
      <c r="R562" s="55" t="e">
        <f t="shared" si="126"/>
        <v>#VALUE!</v>
      </c>
      <c r="S562" s="55" t="e">
        <f t="shared" si="123"/>
        <v>#VALUE!</v>
      </c>
      <c r="T562" s="50" t="e">
        <f t="shared" si="127"/>
        <v>#VALUE!</v>
      </c>
      <c r="U562" s="50" t="e">
        <f t="shared" si="128"/>
        <v>#VALUE!</v>
      </c>
      <c r="V562" s="50" t="e">
        <f t="shared" si="129"/>
        <v>#VALUE!</v>
      </c>
    </row>
    <row r="563" spans="2:22" x14ac:dyDescent="0.25">
      <c r="B563" s="50" t="b">
        <f t="shared" si="130"/>
        <v>0</v>
      </c>
      <c r="C563" s="50" t="e">
        <f t="shared" si="117"/>
        <v>#VALUE!</v>
      </c>
      <c r="E563" s="56">
        <v>559</v>
      </c>
      <c r="G563" s="138"/>
      <c r="H563" s="135">
        <v>1</v>
      </c>
      <c r="I563" s="58" t="e">
        <f t="shared" si="118"/>
        <v>#VALUE!</v>
      </c>
      <c r="J563" s="50" t="e">
        <f t="shared" si="124"/>
        <v>#VALUE!</v>
      </c>
      <c r="K563" s="50" t="e">
        <f t="shared" si="125"/>
        <v>#VALUE!</v>
      </c>
      <c r="L563" s="50" t="e">
        <f t="shared" si="125"/>
        <v>#VALUE!</v>
      </c>
      <c r="M563" s="50" t="e">
        <f t="shared" si="119"/>
        <v>#VALUE!</v>
      </c>
      <c r="N563" s="50" t="e">
        <f t="shared" si="120"/>
        <v>#VALUE!</v>
      </c>
      <c r="O563" s="50">
        <f t="shared" si="121"/>
        <v>0</v>
      </c>
      <c r="Q563" s="55" t="e">
        <f t="shared" si="122"/>
        <v>#VALUE!</v>
      </c>
      <c r="R563" s="55" t="e">
        <f t="shared" si="126"/>
        <v>#VALUE!</v>
      </c>
      <c r="S563" s="55" t="e">
        <f t="shared" si="123"/>
        <v>#VALUE!</v>
      </c>
      <c r="T563" s="50" t="e">
        <f t="shared" si="127"/>
        <v>#VALUE!</v>
      </c>
      <c r="U563" s="50" t="e">
        <f t="shared" si="128"/>
        <v>#VALUE!</v>
      </c>
      <c r="V563" s="50" t="e">
        <f t="shared" si="129"/>
        <v>#VALUE!</v>
      </c>
    </row>
    <row r="564" spans="2:22" x14ac:dyDescent="0.25">
      <c r="B564" s="50" t="b">
        <f t="shared" si="130"/>
        <v>0</v>
      </c>
      <c r="C564" s="50" t="e">
        <f t="shared" si="117"/>
        <v>#VALUE!</v>
      </c>
      <c r="E564" s="56">
        <v>560</v>
      </c>
      <c r="G564" s="138"/>
      <c r="H564" s="135">
        <v>1</v>
      </c>
      <c r="I564" s="58" t="e">
        <f t="shared" si="118"/>
        <v>#VALUE!</v>
      </c>
      <c r="J564" s="50" t="e">
        <f t="shared" si="124"/>
        <v>#VALUE!</v>
      </c>
      <c r="K564" s="50" t="e">
        <f t="shared" si="125"/>
        <v>#VALUE!</v>
      </c>
      <c r="L564" s="50" t="e">
        <f t="shared" si="125"/>
        <v>#VALUE!</v>
      </c>
      <c r="M564" s="50" t="e">
        <f t="shared" si="119"/>
        <v>#VALUE!</v>
      </c>
      <c r="N564" s="50" t="e">
        <f t="shared" si="120"/>
        <v>#VALUE!</v>
      </c>
      <c r="O564" s="50">
        <f t="shared" si="121"/>
        <v>0</v>
      </c>
      <c r="Q564" s="55" t="e">
        <f t="shared" si="122"/>
        <v>#VALUE!</v>
      </c>
      <c r="R564" s="55" t="e">
        <f t="shared" si="126"/>
        <v>#VALUE!</v>
      </c>
      <c r="S564" s="55" t="e">
        <f t="shared" si="123"/>
        <v>#VALUE!</v>
      </c>
      <c r="T564" s="50" t="e">
        <f t="shared" si="127"/>
        <v>#VALUE!</v>
      </c>
      <c r="U564" s="50" t="e">
        <f t="shared" si="128"/>
        <v>#VALUE!</v>
      </c>
      <c r="V564" s="50" t="e">
        <f t="shared" si="129"/>
        <v>#VALUE!</v>
      </c>
    </row>
    <row r="565" spans="2:22" x14ac:dyDescent="0.25">
      <c r="B565" s="50" t="b">
        <f t="shared" si="130"/>
        <v>0</v>
      </c>
      <c r="C565" s="50" t="e">
        <f t="shared" si="117"/>
        <v>#VALUE!</v>
      </c>
      <c r="E565" s="56">
        <v>561</v>
      </c>
      <c r="G565" s="138"/>
      <c r="H565" s="135">
        <v>1</v>
      </c>
      <c r="I565" s="58" t="e">
        <f t="shared" si="118"/>
        <v>#VALUE!</v>
      </c>
      <c r="J565" s="50" t="e">
        <f t="shared" si="124"/>
        <v>#VALUE!</v>
      </c>
      <c r="K565" s="50" t="e">
        <f t="shared" si="125"/>
        <v>#VALUE!</v>
      </c>
      <c r="L565" s="50" t="e">
        <f t="shared" si="125"/>
        <v>#VALUE!</v>
      </c>
      <c r="M565" s="50" t="e">
        <f t="shared" si="119"/>
        <v>#VALUE!</v>
      </c>
      <c r="N565" s="50" t="e">
        <f t="shared" si="120"/>
        <v>#VALUE!</v>
      </c>
      <c r="O565" s="50">
        <f t="shared" si="121"/>
        <v>0</v>
      </c>
      <c r="Q565" s="55" t="e">
        <f t="shared" si="122"/>
        <v>#VALUE!</v>
      </c>
      <c r="R565" s="55" t="e">
        <f t="shared" si="126"/>
        <v>#VALUE!</v>
      </c>
      <c r="S565" s="55" t="e">
        <f t="shared" si="123"/>
        <v>#VALUE!</v>
      </c>
      <c r="T565" s="50" t="e">
        <f t="shared" si="127"/>
        <v>#VALUE!</v>
      </c>
      <c r="U565" s="50" t="e">
        <f t="shared" si="128"/>
        <v>#VALUE!</v>
      </c>
      <c r="V565" s="50" t="e">
        <f t="shared" si="129"/>
        <v>#VALUE!</v>
      </c>
    </row>
    <row r="566" spans="2:22" x14ac:dyDescent="0.25">
      <c r="B566" s="50" t="b">
        <f t="shared" si="130"/>
        <v>0</v>
      </c>
      <c r="C566" s="50" t="e">
        <f t="shared" ref="C566:C629" si="131">SUM(T566:V566)</f>
        <v>#VALUE!</v>
      </c>
      <c r="E566" s="56">
        <v>562</v>
      </c>
      <c r="G566" s="138"/>
      <c r="H566" s="135">
        <v>1</v>
      </c>
      <c r="I566" s="58" t="e">
        <f t="shared" si="118"/>
        <v>#VALUE!</v>
      </c>
      <c r="J566" s="50" t="e">
        <f t="shared" si="124"/>
        <v>#VALUE!</v>
      </c>
      <c r="K566" s="50" t="e">
        <f t="shared" si="125"/>
        <v>#VALUE!</v>
      </c>
      <c r="L566" s="50" t="e">
        <f t="shared" si="125"/>
        <v>#VALUE!</v>
      </c>
      <c r="M566" s="50" t="e">
        <f t="shared" si="119"/>
        <v>#VALUE!</v>
      </c>
      <c r="N566" s="50" t="e">
        <f t="shared" si="120"/>
        <v>#VALUE!</v>
      </c>
      <c r="O566" s="50">
        <f t="shared" si="121"/>
        <v>0</v>
      </c>
      <c r="Q566" s="55" t="e">
        <f t="shared" si="122"/>
        <v>#VALUE!</v>
      </c>
      <c r="R566" s="55" t="e">
        <f t="shared" si="126"/>
        <v>#VALUE!</v>
      </c>
      <c r="S566" s="55" t="e">
        <f t="shared" si="123"/>
        <v>#VALUE!</v>
      </c>
      <c r="T566" s="50" t="e">
        <f t="shared" si="127"/>
        <v>#VALUE!</v>
      </c>
      <c r="U566" s="50" t="e">
        <f t="shared" si="128"/>
        <v>#VALUE!</v>
      </c>
      <c r="V566" s="50" t="e">
        <f t="shared" si="129"/>
        <v>#VALUE!</v>
      </c>
    </row>
    <row r="567" spans="2:22" x14ac:dyDescent="0.25">
      <c r="B567" s="50" t="b">
        <f t="shared" si="130"/>
        <v>0</v>
      </c>
      <c r="C567" s="50" t="e">
        <f t="shared" si="131"/>
        <v>#VALUE!</v>
      </c>
      <c r="E567" s="56">
        <v>563</v>
      </c>
      <c r="G567" s="138"/>
      <c r="H567" s="135">
        <v>1</v>
      </c>
      <c r="I567" s="58" t="e">
        <f t="shared" si="118"/>
        <v>#VALUE!</v>
      </c>
      <c r="J567" s="50" t="e">
        <f t="shared" si="124"/>
        <v>#VALUE!</v>
      </c>
      <c r="K567" s="50" t="e">
        <f t="shared" si="125"/>
        <v>#VALUE!</v>
      </c>
      <c r="L567" s="50" t="e">
        <f t="shared" si="125"/>
        <v>#VALUE!</v>
      </c>
      <c r="M567" s="50" t="e">
        <f t="shared" si="119"/>
        <v>#VALUE!</v>
      </c>
      <c r="N567" s="50" t="e">
        <f t="shared" si="120"/>
        <v>#VALUE!</v>
      </c>
      <c r="O567" s="50">
        <f t="shared" si="121"/>
        <v>0</v>
      </c>
      <c r="Q567" s="55" t="e">
        <f t="shared" si="122"/>
        <v>#VALUE!</v>
      </c>
      <c r="R567" s="55" t="e">
        <f t="shared" si="126"/>
        <v>#VALUE!</v>
      </c>
      <c r="S567" s="55" t="e">
        <f t="shared" si="123"/>
        <v>#VALUE!</v>
      </c>
      <c r="T567" s="50" t="e">
        <f t="shared" si="127"/>
        <v>#VALUE!</v>
      </c>
      <c r="U567" s="50" t="e">
        <f t="shared" si="128"/>
        <v>#VALUE!</v>
      </c>
      <c r="V567" s="50" t="e">
        <f t="shared" si="129"/>
        <v>#VALUE!</v>
      </c>
    </row>
    <row r="568" spans="2:22" x14ac:dyDescent="0.25">
      <c r="B568" s="50" t="b">
        <f t="shared" si="130"/>
        <v>0</v>
      </c>
      <c r="C568" s="50" t="e">
        <f t="shared" si="131"/>
        <v>#VALUE!</v>
      </c>
      <c r="E568" s="56">
        <v>564</v>
      </c>
      <c r="G568" s="138"/>
      <c r="H568" s="135">
        <v>1</v>
      </c>
      <c r="I568" s="58" t="e">
        <f t="shared" si="118"/>
        <v>#VALUE!</v>
      </c>
      <c r="J568" s="50" t="e">
        <f t="shared" si="124"/>
        <v>#VALUE!</v>
      </c>
      <c r="K568" s="50" t="e">
        <f t="shared" si="125"/>
        <v>#VALUE!</v>
      </c>
      <c r="L568" s="50" t="e">
        <f t="shared" si="125"/>
        <v>#VALUE!</v>
      </c>
      <c r="M568" s="50" t="e">
        <f t="shared" si="119"/>
        <v>#VALUE!</v>
      </c>
      <c r="N568" s="50" t="e">
        <f t="shared" si="120"/>
        <v>#VALUE!</v>
      </c>
      <c r="O568" s="50">
        <f t="shared" si="121"/>
        <v>0</v>
      </c>
      <c r="Q568" s="55" t="e">
        <f t="shared" si="122"/>
        <v>#VALUE!</v>
      </c>
      <c r="R568" s="55" t="e">
        <f t="shared" si="126"/>
        <v>#VALUE!</v>
      </c>
      <c r="S568" s="55" t="e">
        <f t="shared" si="123"/>
        <v>#VALUE!</v>
      </c>
      <c r="T568" s="50" t="e">
        <f t="shared" si="127"/>
        <v>#VALUE!</v>
      </c>
      <c r="U568" s="50" t="e">
        <f t="shared" si="128"/>
        <v>#VALUE!</v>
      </c>
      <c r="V568" s="50" t="e">
        <f t="shared" si="129"/>
        <v>#VALUE!</v>
      </c>
    </row>
    <row r="569" spans="2:22" x14ac:dyDescent="0.25">
      <c r="B569" s="50" t="b">
        <f t="shared" si="130"/>
        <v>0</v>
      </c>
      <c r="C569" s="50" t="e">
        <f t="shared" si="131"/>
        <v>#VALUE!</v>
      </c>
      <c r="E569" s="56">
        <v>565</v>
      </c>
      <c r="G569" s="138"/>
      <c r="H569" s="135">
        <v>1</v>
      </c>
      <c r="I569" s="58" t="e">
        <f t="shared" si="118"/>
        <v>#VALUE!</v>
      </c>
      <c r="J569" s="50" t="e">
        <f t="shared" si="124"/>
        <v>#VALUE!</v>
      </c>
      <c r="K569" s="50" t="e">
        <f t="shared" si="125"/>
        <v>#VALUE!</v>
      </c>
      <c r="L569" s="50" t="e">
        <f t="shared" si="125"/>
        <v>#VALUE!</v>
      </c>
      <c r="M569" s="50" t="e">
        <f t="shared" si="119"/>
        <v>#VALUE!</v>
      </c>
      <c r="N569" s="50" t="e">
        <f t="shared" si="120"/>
        <v>#VALUE!</v>
      </c>
      <c r="O569" s="50">
        <f t="shared" si="121"/>
        <v>0</v>
      </c>
      <c r="Q569" s="55" t="e">
        <f t="shared" si="122"/>
        <v>#VALUE!</v>
      </c>
      <c r="R569" s="55" t="e">
        <f t="shared" si="126"/>
        <v>#VALUE!</v>
      </c>
      <c r="S569" s="55" t="e">
        <f t="shared" si="123"/>
        <v>#VALUE!</v>
      </c>
      <c r="T569" s="50" t="e">
        <f t="shared" si="127"/>
        <v>#VALUE!</v>
      </c>
      <c r="U569" s="50" t="e">
        <f t="shared" si="128"/>
        <v>#VALUE!</v>
      </c>
      <c r="V569" s="50" t="e">
        <f t="shared" si="129"/>
        <v>#VALUE!</v>
      </c>
    </row>
    <row r="570" spans="2:22" x14ac:dyDescent="0.25">
      <c r="B570" s="50" t="b">
        <f t="shared" si="130"/>
        <v>0</v>
      </c>
      <c r="C570" s="50" t="e">
        <f t="shared" si="131"/>
        <v>#VALUE!</v>
      </c>
      <c r="E570" s="56">
        <v>566</v>
      </c>
      <c r="G570" s="138"/>
      <c r="H570" s="135">
        <v>1</v>
      </c>
      <c r="I570" s="58" t="e">
        <f t="shared" si="118"/>
        <v>#VALUE!</v>
      </c>
      <c r="J570" s="50" t="e">
        <f t="shared" si="124"/>
        <v>#VALUE!</v>
      </c>
      <c r="K570" s="50" t="e">
        <f t="shared" si="125"/>
        <v>#VALUE!</v>
      </c>
      <c r="L570" s="50" t="e">
        <f t="shared" si="125"/>
        <v>#VALUE!</v>
      </c>
      <c r="M570" s="50" t="e">
        <f t="shared" si="119"/>
        <v>#VALUE!</v>
      </c>
      <c r="N570" s="50" t="e">
        <f t="shared" si="120"/>
        <v>#VALUE!</v>
      </c>
      <c r="O570" s="50">
        <f t="shared" si="121"/>
        <v>0</v>
      </c>
      <c r="Q570" s="55" t="e">
        <f t="shared" si="122"/>
        <v>#VALUE!</v>
      </c>
      <c r="R570" s="55" t="e">
        <f t="shared" si="126"/>
        <v>#VALUE!</v>
      </c>
      <c r="S570" s="55" t="e">
        <f t="shared" si="123"/>
        <v>#VALUE!</v>
      </c>
      <c r="T570" s="50" t="e">
        <f t="shared" si="127"/>
        <v>#VALUE!</v>
      </c>
      <c r="U570" s="50" t="e">
        <f t="shared" si="128"/>
        <v>#VALUE!</v>
      </c>
      <c r="V570" s="50" t="e">
        <f t="shared" si="129"/>
        <v>#VALUE!</v>
      </c>
    </row>
    <row r="571" spans="2:22" x14ac:dyDescent="0.25">
      <c r="B571" s="50" t="b">
        <f t="shared" si="130"/>
        <v>0</v>
      </c>
      <c r="C571" s="50" t="e">
        <f t="shared" si="131"/>
        <v>#VALUE!</v>
      </c>
      <c r="E571" s="56">
        <v>567</v>
      </c>
      <c r="G571" s="138"/>
      <c r="H571" s="135">
        <v>1</v>
      </c>
      <c r="I571" s="58" t="e">
        <f t="shared" si="118"/>
        <v>#VALUE!</v>
      </c>
      <c r="J571" s="50" t="e">
        <f t="shared" si="124"/>
        <v>#VALUE!</v>
      </c>
      <c r="K571" s="50" t="e">
        <f t="shared" si="125"/>
        <v>#VALUE!</v>
      </c>
      <c r="L571" s="50" t="e">
        <f t="shared" si="125"/>
        <v>#VALUE!</v>
      </c>
      <c r="M571" s="50" t="e">
        <f t="shared" si="119"/>
        <v>#VALUE!</v>
      </c>
      <c r="N571" s="50" t="e">
        <f t="shared" si="120"/>
        <v>#VALUE!</v>
      </c>
      <c r="O571" s="50">
        <f t="shared" si="121"/>
        <v>0</v>
      </c>
      <c r="Q571" s="55" t="e">
        <f t="shared" si="122"/>
        <v>#VALUE!</v>
      </c>
      <c r="R571" s="55" t="e">
        <f t="shared" si="126"/>
        <v>#VALUE!</v>
      </c>
      <c r="S571" s="55" t="e">
        <f t="shared" si="123"/>
        <v>#VALUE!</v>
      </c>
      <c r="T571" s="50" t="e">
        <f t="shared" si="127"/>
        <v>#VALUE!</v>
      </c>
      <c r="U571" s="50" t="e">
        <f t="shared" si="128"/>
        <v>#VALUE!</v>
      </c>
      <c r="V571" s="50" t="e">
        <f t="shared" si="129"/>
        <v>#VALUE!</v>
      </c>
    </row>
    <row r="572" spans="2:22" x14ac:dyDescent="0.25">
      <c r="B572" s="50" t="b">
        <f t="shared" si="130"/>
        <v>0</v>
      </c>
      <c r="C572" s="50" t="e">
        <f t="shared" si="131"/>
        <v>#VALUE!</v>
      </c>
      <c r="E572" s="56">
        <v>568</v>
      </c>
      <c r="G572" s="138"/>
      <c r="H572" s="135">
        <v>1</v>
      </c>
      <c r="I572" s="58" t="e">
        <f t="shared" si="118"/>
        <v>#VALUE!</v>
      </c>
      <c r="J572" s="50" t="e">
        <f t="shared" si="124"/>
        <v>#VALUE!</v>
      </c>
      <c r="K572" s="50" t="e">
        <f t="shared" si="125"/>
        <v>#VALUE!</v>
      </c>
      <c r="L572" s="50" t="e">
        <f t="shared" si="125"/>
        <v>#VALUE!</v>
      </c>
      <c r="M572" s="50" t="e">
        <f t="shared" si="119"/>
        <v>#VALUE!</v>
      </c>
      <c r="N572" s="50" t="e">
        <f t="shared" si="120"/>
        <v>#VALUE!</v>
      </c>
      <c r="O572" s="50">
        <f t="shared" si="121"/>
        <v>0</v>
      </c>
      <c r="Q572" s="55" t="e">
        <f t="shared" si="122"/>
        <v>#VALUE!</v>
      </c>
      <c r="R572" s="55" t="e">
        <f t="shared" si="126"/>
        <v>#VALUE!</v>
      </c>
      <c r="S572" s="55" t="e">
        <f t="shared" si="123"/>
        <v>#VALUE!</v>
      </c>
      <c r="T572" s="50" t="e">
        <f t="shared" si="127"/>
        <v>#VALUE!</v>
      </c>
      <c r="U572" s="50" t="e">
        <f t="shared" si="128"/>
        <v>#VALUE!</v>
      </c>
      <c r="V572" s="50" t="e">
        <f t="shared" si="129"/>
        <v>#VALUE!</v>
      </c>
    </row>
    <row r="573" spans="2:22" x14ac:dyDescent="0.25">
      <c r="B573" s="50" t="b">
        <f t="shared" si="130"/>
        <v>0</v>
      </c>
      <c r="C573" s="50" t="e">
        <f t="shared" si="131"/>
        <v>#VALUE!</v>
      </c>
      <c r="E573" s="56">
        <v>569</v>
      </c>
      <c r="G573" s="138"/>
      <c r="H573" s="135">
        <v>1</v>
      </c>
      <c r="I573" s="58" t="e">
        <f t="shared" si="118"/>
        <v>#VALUE!</v>
      </c>
      <c r="J573" s="50" t="e">
        <f t="shared" si="124"/>
        <v>#VALUE!</v>
      </c>
      <c r="K573" s="50" t="e">
        <f t="shared" si="125"/>
        <v>#VALUE!</v>
      </c>
      <c r="L573" s="50" t="e">
        <f t="shared" si="125"/>
        <v>#VALUE!</v>
      </c>
      <c r="M573" s="50" t="e">
        <f t="shared" si="119"/>
        <v>#VALUE!</v>
      </c>
      <c r="N573" s="50" t="e">
        <f t="shared" si="120"/>
        <v>#VALUE!</v>
      </c>
      <c r="O573" s="50">
        <f t="shared" si="121"/>
        <v>0</v>
      </c>
      <c r="Q573" s="55" t="e">
        <f t="shared" si="122"/>
        <v>#VALUE!</v>
      </c>
      <c r="R573" s="55" t="e">
        <f t="shared" si="126"/>
        <v>#VALUE!</v>
      </c>
      <c r="S573" s="55" t="e">
        <f t="shared" si="123"/>
        <v>#VALUE!</v>
      </c>
      <c r="T573" s="50" t="e">
        <f t="shared" si="127"/>
        <v>#VALUE!</v>
      </c>
      <c r="U573" s="50" t="e">
        <f t="shared" si="128"/>
        <v>#VALUE!</v>
      </c>
      <c r="V573" s="50" t="e">
        <f t="shared" si="129"/>
        <v>#VALUE!</v>
      </c>
    </row>
    <row r="574" spans="2:22" x14ac:dyDescent="0.25">
      <c r="B574" s="50" t="b">
        <f t="shared" si="130"/>
        <v>0</v>
      </c>
      <c r="C574" s="50" t="e">
        <f t="shared" si="131"/>
        <v>#VALUE!</v>
      </c>
      <c r="E574" s="56">
        <v>570</v>
      </c>
      <c r="G574" s="138"/>
      <c r="H574" s="135">
        <v>1</v>
      </c>
      <c r="I574" s="58" t="e">
        <f t="shared" si="118"/>
        <v>#VALUE!</v>
      </c>
      <c r="J574" s="50" t="e">
        <f t="shared" si="124"/>
        <v>#VALUE!</v>
      </c>
      <c r="K574" s="50" t="e">
        <f t="shared" si="125"/>
        <v>#VALUE!</v>
      </c>
      <c r="L574" s="50" t="e">
        <f t="shared" si="125"/>
        <v>#VALUE!</v>
      </c>
      <c r="M574" s="50" t="e">
        <f t="shared" si="119"/>
        <v>#VALUE!</v>
      </c>
      <c r="N574" s="50" t="e">
        <f t="shared" si="120"/>
        <v>#VALUE!</v>
      </c>
      <c r="O574" s="50">
        <f t="shared" si="121"/>
        <v>0</v>
      </c>
      <c r="Q574" s="55" t="e">
        <f t="shared" si="122"/>
        <v>#VALUE!</v>
      </c>
      <c r="R574" s="55" t="e">
        <f t="shared" si="126"/>
        <v>#VALUE!</v>
      </c>
      <c r="S574" s="55" t="e">
        <f t="shared" si="123"/>
        <v>#VALUE!</v>
      </c>
      <c r="T574" s="50" t="e">
        <f t="shared" si="127"/>
        <v>#VALUE!</v>
      </c>
      <c r="U574" s="50" t="e">
        <f t="shared" si="128"/>
        <v>#VALUE!</v>
      </c>
      <c r="V574" s="50" t="e">
        <f t="shared" si="129"/>
        <v>#VALUE!</v>
      </c>
    </row>
    <row r="575" spans="2:22" x14ac:dyDescent="0.25">
      <c r="B575" s="50" t="b">
        <f t="shared" si="130"/>
        <v>0</v>
      </c>
      <c r="C575" s="50" t="e">
        <f t="shared" si="131"/>
        <v>#VALUE!</v>
      </c>
      <c r="E575" s="56">
        <v>571</v>
      </c>
      <c r="G575" s="138"/>
      <c r="H575" s="135">
        <v>1</v>
      </c>
      <c r="I575" s="58" t="e">
        <f t="shared" si="118"/>
        <v>#VALUE!</v>
      </c>
      <c r="J575" s="50" t="e">
        <f t="shared" si="124"/>
        <v>#VALUE!</v>
      </c>
      <c r="K575" s="50" t="e">
        <f t="shared" si="125"/>
        <v>#VALUE!</v>
      </c>
      <c r="L575" s="50" t="e">
        <f t="shared" si="125"/>
        <v>#VALUE!</v>
      </c>
      <c r="M575" s="50" t="e">
        <f t="shared" si="119"/>
        <v>#VALUE!</v>
      </c>
      <c r="N575" s="50" t="e">
        <f t="shared" si="120"/>
        <v>#VALUE!</v>
      </c>
      <c r="O575" s="50">
        <f t="shared" si="121"/>
        <v>0</v>
      </c>
      <c r="Q575" s="55" t="e">
        <f t="shared" si="122"/>
        <v>#VALUE!</v>
      </c>
      <c r="R575" s="55" t="e">
        <f t="shared" si="126"/>
        <v>#VALUE!</v>
      </c>
      <c r="S575" s="55" t="e">
        <f t="shared" si="123"/>
        <v>#VALUE!</v>
      </c>
      <c r="T575" s="50" t="e">
        <f t="shared" si="127"/>
        <v>#VALUE!</v>
      </c>
      <c r="U575" s="50" t="e">
        <f t="shared" si="128"/>
        <v>#VALUE!</v>
      </c>
      <c r="V575" s="50" t="e">
        <f t="shared" si="129"/>
        <v>#VALUE!</v>
      </c>
    </row>
    <row r="576" spans="2:22" x14ac:dyDescent="0.25">
      <c r="B576" s="50" t="b">
        <f t="shared" si="130"/>
        <v>0</v>
      </c>
      <c r="C576" s="50" t="e">
        <f t="shared" si="131"/>
        <v>#VALUE!</v>
      </c>
      <c r="E576" s="56">
        <v>572</v>
      </c>
      <c r="G576" s="138"/>
      <c r="H576" s="135">
        <v>1</v>
      </c>
      <c r="I576" s="58" t="e">
        <f t="shared" si="118"/>
        <v>#VALUE!</v>
      </c>
      <c r="J576" s="50" t="e">
        <f t="shared" si="124"/>
        <v>#VALUE!</v>
      </c>
      <c r="K576" s="50" t="e">
        <f t="shared" si="125"/>
        <v>#VALUE!</v>
      </c>
      <c r="L576" s="50" t="e">
        <f t="shared" si="125"/>
        <v>#VALUE!</v>
      </c>
      <c r="M576" s="50" t="e">
        <f t="shared" si="119"/>
        <v>#VALUE!</v>
      </c>
      <c r="N576" s="50" t="e">
        <f t="shared" si="120"/>
        <v>#VALUE!</v>
      </c>
      <c r="O576" s="50">
        <f t="shared" si="121"/>
        <v>0</v>
      </c>
      <c r="Q576" s="55" t="e">
        <f t="shared" si="122"/>
        <v>#VALUE!</v>
      </c>
      <c r="R576" s="55" t="e">
        <f t="shared" si="126"/>
        <v>#VALUE!</v>
      </c>
      <c r="S576" s="55" t="e">
        <f t="shared" si="123"/>
        <v>#VALUE!</v>
      </c>
      <c r="T576" s="50" t="e">
        <f t="shared" si="127"/>
        <v>#VALUE!</v>
      </c>
      <c r="U576" s="50" t="e">
        <f t="shared" si="128"/>
        <v>#VALUE!</v>
      </c>
      <c r="V576" s="50" t="e">
        <f t="shared" si="129"/>
        <v>#VALUE!</v>
      </c>
    </row>
    <row r="577" spans="2:22" x14ac:dyDescent="0.25">
      <c r="B577" s="50" t="b">
        <f t="shared" si="130"/>
        <v>0</v>
      </c>
      <c r="C577" s="50" t="e">
        <f t="shared" si="131"/>
        <v>#VALUE!</v>
      </c>
      <c r="E577" s="56">
        <v>573</v>
      </c>
      <c r="G577" s="138"/>
      <c r="H577" s="135">
        <v>1</v>
      </c>
      <c r="I577" s="58" t="e">
        <f t="shared" si="118"/>
        <v>#VALUE!</v>
      </c>
      <c r="J577" s="50" t="e">
        <f t="shared" si="124"/>
        <v>#VALUE!</v>
      </c>
      <c r="K577" s="50" t="e">
        <f t="shared" si="125"/>
        <v>#VALUE!</v>
      </c>
      <c r="L577" s="50" t="e">
        <f t="shared" si="125"/>
        <v>#VALUE!</v>
      </c>
      <c r="M577" s="50" t="e">
        <f t="shared" si="119"/>
        <v>#VALUE!</v>
      </c>
      <c r="N577" s="50" t="e">
        <f t="shared" si="120"/>
        <v>#VALUE!</v>
      </c>
      <c r="O577" s="50">
        <f t="shared" si="121"/>
        <v>0</v>
      </c>
      <c r="Q577" s="55" t="e">
        <f t="shared" si="122"/>
        <v>#VALUE!</v>
      </c>
      <c r="R577" s="55" t="e">
        <f t="shared" si="126"/>
        <v>#VALUE!</v>
      </c>
      <c r="S577" s="55" t="e">
        <f t="shared" si="123"/>
        <v>#VALUE!</v>
      </c>
      <c r="T577" s="50" t="e">
        <f t="shared" si="127"/>
        <v>#VALUE!</v>
      </c>
      <c r="U577" s="50" t="e">
        <f t="shared" si="128"/>
        <v>#VALUE!</v>
      </c>
      <c r="V577" s="50" t="e">
        <f t="shared" si="129"/>
        <v>#VALUE!</v>
      </c>
    </row>
    <row r="578" spans="2:22" x14ac:dyDescent="0.25">
      <c r="B578" s="50" t="b">
        <f t="shared" si="130"/>
        <v>0</v>
      </c>
      <c r="C578" s="50" t="e">
        <f t="shared" si="131"/>
        <v>#VALUE!</v>
      </c>
      <c r="E578" s="56">
        <v>574</v>
      </c>
      <c r="G578" s="138"/>
      <c r="H578" s="135">
        <v>1</v>
      </c>
      <c r="I578" s="58" t="e">
        <f t="shared" si="118"/>
        <v>#VALUE!</v>
      </c>
      <c r="J578" s="50" t="e">
        <f t="shared" si="124"/>
        <v>#VALUE!</v>
      </c>
      <c r="K578" s="50" t="e">
        <f t="shared" si="125"/>
        <v>#VALUE!</v>
      </c>
      <c r="L578" s="50" t="e">
        <f t="shared" si="125"/>
        <v>#VALUE!</v>
      </c>
      <c r="M578" s="50" t="e">
        <f t="shared" si="119"/>
        <v>#VALUE!</v>
      </c>
      <c r="N578" s="50" t="e">
        <f t="shared" si="120"/>
        <v>#VALUE!</v>
      </c>
      <c r="O578" s="50">
        <f t="shared" si="121"/>
        <v>0</v>
      </c>
      <c r="Q578" s="55" t="e">
        <f t="shared" si="122"/>
        <v>#VALUE!</v>
      </c>
      <c r="R578" s="55" t="e">
        <f t="shared" si="126"/>
        <v>#VALUE!</v>
      </c>
      <c r="S578" s="55" t="e">
        <f t="shared" si="123"/>
        <v>#VALUE!</v>
      </c>
      <c r="T578" s="50" t="e">
        <f t="shared" si="127"/>
        <v>#VALUE!</v>
      </c>
      <c r="U578" s="50" t="e">
        <f t="shared" si="128"/>
        <v>#VALUE!</v>
      </c>
      <c r="V578" s="50" t="e">
        <f t="shared" si="129"/>
        <v>#VALUE!</v>
      </c>
    </row>
    <row r="579" spans="2:22" x14ac:dyDescent="0.25">
      <c r="B579" s="50" t="b">
        <f t="shared" si="130"/>
        <v>0</v>
      </c>
      <c r="C579" s="50" t="e">
        <f t="shared" si="131"/>
        <v>#VALUE!</v>
      </c>
      <c r="E579" s="56">
        <v>575</v>
      </c>
      <c r="G579" s="138"/>
      <c r="H579" s="135">
        <v>1</v>
      </c>
      <c r="I579" s="58" t="e">
        <f t="shared" si="118"/>
        <v>#VALUE!</v>
      </c>
      <c r="J579" s="50" t="e">
        <f t="shared" si="124"/>
        <v>#VALUE!</v>
      </c>
      <c r="K579" s="50" t="e">
        <f t="shared" si="125"/>
        <v>#VALUE!</v>
      </c>
      <c r="L579" s="50" t="e">
        <f t="shared" si="125"/>
        <v>#VALUE!</v>
      </c>
      <c r="M579" s="50" t="e">
        <f t="shared" si="119"/>
        <v>#VALUE!</v>
      </c>
      <c r="N579" s="50" t="e">
        <f t="shared" si="120"/>
        <v>#VALUE!</v>
      </c>
      <c r="O579" s="50">
        <f t="shared" si="121"/>
        <v>0</v>
      </c>
      <c r="Q579" s="55" t="e">
        <f t="shared" si="122"/>
        <v>#VALUE!</v>
      </c>
      <c r="R579" s="55" t="e">
        <f t="shared" si="126"/>
        <v>#VALUE!</v>
      </c>
      <c r="S579" s="55" t="e">
        <f t="shared" si="123"/>
        <v>#VALUE!</v>
      </c>
      <c r="T579" s="50" t="e">
        <f t="shared" si="127"/>
        <v>#VALUE!</v>
      </c>
      <c r="U579" s="50" t="e">
        <f t="shared" si="128"/>
        <v>#VALUE!</v>
      </c>
      <c r="V579" s="50" t="e">
        <f t="shared" si="129"/>
        <v>#VALUE!</v>
      </c>
    </row>
    <row r="580" spans="2:22" x14ac:dyDescent="0.25">
      <c r="B580" s="50" t="b">
        <f t="shared" si="130"/>
        <v>0</v>
      </c>
      <c r="C580" s="50" t="e">
        <f t="shared" si="131"/>
        <v>#VALUE!</v>
      </c>
      <c r="E580" s="56">
        <v>576</v>
      </c>
      <c r="G580" s="138"/>
      <c r="H580" s="135">
        <v>1</v>
      </c>
      <c r="I580" s="58" t="e">
        <f t="shared" ref="I580:I643" si="132">RIGHT(G580,J580)</f>
        <v>#VALUE!</v>
      </c>
      <c r="J580" s="50" t="e">
        <f t="shared" si="124"/>
        <v>#VALUE!</v>
      </c>
      <c r="K580" s="50" t="e">
        <f t="shared" si="125"/>
        <v>#VALUE!</v>
      </c>
      <c r="L580" s="50" t="e">
        <f t="shared" si="125"/>
        <v>#VALUE!</v>
      </c>
      <c r="M580" s="50" t="e">
        <f t="shared" ref="M580:M643" si="133">SEARCH("-",G580,2)</f>
        <v>#VALUE!</v>
      </c>
      <c r="N580" s="50" t="e">
        <f t="shared" ref="N580:N643" si="134">SEARCH("-",G580,M580+1)</f>
        <v>#VALUE!</v>
      </c>
      <c r="O580" s="50">
        <f t="shared" ref="O580:O643" si="135">LEN(G580)</f>
        <v>0</v>
      </c>
      <c r="Q580" s="55" t="e">
        <f t="shared" ref="Q580:Q643" si="136">LEFT(G580,M580-1)</f>
        <v>#VALUE!</v>
      </c>
      <c r="R580" s="55" t="e">
        <f t="shared" si="126"/>
        <v>#VALUE!</v>
      </c>
      <c r="S580" s="55" t="e">
        <f t="shared" ref="S580:S643" si="137">RIGHT(G580,L580)</f>
        <v>#VALUE!</v>
      </c>
      <c r="T580" s="50" t="e">
        <f t="shared" si="127"/>
        <v>#VALUE!</v>
      </c>
      <c r="U580" s="50" t="e">
        <f t="shared" si="128"/>
        <v>#VALUE!</v>
      </c>
      <c r="V580" s="50" t="e">
        <f t="shared" si="129"/>
        <v>#VALUE!</v>
      </c>
    </row>
    <row r="581" spans="2:22" x14ac:dyDescent="0.25">
      <c r="B581" s="50" t="b">
        <f t="shared" si="130"/>
        <v>0</v>
      </c>
      <c r="C581" s="50" t="e">
        <f t="shared" si="131"/>
        <v>#VALUE!</v>
      </c>
      <c r="E581" s="56">
        <v>577</v>
      </c>
      <c r="G581" s="138"/>
      <c r="H581" s="135">
        <v>1</v>
      </c>
      <c r="I581" s="58" t="e">
        <f t="shared" si="132"/>
        <v>#VALUE!</v>
      </c>
      <c r="J581" s="50" t="e">
        <f t="shared" ref="J581:J644" si="138">O581-M581</f>
        <v>#VALUE!</v>
      </c>
      <c r="K581" s="50" t="e">
        <f t="shared" ref="K581:L622" si="139">N581-M581</f>
        <v>#VALUE!</v>
      </c>
      <c r="L581" s="50" t="e">
        <f t="shared" si="139"/>
        <v>#VALUE!</v>
      </c>
      <c r="M581" s="50" t="e">
        <f t="shared" si="133"/>
        <v>#VALUE!</v>
      </c>
      <c r="N581" s="50" t="e">
        <f t="shared" si="134"/>
        <v>#VALUE!</v>
      </c>
      <c r="O581" s="50">
        <f t="shared" si="135"/>
        <v>0</v>
      </c>
      <c r="Q581" s="55" t="e">
        <f t="shared" si="136"/>
        <v>#VALUE!</v>
      </c>
      <c r="R581" s="55" t="e">
        <f t="shared" ref="R581:R644" si="140">LEFT(I581,K581-1)</f>
        <v>#VALUE!</v>
      </c>
      <c r="S581" s="55" t="e">
        <f t="shared" si="137"/>
        <v>#VALUE!</v>
      </c>
      <c r="T581" s="50" t="e">
        <f t="shared" ref="T581:T644" si="141">Q581*1*$H581</f>
        <v>#VALUE!</v>
      </c>
      <c r="U581" s="50" t="e">
        <f t="shared" ref="U581:U644" si="142">R581*1*$H581</f>
        <v>#VALUE!</v>
      </c>
      <c r="V581" s="50" t="e">
        <f t="shared" ref="V581:V644" si="143">S581*1*$H581</f>
        <v>#VALUE!</v>
      </c>
    </row>
    <row r="582" spans="2:22" x14ac:dyDescent="0.25">
      <c r="B582" s="50" t="b">
        <f t="shared" si="130"/>
        <v>0</v>
      </c>
      <c r="C582" s="50" t="e">
        <f t="shared" si="131"/>
        <v>#VALUE!</v>
      </c>
      <c r="E582" s="56">
        <v>578</v>
      </c>
      <c r="G582" s="138"/>
      <c r="H582" s="135">
        <v>1</v>
      </c>
      <c r="I582" s="58" t="e">
        <f t="shared" si="132"/>
        <v>#VALUE!</v>
      </c>
      <c r="J582" s="50" t="e">
        <f t="shared" si="138"/>
        <v>#VALUE!</v>
      </c>
      <c r="K582" s="50" t="e">
        <f t="shared" si="139"/>
        <v>#VALUE!</v>
      </c>
      <c r="L582" s="50" t="e">
        <f t="shared" si="139"/>
        <v>#VALUE!</v>
      </c>
      <c r="M582" s="50" t="e">
        <f t="shared" si="133"/>
        <v>#VALUE!</v>
      </c>
      <c r="N582" s="50" t="e">
        <f t="shared" si="134"/>
        <v>#VALUE!</v>
      </c>
      <c r="O582" s="50">
        <f t="shared" si="135"/>
        <v>0</v>
      </c>
      <c r="Q582" s="55" t="e">
        <f t="shared" si="136"/>
        <v>#VALUE!</v>
      </c>
      <c r="R582" s="55" t="e">
        <f t="shared" si="140"/>
        <v>#VALUE!</v>
      </c>
      <c r="S582" s="55" t="e">
        <f t="shared" si="137"/>
        <v>#VALUE!</v>
      </c>
      <c r="T582" s="50" t="e">
        <f t="shared" si="141"/>
        <v>#VALUE!</v>
      </c>
      <c r="U582" s="50" t="e">
        <f t="shared" si="142"/>
        <v>#VALUE!</v>
      </c>
      <c r="V582" s="50" t="e">
        <f t="shared" si="143"/>
        <v>#VALUE!</v>
      </c>
    </row>
    <row r="583" spans="2:22" x14ac:dyDescent="0.25">
      <c r="B583" s="50" t="b">
        <f t="shared" si="130"/>
        <v>0</v>
      </c>
      <c r="C583" s="50" t="e">
        <f t="shared" si="131"/>
        <v>#VALUE!</v>
      </c>
      <c r="E583" s="56">
        <v>579</v>
      </c>
      <c r="G583" s="138"/>
      <c r="H583" s="135">
        <v>1</v>
      </c>
      <c r="I583" s="58" t="e">
        <f t="shared" si="132"/>
        <v>#VALUE!</v>
      </c>
      <c r="J583" s="50" t="e">
        <f t="shared" si="138"/>
        <v>#VALUE!</v>
      </c>
      <c r="K583" s="50" t="e">
        <f t="shared" si="139"/>
        <v>#VALUE!</v>
      </c>
      <c r="L583" s="50" t="e">
        <f t="shared" si="139"/>
        <v>#VALUE!</v>
      </c>
      <c r="M583" s="50" t="e">
        <f t="shared" si="133"/>
        <v>#VALUE!</v>
      </c>
      <c r="N583" s="50" t="e">
        <f t="shared" si="134"/>
        <v>#VALUE!</v>
      </c>
      <c r="O583" s="50">
        <f t="shared" si="135"/>
        <v>0</v>
      </c>
      <c r="Q583" s="55" t="e">
        <f t="shared" si="136"/>
        <v>#VALUE!</v>
      </c>
      <c r="R583" s="55" t="e">
        <f t="shared" si="140"/>
        <v>#VALUE!</v>
      </c>
      <c r="S583" s="55" t="e">
        <f t="shared" si="137"/>
        <v>#VALUE!</v>
      </c>
      <c r="T583" s="50" t="e">
        <f t="shared" si="141"/>
        <v>#VALUE!</v>
      </c>
      <c r="U583" s="50" t="e">
        <f t="shared" si="142"/>
        <v>#VALUE!</v>
      </c>
      <c r="V583" s="50" t="e">
        <f t="shared" si="143"/>
        <v>#VALUE!</v>
      </c>
    </row>
    <row r="584" spans="2:22" x14ac:dyDescent="0.25">
      <c r="B584" s="50" t="b">
        <f t="shared" si="130"/>
        <v>0</v>
      </c>
      <c r="C584" s="50" t="e">
        <f t="shared" si="131"/>
        <v>#VALUE!</v>
      </c>
      <c r="E584" s="56">
        <v>580</v>
      </c>
      <c r="G584" s="138"/>
      <c r="H584" s="135">
        <v>1</v>
      </c>
      <c r="I584" s="58" t="e">
        <f t="shared" si="132"/>
        <v>#VALUE!</v>
      </c>
      <c r="J584" s="50" t="e">
        <f t="shared" si="138"/>
        <v>#VALUE!</v>
      </c>
      <c r="K584" s="50" t="e">
        <f t="shared" si="139"/>
        <v>#VALUE!</v>
      </c>
      <c r="L584" s="50" t="e">
        <f t="shared" si="139"/>
        <v>#VALUE!</v>
      </c>
      <c r="M584" s="50" t="e">
        <f t="shared" si="133"/>
        <v>#VALUE!</v>
      </c>
      <c r="N584" s="50" t="e">
        <f t="shared" si="134"/>
        <v>#VALUE!</v>
      </c>
      <c r="O584" s="50">
        <f t="shared" si="135"/>
        <v>0</v>
      </c>
      <c r="Q584" s="55" t="e">
        <f t="shared" si="136"/>
        <v>#VALUE!</v>
      </c>
      <c r="R584" s="55" t="e">
        <f t="shared" si="140"/>
        <v>#VALUE!</v>
      </c>
      <c r="S584" s="55" t="e">
        <f t="shared" si="137"/>
        <v>#VALUE!</v>
      </c>
      <c r="T584" s="50" t="e">
        <f t="shared" si="141"/>
        <v>#VALUE!</v>
      </c>
      <c r="U584" s="50" t="e">
        <f t="shared" si="142"/>
        <v>#VALUE!</v>
      </c>
      <c r="V584" s="50" t="e">
        <f t="shared" si="143"/>
        <v>#VALUE!</v>
      </c>
    </row>
    <row r="585" spans="2:22" x14ac:dyDescent="0.25">
      <c r="B585" s="50" t="b">
        <f t="shared" si="130"/>
        <v>0</v>
      </c>
      <c r="C585" s="50" t="e">
        <f t="shared" si="131"/>
        <v>#VALUE!</v>
      </c>
      <c r="E585" s="56">
        <v>581</v>
      </c>
      <c r="G585" s="138"/>
      <c r="H585" s="135">
        <v>1</v>
      </c>
      <c r="I585" s="58" t="e">
        <f t="shared" si="132"/>
        <v>#VALUE!</v>
      </c>
      <c r="J585" s="50" t="e">
        <f t="shared" si="138"/>
        <v>#VALUE!</v>
      </c>
      <c r="K585" s="50" t="e">
        <f t="shared" si="139"/>
        <v>#VALUE!</v>
      </c>
      <c r="L585" s="50" t="e">
        <f t="shared" si="139"/>
        <v>#VALUE!</v>
      </c>
      <c r="M585" s="50" t="e">
        <f t="shared" si="133"/>
        <v>#VALUE!</v>
      </c>
      <c r="N585" s="50" t="e">
        <f t="shared" si="134"/>
        <v>#VALUE!</v>
      </c>
      <c r="O585" s="50">
        <f t="shared" si="135"/>
        <v>0</v>
      </c>
      <c r="Q585" s="55" t="e">
        <f t="shared" si="136"/>
        <v>#VALUE!</v>
      </c>
      <c r="R585" s="55" t="e">
        <f t="shared" si="140"/>
        <v>#VALUE!</v>
      </c>
      <c r="S585" s="55" t="e">
        <f t="shared" si="137"/>
        <v>#VALUE!</v>
      </c>
      <c r="T585" s="50" t="e">
        <f t="shared" si="141"/>
        <v>#VALUE!</v>
      </c>
      <c r="U585" s="50" t="e">
        <f t="shared" si="142"/>
        <v>#VALUE!</v>
      </c>
      <c r="V585" s="50" t="e">
        <f t="shared" si="143"/>
        <v>#VALUE!</v>
      </c>
    </row>
    <row r="586" spans="2:22" x14ac:dyDescent="0.25">
      <c r="B586" s="50" t="b">
        <f t="shared" si="130"/>
        <v>0</v>
      </c>
      <c r="C586" s="50" t="e">
        <f t="shared" si="131"/>
        <v>#VALUE!</v>
      </c>
      <c r="E586" s="56">
        <v>582</v>
      </c>
      <c r="G586" s="138"/>
      <c r="H586" s="135">
        <v>1</v>
      </c>
      <c r="I586" s="58" t="e">
        <f t="shared" si="132"/>
        <v>#VALUE!</v>
      </c>
      <c r="J586" s="50" t="e">
        <f t="shared" si="138"/>
        <v>#VALUE!</v>
      </c>
      <c r="K586" s="50" t="e">
        <f t="shared" si="139"/>
        <v>#VALUE!</v>
      </c>
      <c r="L586" s="50" t="e">
        <f t="shared" si="139"/>
        <v>#VALUE!</v>
      </c>
      <c r="M586" s="50" t="e">
        <f t="shared" si="133"/>
        <v>#VALUE!</v>
      </c>
      <c r="N586" s="50" t="e">
        <f t="shared" si="134"/>
        <v>#VALUE!</v>
      </c>
      <c r="O586" s="50">
        <f t="shared" si="135"/>
        <v>0</v>
      </c>
      <c r="Q586" s="55" t="e">
        <f t="shared" si="136"/>
        <v>#VALUE!</v>
      </c>
      <c r="R586" s="55" t="e">
        <f t="shared" si="140"/>
        <v>#VALUE!</v>
      </c>
      <c r="S586" s="55" t="e">
        <f t="shared" si="137"/>
        <v>#VALUE!</v>
      </c>
      <c r="T586" s="50" t="e">
        <f t="shared" si="141"/>
        <v>#VALUE!</v>
      </c>
      <c r="U586" s="50" t="e">
        <f t="shared" si="142"/>
        <v>#VALUE!</v>
      </c>
      <c r="V586" s="50" t="e">
        <f t="shared" si="143"/>
        <v>#VALUE!</v>
      </c>
    </row>
    <row r="587" spans="2:22" x14ac:dyDescent="0.25">
      <c r="B587" s="50" t="b">
        <f t="shared" si="130"/>
        <v>0</v>
      </c>
      <c r="C587" s="50" t="e">
        <f t="shared" si="131"/>
        <v>#VALUE!</v>
      </c>
      <c r="E587" s="56">
        <v>583</v>
      </c>
      <c r="G587" s="138"/>
      <c r="H587" s="135">
        <v>1</v>
      </c>
      <c r="I587" s="58" t="e">
        <f t="shared" si="132"/>
        <v>#VALUE!</v>
      </c>
      <c r="J587" s="50" t="e">
        <f t="shared" si="138"/>
        <v>#VALUE!</v>
      </c>
      <c r="K587" s="50" t="e">
        <f t="shared" si="139"/>
        <v>#VALUE!</v>
      </c>
      <c r="L587" s="50" t="e">
        <f t="shared" si="139"/>
        <v>#VALUE!</v>
      </c>
      <c r="M587" s="50" t="e">
        <f t="shared" si="133"/>
        <v>#VALUE!</v>
      </c>
      <c r="N587" s="50" t="e">
        <f t="shared" si="134"/>
        <v>#VALUE!</v>
      </c>
      <c r="O587" s="50">
        <f t="shared" si="135"/>
        <v>0</v>
      </c>
      <c r="Q587" s="55" t="e">
        <f t="shared" si="136"/>
        <v>#VALUE!</v>
      </c>
      <c r="R587" s="55" t="e">
        <f t="shared" si="140"/>
        <v>#VALUE!</v>
      </c>
      <c r="S587" s="55" t="e">
        <f t="shared" si="137"/>
        <v>#VALUE!</v>
      </c>
      <c r="T587" s="50" t="e">
        <f t="shared" si="141"/>
        <v>#VALUE!</v>
      </c>
      <c r="U587" s="50" t="e">
        <f t="shared" si="142"/>
        <v>#VALUE!</v>
      </c>
      <c r="V587" s="50" t="e">
        <f t="shared" si="143"/>
        <v>#VALUE!</v>
      </c>
    </row>
    <row r="588" spans="2:22" x14ac:dyDescent="0.25">
      <c r="B588" s="50" t="b">
        <f t="shared" si="130"/>
        <v>0</v>
      </c>
      <c r="C588" s="50" t="e">
        <f t="shared" si="131"/>
        <v>#VALUE!</v>
      </c>
      <c r="E588" s="56">
        <v>584</v>
      </c>
      <c r="G588" s="138"/>
      <c r="H588" s="135">
        <v>1</v>
      </c>
      <c r="I588" s="58" t="e">
        <f t="shared" si="132"/>
        <v>#VALUE!</v>
      </c>
      <c r="J588" s="50" t="e">
        <f t="shared" si="138"/>
        <v>#VALUE!</v>
      </c>
      <c r="K588" s="50" t="e">
        <f t="shared" si="139"/>
        <v>#VALUE!</v>
      </c>
      <c r="L588" s="50" t="e">
        <f t="shared" si="139"/>
        <v>#VALUE!</v>
      </c>
      <c r="M588" s="50" t="e">
        <f t="shared" si="133"/>
        <v>#VALUE!</v>
      </c>
      <c r="N588" s="50" t="e">
        <f t="shared" si="134"/>
        <v>#VALUE!</v>
      </c>
      <c r="O588" s="50">
        <f t="shared" si="135"/>
        <v>0</v>
      </c>
      <c r="Q588" s="55" t="e">
        <f t="shared" si="136"/>
        <v>#VALUE!</v>
      </c>
      <c r="R588" s="55" t="e">
        <f t="shared" si="140"/>
        <v>#VALUE!</v>
      </c>
      <c r="S588" s="55" t="e">
        <f t="shared" si="137"/>
        <v>#VALUE!</v>
      </c>
      <c r="T588" s="50" t="e">
        <f t="shared" si="141"/>
        <v>#VALUE!</v>
      </c>
      <c r="U588" s="50" t="e">
        <f t="shared" si="142"/>
        <v>#VALUE!</v>
      </c>
      <c r="V588" s="50" t="e">
        <f t="shared" si="143"/>
        <v>#VALUE!</v>
      </c>
    </row>
    <row r="589" spans="2:22" x14ac:dyDescent="0.25">
      <c r="B589" s="50" t="b">
        <f t="shared" si="130"/>
        <v>0</v>
      </c>
      <c r="C589" s="50" t="e">
        <f t="shared" si="131"/>
        <v>#VALUE!</v>
      </c>
      <c r="E589" s="56">
        <v>585</v>
      </c>
      <c r="G589" s="138"/>
      <c r="H589" s="135">
        <v>1</v>
      </c>
      <c r="I589" s="58" t="e">
        <f t="shared" si="132"/>
        <v>#VALUE!</v>
      </c>
      <c r="J589" s="50" t="e">
        <f t="shared" si="138"/>
        <v>#VALUE!</v>
      </c>
      <c r="K589" s="50" t="e">
        <f t="shared" si="139"/>
        <v>#VALUE!</v>
      </c>
      <c r="L589" s="50" t="e">
        <f t="shared" si="139"/>
        <v>#VALUE!</v>
      </c>
      <c r="M589" s="50" t="e">
        <f t="shared" si="133"/>
        <v>#VALUE!</v>
      </c>
      <c r="N589" s="50" t="e">
        <f t="shared" si="134"/>
        <v>#VALUE!</v>
      </c>
      <c r="O589" s="50">
        <f t="shared" si="135"/>
        <v>0</v>
      </c>
      <c r="Q589" s="55" t="e">
        <f t="shared" si="136"/>
        <v>#VALUE!</v>
      </c>
      <c r="R589" s="55" t="e">
        <f t="shared" si="140"/>
        <v>#VALUE!</v>
      </c>
      <c r="S589" s="55" t="e">
        <f t="shared" si="137"/>
        <v>#VALUE!</v>
      </c>
      <c r="T589" s="50" t="e">
        <f t="shared" si="141"/>
        <v>#VALUE!</v>
      </c>
      <c r="U589" s="50" t="e">
        <f t="shared" si="142"/>
        <v>#VALUE!</v>
      </c>
      <c r="V589" s="50" t="e">
        <f t="shared" si="143"/>
        <v>#VALUE!</v>
      </c>
    </row>
    <row r="590" spans="2:22" x14ac:dyDescent="0.25">
      <c r="B590" s="50" t="b">
        <f t="shared" ref="B590:B653" si="144">ISNUMBER(C590)</f>
        <v>0</v>
      </c>
      <c r="C590" s="50" t="e">
        <f t="shared" si="131"/>
        <v>#VALUE!</v>
      </c>
      <c r="E590" s="56">
        <v>586</v>
      </c>
      <c r="G590" s="138"/>
      <c r="H590" s="135">
        <v>1</v>
      </c>
      <c r="I590" s="58" t="e">
        <f t="shared" si="132"/>
        <v>#VALUE!</v>
      </c>
      <c r="J590" s="50" t="e">
        <f t="shared" si="138"/>
        <v>#VALUE!</v>
      </c>
      <c r="K590" s="50" t="e">
        <f t="shared" si="139"/>
        <v>#VALUE!</v>
      </c>
      <c r="L590" s="50" t="e">
        <f t="shared" si="139"/>
        <v>#VALUE!</v>
      </c>
      <c r="M590" s="50" t="e">
        <f t="shared" si="133"/>
        <v>#VALUE!</v>
      </c>
      <c r="N590" s="50" t="e">
        <f t="shared" si="134"/>
        <v>#VALUE!</v>
      </c>
      <c r="O590" s="50">
        <f t="shared" si="135"/>
        <v>0</v>
      </c>
      <c r="Q590" s="55" t="e">
        <f t="shared" si="136"/>
        <v>#VALUE!</v>
      </c>
      <c r="R590" s="55" t="e">
        <f t="shared" si="140"/>
        <v>#VALUE!</v>
      </c>
      <c r="S590" s="55" t="e">
        <f t="shared" si="137"/>
        <v>#VALUE!</v>
      </c>
      <c r="T590" s="50" t="e">
        <f t="shared" si="141"/>
        <v>#VALUE!</v>
      </c>
      <c r="U590" s="50" t="e">
        <f t="shared" si="142"/>
        <v>#VALUE!</v>
      </c>
      <c r="V590" s="50" t="e">
        <f t="shared" si="143"/>
        <v>#VALUE!</v>
      </c>
    </row>
    <row r="591" spans="2:22" x14ac:dyDescent="0.25">
      <c r="B591" s="50" t="b">
        <f t="shared" si="144"/>
        <v>0</v>
      </c>
      <c r="C591" s="50" t="e">
        <f t="shared" si="131"/>
        <v>#VALUE!</v>
      </c>
      <c r="E591" s="56">
        <v>587</v>
      </c>
      <c r="G591" s="138"/>
      <c r="H591" s="135">
        <v>1</v>
      </c>
      <c r="I591" s="58" t="e">
        <f t="shared" si="132"/>
        <v>#VALUE!</v>
      </c>
      <c r="J591" s="50" t="e">
        <f t="shared" si="138"/>
        <v>#VALUE!</v>
      </c>
      <c r="K591" s="50" t="e">
        <f t="shared" si="139"/>
        <v>#VALUE!</v>
      </c>
      <c r="L591" s="50" t="e">
        <f t="shared" si="139"/>
        <v>#VALUE!</v>
      </c>
      <c r="M591" s="50" t="e">
        <f t="shared" si="133"/>
        <v>#VALUE!</v>
      </c>
      <c r="N591" s="50" t="e">
        <f t="shared" si="134"/>
        <v>#VALUE!</v>
      </c>
      <c r="O591" s="50">
        <f t="shared" si="135"/>
        <v>0</v>
      </c>
      <c r="Q591" s="55" t="e">
        <f t="shared" si="136"/>
        <v>#VALUE!</v>
      </c>
      <c r="R591" s="55" t="e">
        <f t="shared" si="140"/>
        <v>#VALUE!</v>
      </c>
      <c r="S591" s="55" t="e">
        <f t="shared" si="137"/>
        <v>#VALUE!</v>
      </c>
      <c r="T591" s="50" t="e">
        <f t="shared" si="141"/>
        <v>#VALUE!</v>
      </c>
      <c r="U591" s="50" t="e">
        <f t="shared" si="142"/>
        <v>#VALUE!</v>
      </c>
      <c r="V591" s="50" t="e">
        <f t="shared" si="143"/>
        <v>#VALUE!</v>
      </c>
    </row>
    <row r="592" spans="2:22" x14ac:dyDescent="0.25">
      <c r="B592" s="50" t="b">
        <f t="shared" si="144"/>
        <v>0</v>
      </c>
      <c r="C592" s="50" t="e">
        <f t="shared" si="131"/>
        <v>#VALUE!</v>
      </c>
      <c r="E592" s="56">
        <v>588</v>
      </c>
      <c r="G592" s="138"/>
      <c r="H592" s="135">
        <v>1</v>
      </c>
      <c r="I592" s="58" t="e">
        <f t="shared" si="132"/>
        <v>#VALUE!</v>
      </c>
      <c r="J592" s="50" t="e">
        <f t="shared" si="138"/>
        <v>#VALUE!</v>
      </c>
      <c r="K592" s="50" t="e">
        <f t="shared" si="139"/>
        <v>#VALUE!</v>
      </c>
      <c r="L592" s="50" t="e">
        <f t="shared" si="139"/>
        <v>#VALUE!</v>
      </c>
      <c r="M592" s="50" t="e">
        <f t="shared" si="133"/>
        <v>#VALUE!</v>
      </c>
      <c r="N592" s="50" t="e">
        <f t="shared" si="134"/>
        <v>#VALUE!</v>
      </c>
      <c r="O592" s="50">
        <f t="shared" si="135"/>
        <v>0</v>
      </c>
      <c r="Q592" s="55" t="e">
        <f t="shared" si="136"/>
        <v>#VALUE!</v>
      </c>
      <c r="R592" s="55" t="e">
        <f t="shared" si="140"/>
        <v>#VALUE!</v>
      </c>
      <c r="S592" s="55" t="e">
        <f t="shared" si="137"/>
        <v>#VALUE!</v>
      </c>
      <c r="T592" s="50" t="e">
        <f t="shared" si="141"/>
        <v>#VALUE!</v>
      </c>
      <c r="U592" s="50" t="e">
        <f t="shared" si="142"/>
        <v>#VALUE!</v>
      </c>
      <c r="V592" s="50" t="e">
        <f t="shared" si="143"/>
        <v>#VALUE!</v>
      </c>
    </row>
    <row r="593" spans="2:22" x14ac:dyDescent="0.25">
      <c r="B593" s="50" t="b">
        <f t="shared" si="144"/>
        <v>0</v>
      </c>
      <c r="C593" s="50" t="e">
        <f t="shared" si="131"/>
        <v>#VALUE!</v>
      </c>
      <c r="E593" s="56">
        <v>589</v>
      </c>
      <c r="G593" s="138"/>
      <c r="H593" s="135">
        <v>1</v>
      </c>
      <c r="I593" s="58" t="e">
        <f t="shared" si="132"/>
        <v>#VALUE!</v>
      </c>
      <c r="J593" s="50" t="e">
        <f t="shared" si="138"/>
        <v>#VALUE!</v>
      </c>
      <c r="K593" s="50" t="e">
        <f t="shared" si="139"/>
        <v>#VALUE!</v>
      </c>
      <c r="L593" s="50" t="e">
        <f t="shared" si="139"/>
        <v>#VALUE!</v>
      </c>
      <c r="M593" s="50" t="e">
        <f t="shared" si="133"/>
        <v>#VALUE!</v>
      </c>
      <c r="N593" s="50" t="e">
        <f t="shared" si="134"/>
        <v>#VALUE!</v>
      </c>
      <c r="O593" s="50">
        <f t="shared" si="135"/>
        <v>0</v>
      </c>
      <c r="Q593" s="55" t="e">
        <f t="shared" si="136"/>
        <v>#VALUE!</v>
      </c>
      <c r="R593" s="55" t="e">
        <f t="shared" si="140"/>
        <v>#VALUE!</v>
      </c>
      <c r="S593" s="55" t="e">
        <f t="shared" si="137"/>
        <v>#VALUE!</v>
      </c>
      <c r="T593" s="50" t="e">
        <f t="shared" si="141"/>
        <v>#VALUE!</v>
      </c>
      <c r="U593" s="50" t="e">
        <f t="shared" si="142"/>
        <v>#VALUE!</v>
      </c>
      <c r="V593" s="50" t="e">
        <f t="shared" si="143"/>
        <v>#VALUE!</v>
      </c>
    </row>
    <row r="594" spans="2:22" x14ac:dyDescent="0.25">
      <c r="B594" s="50" t="b">
        <f t="shared" si="144"/>
        <v>0</v>
      </c>
      <c r="C594" s="50" t="e">
        <f t="shared" si="131"/>
        <v>#VALUE!</v>
      </c>
      <c r="E594" s="56">
        <v>590</v>
      </c>
      <c r="G594" s="138"/>
      <c r="H594" s="135">
        <v>1</v>
      </c>
      <c r="I594" s="58" t="e">
        <f t="shared" si="132"/>
        <v>#VALUE!</v>
      </c>
      <c r="J594" s="50" t="e">
        <f t="shared" si="138"/>
        <v>#VALUE!</v>
      </c>
      <c r="K594" s="50" t="e">
        <f t="shared" si="139"/>
        <v>#VALUE!</v>
      </c>
      <c r="L594" s="50" t="e">
        <f t="shared" si="139"/>
        <v>#VALUE!</v>
      </c>
      <c r="M594" s="50" t="e">
        <f t="shared" si="133"/>
        <v>#VALUE!</v>
      </c>
      <c r="N594" s="50" t="e">
        <f t="shared" si="134"/>
        <v>#VALUE!</v>
      </c>
      <c r="O594" s="50">
        <f t="shared" si="135"/>
        <v>0</v>
      </c>
      <c r="Q594" s="55" t="e">
        <f t="shared" si="136"/>
        <v>#VALUE!</v>
      </c>
      <c r="R594" s="55" t="e">
        <f t="shared" si="140"/>
        <v>#VALUE!</v>
      </c>
      <c r="S594" s="55" t="e">
        <f t="shared" si="137"/>
        <v>#VALUE!</v>
      </c>
      <c r="T594" s="50" t="e">
        <f t="shared" si="141"/>
        <v>#VALUE!</v>
      </c>
      <c r="U594" s="50" t="e">
        <f t="shared" si="142"/>
        <v>#VALUE!</v>
      </c>
      <c r="V594" s="50" t="e">
        <f t="shared" si="143"/>
        <v>#VALUE!</v>
      </c>
    </row>
    <row r="595" spans="2:22" x14ac:dyDescent="0.25">
      <c r="B595" s="50" t="b">
        <f t="shared" si="144"/>
        <v>0</v>
      </c>
      <c r="C595" s="50" t="e">
        <f t="shared" si="131"/>
        <v>#VALUE!</v>
      </c>
      <c r="E595" s="56">
        <v>591</v>
      </c>
      <c r="G595" s="138"/>
      <c r="H595" s="135">
        <v>1</v>
      </c>
      <c r="I595" s="58" t="e">
        <f t="shared" si="132"/>
        <v>#VALUE!</v>
      </c>
      <c r="J595" s="50" t="e">
        <f t="shared" si="138"/>
        <v>#VALUE!</v>
      </c>
      <c r="K595" s="50" t="e">
        <f t="shared" si="139"/>
        <v>#VALUE!</v>
      </c>
      <c r="L595" s="50" t="e">
        <f t="shared" si="139"/>
        <v>#VALUE!</v>
      </c>
      <c r="M595" s="50" t="e">
        <f t="shared" si="133"/>
        <v>#VALUE!</v>
      </c>
      <c r="N595" s="50" t="e">
        <f t="shared" si="134"/>
        <v>#VALUE!</v>
      </c>
      <c r="O595" s="50">
        <f t="shared" si="135"/>
        <v>0</v>
      </c>
      <c r="Q595" s="55" t="e">
        <f t="shared" si="136"/>
        <v>#VALUE!</v>
      </c>
      <c r="R595" s="55" t="e">
        <f t="shared" si="140"/>
        <v>#VALUE!</v>
      </c>
      <c r="S595" s="55" t="e">
        <f t="shared" si="137"/>
        <v>#VALUE!</v>
      </c>
      <c r="T595" s="50" t="e">
        <f t="shared" si="141"/>
        <v>#VALUE!</v>
      </c>
      <c r="U595" s="50" t="e">
        <f t="shared" si="142"/>
        <v>#VALUE!</v>
      </c>
      <c r="V595" s="50" t="e">
        <f t="shared" si="143"/>
        <v>#VALUE!</v>
      </c>
    </row>
    <row r="596" spans="2:22" x14ac:dyDescent="0.25">
      <c r="B596" s="50" t="b">
        <f t="shared" si="144"/>
        <v>0</v>
      </c>
      <c r="C596" s="50" t="e">
        <f t="shared" si="131"/>
        <v>#VALUE!</v>
      </c>
      <c r="E596" s="56">
        <v>592</v>
      </c>
      <c r="G596" s="138"/>
      <c r="H596" s="135">
        <v>1</v>
      </c>
      <c r="I596" s="58" t="e">
        <f t="shared" si="132"/>
        <v>#VALUE!</v>
      </c>
      <c r="J596" s="50" t="e">
        <f t="shared" si="138"/>
        <v>#VALUE!</v>
      </c>
      <c r="K596" s="50" t="e">
        <f t="shared" si="139"/>
        <v>#VALUE!</v>
      </c>
      <c r="L596" s="50" t="e">
        <f t="shared" si="139"/>
        <v>#VALUE!</v>
      </c>
      <c r="M596" s="50" t="e">
        <f t="shared" si="133"/>
        <v>#VALUE!</v>
      </c>
      <c r="N596" s="50" t="e">
        <f t="shared" si="134"/>
        <v>#VALUE!</v>
      </c>
      <c r="O596" s="50">
        <f t="shared" si="135"/>
        <v>0</v>
      </c>
      <c r="Q596" s="55" t="e">
        <f t="shared" si="136"/>
        <v>#VALUE!</v>
      </c>
      <c r="R596" s="55" t="e">
        <f t="shared" si="140"/>
        <v>#VALUE!</v>
      </c>
      <c r="S596" s="55" t="e">
        <f t="shared" si="137"/>
        <v>#VALUE!</v>
      </c>
      <c r="T596" s="50" t="e">
        <f t="shared" si="141"/>
        <v>#VALUE!</v>
      </c>
      <c r="U596" s="50" t="e">
        <f t="shared" si="142"/>
        <v>#VALUE!</v>
      </c>
      <c r="V596" s="50" t="e">
        <f t="shared" si="143"/>
        <v>#VALUE!</v>
      </c>
    </row>
    <row r="597" spans="2:22" x14ac:dyDescent="0.25">
      <c r="B597" s="50" t="b">
        <f t="shared" si="144"/>
        <v>0</v>
      </c>
      <c r="C597" s="50" t="e">
        <f t="shared" si="131"/>
        <v>#VALUE!</v>
      </c>
      <c r="E597" s="56">
        <v>593</v>
      </c>
      <c r="G597" s="138"/>
      <c r="H597" s="135">
        <v>1</v>
      </c>
      <c r="I597" s="58" t="e">
        <f t="shared" si="132"/>
        <v>#VALUE!</v>
      </c>
      <c r="J597" s="50" t="e">
        <f t="shared" si="138"/>
        <v>#VALUE!</v>
      </c>
      <c r="K597" s="50" t="e">
        <f t="shared" si="139"/>
        <v>#VALUE!</v>
      </c>
      <c r="L597" s="50" t="e">
        <f t="shared" si="139"/>
        <v>#VALUE!</v>
      </c>
      <c r="M597" s="50" t="e">
        <f t="shared" si="133"/>
        <v>#VALUE!</v>
      </c>
      <c r="N597" s="50" t="e">
        <f t="shared" si="134"/>
        <v>#VALUE!</v>
      </c>
      <c r="O597" s="50">
        <f t="shared" si="135"/>
        <v>0</v>
      </c>
      <c r="Q597" s="55" t="e">
        <f t="shared" si="136"/>
        <v>#VALUE!</v>
      </c>
      <c r="R597" s="55" t="e">
        <f t="shared" si="140"/>
        <v>#VALUE!</v>
      </c>
      <c r="S597" s="55" t="e">
        <f t="shared" si="137"/>
        <v>#VALUE!</v>
      </c>
      <c r="T597" s="50" t="e">
        <f t="shared" si="141"/>
        <v>#VALUE!</v>
      </c>
      <c r="U597" s="50" t="e">
        <f t="shared" si="142"/>
        <v>#VALUE!</v>
      </c>
      <c r="V597" s="50" t="e">
        <f t="shared" si="143"/>
        <v>#VALUE!</v>
      </c>
    </row>
    <row r="598" spans="2:22" x14ac:dyDescent="0.25">
      <c r="B598" s="50" t="b">
        <f t="shared" si="144"/>
        <v>0</v>
      </c>
      <c r="C598" s="50" t="e">
        <f t="shared" si="131"/>
        <v>#VALUE!</v>
      </c>
      <c r="E598" s="56">
        <v>594</v>
      </c>
      <c r="G598" s="138"/>
      <c r="H598" s="135">
        <v>1</v>
      </c>
      <c r="I598" s="58" t="e">
        <f t="shared" si="132"/>
        <v>#VALUE!</v>
      </c>
      <c r="J598" s="50" t="e">
        <f t="shared" si="138"/>
        <v>#VALUE!</v>
      </c>
      <c r="K598" s="50" t="e">
        <f t="shared" si="139"/>
        <v>#VALUE!</v>
      </c>
      <c r="L598" s="50" t="e">
        <f t="shared" si="139"/>
        <v>#VALUE!</v>
      </c>
      <c r="M598" s="50" t="e">
        <f t="shared" si="133"/>
        <v>#VALUE!</v>
      </c>
      <c r="N598" s="50" t="e">
        <f t="shared" si="134"/>
        <v>#VALUE!</v>
      </c>
      <c r="O598" s="50">
        <f t="shared" si="135"/>
        <v>0</v>
      </c>
      <c r="Q598" s="55" t="e">
        <f t="shared" si="136"/>
        <v>#VALUE!</v>
      </c>
      <c r="R598" s="55" t="e">
        <f t="shared" si="140"/>
        <v>#VALUE!</v>
      </c>
      <c r="S598" s="55" t="e">
        <f t="shared" si="137"/>
        <v>#VALUE!</v>
      </c>
      <c r="T598" s="50" t="e">
        <f t="shared" si="141"/>
        <v>#VALUE!</v>
      </c>
      <c r="U598" s="50" t="e">
        <f t="shared" si="142"/>
        <v>#VALUE!</v>
      </c>
      <c r="V598" s="50" t="e">
        <f t="shared" si="143"/>
        <v>#VALUE!</v>
      </c>
    </row>
    <row r="599" spans="2:22" x14ac:dyDescent="0.25">
      <c r="B599" s="50" t="b">
        <f t="shared" si="144"/>
        <v>0</v>
      </c>
      <c r="C599" s="50" t="e">
        <f t="shared" si="131"/>
        <v>#VALUE!</v>
      </c>
      <c r="E599" s="56">
        <v>595</v>
      </c>
      <c r="G599" s="138"/>
      <c r="H599" s="135">
        <v>1</v>
      </c>
      <c r="I599" s="58" t="e">
        <f t="shared" si="132"/>
        <v>#VALUE!</v>
      </c>
      <c r="J599" s="50" t="e">
        <f t="shared" si="138"/>
        <v>#VALUE!</v>
      </c>
      <c r="K599" s="50" t="e">
        <f t="shared" si="139"/>
        <v>#VALUE!</v>
      </c>
      <c r="L599" s="50" t="e">
        <f t="shared" si="139"/>
        <v>#VALUE!</v>
      </c>
      <c r="M599" s="50" t="e">
        <f t="shared" si="133"/>
        <v>#VALUE!</v>
      </c>
      <c r="N599" s="50" t="e">
        <f t="shared" si="134"/>
        <v>#VALUE!</v>
      </c>
      <c r="O599" s="50">
        <f t="shared" si="135"/>
        <v>0</v>
      </c>
      <c r="Q599" s="55" t="e">
        <f t="shared" si="136"/>
        <v>#VALUE!</v>
      </c>
      <c r="R599" s="55" t="e">
        <f t="shared" si="140"/>
        <v>#VALUE!</v>
      </c>
      <c r="S599" s="55" t="e">
        <f t="shared" si="137"/>
        <v>#VALUE!</v>
      </c>
      <c r="T599" s="50" t="e">
        <f t="shared" si="141"/>
        <v>#VALUE!</v>
      </c>
      <c r="U599" s="50" t="e">
        <f t="shared" si="142"/>
        <v>#VALUE!</v>
      </c>
      <c r="V599" s="50" t="e">
        <f t="shared" si="143"/>
        <v>#VALUE!</v>
      </c>
    </row>
    <row r="600" spans="2:22" x14ac:dyDescent="0.25">
      <c r="B600" s="50" t="b">
        <f t="shared" si="144"/>
        <v>0</v>
      </c>
      <c r="C600" s="50" t="e">
        <f t="shared" si="131"/>
        <v>#VALUE!</v>
      </c>
      <c r="E600" s="56">
        <v>596</v>
      </c>
      <c r="G600" s="138"/>
      <c r="H600" s="135">
        <v>1</v>
      </c>
      <c r="I600" s="58" t="e">
        <f t="shared" si="132"/>
        <v>#VALUE!</v>
      </c>
      <c r="J600" s="50" t="e">
        <f t="shared" si="138"/>
        <v>#VALUE!</v>
      </c>
      <c r="K600" s="50" t="e">
        <f t="shared" si="139"/>
        <v>#VALUE!</v>
      </c>
      <c r="L600" s="50" t="e">
        <f t="shared" si="139"/>
        <v>#VALUE!</v>
      </c>
      <c r="M600" s="50" t="e">
        <f t="shared" si="133"/>
        <v>#VALUE!</v>
      </c>
      <c r="N600" s="50" t="e">
        <f t="shared" si="134"/>
        <v>#VALUE!</v>
      </c>
      <c r="O600" s="50">
        <f t="shared" si="135"/>
        <v>0</v>
      </c>
      <c r="Q600" s="55" t="e">
        <f t="shared" si="136"/>
        <v>#VALUE!</v>
      </c>
      <c r="R600" s="55" t="e">
        <f t="shared" si="140"/>
        <v>#VALUE!</v>
      </c>
      <c r="S600" s="55" t="e">
        <f t="shared" si="137"/>
        <v>#VALUE!</v>
      </c>
      <c r="T600" s="50" t="e">
        <f t="shared" si="141"/>
        <v>#VALUE!</v>
      </c>
      <c r="U600" s="50" t="e">
        <f t="shared" si="142"/>
        <v>#VALUE!</v>
      </c>
      <c r="V600" s="50" t="e">
        <f t="shared" si="143"/>
        <v>#VALUE!</v>
      </c>
    </row>
    <row r="601" spans="2:22" x14ac:dyDescent="0.25">
      <c r="B601" s="50" t="b">
        <f t="shared" si="144"/>
        <v>0</v>
      </c>
      <c r="C601" s="50" t="e">
        <f t="shared" si="131"/>
        <v>#VALUE!</v>
      </c>
      <c r="E601" s="56">
        <v>597</v>
      </c>
      <c r="G601" s="138"/>
      <c r="H601" s="135">
        <v>1</v>
      </c>
      <c r="I601" s="58" t="e">
        <f t="shared" si="132"/>
        <v>#VALUE!</v>
      </c>
      <c r="J601" s="50" t="e">
        <f t="shared" si="138"/>
        <v>#VALUE!</v>
      </c>
      <c r="K601" s="50" t="e">
        <f t="shared" si="139"/>
        <v>#VALUE!</v>
      </c>
      <c r="L601" s="50" t="e">
        <f t="shared" si="139"/>
        <v>#VALUE!</v>
      </c>
      <c r="M601" s="50" t="e">
        <f t="shared" si="133"/>
        <v>#VALUE!</v>
      </c>
      <c r="N601" s="50" t="e">
        <f t="shared" si="134"/>
        <v>#VALUE!</v>
      </c>
      <c r="O601" s="50">
        <f t="shared" si="135"/>
        <v>0</v>
      </c>
      <c r="Q601" s="55" t="e">
        <f t="shared" si="136"/>
        <v>#VALUE!</v>
      </c>
      <c r="R601" s="55" t="e">
        <f t="shared" si="140"/>
        <v>#VALUE!</v>
      </c>
      <c r="S601" s="55" t="e">
        <f t="shared" si="137"/>
        <v>#VALUE!</v>
      </c>
      <c r="T601" s="50" t="e">
        <f t="shared" si="141"/>
        <v>#VALUE!</v>
      </c>
      <c r="U601" s="50" t="e">
        <f t="shared" si="142"/>
        <v>#VALUE!</v>
      </c>
      <c r="V601" s="50" t="e">
        <f t="shared" si="143"/>
        <v>#VALUE!</v>
      </c>
    </row>
    <row r="602" spans="2:22" x14ac:dyDescent="0.25">
      <c r="B602" s="50" t="b">
        <f t="shared" si="144"/>
        <v>0</v>
      </c>
      <c r="C602" s="50" t="e">
        <f t="shared" si="131"/>
        <v>#VALUE!</v>
      </c>
      <c r="E602" s="56">
        <v>598</v>
      </c>
      <c r="G602" s="138"/>
      <c r="H602" s="135">
        <v>1</v>
      </c>
      <c r="I602" s="58" t="e">
        <f t="shared" si="132"/>
        <v>#VALUE!</v>
      </c>
      <c r="J602" s="50" t="e">
        <f t="shared" si="138"/>
        <v>#VALUE!</v>
      </c>
      <c r="K602" s="50" t="e">
        <f t="shared" si="139"/>
        <v>#VALUE!</v>
      </c>
      <c r="L602" s="50" t="e">
        <f t="shared" si="139"/>
        <v>#VALUE!</v>
      </c>
      <c r="M602" s="50" t="e">
        <f t="shared" si="133"/>
        <v>#VALUE!</v>
      </c>
      <c r="N602" s="50" t="e">
        <f t="shared" si="134"/>
        <v>#VALUE!</v>
      </c>
      <c r="O602" s="50">
        <f t="shared" si="135"/>
        <v>0</v>
      </c>
      <c r="Q602" s="55" t="e">
        <f t="shared" si="136"/>
        <v>#VALUE!</v>
      </c>
      <c r="R602" s="55" t="e">
        <f t="shared" si="140"/>
        <v>#VALUE!</v>
      </c>
      <c r="S602" s="55" t="e">
        <f t="shared" si="137"/>
        <v>#VALUE!</v>
      </c>
      <c r="T602" s="50" t="e">
        <f t="shared" si="141"/>
        <v>#VALUE!</v>
      </c>
      <c r="U602" s="50" t="e">
        <f t="shared" si="142"/>
        <v>#VALUE!</v>
      </c>
      <c r="V602" s="50" t="e">
        <f t="shared" si="143"/>
        <v>#VALUE!</v>
      </c>
    </row>
    <row r="603" spans="2:22" x14ac:dyDescent="0.25">
      <c r="B603" s="50" t="b">
        <f t="shared" si="144"/>
        <v>0</v>
      </c>
      <c r="C603" s="50" t="e">
        <f t="shared" si="131"/>
        <v>#VALUE!</v>
      </c>
      <c r="E603" s="56">
        <v>599</v>
      </c>
      <c r="G603" s="138"/>
      <c r="H603" s="135">
        <v>1</v>
      </c>
      <c r="I603" s="58" t="e">
        <f t="shared" si="132"/>
        <v>#VALUE!</v>
      </c>
      <c r="J603" s="50" t="e">
        <f t="shared" si="138"/>
        <v>#VALUE!</v>
      </c>
      <c r="K603" s="50" t="e">
        <f t="shared" si="139"/>
        <v>#VALUE!</v>
      </c>
      <c r="L603" s="50" t="e">
        <f t="shared" si="139"/>
        <v>#VALUE!</v>
      </c>
      <c r="M603" s="50" t="e">
        <f t="shared" si="133"/>
        <v>#VALUE!</v>
      </c>
      <c r="N603" s="50" t="e">
        <f t="shared" si="134"/>
        <v>#VALUE!</v>
      </c>
      <c r="O603" s="50">
        <f t="shared" si="135"/>
        <v>0</v>
      </c>
      <c r="Q603" s="55" t="e">
        <f t="shared" si="136"/>
        <v>#VALUE!</v>
      </c>
      <c r="R603" s="55" t="e">
        <f t="shared" si="140"/>
        <v>#VALUE!</v>
      </c>
      <c r="S603" s="55" t="e">
        <f t="shared" si="137"/>
        <v>#VALUE!</v>
      </c>
      <c r="T603" s="50" t="e">
        <f t="shared" si="141"/>
        <v>#VALUE!</v>
      </c>
      <c r="U603" s="50" t="e">
        <f t="shared" si="142"/>
        <v>#VALUE!</v>
      </c>
      <c r="V603" s="50" t="e">
        <f t="shared" si="143"/>
        <v>#VALUE!</v>
      </c>
    </row>
    <row r="604" spans="2:22" x14ac:dyDescent="0.25">
      <c r="B604" s="50" t="b">
        <f t="shared" si="144"/>
        <v>0</v>
      </c>
      <c r="C604" s="50" t="e">
        <f t="shared" si="131"/>
        <v>#VALUE!</v>
      </c>
      <c r="E604" s="56">
        <v>600</v>
      </c>
      <c r="G604" s="138"/>
      <c r="H604" s="135">
        <v>1</v>
      </c>
      <c r="I604" s="58" t="e">
        <f t="shared" si="132"/>
        <v>#VALUE!</v>
      </c>
      <c r="J604" s="50" t="e">
        <f t="shared" si="138"/>
        <v>#VALUE!</v>
      </c>
      <c r="K604" s="50" t="e">
        <f t="shared" si="139"/>
        <v>#VALUE!</v>
      </c>
      <c r="L604" s="50" t="e">
        <f t="shared" si="139"/>
        <v>#VALUE!</v>
      </c>
      <c r="M604" s="50" t="e">
        <f t="shared" si="133"/>
        <v>#VALUE!</v>
      </c>
      <c r="N604" s="50" t="e">
        <f t="shared" si="134"/>
        <v>#VALUE!</v>
      </c>
      <c r="O604" s="50">
        <f t="shared" si="135"/>
        <v>0</v>
      </c>
      <c r="Q604" s="55" t="e">
        <f t="shared" si="136"/>
        <v>#VALUE!</v>
      </c>
      <c r="R604" s="55" t="e">
        <f t="shared" si="140"/>
        <v>#VALUE!</v>
      </c>
      <c r="S604" s="55" t="e">
        <f t="shared" si="137"/>
        <v>#VALUE!</v>
      </c>
      <c r="T604" s="50" t="e">
        <f t="shared" si="141"/>
        <v>#VALUE!</v>
      </c>
      <c r="U604" s="50" t="e">
        <f t="shared" si="142"/>
        <v>#VALUE!</v>
      </c>
      <c r="V604" s="50" t="e">
        <f t="shared" si="143"/>
        <v>#VALUE!</v>
      </c>
    </row>
    <row r="605" spans="2:22" x14ac:dyDescent="0.25">
      <c r="B605" s="50" t="b">
        <f t="shared" si="144"/>
        <v>0</v>
      </c>
      <c r="C605" s="50" t="e">
        <f t="shared" si="131"/>
        <v>#VALUE!</v>
      </c>
      <c r="E605" s="56">
        <v>601</v>
      </c>
      <c r="G605" s="138"/>
      <c r="H605" s="135">
        <v>1</v>
      </c>
      <c r="I605" s="58" t="e">
        <f t="shared" si="132"/>
        <v>#VALUE!</v>
      </c>
      <c r="J605" s="50" t="e">
        <f t="shared" si="138"/>
        <v>#VALUE!</v>
      </c>
      <c r="K605" s="50" t="e">
        <f t="shared" si="139"/>
        <v>#VALUE!</v>
      </c>
      <c r="L605" s="50" t="e">
        <f t="shared" si="139"/>
        <v>#VALUE!</v>
      </c>
      <c r="M605" s="50" t="e">
        <f t="shared" si="133"/>
        <v>#VALUE!</v>
      </c>
      <c r="N605" s="50" t="e">
        <f t="shared" si="134"/>
        <v>#VALUE!</v>
      </c>
      <c r="O605" s="50">
        <f t="shared" si="135"/>
        <v>0</v>
      </c>
      <c r="Q605" s="55" t="e">
        <f t="shared" si="136"/>
        <v>#VALUE!</v>
      </c>
      <c r="R605" s="55" t="e">
        <f t="shared" si="140"/>
        <v>#VALUE!</v>
      </c>
      <c r="S605" s="55" t="e">
        <f t="shared" si="137"/>
        <v>#VALUE!</v>
      </c>
      <c r="T605" s="50" t="e">
        <f t="shared" si="141"/>
        <v>#VALUE!</v>
      </c>
      <c r="U605" s="50" t="e">
        <f t="shared" si="142"/>
        <v>#VALUE!</v>
      </c>
      <c r="V605" s="50" t="e">
        <f t="shared" si="143"/>
        <v>#VALUE!</v>
      </c>
    </row>
    <row r="606" spans="2:22" x14ac:dyDescent="0.25">
      <c r="B606" s="50" t="b">
        <f t="shared" si="144"/>
        <v>0</v>
      </c>
      <c r="C606" s="50" t="e">
        <f t="shared" si="131"/>
        <v>#VALUE!</v>
      </c>
      <c r="E606" s="56">
        <v>602</v>
      </c>
      <c r="G606" s="138"/>
      <c r="H606" s="135">
        <v>1</v>
      </c>
      <c r="I606" s="58" t="e">
        <f t="shared" si="132"/>
        <v>#VALUE!</v>
      </c>
      <c r="J606" s="50" t="e">
        <f t="shared" si="138"/>
        <v>#VALUE!</v>
      </c>
      <c r="K606" s="50" t="e">
        <f t="shared" si="139"/>
        <v>#VALUE!</v>
      </c>
      <c r="L606" s="50" t="e">
        <f t="shared" si="139"/>
        <v>#VALUE!</v>
      </c>
      <c r="M606" s="50" t="e">
        <f t="shared" si="133"/>
        <v>#VALUE!</v>
      </c>
      <c r="N606" s="50" t="e">
        <f t="shared" si="134"/>
        <v>#VALUE!</v>
      </c>
      <c r="O606" s="50">
        <f t="shared" si="135"/>
        <v>0</v>
      </c>
      <c r="Q606" s="55" t="e">
        <f t="shared" si="136"/>
        <v>#VALUE!</v>
      </c>
      <c r="R606" s="55" t="e">
        <f t="shared" si="140"/>
        <v>#VALUE!</v>
      </c>
      <c r="S606" s="55" t="e">
        <f t="shared" si="137"/>
        <v>#VALUE!</v>
      </c>
      <c r="T606" s="50" t="e">
        <f t="shared" si="141"/>
        <v>#VALUE!</v>
      </c>
      <c r="U606" s="50" t="e">
        <f t="shared" si="142"/>
        <v>#VALUE!</v>
      </c>
      <c r="V606" s="50" t="e">
        <f t="shared" si="143"/>
        <v>#VALUE!</v>
      </c>
    </row>
    <row r="607" spans="2:22" x14ac:dyDescent="0.25">
      <c r="B607" s="50" t="b">
        <f t="shared" si="144"/>
        <v>0</v>
      </c>
      <c r="C607" s="50" t="e">
        <f t="shared" si="131"/>
        <v>#VALUE!</v>
      </c>
      <c r="E607" s="56">
        <v>603</v>
      </c>
      <c r="G607" s="138"/>
      <c r="H607" s="135">
        <v>1</v>
      </c>
      <c r="I607" s="58" t="e">
        <f t="shared" si="132"/>
        <v>#VALUE!</v>
      </c>
      <c r="J607" s="50" t="e">
        <f t="shared" si="138"/>
        <v>#VALUE!</v>
      </c>
      <c r="K607" s="50" t="e">
        <f t="shared" si="139"/>
        <v>#VALUE!</v>
      </c>
      <c r="L607" s="50" t="e">
        <f t="shared" si="139"/>
        <v>#VALUE!</v>
      </c>
      <c r="M607" s="50" t="e">
        <f t="shared" si="133"/>
        <v>#VALUE!</v>
      </c>
      <c r="N607" s="50" t="e">
        <f t="shared" si="134"/>
        <v>#VALUE!</v>
      </c>
      <c r="O607" s="50">
        <f t="shared" si="135"/>
        <v>0</v>
      </c>
      <c r="Q607" s="55" t="e">
        <f t="shared" si="136"/>
        <v>#VALUE!</v>
      </c>
      <c r="R607" s="55" t="e">
        <f t="shared" si="140"/>
        <v>#VALUE!</v>
      </c>
      <c r="S607" s="55" t="e">
        <f t="shared" si="137"/>
        <v>#VALUE!</v>
      </c>
      <c r="T607" s="50" t="e">
        <f t="shared" si="141"/>
        <v>#VALUE!</v>
      </c>
      <c r="U607" s="50" t="e">
        <f t="shared" si="142"/>
        <v>#VALUE!</v>
      </c>
      <c r="V607" s="50" t="e">
        <f t="shared" si="143"/>
        <v>#VALUE!</v>
      </c>
    </row>
    <row r="608" spans="2:22" x14ac:dyDescent="0.25">
      <c r="B608" s="50" t="b">
        <f t="shared" si="144"/>
        <v>0</v>
      </c>
      <c r="C608" s="50" t="e">
        <f t="shared" si="131"/>
        <v>#VALUE!</v>
      </c>
      <c r="E608" s="56">
        <v>604</v>
      </c>
      <c r="G608" s="138"/>
      <c r="H608" s="135">
        <v>1</v>
      </c>
      <c r="I608" s="58" t="e">
        <f t="shared" si="132"/>
        <v>#VALUE!</v>
      </c>
      <c r="J608" s="50" t="e">
        <f t="shared" si="138"/>
        <v>#VALUE!</v>
      </c>
      <c r="K608" s="50" t="e">
        <f t="shared" si="139"/>
        <v>#VALUE!</v>
      </c>
      <c r="L608" s="50" t="e">
        <f t="shared" si="139"/>
        <v>#VALUE!</v>
      </c>
      <c r="M608" s="50" t="e">
        <f t="shared" si="133"/>
        <v>#VALUE!</v>
      </c>
      <c r="N608" s="50" t="e">
        <f t="shared" si="134"/>
        <v>#VALUE!</v>
      </c>
      <c r="O608" s="50">
        <f t="shared" si="135"/>
        <v>0</v>
      </c>
      <c r="Q608" s="55" t="e">
        <f t="shared" si="136"/>
        <v>#VALUE!</v>
      </c>
      <c r="R608" s="55" t="e">
        <f t="shared" si="140"/>
        <v>#VALUE!</v>
      </c>
      <c r="S608" s="55" t="e">
        <f t="shared" si="137"/>
        <v>#VALUE!</v>
      </c>
      <c r="T608" s="50" t="e">
        <f t="shared" si="141"/>
        <v>#VALUE!</v>
      </c>
      <c r="U608" s="50" t="e">
        <f t="shared" si="142"/>
        <v>#VALUE!</v>
      </c>
      <c r="V608" s="50" t="e">
        <f t="shared" si="143"/>
        <v>#VALUE!</v>
      </c>
    </row>
    <row r="609" spans="2:22" x14ac:dyDescent="0.25">
      <c r="B609" s="50" t="b">
        <f t="shared" si="144"/>
        <v>0</v>
      </c>
      <c r="C609" s="50" t="e">
        <f t="shared" si="131"/>
        <v>#VALUE!</v>
      </c>
      <c r="E609" s="56">
        <v>605</v>
      </c>
      <c r="G609" s="138"/>
      <c r="H609" s="135">
        <v>1</v>
      </c>
      <c r="I609" s="58" t="e">
        <f t="shared" si="132"/>
        <v>#VALUE!</v>
      </c>
      <c r="J609" s="50" t="e">
        <f t="shared" si="138"/>
        <v>#VALUE!</v>
      </c>
      <c r="K609" s="50" t="e">
        <f t="shared" si="139"/>
        <v>#VALUE!</v>
      </c>
      <c r="L609" s="50" t="e">
        <f t="shared" si="139"/>
        <v>#VALUE!</v>
      </c>
      <c r="M609" s="50" t="e">
        <f t="shared" si="133"/>
        <v>#VALUE!</v>
      </c>
      <c r="N609" s="50" t="e">
        <f t="shared" si="134"/>
        <v>#VALUE!</v>
      </c>
      <c r="O609" s="50">
        <f t="shared" si="135"/>
        <v>0</v>
      </c>
      <c r="Q609" s="55" t="e">
        <f t="shared" si="136"/>
        <v>#VALUE!</v>
      </c>
      <c r="R609" s="55" t="e">
        <f t="shared" si="140"/>
        <v>#VALUE!</v>
      </c>
      <c r="S609" s="55" t="e">
        <f t="shared" si="137"/>
        <v>#VALUE!</v>
      </c>
      <c r="T609" s="50" t="e">
        <f t="shared" si="141"/>
        <v>#VALUE!</v>
      </c>
      <c r="U609" s="50" t="e">
        <f t="shared" si="142"/>
        <v>#VALUE!</v>
      </c>
      <c r="V609" s="50" t="e">
        <f t="shared" si="143"/>
        <v>#VALUE!</v>
      </c>
    </row>
    <row r="610" spans="2:22" x14ac:dyDescent="0.25">
      <c r="B610" s="50" t="b">
        <f t="shared" si="144"/>
        <v>0</v>
      </c>
      <c r="C610" s="50" t="e">
        <f t="shared" si="131"/>
        <v>#VALUE!</v>
      </c>
      <c r="E610" s="56">
        <v>606</v>
      </c>
      <c r="G610" s="138"/>
      <c r="H610" s="135">
        <v>1</v>
      </c>
      <c r="I610" s="58" t="e">
        <f t="shared" si="132"/>
        <v>#VALUE!</v>
      </c>
      <c r="J610" s="50" t="e">
        <f t="shared" si="138"/>
        <v>#VALUE!</v>
      </c>
      <c r="K610" s="50" t="e">
        <f t="shared" si="139"/>
        <v>#VALUE!</v>
      </c>
      <c r="L610" s="50" t="e">
        <f t="shared" si="139"/>
        <v>#VALUE!</v>
      </c>
      <c r="M610" s="50" t="e">
        <f t="shared" si="133"/>
        <v>#VALUE!</v>
      </c>
      <c r="N610" s="50" t="e">
        <f t="shared" si="134"/>
        <v>#VALUE!</v>
      </c>
      <c r="O610" s="50">
        <f t="shared" si="135"/>
        <v>0</v>
      </c>
      <c r="Q610" s="55" t="e">
        <f t="shared" si="136"/>
        <v>#VALUE!</v>
      </c>
      <c r="R610" s="55" t="e">
        <f t="shared" si="140"/>
        <v>#VALUE!</v>
      </c>
      <c r="S610" s="55" t="e">
        <f t="shared" si="137"/>
        <v>#VALUE!</v>
      </c>
      <c r="T610" s="50" t="e">
        <f t="shared" si="141"/>
        <v>#VALUE!</v>
      </c>
      <c r="U610" s="50" t="e">
        <f t="shared" si="142"/>
        <v>#VALUE!</v>
      </c>
      <c r="V610" s="50" t="e">
        <f t="shared" si="143"/>
        <v>#VALUE!</v>
      </c>
    </row>
    <row r="611" spans="2:22" x14ac:dyDescent="0.25">
      <c r="B611" s="50" t="b">
        <f t="shared" si="144"/>
        <v>0</v>
      </c>
      <c r="C611" s="50" t="e">
        <f t="shared" si="131"/>
        <v>#VALUE!</v>
      </c>
      <c r="E611" s="56">
        <v>607</v>
      </c>
      <c r="G611" s="138"/>
      <c r="H611" s="135">
        <v>1</v>
      </c>
      <c r="I611" s="58" t="e">
        <f t="shared" si="132"/>
        <v>#VALUE!</v>
      </c>
      <c r="J611" s="50" t="e">
        <f t="shared" si="138"/>
        <v>#VALUE!</v>
      </c>
      <c r="K611" s="50" t="e">
        <f t="shared" si="139"/>
        <v>#VALUE!</v>
      </c>
      <c r="L611" s="50" t="e">
        <f t="shared" si="139"/>
        <v>#VALUE!</v>
      </c>
      <c r="M611" s="50" t="e">
        <f t="shared" si="133"/>
        <v>#VALUE!</v>
      </c>
      <c r="N611" s="50" t="e">
        <f t="shared" si="134"/>
        <v>#VALUE!</v>
      </c>
      <c r="O611" s="50">
        <f t="shared" si="135"/>
        <v>0</v>
      </c>
      <c r="Q611" s="55" t="e">
        <f t="shared" si="136"/>
        <v>#VALUE!</v>
      </c>
      <c r="R611" s="55" t="e">
        <f t="shared" si="140"/>
        <v>#VALUE!</v>
      </c>
      <c r="S611" s="55" t="e">
        <f t="shared" si="137"/>
        <v>#VALUE!</v>
      </c>
      <c r="T611" s="50" t="e">
        <f t="shared" si="141"/>
        <v>#VALUE!</v>
      </c>
      <c r="U611" s="50" t="e">
        <f t="shared" si="142"/>
        <v>#VALUE!</v>
      </c>
      <c r="V611" s="50" t="e">
        <f t="shared" si="143"/>
        <v>#VALUE!</v>
      </c>
    </row>
    <row r="612" spans="2:22" x14ac:dyDescent="0.25">
      <c r="B612" s="50" t="b">
        <f t="shared" si="144"/>
        <v>0</v>
      </c>
      <c r="C612" s="50" t="e">
        <f t="shared" si="131"/>
        <v>#VALUE!</v>
      </c>
      <c r="E612" s="56">
        <v>608</v>
      </c>
      <c r="G612" s="138"/>
      <c r="H612" s="135">
        <v>1</v>
      </c>
      <c r="I612" s="58" t="e">
        <f t="shared" si="132"/>
        <v>#VALUE!</v>
      </c>
      <c r="J612" s="50" t="e">
        <f t="shared" si="138"/>
        <v>#VALUE!</v>
      </c>
      <c r="K612" s="50" t="e">
        <f t="shared" si="139"/>
        <v>#VALUE!</v>
      </c>
      <c r="L612" s="50" t="e">
        <f t="shared" si="139"/>
        <v>#VALUE!</v>
      </c>
      <c r="M612" s="50" t="e">
        <f t="shared" si="133"/>
        <v>#VALUE!</v>
      </c>
      <c r="N612" s="50" t="e">
        <f t="shared" si="134"/>
        <v>#VALUE!</v>
      </c>
      <c r="O612" s="50">
        <f t="shared" si="135"/>
        <v>0</v>
      </c>
      <c r="Q612" s="55" t="e">
        <f t="shared" si="136"/>
        <v>#VALUE!</v>
      </c>
      <c r="R612" s="55" t="e">
        <f t="shared" si="140"/>
        <v>#VALUE!</v>
      </c>
      <c r="S612" s="55" t="e">
        <f t="shared" si="137"/>
        <v>#VALUE!</v>
      </c>
      <c r="T612" s="50" t="e">
        <f t="shared" si="141"/>
        <v>#VALUE!</v>
      </c>
      <c r="U612" s="50" t="e">
        <f t="shared" si="142"/>
        <v>#VALUE!</v>
      </c>
      <c r="V612" s="50" t="e">
        <f t="shared" si="143"/>
        <v>#VALUE!</v>
      </c>
    </row>
    <row r="613" spans="2:22" x14ac:dyDescent="0.25">
      <c r="B613" s="50" t="b">
        <f t="shared" si="144"/>
        <v>0</v>
      </c>
      <c r="C613" s="50" t="e">
        <f t="shared" si="131"/>
        <v>#VALUE!</v>
      </c>
      <c r="E613" s="56">
        <v>609</v>
      </c>
      <c r="G613" s="138"/>
      <c r="H613" s="135">
        <v>1</v>
      </c>
      <c r="I613" s="58" t="e">
        <f t="shared" si="132"/>
        <v>#VALUE!</v>
      </c>
      <c r="J613" s="50" t="e">
        <f t="shared" si="138"/>
        <v>#VALUE!</v>
      </c>
      <c r="K613" s="50" t="e">
        <f t="shared" si="139"/>
        <v>#VALUE!</v>
      </c>
      <c r="L613" s="50" t="e">
        <f t="shared" si="139"/>
        <v>#VALUE!</v>
      </c>
      <c r="M613" s="50" t="e">
        <f t="shared" si="133"/>
        <v>#VALUE!</v>
      </c>
      <c r="N613" s="50" t="e">
        <f t="shared" si="134"/>
        <v>#VALUE!</v>
      </c>
      <c r="O613" s="50">
        <f t="shared" si="135"/>
        <v>0</v>
      </c>
      <c r="Q613" s="55" t="e">
        <f t="shared" si="136"/>
        <v>#VALUE!</v>
      </c>
      <c r="R613" s="55" t="e">
        <f t="shared" si="140"/>
        <v>#VALUE!</v>
      </c>
      <c r="S613" s="55" t="e">
        <f t="shared" si="137"/>
        <v>#VALUE!</v>
      </c>
      <c r="T613" s="50" t="e">
        <f t="shared" si="141"/>
        <v>#VALUE!</v>
      </c>
      <c r="U613" s="50" t="e">
        <f t="shared" si="142"/>
        <v>#VALUE!</v>
      </c>
      <c r="V613" s="50" t="e">
        <f t="shared" si="143"/>
        <v>#VALUE!</v>
      </c>
    </row>
    <row r="614" spans="2:22" x14ac:dyDescent="0.25">
      <c r="B614" s="50" t="b">
        <f t="shared" si="144"/>
        <v>0</v>
      </c>
      <c r="C614" s="50" t="e">
        <f t="shared" si="131"/>
        <v>#VALUE!</v>
      </c>
      <c r="E614" s="56">
        <v>610</v>
      </c>
      <c r="G614" s="138"/>
      <c r="H614" s="135">
        <v>1</v>
      </c>
      <c r="I614" s="58" t="e">
        <f t="shared" si="132"/>
        <v>#VALUE!</v>
      </c>
      <c r="J614" s="50" t="e">
        <f t="shared" si="138"/>
        <v>#VALUE!</v>
      </c>
      <c r="K614" s="50" t="e">
        <f t="shared" si="139"/>
        <v>#VALUE!</v>
      </c>
      <c r="L614" s="50" t="e">
        <f t="shared" si="139"/>
        <v>#VALUE!</v>
      </c>
      <c r="M614" s="50" t="e">
        <f t="shared" si="133"/>
        <v>#VALUE!</v>
      </c>
      <c r="N614" s="50" t="e">
        <f t="shared" si="134"/>
        <v>#VALUE!</v>
      </c>
      <c r="O614" s="50">
        <f t="shared" si="135"/>
        <v>0</v>
      </c>
      <c r="Q614" s="55" t="e">
        <f t="shared" si="136"/>
        <v>#VALUE!</v>
      </c>
      <c r="R614" s="55" t="e">
        <f t="shared" si="140"/>
        <v>#VALUE!</v>
      </c>
      <c r="S614" s="55" t="e">
        <f t="shared" si="137"/>
        <v>#VALUE!</v>
      </c>
      <c r="T614" s="50" t="e">
        <f t="shared" si="141"/>
        <v>#VALUE!</v>
      </c>
      <c r="U614" s="50" t="e">
        <f t="shared" si="142"/>
        <v>#VALUE!</v>
      </c>
      <c r="V614" s="50" t="e">
        <f t="shared" si="143"/>
        <v>#VALUE!</v>
      </c>
    </row>
    <row r="615" spans="2:22" x14ac:dyDescent="0.25">
      <c r="B615" s="50" t="b">
        <f t="shared" si="144"/>
        <v>0</v>
      </c>
      <c r="C615" s="50" t="e">
        <f t="shared" si="131"/>
        <v>#VALUE!</v>
      </c>
      <c r="E615" s="56">
        <v>611</v>
      </c>
      <c r="G615" s="138"/>
      <c r="H615" s="135">
        <v>1</v>
      </c>
      <c r="I615" s="58" t="e">
        <f t="shared" si="132"/>
        <v>#VALUE!</v>
      </c>
      <c r="J615" s="50" t="e">
        <f t="shared" si="138"/>
        <v>#VALUE!</v>
      </c>
      <c r="K615" s="50" t="e">
        <f t="shared" si="139"/>
        <v>#VALUE!</v>
      </c>
      <c r="L615" s="50" t="e">
        <f t="shared" si="139"/>
        <v>#VALUE!</v>
      </c>
      <c r="M615" s="50" t="e">
        <f t="shared" si="133"/>
        <v>#VALUE!</v>
      </c>
      <c r="N615" s="50" t="e">
        <f t="shared" si="134"/>
        <v>#VALUE!</v>
      </c>
      <c r="O615" s="50">
        <f t="shared" si="135"/>
        <v>0</v>
      </c>
      <c r="Q615" s="55" t="e">
        <f t="shared" si="136"/>
        <v>#VALUE!</v>
      </c>
      <c r="R615" s="55" t="e">
        <f t="shared" si="140"/>
        <v>#VALUE!</v>
      </c>
      <c r="S615" s="55" t="e">
        <f t="shared" si="137"/>
        <v>#VALUE!</v>
      </c>
      <c r="T615" s="50" t="e">
        <f t="shared" si="141"/>
        <v>#VALUE!</v>
      </c>
      <c r="U615" s="50" t="e">
        <f t="shared" si="142"/>
        <v>#VALUE!</v>
      </c>
      <c r="V615" s="50" t="e">
        <f t="shared" si="143"/>
        <v>#VALUE!</v>
      </c>
    </row>
    <row r="616" spans="2:22" x14ac:dyDescent="0.25">
      <c r="B616" s="50" t="b">
        <f t="shared" si="144"/>
        <v>0</v>
      </c>
      <c r="C616" s="50" t="e">
        <f t="shared" si="131"/>
        <v>#VALUE!</v>
      </c>
      <c r="E616" s="56">
        <v>612</v>
      </c>
      <c r="G616" s="138"/>
      <c r="H616" s="135">
        <v>1</v>
      </c>
      <c r="I616" s="58" t="e">
        <f t="shared" si="132"/>
        <v>#VALUE!</v>
      </c>
      <c r="J616" s="50" t="e">
        <f t="shared" si="138"/>
        <v>#VALUE!</v>
      </c>
      <c r="K616" s="50" t="e">
        <f t="shared" si="139"/>
        <v>#VALUE!</v>
      </c>
      <c r="L616" s="50" t="e">
        <f t="shared" si="139"/>
        <v>#VALUE!</v>
      </c>
      <c r="M616" s="50" t="e">
        <f t="shared" si="133"/>
        <v>#VALUE!</v>
      </c>
      <c r="N616" s="50" t="e">
        <f t="shared" si="134"/>
        <v>#VALUE!</v>
      </c>
      <c r="O616" s="50">
        <f t="shared" si="135"/>
        <v>0</v>
      </c>
      <c r="Q616" s="55" t="e">
        <f t="shared" si="136"/>
        <v>#VALUE!</v>
      </c>
      <c r="R616" s="55" t="e">
        <f t="shared" si="140"/>
        <v>#VALUE!</v>
      </c>
      <c r="S616" s="55" t="e">
        <f t="shared" si="137"/>
        <v>#VALUE!</v>
      </c>
      <c r="T616" s="50" t="e">
        <f t="shared" si="141"/>
        <v>#VALUE!</v>
      </c>
      <c r="U616" s="50" t="e">
        <f t="shared" si="142"/>
        <v>#VALUE!</v>
      </c>
      <c r="V616" s="50" t="e">
        <f t="shared" si="143"/>
        <v>#VALUE!</v>
      </c>
    </row>
    <row r="617" spans="2:22" x14ac:dyDescent="0.25">
      <c r="B617" s="50" t="b">
        <f t="shared" si="144"/>
        <v>0</v>
      </c>
      <c r="C617" s="50" t="e">
        <f t="shared" si="131"/>
        <v>#VALUE!</v>
      </c>
      <c r="E617" s="56">
        <v>613</v>
      </c>
      <c r="G617" s="138"/>
      <c r="H617" s="135">
        <v>1</v>
      </c>
      <c r="I617" s="58" t="e">
        <f t="shared" si="132"/>
        <v>#VALUE!</v>
      </c>
      <c r="J617" s="50" t="e">
        <f t="shared" si="138"/>
        <v>#VALUE!</v>
      </c>
      <c r="K617" s="50" t="e">
        <f t="shared" si="139"/>
        <v>#VALUE!</v>
      </c>
      <c r="L617" s="50" t="e">
        <f t="shared" si="139"/>
        <v>#VALUE!</v>
      </c>
      <c r="M617" s="50" t="e">
        <f t="shared" si="133"/>
        <v>#VALUE!</v>
      </c>
      <c r="N617" s="50" t="e">
        <f t="shared" si="134"/>
        <v>#VALUE!</v>
      </c>
      <c r="O617" s="50">
        <f t="shared" si="135"/>
        <v>0</v>
      </c>
      <c r="Q617" s="55" t="e">
        <f t="shared" si="136"/>
        <v>#VALUE!</v>
      </c>
      <c r="R617" s="55" t="e">
        <f t="shared" si="140"/>
        <v>#VALUE!</v>
      </c>
      <c r="S617" s="55" t="e">
        <f t="shared" si="137"/>
        <v>#VALUE!</v>
      </c>
      <c r="T617" s="50" t="e">
        <f t="shared" si="141"/>
        <v>#VALUE!</v>
      </c>
      <c r="U617" s="50" t="e">
        <f t="shared" si="142"/>
        <v>#VALUE!</v>
      </c>
      <c r="V617" s="50" t="e">
        <f t="shared" si="143"/>
        <v>#VALUE!</v>
      </c>
    </row>
    <row r="618" spans="2:22" x14ac:dyDescent="0.25">
      <c r="B618" s="50" t="b">
        <f t="shared" si="144"/>
        <v>0</v>
      </c>
      <c r="C618" s="50" t="e">
        <f t="shared" si="131"/>
        <v>#VALUE!</v>
      </c>
      <c r="E618" s="56">
        <v>614</v>
      </c>
      <c r="G618" s="138"/>
      <c r="H618" s="135">
        <v>1</v>
      </c>
      <c r="I618" s="58" t="e">
        <f t="shared" si="132"/>
        <v>#VALUE!</v>
      </c>
      <c r="J618" s="50" t="e">
        <f t="shared" si="138"/>
        <v>#VALUE!</v>
      </c>
      <c r="K618" s="50" t="e">
        <f t="shared" si="139"/>
        <v>#VALUE!</v>
      </c>
      <c r="L618" s="50" t="e">
        <f t="shared" si="139"/>
        <v>#VALUE!</v>
      </c>
      <c r="M618" s="50" t="e">
        <f t="shared" si="133"/>
        <v>#VALUE!</v>
      </c>
      <c r="N618" s="50" t="e">
        <f t="shared" si="134"/>
        <v>#VALUE!</v>
      </c>
      <c r="O618" s="50">
        <f t="shared" si="135"/>
        <v>0</v>
      </c>
      <c r="Q618" s="55" t="e">
        <f t="shared" si="136"/>
        <v>#VALUE!</v>
      </c>
      <c r="R618" s="55" t="e">
        <f t="shared" si="140"/>
        <v>#VALUE!</v>
      </c>
      <c r="S618" s="55" t="e">
        <f t="shared" si="137"/>
        <v>#VALUE!</v>
      </c>
      <c r="T618" s="50" t="e">
        <f t="shared" si="141"/>
        <v>#VALUE!</v>
      </c>
      <c r="U618" s="50" t="e">
        <f t="shared" si="142"/>
        <v>#VALUE!</v>
      </c>
      <c r="V618" s="50" t="e">
        <f t="shared" si="143"/>
        <v>#VALUE!</v>
      </c>
    </row>
    <row r="619" spans="2:22" x14ac:dyDescent="0.25">
      <c r="B619" s="50" t="b">
        <f t="shared" si="144"/>
        <v>0</v>
      </c>
      <c r="C619" s="50" t="e">
        <f t="shared" si="131"/>
        <v>#VALUE!</v>
      </c>
      <c r="E619" s="56">
        <v>615</v>
      </c>
      <c r="G619" s="138"/>
      <c r="H619" s="135">
        <v>1</v>
      </c>
      <c r="I619" s="58" t="e">
        <f t="shared" si="132"/>
        <v>#VALUE!</v>
      </c>
      <c r="J619" s="50" t="e">
        <f t="shared" si="138"/>
        <v>#VALUE!</v>
      </c>
      <c r="K619" s="50" t="e">
        <f t="shared" si="139"/>
        <v>#VALUE!</v>
      </c>
      <c r="L619" s="50" t="e">
        <f t="shared" si="139"/>
        <v>#VALUE!</v>
      </c>
      <c r="M619" s="50" t="e">
        <f t="shared" si="133"/>
        <v>#VALUE!</v>
      </c>
      <c r="N619" s="50" t="e">
        <f t="shared" si="134"/>
        <v>#VALUE!</v>
      </c>
      <c r="O619" s="50">
        <f t="shared" si="135"/>
        <v>0</v>
      </c>
      <c r="Q619" s="55" t="e">
        <f t="shared" si="136"/>
        <v>#VALUE!</v>
      </c>
      <c r="R619" s="55" t="e">
        <f t="shared" si="140"/>
        <v>#VALUE!</v>
      </c>
      <c r="S619" s="55" t="e">
        <f t="shared" si="137"/>
        <v>#VALUE!</v>
      </c>
      <c r="T619" s="50" t="e">
        <f t="shared" si="141"/>
        <v>#VALUE!</v>
      </c>
      <c r="U619" s="50" t="e">
        <f t="shared" si="142"/>
        <v>#VALUE!</v>
      </c>
      <c r="V619" s="50" t="e">
        <f t="shared" si="143"/>
        <v>#VALUE!</v>
      </c>
    </row>
    <row r="620" spans="2:22" x14ac:dyDescent="0.25">
      <c r="B620" s="50" t="b">
        <f t="shared" si="144"/>
        <v>0</v>
      </c>
      <c r="C620" s="50" t="e">
        <f t="shared" si="131"/>
        <v>#VALUE!</v>
      </c>
      <c r="E620" s="56">
        <v>616</v>
      </c>
      <c r="G620" s="138"/>
      <c r="H620" s="135">
        <v>1</v>
      </c>
      <c r="I620" s="58" t="e">
        <f t="shared" si="132"/>
        <v>#VALUE!</v>
      </c>
      <c r="J620" s="50" t="e">
        <f t="shared" si="138"/>
        <v>#VALUE!</v>
      </c>
      <c r="K620" s="50" t="e">
        <f t="shared" si="139"/>
        <v>#VALUE!</v>
      </c>
      <c r="L620" s="50" t="e">
        <f t="shared" si="139"/>
        <v>#VALUE!</v>
      </c>
      <c r="M620" s="50" t="e">
        <f t="shared" si="133"/>
        <v>#VALUE!</v>
      </c>
      <c r="N620" s="50" t="e">
        <f t="shared" si="134"/>
        <v>#VALUE!</v>
      </c>
      <c r="O620" s="50">
        <f t="shared" si="135"/>
        <v>0</v>
      </c>
      <c r="Q620" s="55" t="e">
        <f t="shared" si="136"/>
        <v>#VALUE!</v>
      </c>
      <c r="R620" s="55" t="e">
        <f t="shared" si="140"/>
        <v>#VALUE!</v>
      </c>
      <c r="S620" s="55" t="e">
        <f t="shared" si="137"/>
        <v>#VALUE!</v>
      </c>
      <c r="T620" s="50" t="e">
        <f t="shared" si="141"/>
        <v>#VALUE!</v>
      </c>
      <c r="U620" s="50" t="e">
        <f t="shared" si="142"/>
        <v>#VALUE!</v>
      </c>
      <c r="V620" s="50" t="e">
        <f t="shared" si="143"/>
        <v>#VALUE!</v>
      </c>
    </row>
    <row r="621" spans="2:22" x14ac:dyDescent="0.25">
      <c r="B621" s="50" t="b">
        <f t="shared" si="144"/>
        <v>0</v>
      </c>
      <c r="C621" s="50" t="e">
        <f t="shared" si="131"/>
        <v>#VALUE!</v>
      </c>
      <c r="E621" s="56">
        <v>617</v>
      </c>
      <c r="G621" s="138"/>
      <c r="H621" s="135">
        <v>1</v>
      </c>
      <c r="I621" s="58" t="e">
        <f t="shared" si="132"/>
        <v>#VALUE!</v>
      </c>
      <c r="J621" s="50" t="e">
        <f t="shared" si="138"/>
        <v>#VALUE!</v>
      </c>
      <c r="K621" s="50" t="e">
        <f t="shared" si="139"/>
        <v>#VALUE!</v>
      </c>
      <c r="L621" s="50" t="e">
        <f t="shared" si="139"/>
        <v>#VALUE!</v>
      </c>
      <c r="M621" s="50" t="e">
        <f t="shared" si="133"/>
        <v>#VALUE!</v>
      </c>
      <c r="N621" s="50" t="e">
        <f t="shared" si="134"/>
        <v>#VALUE!</v>
      </c>
      <c r="O621" s="50">
        <f t="shared" si="135"/>
        <v>0</v>
      </c>
      <c r="Q621" s="55" t="e">
        <f t="shared" si="136"/>
        <v>#VALUE!</v>
      </c>
      <c r="R621" s="55" t="e">
        <f t="shared" si="140"/>
        <v>#VALUE!</v>
      </c>
      <c r="S621" s="55" t="e">
        <f t="shared" si="137"/>
        <v>#VALUE!</v>
      </c>
      <c r="T621" s="50" t="e">
        <f t="shared" si="141"/>
        <v>#VALUE!</v>
      </c>
      <c r="U621" s="50" t="e">
        <f t="shared" si="142"/>
        <v>#VALUE!</v>
      </c>
      <c r="V621" s="50" t="e">
        <f t="shared" si="143"/>
        <v>#VALUE!</v>
      </c>
    </row>
    <row r="622" spans="2:22" x14ac:dyDescent="0.25">
      <c r="B622" s="50" t="b">
        <f t="shared" si="144"/>
        <v>0</v>
      </c>
      <c r="C622" s="50" t="e">
        <f t="shared" si="131"/>
        <v>#VALUE!</v>
      </c>
      <c r="E622" s="56">
        <v>618</v>
      </c>
      <c r="G622" s="138"/>
      <c r="H622" s="135">
        <v>1</v>
      </c>
      <c r="I622" s="58" t="e">
        <f t="shared" si="132"/>
        <v>#VALUE!</v>
      </c>
      <c r="J622" s="50" t="e">
        <f t="shared" si="138"/>
        <v>#VALUE!</v>
      </c>
      <c r="K622" s="50" t="e">
        <f t="shared" si="139"/>
        <v>#VALUE!</v>
      </c>
      <c r="L622" s="50" t="e">
        <f t="shared" si="139"/>
        <v>#VALUE!</v>
      </c>
      <c r="M622" s="50" t="e">
        <f t="shared" si="133"/>
        <v>#VALUE!</v>
      </c>
      <c r="N622" s="50" t="e">
        <f t="shared" si="134"/>
        <v>#VALUE!</v>
      </c>
      <c r="O622" s="50">
        <f t="shared" si="135"/>
        <v>0</v>
      </c>
      <c r="Q622" s="55" t="e">
        <f t="shared" si="136"/>
        <v>#VALUE!</v>
      </c>
      <c r="R622" s="55" t="e">
        <f t="shared" si="140"/>
        <v>#VALUE!</v>
      </c>
      <c r="S622" s="55" t="e">
        <f t="shared" si="137"/>
        <v>#VALUE!</v>
      </c>
      <c r="T622" s="50" t="e">
        <f t="shared" si="141"/>
        <v>#VALUE!</v>
      </c>
      <c r="U622" s="50" t="e">
        <f t="shared" si="142"/>
        <v>#VALUE!</v>
      </c>
      <c r="V622" s="50" t="e">
        <f t="shared" si="143"/>
        <v>#VALUE!</v>
      </c>
    </row>
    <row r="623" spans="2:22" x14ac:dyDescent="0.25">
      <c r="B623" s="50" t="b">
        <f t="shared" si="144"/>
        <v>0</v>
      </c>
      <c r="C623" s="50" t="e">
        <f t="shared" si="131"/>
        <v>#VALUE!</v>
      </c>
      <c r="E623" s="56">
        <v>619</v>
      </c>
      <c r="G623" s="138"/>
      <c r="H623" s="135">
        <v>1</v>
      </c>
      <c r="I623" s="58" t="e">
        <f t="shared" si="132"/>
        <v>#VALUE!</v>
      </c>
      <c r="J623" s="50" t="e">
        <f t="shared" si="138"/>
        <v>#VALUE!</v>
      </c>
      <c r="K623" s="50" t="e">
        <f t="shared" ref="K623:L686" si="145">N623-M623</f>
        <v>#VALUE!</v>
      </c>
      <c r="L623" s="50" t="e">
        <f t="shared" si="145"/>
        <v>#VALUE!</v>
      </c>
      <c r="M623" s="50" t="e">
        <f t="shared" si="133"/>
        <v>#VALUE!</v>
      </c>
      <c r="N623" s="50" t="e">
        <f t="shared" si="134"/>
        <v>#VALUE!</v>
      </c>
      <c r="O623" s="50">
        <f t="shared" si="135"/>
        <v>0</v>
      </c>
      <c r="Q623" s="55" t="e">
        <f t="shared" si="136"/>
        <v>#VALUE!</v>
      </c>
      <c r="R623" s="55" t="e">
        <f t="shared" si="140"/>
        <v>#VALUE!</v>
      </c>
      <c r="S623" s="55" t="e">
        <f t="shared" si="137"/>
        <v>#VALUE!</v>
      </c>
      <c r="T623" s="50" t="e">
        <f t="shared" si="141"/>
        <v>#VALUE!</v>
      </c>
      <c r="U623" s="50" t="e">
        <f t="shared" si="142"/>
        <v>#VALUE!</v>
      </c>
      <c r="V623" s="50" t="e">
        <f t="shared" si="143"/>
        <v>#VALUE!</v>
      </c>
    </row>
    <row r="624" spans="2:22" x14ac:dyDescent="0.25">
      <c r="B624" s="50" t="b">
        <f t="shared" si="144"/>
        <v>0</v>
      </c>
      <c r="C624" s="50" t="e">
        <f t="shared" si="131"/>
        <v>#VALUE!</v>
      </c>
      <c r="E624" s="56">
        <v>620</v>
      </c>
      <c r="G624" s="138"/>
      <c r="H624" s="135">
        <v>1</v>
      </c>
      <c r="I624" s="58" t="e">
        <f t="shared" si="132"/>
        <v>#VALUE!</v>
      </c>
      <c r="J624" s="50" t="e">
        <f t="shared" si="138"/>
        <v>#VALUE!</v>
      </c>
      <c r="K624" s="50" t="e">
        <f t="shared" si="145"/>
        <v>#VALUE!</v>
      </c>
      <c r="L624" s="50" t="e">
        <f t="shared" si="145"/>
        <v>#VALUE!</v>
      </c>
      <c r="M624" s="50" t="e">
        <f t="shared" si="133"/>
        <v>#VALUE!</v>
      </c>
      <c r="N624" s="50" t="e">
        <f t="shared" si="134"/>
        <v>#VALUE!</v>
      </c>
      <c r="O624" s="50">
        <f t="shared" si="135"/>
        <v>0</v>
      </c>
      <c r="Q624" s="55" t="e">
        <f t="shared" si="136"/>
        <v>#VALUE!</v>
      </c>
      <c r="R624" s="55" t="e">
        <f t="shared" si="140"/>
        <v>#VALUE!</v>
      </c>
      <c r="S624" s="55" t="e">
        <f t="shared" si="137"/>
        <v>#VALUE!</v>
      </c>
      <c r="T624" s="50" t="e">
        <f t="shared" si="141"/>
        <v>#VALUE!</v>
      </c>
      <c r="U624" s="50" t="e">
        <f t="shared" si="142"/>
        <v>#VALUE!</v>
      </c>
      <c r="V624" s="50" t="e">
        <f t="shared" si="143"/>
        <v>#VALUE!</v>
      </c>
    </row>
    <row r="625" spans="2:22" x14ac:dyDescent="0.25">
      <c r="B625" s="50" t="b">
        <f t="shared" si="144"/>
        <v>0</v>
      </c>
      <c r="C625" s="50" t="e">
        <f t="shared" si="131"/>
        <v>#VALUE!</v>
      </c>
      <c r="E625" s="56">
        <v>621</v>
      </c>
      <c r="G625" s="138"/>
      <c r="H625" s="135">
        <v>1</v>
      </c>
      <c r="I625" s="58" t="e">
        <f t="shared" si="132"/>
        <v>#VALUE!</v>
      </c>
      <c r="J625" s="50" t="e">
        <f t="shared" si="138"/>
        <v>#VALUE!</v>
      </c>
      <c r="K625" s="50" t="e">
        <f t="shared" si="145"/>
        <v>#VALUE!</v>
      </c>
      <c r="L625" s="50" t="e">
        <f t="shared" si="145"/>
        <v>#VALUE!</v>
      </c>
      <c r="M625" s="50" t="e">
        <f t="shared" si="133"/>
        <v>#VALUE!</v>
      </c>
      <c r="N625" s="50" t="e">
        <f t="shared" si="134"/>
        <v>#VALUE!</v>
      </c>
      <c r="O625" s="50">
        <f t="shared" si="135"/>
        <v>0</v>
      </c>
      <c r="Q625" s="55" t="e">
        <f t="shared" si="136"/>
        <v>#VALUE!</v>
      </c>
      <c r="R625" s="55" t="e">
        <f t="shared" si="140"/>
        <v>#VALUE!</v>
      </c>
      <c r="S625" s="55" t="e">
        <f t="shared" si="137"/>
        <v>#VALUE!</v>
      </c>
      <c r="T625" s="50" t="e">
        <f t="shared" si="141"/>
        <v>#VALUE!</v>
      </c>
      <c r="U625" s="50" t="e">
        <f t="shared" si="142"/>
        <v>#VALUE!</v>
      </c>
      <c r="V625" s="50" t="e">
        <f t="shared" si="143"/>
        <v>#VALUE!</v>
      </c>
    </row>
    <row r="626" spans="2:22" x14ac:dyDescent="0.25">
      <c r="B626" s="50" t="b">
        <f t="shared" si="144"/>
        <v>0</v>
      </c>
      <c r="C626" s="50" t="e">
        <f t="shared" si="131"/>
        <v>#VALUE!</v>
      </c>
      <c r="E626" s="56">
        <v>622</v>
      </c>
      <c r="G626" s="138"/>
      <c r="H626" s="135">
        <v>1</v>
      </c>
      <c r="I626" s="58" t="e">
        <f t="shared" si="132"/>
        <v>#VALUE!</v>
      </c>
      <c r="J626" s="50" t="e">
        <f t="shared" si="138"/>
        <v>#VALUE!</v>
      </c>
      <c r="K626" s="50" t="e">
        <f t="shared" si="145"/>
        <v>#VALUE!</v>
      </c>
      <c r="L626" s="50" t="e">
        <f t="shared" si="145"/>
        <v>#VALUE!</v>
      </c>
      <c r="M626" s="50" t="e">
        <f t="shared" si="133"/>
        <v>#VALUE!</v>
      </c>
      <c r="N626" s="50" t="e">
        <f t="shared" si="134"/>
        <v>#VALUE!</v>
      </c>
      <c r="O626" s="50">
        <f t="shared" si="135"/>
        <v>0</v>
      </c>
      <c r="Q626" s="55" t="e">
        <f t="shared" si="136"/>
        <v>#VALUE!</v>
      </c>
      <c r="R626" s="55" t="e">
        <f t="shared" si="140"/>
        <v>#VALUE!</v>
      </c>
      <c r="S626" s="55" t="e">
        <f t="shared" si="137"/>
        <v>#VALUE!</v>
      </c>
      <c r="T626" s="50" t="e">
        <f t="shared" si="141"/>
        <v>#VALUE!</v>
      </c>
      <c r="U626" s="50" t="e">
        <f t="shared" si="142"/>
        <v>#VALUE!</v>
      </c>
      <c r="V626" s="50" t="e">
        <f t="shared" si="143"/>
        <v>#VALUE!</v>
      </c>
    </row>
    <row r="627" spans="2:22" x14ac:dyDescent="0.25">
      <c r="B627" s="50" t="b">
        <f t="shared" si="144"/>
        <v>0</v>
      </c>
      <c r="C627" s="50" t="e">
        <f t="shared" si="131"/>
        <v>#VALUE!</v>
      </c>
      <c r="E627" s="56">
        <v>623</v>
      </c>
      <c r="G627" s="138"/>
      <c r="H627" s="135">
        <v>1</v>
      </c>
      <c r="I627" s="58" t="e">
        <f t="shared" si="132"/>
        <v>#VALUE!</v>
      </c>
      <c r="J627" s="50" t="e">
        <f t="shared" si="138"/>
        <v>#VALUE!</v>
      </c>
      <c r="K627" s="50" t="e">
        <f t="shared" si="145"/>
        <v>#VALUE!</v>
      </c>
      <c r="L627" s="50" t="e">
        <f t="shared" si="145"/>
        <v>#VALUE!</v>
      </c>
      <c r="M627" s="50" t="e">
        <f t="shared" si="133"/>
        <v>#VALUE!</v>
      </c>
      <c r="N627" s="50" t="e">
        <f t="shared" si="134"/>
        <v>#VALUE!</v>
      </c>
      <c r="O627" s="50">
        <f t="shared" si="135"/>
        <v>0</v>
      </c>
      <c r="Q627" s="55" t="e">
        <f t="shared" si="136"/>
        <v>#VALUE!</v>
      </c>
      <c r="R627" s="55" t="e">
        <f t="shared" si="140"/>
        <v>#VALUE!</v>
      </c>
      <c r="S627" s="55" t="e">
        <f t="shared" si="137"/>
        <v>#VALUE!</v>
      </c>
      <c r="T627" s="50" t="e">
        <f t="shared" si="141"/>
        <v>#VALUE!</v>
      </c>
      <c r="U627" s="50" t="e">
        <f t="shared" si="142"/>
        <v>#VALUE!</v>
      </c>
      <c r="V627" s="50" t="e">
        <f t="shared" si="143"/>
        <v>#VALUE!</v>
      </c>
    </row>
    <row r="628" spans="2:22" x14ac:dyDescent="0.25">
      <c r="B628" s="50" t="b">
        <f t="shared" si="144"/>
        <v>0</v>
      </c>
      <c r="C628" s="50" t="e">
        <f t="shared" si="131"/>
        <v>#VALUE!</v>
      </c>
      <c r="E628" s="56">
        <v>624</v>
      </c>
      <c r="G628" s="138"/>
      <c r="H628" s="135">
        <v>1</v>
      </c>
      <c r="I628" s="58" t="e">
        <f t="shared" si="132"/>
        <v>#VALUE!</v>
      </c>
      <c r="J628" s="50" t="e">
        <f t="shared" si="138"/>
        <v>#VALUE!</v>
      </c>
      <c r="K628" s="50" t="e">
        <f t="shared" si="145"/>
        <v>#VALUE!</v>
      </c>
      <c r="L628" s="50" t="e">
        <f t="shared" si="145"/>
        <v>#VALUE!</v>
      </c>
      <c r="M628" s="50" t="e">
        <f t="shared" si="133"/>
        <v>#VALUE!</v>
      </c>
      <c r="N628" s="50" t="e">
        <f t="shared" si="134"/>
        <v>#VALUE!</v>
      </c>
      <c r="O628" s="50">
        <f t="shared" si="135"/>
        <v>0</v>
      </c>
      <c r="Q628" s="55" t="e">
        <f t="shared" si="136"/>
        <v>#VALUE!</v>
      </c>
      <c r="R628" s="55" t="e">
        <f t="shared" si="140"/>
        <v>#VALUE!</v>
      </c>
      <c r="S628" s="55" t="e">
        <f t="shared" si="137"/>
        <v>#VALUE!</v>
      </c>
      <c r="T628" s="50" t="e">
        <f t="shared" si="141"/>
        <v>#VALUE!</v>
      </c>
      <c r="U628" s="50" t="e">
        <f t="shared" si="142"/>
        <v>#VALUE!</v>
      </c>
      <c r="V628" s="50" t="e">
        <f t="shared" si="143"/>
        <v>#VALUE!</v>
      </c>
    </row>
    <row r="629" spans="2:22" x14ac:dyDescent="0.25">
      <c r="B629" s="50" t="b">
        <f t="shared" si="144"/>
        <v>0</v>
      </c>
      <c r="C629" s="50" t="e">
        <f t="shared" si="131"/>
        <v>#VALUE!</v>
      </c>
      <c r="E629" s="56">
        <v>625</v>
      </c>
      <c r="G629" s="138"/>
      <c r="H629" s="135">
        <v>1</v>
      </c>
      <c r="I629" s="58" t="e">
        <f t="shared" si="132"/>
        <v>#VALUE!</v>
      </c>
      <c r="J629" s="50" t="e">
        <f t="shared" si="138"/>
        <v>#VALUE!</v>
      </c>
      <c r="K629" s="50" t="e">
        <f t="shared" si="145"/>
        <v>#VALUE!</v>
      </c>
      <c r="L629" s="50" t="e">
        <f t="shared" si="145"/>
        <v>#VALUE!</v>
      </c>
      <c r="M629" s="50" t="e">
        <f t="shared" si="133"/>
        <v>#VALUE!</v>
      </c>
      <c r="N629" s="50" t="e">
        <f t="shared" si="134"/>
        <v>#VALUE!</v>
      </c>
      <c r="O629" s="50">
        <f t="shared" si="135"/>
        <v>0</v>
      </c>
      <c r="Q629" s="55" t="e">
        <f t="shared" si="136"/>
        <v>#VALUE!</v>
      </c>
      <c r="R629" s="55" t="e">
        <f t="shared" si="140"/>
        <v>#VALUE!</v>
      </c>
      <c r="S629" s="55" t="e">
        <f t="shared" si="137"/>
        <v>#VALUE!</v>
      </c>
      <c r="T629" s="50" t="e">
        <f t="shared" si="141"/>
        <v>#VALUE!</v>
      </c>
      <c r="U629" s="50" t="e">
        <f t="shared" si="142"/>
        <v>#VALUE!</v>
      </c>
      <c r="V629" s="50" t="e">
        <f t="shared" si="143"/>
        <v>#VALUE!</v>
      </c>
    </row>
    <row r="630" spans="2:22" x14ac:dyDescent="0.25">
      <c r="B630" s="50" t="b">
        <f t="shared" si="144"/>
        <v>0</v>
      </c>
      <c r="C630" s="50" t="e">
        <f t="shared" ref="C630:C693" si="146">SUM(T630:V630)</f>
        <v>#VALUE!</v>
      </c>
      <c r="E630" s="56">
        <v>626</v>
      </c>
      <c r="G630" s="138"/>
      <c r="H630" s="135">
        <v>1</v>
      </c>
      <c r="I630" s="58" t="e">
        <f t="shared" si="132"/>
        <v>#VALUE!</v>
      </c>
      <c r="J630" s="50" t="e">
        <f t="shared" si="138"/>
        <v>#VALUE!</v>
      </c>
      <c r="K630" s="50" t="e">
        <f t="shared" si="145"/>
        <v>#VALUE!</v>
      </c>
      <c r="L630" s="50" t="e">
        <f t="shared" si="145"/>
        <v>#VALUE!</v>
      </c>
      <c r="M630" s="50" t="e">
        <f t="shared" si="133"/>
        <v>#VALUE!</v>
      </c>
      <c r="N630" s="50" t="e">
        <f t="shared" si="134"/>
        <v>#VALUE!</v>
      </c>
      <c r="O630" s="50">
        <f t="shared" si="135"/>
        <v>0</v>
      </c>
      <c r="Q630" s="55" t="e">
        <f t="shared" si="136"/>
        <v>#VALUE!</v>
      </c>
      <c r="R630" s="55" t="e">
        <f t="shared" si="140"/>
        <v>#VALUE!</v>
      </c>
      <c r="S630" s="55" t="e">
        <f t="shared" si="137"/>
        <v>#VALUE!</v>
      </c>
      <c r="T630" s="50" t="e">
        <f t="shared" si="141"/>
        <v>#VALUE!</v>
      </c>
      <c r="U630" s="50" t="e">
        <f t="shared" si="142"/>
        <v>#VALUE!</v>
      </c>
      <c r="V630" s="50" t="e">
        <f t="shared" si="143"/>
        <v>#VALUE!</v>
      </c>
    </row>
    <row r="631" spans="2:22" x14ac:dyDescent="0.25">
      <c r="B631" s="50" t="b">
        <f t="shared" si="144"/>
        <v>0</v>
      </c>
      <c r="C631" s="50" t="e">
        <f t="shared" si="146"/>
        <v>#VALUE!</v>
      </c>
      <c r="E631" s="56">
        <v>627</v>
      </c>
      <c r="G631" s="138"/>
      <c r="H631" s="135">
        <v>1</v>
      </c>
      <c r="I631" s="58" t="e">
        <f t="shared" si="132"/>
        <v>#VALUE!</v>
      </c>
      <c r="J631" s="50" t="e">
        <f t="shared" si="138"/>
        <v>#VALUE!</v>
      </c>
      <c r="K631" s="50" t="e">
        <f t="shared" si="145"/>
        <v>#VALUE!</v>
      </c>
      <c r="L631" s="50" t="e">
        <f t="shared" si="145"/>
        <v>#VALUE!</v>
      </c>
      <c r="M631" s="50" t="e">
        <f t="shared" si="133"/>
        <v>#VALUE!</v>
      </c>
      <c r="N631" s="50" t="e">
        <f t="shared" si="134"/>
        <v>#VALUE!</v>
      </c>
      <c r="O631" s="50">
        <f t="shared" si="135"/>
        <v>0</v>
      </c>
      <c r="Q631" s="55" t="e">
        <f t="shared" si="136"/>
        <v>#VALUE!</v>
      </c>
      <c r="R631" s="55" t="e">
        <f t="shared" si="140"/>
        <v>#VALUE!</v>
      </c>
      <c r="S631" s="55" t="e">
        <f t="shared" si="137"/>
        <v>#VALUE!</v>
      </c>
      <c r="T631" s="50" t="e">
        <f t="shared" si="141"/>
        <v>#VALUE!</v>
      </c>
      <c r="U631" s="50" t="e">
        <f t="shared" si="142"/>
        <v>#VALUE!</v>
      </c>
      <c r="V631" s="50" t="e">
        <f t="shared" si="143"/>
        <v>#VALUE!</v>
      </c>
    </row>
    <row r="632" spans="2:22" x14ac:dyDescent="0.25">
      <c r="B632" s="50" t="b">
        <f t="shared" si="144"/>
        <v>0</v>
      </c>
      <c r="C632" s="50" t="e">
        <f t="shared" si="146"/>
        <v>#VALUE!</v>
      </c>
      <c r="E632" s="56">
        <v>628</v>
      </c>
      <c r="G632" s="138"/>
      <c r="H632" s="135">
        <v>1</v>
      </c>
      <c r="I632" s="58" t="e">
        <f t="shared" si="132"/>
        <v>#VALUE!</v>
      </c>
      <c r="J632" s="50" t="e">
        <f t="shared" si="138"/>
        <v>#VALUE!</v>
      </c>
      <c r="K632" s="50" t="e">
        <f t="shared" si="145"/>
        <v>#VALUE!</v>
      </c>
      <c r="L632" s="50" t="e">
        <f t="shared" si="145"/>
        <v>#VALUE!</v>
      </c>
      <c r="M632" s="50" t="e">
        <f t="shared" si="133"/>
        <v>#VALUE!</v>
      </c>
      <c r="N632" s="50" t="e">
        <f t="shared" si="134"/>
        <v>#VALUE!</v>
      </c>
      <c r="O632" s="50">
        <f t="shared" si="135"/>
        <v>0</v>
      </c>
      <c r="Q632" s="55" t="e">
        <f t="shared" si="136"/>
        <v>#VALUE!</v>
      </c>
      <c r="R632" s="55" t="e">
        <f t="shared" si="140"/>
        <v>#VALUE!</v>
      </c>
      <c r="S632" s="55" t="e">
        <f t="shared" si="137"/>
        <v>#VALUE!</v>
      </c>
      <c r="T632" s="50" t="e">
        <f t="shared" si="141"/>
        <v>#VALUE!</v>
      </c>
      <c r="U632" s="50" t="e">
        <f t="shared" si="142"/>
        <v>#VALUE!</v>
      </c>
      <c r="V632" s="50" t="e">
        <f t="shared" si="143"/>
        <v>#VALUE!</v>
      </c>
    </row>
    <row r="633" spans="2:22" x14ac:dyDescent="0.25">
      <c r="B633" s="50" t="b">
        <f t="shared" si="144"/>
        <v>0</v>
      </c>
      <c r="C633" s="50" t="e">
        <f t="shared" si="146"/>
        <v>#VALUE!</v>
      </c>
      <c r="E633" s="56">
        <v>629</v>
      </c>
      <c r="G633" s="138"/>
      <c r="H633" s="135">
        <v>1</v>
      </c>
      <c r="I633" s="58" t="e">
        <f t="shared" si="132"/>
        <v>#VALUE!</v>
      </c>
      <c r="J633" s="50" t="e">
        <f t="shared" si="138"/>
        <v>#VALUE!</v>
      </c>
      <c r="K633" s="50" t="e">
        <f t="shared" si="145"/>
        <v>#VALUE!</v>
      </c>
      <c r="L633" s="50" t="e">
        <f t="shared" si="145"/>
        <v>#VALUE!</v>
      </c>
      <c r="M633" s="50" t="e">
        <f t="shared" si="133"/>
        <v>#VALUE!</v>
      </c>
      <c r="N633" s="50" t="e">
        <f t="shared" si="134"/>
        <v>#VALUE!</v>
      </c>
      <c r="O633" s="50">
        <f t="shared" si="135"/>
        <v>0</v>
      </c>
      <c r="Q633" s="55" t="e">
        <f t="shared" si="136"/>
        <v>#VALUE!</v>
      </c>
      <c r="R633" s="55" t="e">
        <f t="shared" si="140"/>
        <v>#VALUE!</v>
      </c>
      <c r="S633" s="55" t="e">
        <f t="shared" si="137"/>
        <v>#VALUE!</v>
      </c>
      <c r="T633" s="50" t="e">
        <f t="shared" si="141"/>
        <v>#VALUE!</v>
      </c>
      <c r="U633" s="50" t="e">
        <f t="shared" si="142"/>
        <v>#VALUE!</v>
      </c>
      <c r="V633" s="50" t="e">
        <f t="shared" si="143"/>
        <v>#VALUE!</v>
      </c>
    </row>
    <row r="634" spans="2:22" x14ac:dyDescent="0.25">
      <c r="B634" s="50" t="b">
        <f t="shared" si="144"/>
        <v>0</v>
      </c>
      <c r="C634" s="50" t="e">
        <f t="shared" si="146"/>
        <v>#VALUE!</v>
      </c>
      <c r="E634" s="56">
        <v>630</v>
      </c>
      <c r="G634" s="138"/>
      <c r="H634" s="135">
        <v>1</v>
      </c>
      <c r="I634" s="58" t="e">
        <f t="shared" si="132"/>
        <v>#VALUE!</v>
      </c>
      <c r="J634" s="50" t="e">
        <f t="shared" si="138"/>
        <v>#VALUE!</v>
      </c>
      <c r="K634" s="50" t="e">
        <f t="shared" si="145"/>
        <v>#VALUE!</v>
      </c>
      <c r="L634" s="50" t="e">
        <f t="shared" si="145"/>
        <v>#VALUE!</v>
      </c>
      <c r="M634" s="50" t="e">
        <f t="shared" si="133"/>
        <v>#VALUE!</v>
      </c>
      <c r="N634" s="50" t="e">
        <f t="shared" si="134"/>
        <v>#VALUE!</v>
      </c>
      <c r="O634" s="50">
        <f t="shared" si="135"/>
        <v>0</v>
      </c>
      <c r="Q634" s="55" t="e">
        <f t="shared" si="136"/>
        <v>#VALUE!</v>
      </c>
      <c r="R634" s="55" t="e">
        <f t="shared" si="140"/>
        <v>#VALUE!</v>
      </c>
      <c r="S634" s="55" t="e">
        <f t="shared" si="137"/>
        <v>#VALUE!</v>
      </c>
      <c r="T634" s="50" t="e">
        <f t="shared" si="141"/>
        <v>#VALUE!</v>
      </c>
      <c r="U634" s="50" t="e">
        <f t="shared" si="142"/>
        <v>#VALUE!</v>
      </c>
      <c r="V634" s="50" t="e">
        <f t="shared" si="143"/>
        <v>#VALUE!</v>
      </c>
    </row>
    <row r="635" spans="2:22" x14ac:dyDescent="0.25">
      <c r="B635" s="50" t="b">
        <f t="shared" si="144"/>
        <v>0</v>
      </c>
      <c r="C635" s="50" t="e">
        <f t="shared" si="146"/>
        <v>#VALUE!</v>
      </c>
      <c r="E635" s="56">
        <v>631</v>
      </c>
      <c r="G635" s="138"/>
      <c r="H635" s="135">
        <v>1</v>
      </c>
      <c r="I635" s="58" t="e">
        <f t="shared" si="132"/>
        <v>#VALUE!</v>
      </c>
      <c r="J635" s="50" t="e">
        <f t="shared" si="138"/>
        <v>#VALUE!</v>
      </c>
      <c r="K635" s="50" t="e">
        <f t="shared" si="145"/>
        <v>#VALUE!</v>
      </c>
      <c r="L635" s="50" t="e">
        <f t="shared" si="145"/>
        <v>#VALUE!</v>
      </c>
      <c r="M635" s="50" t="e">
        <f t="shared" si="133"/>
        <v>#VALUE!</v>
      </c>
      <c r="N635" s="50" t="e">
        <f t="shared" si="134"/>
        <v>#VALUE!</v>
      </c>
      <c r="O635" s="50">
        <f t="shared" si="135"/>
        <v>0</v>
      </c>
      <c r="Q635" s="55" t="e">
        <f t="shared" si="136"/>
        <v>#VALUE!</v>
      </c>
      <c r="R635" s="55" t="e">
        <f t="shared" si="140"/>
        <v>#VALUE!</v>
      </c>
      <c r="S635" s="55" t="e">
        <f t="shared" si="137"/>
        <v>#VALUE!</v>
      </c>
      <c r="T635" s="50" t="e">
        <f t="shared" si="141"/>
        <v>#VALUE!</v>
      </c>
      <c r="U635" s="50" t="e">
        <f t="shared" si="142"/>
        <v>#VALUE!</v>
      </c>
      <c r="V635" s="50" t="e">
        <f t="shared" si="143"/>
        <v>#VALUE!</v>
      </c>
    </row>
    <row r="636" spans="2:22" x14ac:dyDescent="0.25">
      <c r="B636" s="50" t="b">
        <f t="shared" si="144"/>
        <v>0</v>
      </c>
      <c r="C636" s="50" t="e">
        <f t="shared" si="146"/>
        <v>#VALUE!</v>
      </c>
      <c r="E636" s="56">
        <v>632</v>
      </c>
      <c r="G636" s="138"/>
      <c r="H636" s="135">
        <v>1</v>
      </c>
      <c r="I636" s="58" t="e">
        <f t="shared" si="132"/>
        <v>#VALUE!</v>
      </c>
      <c r="J636" s="50" t="e">
        <f t="shared" si="138"/>
        <v>#VALUE!</v>
      </c>
      <c r="K636" s="50" t="e">
        <f t="shared" si="145"/>
        <v>#VALUE!</v>
      </c>
      <c r="L636" s="50" t="e">
        <f t="shared" si="145"/>
        <v>#VALUE!</v>
      </c>
      <c r="M636" s="50" t="e">
        <f t="shared" si="133"/>
        <v>#VALUE!</v>
      </c>
      <c r="N636" s="50" t="e">
        <f t="shared" si="134"/>
        <v>#VALUE!</v>
      </c>
      <c r="O636" s="50">
        <f t="shared" si="135"/>
        <v>0</v>
      </c>
      <c r="Q636" s="55" t="e">
        <f t="shared" si="136"/>
        <v>#VALUE!</v>
      </c>
      <c r="R636" s="55" t="e">
        <f t="shared" si="140"/>
        <v>#VALUE!</v>
      </c>
      <c r="S636" s="55" t="e">
        <f t="shared" si="137"/>
        <v>#VALUE!</v>
      </c>
      <c r="T636" s="50" t="e">
        <f t="shared" si="141"/>
        <v>#VALUE!</v>
      </c>
      <c r="U636" s="50" t="e">
        <f t="shared" si="142"/>
        <v>#VALUE!</v>
      </c>
      <c r="V636" s="50" t="e">
        <f t="shared" si="143"/>
        <v>#VALUE!</v>
      </c>
    </row>
    <row r="637" spans="2:22" x14ac:dyDescent="0.25">
      <c r="B637" s="50" t="b">
        <f t="shared" si="144"/>
        <v>0</v>
      </c>
      <c r="C637" s="50" t="e">
        <f t="shared" si="146"/>
        <v>#VALUE!</v>
      </c>
      <c r="E637" s="56">
        <v>633</v>
      </c>
      <c r="G637" s="138"/>
      <c r="H637" s="135">
        <v>1</v>
      </c>
      <c r="I637" s="58" t="e">
        <f t="shared" si="132"/>
        <v>#VALUE!</v>
      </c>
      <c r="J637" s="50" t="e">
        <f t="shared" si="138"/>
        <v>#VALUE!</v>
      </c>
      <c r="K637" s="50" t="e">
        <f t="shared" si="145"/>
        <v>#VALUE!</v>
      </c>
      <c r="L637" s="50" t="e">
        <f t="shared" si="145"/>
        <v>#VALUE!</v>
      </c>
      <c r="M637" s="50" t="e">
        <f t="shared" si="133"/>
        <v>#VALUE!</v>
      </c>
      <c r="N637" s="50" t="e">
        <f t="shared" si="134"/>
        <v>#VALUE!</v>
      </c>
      <c r="O637" s="50">
        <f t="shared" si="135"/>
        <v>0</v>
      </c>
      <c r="Q637" s="55" t="e">
        <f t="shared" si="136"/>
        <v>#VALUE!</v>
      </c>
      <c r="R637" s="55" t="e">
        <f t="shared" si="140"/>
        <v>#VALUE!</v>
      </c>
      <c r="S637" s="55" t="e">
        <f t="shared" si="137"/>
        <v>#VALUE!</v>
      </c>
      <c r="T637" s="50" t="e">
        <f t="shared" si="141"/>
        <v>#VALUE!</v>
      </c>
      <c r="U637" s="50" t="e">
        <f t="shared" si="142"/>
        <v>#VALUE!</v>
      </c>
      <c r="V637" s="50" t="e">
        <f t="shared" si="143"/>
        <v>#VALUE!</v>
      </c>
    </row>
    <row r="638" spans="2:22" x14ac:dyDescent="0.25">
      <c r="B638" s="50" t="b">
        <f t="shared" si="144"/>
        <v>0</v>
      </c>
      <c r="C638" s="50" t="e">
        <f t="shared" si="146"/>
        <v>#VALUE!</v>
      </c>
      <c r="E638" s="56">
        <v>634</v>
      </c>
      <c r="G638" s="138"/>
      <c r="H638" s="135">
        <v>1</v>
      </c>
      <c r="I638" s="58" t="e">
        <f t="shared" si="132"/>
        <v>#VALUE!</v>
      </c>
      <c r="J638" s="50" t="e">
        <f t="shared" si="138"/>
        <v>#VALUE!</v>
      </c>
      <c r="K638" s="50" t="e">
        <f t="shared" si="145"/>
        <v>#VALUE!</v>
      </c>
      <c r="L638" s="50" t="e">
        <f t="shared" si="145"/>
        <v>#VALUE!</v>
      </c>
      <c r="M638" s="50" t="e">
        <f t="shared" si="133"/>
        <v>#VALUE!</v>
      </c>
      <c r="N638" s="50" t="e">
        <f t="shared" si="134"/>
        <v>#VALUE!</v>
      </c>
      <c r="O638" s="50">
        <f t="shared" si="135"/>
        <v>0</v>
      </c>
      <c r="Q638" s="55" t="e">
        <f t="shared" si="136"/>
        <v>#VALUE!</v>
      </c>
      <c r="R638" s="55" t="e">
        <f t="shared" si="140"/>
        <v>#VALUE!</v>
      </c>
      <c r="S638" s="55" t="e">
        <f t="shared" si="137"/>
        <v>#VALUE!</v>
      </c>
      <c r="T638" s="50" t="e">
        <f t="shared" si="141"/>
        <v>#VALUE!</v>
      </c>
      <c r="U638" s="50" t="e">
        <f t="shared" si="142"/>
        <v>#VALUE!</v>
      </c>
      <c r="V638" s="50" t="e">
        <f t="shared" si="143"/>
        <v>#VALUE!</v>
      </c>
    </row>
    <row r="639" spans="2:22" x14ac:dyDescent="0.25">
      <c r="B639" s="50" t="b">
        <f t="shared" si="144"/>
        <v>0</v>
      </c>
      <c r="C639" s="50" t="e">
        <f t="shared" si="146"/>
        <v>#VALUE!</v>
      </c>
      <c r="E639" s="56">
        <v>635</v>
      </c>
      <c r="G639" s="138"/>
      <c r="H639" s="135">
        <v>1</v>
      </c>
      <c r="I639" s="58" t="e">
        <f t="shared" si="132"/>
        <v>#VALUE!</v>
      </c>
      <c r="J639" s="50" t="e">
        <f t="shared" si="138"/>
        <v>#VALUE!</v>
      </c>
      <c r="K639" s="50" t="e">
        <f t="shared" si="145"/>
        <v>#VALUE!</v>
      </c>
      <c r="L639" s="50" t="e">
        <f t="shared" si="145"/>
        <v>#VALUE!</v>
      </c>
      <c r="M639" s="50" t="e">
        <f t="shared" si="133"/>
        <v>#VALUE!</v>
      </c>
      <c r="N639" s="50" t="e">
        <f t="shared" si="134"/>
        <v>#VALUE!</v>
      </c>
      <c r="O639" s="50">
        <f t="shared" si="135"/>
        <v>0</v>
      </c>
      <c r="Q639" s="55" t="e">
        <f t="shared" si="136"/>
        <v>#VALUE!</v>
      </c>
      <c r="R639" s="55" t="e">
        <f t="shared" si="140"/>
        <v>#VALUE!</v>
      </c>
      <c r="S639" s="55" t="e">
        <f t="shared" si="137"/>
        <v>#VALUE!</v>
      </c>
      <c r="T639" s="50" t="e">
        <f t="shared" si="141"/>
        <v>#VALUE!</v>
      </c>
      <c r="U639" s="50" t="e">
        <f t="shared" si="142"/>
        <v>#VALUE!</v>
      </c>
      <c r="V639" s="50" t="e">
        <f t="shared" si="143"/>
        <v>#VALUE!</v>
      </c>
    </row>
    <row r="640" spans="2:22" x14ac:dyDescent="0.25">
      <c r="B640" s="50" t="b">
        <f t="shared" si="144"/>
        <v>0</v>
      </c>
      <c r="C640" s="50" t="e">
        <f t="shared" si="146"/>
        <v>#VALUE!</v>
      </c>
      <c r="E640" s="56">
        <v>636</v>
      </c>
      <c r="G640" s="138"/>
      <c r="H640" s="135">
        <v>1</v>
      </c>
      <c r="I640" s="58" t="e">
        <f t="shared" si="132"/>
        <v>#VALUE!</v>
      </c>
      <c r="J640" s="50" t="e">
        <f t="shared" si="138"/>
        <v>#VALUE!</v>
      </c>
      <c r="K640" s="50" t="e">
        <f t="shared" si="145"/>
        <v>#VALUE!</v>
      </c>
      <c r="L640" s="50" t="e">
        <f t="shared" si="145"/>
        <v>#VALUE!</v>
      </c>
      <c r="M640" s="50" t="e">
        <f t="shared" si="133"/>
        <v>#VALUE!</v>
      </c>
      <c r="N640" s="50" t="e">
        <f t="shared" si="134"/>
        <v>#VALUE!</v>
      </c>
      <c r="O640" s="50">
        <f t="shared" si="135"/>
        <v>0</v>
      </c>
      <c r="Q640" s="55" t="e">
        <f t="shared" si="136"/>
        <v>#VALUE!</v>
      </c>
      <c r="R640" s="55" t="e">
        <f t="shared" si="140"/>
        <v>#VALUE!</v>
      </c>
      <c r="S640" s="55" t="e">
        <f t="shared" si="137"/>
        <v>#VALUE!</v>
      </c>
      <c r="T640" s="50" t="e">
        <f t="shared" si="141"/>
        <v>#VALUE!</v>
      </c>
      <c r="U640" s="50" t="e">
        <f t="shared" si="142"/>
        <v>#VALUE!</v>
      </c>
      <c r="V640" s="50" t="e">
        <f t="shared" si="143"/>
        <v>#VALUE!</v>
      </c>
    </row>
    <row r="641" spans="2:22" x14ac:dyDescent="0.25">
      <c r="B641" s="50" t="b">
        <f t="shared" si="144"/>
        <v>0</v>
      </c>
      <c r="C641" s="50" t="e">
        <f t="shared" si="146"/>
        <v>#VALUE!</v>
      </c>
      <c r="E641" s="56">
        <v>637</v>
      </c>
      <c r="G641" s="138"/>
      <c r="H641" s="135">
        <v>1</v>
      </c>
      <c r="I641" s="58" t="e">
        <f t="shared" si="132"/>
        <v>#VALUE!</v>
      </c>
      <c r="J641" s="50" t="e">
        <f t="shared" si="138"/>
        <v>#VALUE!</v>
      </c>
      <c r="K641" s="50" t="e">
        <f t="shared" si="145"/>
        <v>#VALUE!</v>
      </c>
      <c r="L641" s="50" t="e">
        <f t="shared" si="145"/>
        <v>#VALUE!</v>
      </c>
      <c r="M641" s="50" t="e">
        <f t="shared" si="133"/>
        <v>#VALUE!</v>
      </c>
      <c r="N641" s="50" t="e">
        <f t="shared" si="134"/>
        <v>#VALUE!</v>
      </c>
      <c r="O641" s="50">
        <f t="shared" si="135"/>
        <v>0</v>
      </c>
      <c r="Q641" s="55" t="e">
        <f t="shared" si="136"/>
        <v>#VALUE!</v>
      </c>
      <c r="R641" s="55" t="e">
        <f t="shared" si="140"/>
        <v>#VALUE!</v>
      </c>
      <c r="S641" s="55" t="e">
        <f t="shared" si="137"/>
        <v>#VALUE!</v>
      </c>
      <c r="T641" s="50" t="e">
        <f t="shared" si="141"/>
        <v>#VALUE!</v>
      </c>
      <c r="U641" s="50" t="e">
        <f t="shared" si="142"/>
        <v>#VALUE!</v>
      </c>
      <c r="V641" s="50" t="e">
        <f t="shared" si="143"/>
        <v>#VALUE!</v>
      </c>
    </row>
    <row r="642" spans="2:22" x14ac:dyDescent="0.25">
      <c r="B642" s="50" t="b">
        <f t="shared" si="144"/>
        <v>0</v>
      </c>
      <c r="C642" s="50" t="e">
        <f t="shared" si="146"/>
        <v>#VALUE!</v>
      </c>
      <c r="E642" s="56">
        <v>638</v>
      </c>
      <c r="G642" s="138"/>
      <c r="H642" s="135">
        <v>1</v>
      </c>
      <c r="I642" s="58" t="e">
        <f t="shared" si="132"/>
        <v>#VALUE!</v>
      </c>
      <c r="J642" s="50" t="e">
        <f t="shared" si="138"/>
        <v>#VALUE!</v>
      </c>
      <c r="K642" s="50" t="e">
        <f t="shared" si="145"/>
        <v>#VALUE!</v>
      </c>
      <c r="L642" s="50" t="e">
        <f t="shared" si="145"/>
        <v>#VALUE!</v>
      </c>
      <c r="M642" s="50" t="e">
        <f t="shared" si="133"/>
        <v>#VALUE!</v>
      </c>
      <c r="N642" s="50" t="e">
        <f t="shared" si="134"/>
        <v>#VALUE!</v>
      </c>
      <c r="O642" s="50">
        <f t="shared" si="135"/>
        <v>0</v>
      </c>
      <c r="Q642" s="55" t="e">
        <f t="shared" si="136"/>
        <v>#VALUE!</v>
      </c>
      <c r="R642" s="55" t="e">
        <f t="shared" si="140"/>
        <v>#VALUE!</v>
      </c>
      <c r="S642" s="55" t="e">
        <f t="shared" si="137"/>
        <v>#VALUE!</v>
      </c>
      <c r="T642" s="50" t="e">
        <f t="shared" si="141"/>
        <v>#VALUE!</v>
      </c>
      <c r="U642" s="50" t="e">
        <f t="shared" si="142"/>
        <v>#VALUE!</v>
      </c>
      <c r="V642" s="50" t="e">
        <f t="shared" si="143"/>
        <v>#VALUE!</v>
      </c>
    </row>
    <row r="643" spans="2:22" x14ac:dyDescent="0.25">
      <c r="B643" s="50" t="b">
        <f t="shared" si="144"/>
        <v>0</v>
      </c>
      <c r="C643" s="50" t="e">
        <f t="shared" si="146"/>
        <v>#VALUE!</v>
      </c>
      <c r="E643" s="56">
        <v>639</v>
      </c>
      <c r="G643" s="138"/>
      <c r="H643" s="135">
        <v>1</v>
      </c>
      <c r="I643" s="58" t="e">
        <f t="shared" si="132"/>
        <v>#VALUE!</v>
      </c>
      <c r="J643" s="50" t="e">
        <f t="shared" si="138"/>
        <v>#VALUE!</v>
      </c>
      <c r="K643" s="50" t="e">
        <f t="shared" si="145"/>
        <v>#VALUE!</v>
      </c>
      <c r="L643" s="50" t="e">
        <f t="shared" si="145"/>
        <v>#VALUE!</v>
      </c>
      <c r="M643" s="50" t="e">
        <f t="shared" si="133"/>
        <v>#VALUE!</v>
      </c>
      <c r="N643" s="50" t="e">
        <f t="shared" si="134"/>
        <v>#VALUE!</v>
      </c>
      <c r="O643" s="50">
        <f t="shared" si="135"/>
        <v>0</v>
      </c>
      <c r="Q643" s="55" t="e">
        <f t="shared" si="136"/>
        <v>#VALUE!</v>
      </c>
      <c r="R643" s="55" t="e">
        <f t="shared" si="140"/>
        <v>#VALUE!</v>
      </c>
      <c r="S643" s="55" t="e">
        <f t="shared" si="137"/>
        <v>#VALUE!</v>
      </c>
      <c r="T643" s="50" t="e">
        <f t="shared" si="141"/>
        <v>#VALUE!</v>
      </c>
      <c r="U643" s="50" t="e">
        <f t="shared" si="142"/>
        <v>#VALUE!</v>
      </c>
      <c r="V643" s="50" t="e">
        <f t="shared" si="143"/>
        <v>#VALUE!</v>
      </c>
    </row>
    <row r="644" spans="2:22" x14ac:dyDescent="0.25">
      <c r="B644" s="50" t="b">
        <f t="shared" si="144"/>
        <v>0</v>
      </c>
      <c r="C644" s="50" t="e">
        <f t="shared" si="146"/>
        <v>#VALUE!</v>
      </c>
      <c r="E644" s="56">
        <v>640</v>
      </c>
      <c r="G644" s="138"/>
      <c r="H644" s="135">
        <v>1</v>
      </c>
      <c r="I644" s="58" t="e">
        <f t="shared" ref="I644:I707" si="147">RIGHT(G644,J644)</f>
        <v>#VALUE!</v>
      </c>
      <c r="J644" s="50" t="e">
        <f t="shared" si="138"/>
        <v>#VALUE!</v>
      </c>
      <c r="K644" s="50" t="e">
        <f t="shared" si="145"/>
        <v>#VALUE!</v>
      </c>
      <c r="L644" s="50" t="e">
        <f t="shared" si="145"/>
        <v>#VALUE!</v>
      </c>
      <c r="M644" s="50" t="e">
        <f t="shared" ref="M644:M707" si="148">SEARCH("-",G644,2)</f>
        <v>#VALUE!</v>
      </c>
      <c r="N644" s="50" t="e">
        <f t="shared" ref="N644:N707" si="149">SEARCH("-",G644,M644+1)</f>
        <v>#VALUE!</v>
      </c>
      <c r="O644" s="50">
        <f t="shared" ref="O644:O707" si="150">LEN(G644)</f>
        <v>0</v>
      </c>
      <c r="Q644" s="55" t="e">
        <f t="shared" ref="Q644:Q707" si="151">LEFT(G644,M644-1)</f>
        <v>#VALUE!</v>
      </c>
      <c r="R644" s="55" t="e">
        <f t="shared" si="140"/>
        <v>#VALUE!</v>
      </c>
      <c r="S644" s="55" t="e">
        <f t="shared" ref="S644:S707" si="152">RIGHT(G644,L644)</f>
        <v>#VALUE!</v>
      </c>
      <c r="T644" s="50" t="e">
        <f t="shared" si="141"/>
        <v>#VALUE!</v>
      </c>
      <c r="U644" s="50" t="e">
        <f t="shared" si="142"/>
        <v>#VALUE!</v>
      </c>
      <c r="V644" s="50" t="e">
        <f t="shared" si="143"/>
        <v>#VALUE!</v>
      </c>
    </row>
    <row r="645" spans="2:22" x14ac:dyDescent="0.25">
      <c r="B645" s="50" t="b">
        <f t="shared" si="144"/>
        <v>0</v>
      </c>
      <c r="C645" s="50" t="e">
        <f t="shared" si="146"/>
        <v>#VALUE!</v>
      </c>
      <c r="E645" s="56">
        <v>641</v>
      </c>
      <c r="G645" s="138"/>
      <c r="H645" s="135">
        <v>1</v>
      </c>
      <c r="I645" s="58" t="e">
        <f t="shared" si="147"/>
        <v>#VALUE!</v>
      </c>
      <c r="J645" s="50" t="e">
        <f t="shared" ref="J645:J708" si="153">O645-M645</f>
        <v>#VALUE!</v>
      </c>
      <c r="K645" s="50" t="e">
        <f t="shared" si="145"/>
        <v>#VALUE!</v>
      </c>
      <c r="L645" s="50" t="e">
        <f t="shared" si="145"/>
        <v>#VALUE!</v>
      </c>
      <c r="M645" s="50" t="e">
        <f t="shared" si="148"/>
        <v>#VALUE!</v>
      </c>
      <c r="N645" s="50" t="e">
        <f t="shared" si="149"/>
        <v>#VALUE!</v>
      </c>
      <c r="O645" s="50">
        <f t="shared" si="150"/>
        <v>0</v>
      </c>
      <c r="Q645" s="55" t="e">
        <f t="shared" si="151"/>
        <v>#VALUE!</v>
      </c>
      <c r="R645" s="55" t="e">
        <f t="shared" ref="R645:R708" si="154">LEFT(I645,K645-1)</f>
        <v>#VALUE!</v>
      </c>
      <c r="S645" s="55" t="e">
        <f t="shared" si="152"/>
        <v>#VALUE!</v>
      </c>
      <c r="T645" s="50" t="e">
        <f t="shared" ref="T645:T708" si="155">Q645*1*$H645</f>
        <v>#VALUE!</v>
      </c>
      <c r="U645" s="50" t="e">
        <f t="shared" ref="U645:U708" si="156">R645*1*$H645</f>
        <v>#VALUE!</v>
      </c>
      <c r="V645" s="50" t="e">
        <f t="shared" ref="V645:V708" si="157">S645*1*$H645</f>
        <v>#VALUE!</v>
      </c>
    </row>
    <row r="646" spans="2:22" x14ac:dyDescent="0.25">
      <c r="B646" s="50" t="b">
        <f t="shared" si="144"/>
        <v>0</v>
      </c>
      <c r="C646" s="50" t="e">
        <f t="shared" si="146"/>
        <v>#VALUE!</v>
      </c>
      <c r="E646" s="56">
        <v>642</v>
      </c>
      <c r="G646" s="138"/>
      <c r="H646" s="135">
        <v>1</v>
      </c>
      <c r="I646" s="58" t="e">
        <f t="shared" si="147"/>
        <v>#VALUE!</v>
      </c>
      <c r="J646" s="50" t="e">
        <f t="shared" si="153"/>
        <v>#VALUE!</v>
      </c>
      <c r="K646" s="50" t="e">
        <f t="shared" si="145"/>
        <v>#VALUE!</v>
      </c>
      <c r="L646" s="50" t="e">
        <f t="shared" si="145"/>
        <v>#VALUE!</v>
      </c>
      <c r="M646" s="50" t="e">
        <f t="shared" si="148"/>
        <v>#VALUE!</v>
      </c>
      <c r="N646" s="50" t="e">
        <f t="shared" si="149"/>
        <v>#VALUE!</v>
      </c>
      <c r="O646" s="50">
        <f t="shared" si="150"/>
        <v>0</v>
      </c>
      <c r="Q646" s="55" t="e">
        <f t="shared" si="151"/>
        <v>#VALUE!</v>
      </c>
      <c r="R646" s="55" t="e">
        <f t="shared" si="154"/>
        <v>#VALUE!</v>
      </c>
      <c r="S646" s="55" t="e">
        <f t="shared" si="152"/>
        <v>#VALUE!</v>
      </c>
      <c r="T646" s="50" t="e">
        <f t="shared" si="155"/>
        <v>#VALUE!</v>
      </c>
      <c r="U646" s="50" t="e">
        <f t="shared" si="156"/>
        <v>#VALUE!</v>
      </c>
      <c r="V646" s="50" t="e">
        <f t="shared" si="157"/>
        <v>#VALUE!</v>
      </c>
    </row>
    <row r="647" spans="2:22" x14ac:dyDescent="0.25">
      <c r="B647" s="50" t="b">
        <f t="shared" si="144"/>
        <v>0</v>
      </c>
      <c r="C647" s="50" t="e">
        <f t="shared" si="146"/>
        <v>#VALUE!</v>
      </c>
      <c r="E647" s="56">
        <v>643</v>
      </c>
      <c r="G647" s="138"/>
      <c r="H647" s="135">
        <v>1</v>
      </c>
      <c r="I647" s="58" t="e">
        <f t="shared" si="147"/>
        <v>#VALUE!</v>
      </c>
      <c r="J647" s="50" t="e">
        <f t="shared" si="153"/>
        <v>#VALUE!</v>
      </c>
      <c r="K647" s="50" t="e">
        <f t="shared" si="145"/>
        <v>#VALUE!</v>
      </c>
      <c r="L647" s="50" t="e">
        <f t="shared" si="145"/>
        <v>#VALUE!</v>
      </c>
      <c r="M647" s="50" t="e">
        <f t="shared" si="148"/>
        <v>#VALUE!</v>
      </c>
      <c r="N647" s="50" t="e">
        <f t="shared" si="149"/>
        <v>#VALUE!</v>
      </c>
      <c r="O647" s="50">
        <f t="shared" si="150"/>
        <v>0</v>
      </c>
      <c r="Q647" s="55" t="e">
        <f t="shared" si="151"/>
        <v>#VALUE!</v>
      </c>
      <c r="R647" s="55" t="e">
        <f t="shared" si="154"/>
        <v>#VALUE!</v>
      </c>
      <c r="S647" s="55" t="e">
        <f t="shared" si="152"/>
        <v>#VALUE!</v>
      </c>
      <c r="T647" s="50" t="e">
        <f t="shared" si="155"/>
        <v>#VALUE!</v>
      </c>
      <c r="U647" s="50" t="e">
        <f t="shared" si="156"/>
        <v>#VALUE!</v>
      </c>
      <c r="V647" s="50" t="e">
        <f t="shared" si="157"/>
        <v>#VALUE!</v>
      </c>
    </row>
    <row r="648" spans="2:22" x14ac:dyDescent="0.25">
      <c r="B648" s="50" t="b">
        <f t="shared" si="144"/>
        <v>0</v>
      </c>
      <c r="C648" s="50" t="e">
        <f t="shared" si="146"/>
        <v>#VALUE!</v>
      </c>
      <c r="E648" s="56">
        <v>644</v>
      </c>
      <c r="G648" s="138"/>
      <c r="H648" s="135">
        <v>1</v>
      </c>
      <c r="I648" s="58" t="e">
        <f t="shared" si="147"/>
        <v>#VALUE!</v>
      </c>
      <c r="J648" s="50" t="e">
        <f t="shared" si="153"/>
        <v>#VALUE!</v>
      </c>
      <c r="K648" s="50" t="e">
        <f t="shared" si="145"/>
        <v>#VALUE!</v>
      </c>
      <c r="L648" s="50" t="e">
        <f t="shared" si="145"/>
        <v>#VALUE!</v>
      </c>
      <c r="M648" s="50" t="e">
        <f t="shared" si="148"/>
        <v>#VALUE!</v>
      </c>
      <c r="N648" s="50" t="e">
        <f t="shared" si="149"/>
        <v>#VALUE!</v>
      </c>
      <c r="O648" s="50">
        <f t="shared" si="150"/>
        <v>0</v>
      </c>
      <c r="Q648" s="55" t="e">
        <f t="shared" si="151"/>
        <v>#VALUE!</v>
      </c>
      <c r="R648" s="55" t="e">
        <f t="shared" si="154"/>
        <v>#VALUE!</v>
      </c>
      <c r="S648" s="55" t="e">
        <f t="shared" si="152"/>
        <v>#VALUE!</v>
      </c>
      <c r="T648" s="50" t="e">
        <f t="shared" si="155"/>
        <v>#VALUE!</v>
      </c>
      <c r="U648" s="50" t="e">
        <f t="shared" si="156"/>
        <v>#VALUE!</v>
      </c>
      <c r="V648" s="50" t="e">
        <f t="shared" si="157"/>
        <v>#VALUE!</v>
      </c>
    </row>
    <row r="649" spans="2:22" x14ac:dyDescent="0.25">
      <c r="B649" s="50" t="b">
        <f t="shared" si="144"/>
        <v>0</v>
      </c>
      <c r="C649" s="50" t="e">
        <f t="shared" si="146"/>
        <v>#VALUE!</v>
      </c>
      <c r="E649" s="56">
        <v>645</v>
      </c>
      <c r="G649" s="138"/>
      <c r="H649" s="135">
        <v>1</v>
      </c>
      <c r="I649" s="58" t="e">
        <f t="shared" si="147"/>
        <v>#VALUE!</v>
      </c>
      <c r="J649" s="50" t="e">
        <f t="shared" si="153"/>
        <v>#VALUE!</v>
      </c>
      <c r="K649" s="50" t="e">
        <f t="shared" si="145"/>
        <v>#VALUE!</v>
      </c>
      <c r="L649" s="50" t="e">
        <f t="shared" si="145"/>
        <v>#VALUE!</v>
      </c>
      <c r="M649" s="50" t="e">
        <f t="shared" si="148"/>
        <v>#VALUE!</v>
      </c>
      <c r="N649" s="50" t="e">
        <f t="shared" si="149"/>
        <v>#VALUE!</v>
      </c>
      <c r="O649" s="50">
        <f t="shared" si="150"/>
        <v>0</v>
      </c>
      <c r="Q649" s="55" t="e">
        <f t="shared" si="151"/>
        <v>#VALUE!</v>
      </c>
      <c r="R649" s="55" t="e">
        <f t="shared" si="154"/>
        <v>#VALUE!</v>
      </c>
      <c r="S649" s="55" t="e">
        <f t="shared" si="152"/>
        <v>#VALUE!</v>
      </c>
      <c r="T649" s="50" t="e">
        <f t="shared" si="155"/>
        <v>#VALUE!</v>
      </c>
      <c r="U649" s="50" t="e">
        <f t="shared" si="156"/>
        <v>#VALUE!</v>
      </c>
      <c r="V649" s="50" t="e">
        <f t="shared" si="157"/>
        <v>#VALUE!</v>
      </c>
    </row>
    <row r="650" spans="2:22" x14ac:dyDescent="0.25">
      <c r="B650" s="50" t="b">
        <f t="shared" si="144"/>
        <v>0</v>
      </c>
      <c r="C650" s="50" t="e">
        <f t="shared" si="146"/>
        <v>#VALUE!</v>
      </c>
      <c r="E650" s="56">
        <v>646</v>
      </c>
      <c r="G650" s="138"/>
      <c r="H650" s="135">
        <v>1</v>
      </c>
      <c r="I650" s="58" t="e">
        <f t="shared" si="147"/>
        <v>#VALUE!</v>
      </c>
      <c r="J650" s="50" t="e">
        <f t="shared" si="153"/>
        <v>#VALUE!</v>
      </c>
      <c r="K650" s="50" t="e">
        <f t="shared" si="145"/>
        <v>#VALUE!</v>
      </c>
      <c r="L650" s="50" t="e">
        <f t="shared" si="145"/>
        <v>#VALUE!</v>
      </c>
      <c r="M650" s="50" t="e">
        <f t="shared" si="148"/>
        <v>#VALUE!</v>
      </c>
      <c r="N650" s="50" t="e">
        <f t="shared" si="149"/>
        <v>#VALUE!</v>
      </c>
      <c r="O650" s="50">
        <f t="shared" si="150"/>
        <v>0</v>
      </c>
      <c r="Q650" s="55" t="e">
        <f t="shared" si="151"/>
        <v>#VALUE!</v>
      </c>
      <c r="R650" s="55" t="e">
        <f t="shared" si="154"/>
        <v>#VALUE!</v>
      </c>
      <c r="S650" s="55" t="e">
        <f t="shared" si="152"/>
        <v>#VALUE!</v>
      </c>
      <c r="T650" s="50" t="e">
        <f t="shared" si="155"/>
        <v>#VALUE!</v>
      </c>
      <c r="U650" s="50" t="e">
        <f t="shared" si="156"/>
        <v>#VALUE!</v>
      </c>
      <c r="V650" s="50" t="e">
        <f t="shared" si="157"/>
        <v>#VALUE!</v>
      </c>
    </row>
    <row r="651" spans="2:22" x14ac:dyDescent="0.25">
      <c r="B651" s="50" t="b">
        <f t="shared" si="144"/>
        <v>0</v>
      </c>
      <c r="C651" s="50" t="e">
        <f t="shared" si="146"/>
        <v>#VALUE!</v>
      </c>
      <c r="E651" s="56">
        <v>647</v>
      </c>
      <c r="G651" s="138"/>
      <c r="H651" s="135">
        <v>1</v>
      </c>
      <c r="I651" s="58" t="e">
        <f t="shared" si="147"/>
        <v>#VALUE!</v>
      </c>
      <c r="J651" s="50" t="e">
        <f t="shared" si="153"/>
        <v>#VALUE!</v>
      </c>
      <c r="K651" s="50" t="e">
        <f t="shared" si="145"/>
        <v>#VALUE!</v>
      </c>
      <c r="L651" s="50" t="e">
        <f t="shared" si="145"/>
        <v>#VALUE!</v>
      </c>
      <c r="M651" s="50" t="e">
        <f t="shared" si="148"/>
        <v>#VALUE!</v>
      </c>
      <c r="N651" s="50" t="e">
        <f t="shared" si="149"/>
        <v>#VALUE!</v>
      </c>
      <c r="O651" s="50">
        <f t="shared" si="150"/>
        <v>0</v>
      </c>
      <c r="Q651" s="55" t="e">
        <f t="shared" si="151"/>
        <v>#VALUE!</v>
      </c>
      <c r="R651" s="55" t="e">
        <f t="shared" si="154"/>
        <v>#VALUE!</v>
      </c>
      <c r="S651" s="55" t="e">
        <f t="shared" si="152"/>
        <v>#VALUE!</v>
      </c>
      <c r="T651" s="50" t="e">
        <f t="shared" si="155"/>
        <v>#VALUE!</v>
      </c>
      <c r="U651" s="50" t="e">
        <f t="shared" si="156"/>
        <v>#VALUE!</v>
      </c>
      <c r="V651" s="50" t="e">
        <f t="shared" si="157"/>
        <v>#VALUE!</v>
      </c>
    </row>
    <row r="652" spans="2:22" x14ac:dyDescent="0.25">
      <c r="B652" s="50" t="b">
        <f t="shared" si="144"/>
        <v>0</v>
      </c>
      <c r="C652" s="50" t="e">
        <f t="shared" si="146"/>
        <v>#VALUE!</v>
      </c>
      <c r="E652" s="56">
        <v>648</v>
      </c>
      <c r="G652" s="138"/>
      <c r="H652" s="135">
        <v>1</v>
      </c>
      <c r="I652" s="58" t="e">
        <f t="shared" si="147"/>
        <v>#VALUE!</v>
      </c>
      <c r="J652" s="50" t="e">
        <f t="shared" si="153"/>
        <v>#VALUE!</v>
      </c>
      <c r="K652" s="50" t="e">
        <f t="shared" si="145"/>
        <v>#VALUE!</v>
      </c>
      <c r="L652" s="50" t="e">
        <f t="shared" si="145"/>
        <v>#VALUE!</v>
      </c>
      <c r="M652" s="50" t="e">
        <f t="shared" si="148"/>
        <v>#VALUE!</v>
      </c>
      <c r="N652" s="50" t="e">
        <f t="shared" si="149"/>
        <v>#VALUE!</v>
      </c>
      <c r="O652" s="50">
        <f t="shared" si="150"/>
        <v>0</v>
      </c>
      <c r="Q652" s="55" t="e">
        <f t="shared" si="151"/>
        <v>#VALUE!</v>
      </c>
      <c r="R652" s="55" t="e">
        <f t="shared" si="154"/>
        <v>#VALUE!</v>
      </c>
      <c r="S652" s="55" t="e">
        <f t="shared" si="152"/>
        <v>#VALUE!</v>
      </c>
      <c r="T652" s="50" t="e">
        <f t="shared" si="155"/>
        <v>#VALUE!</v>
      </c>
      <c r="U652" s="50" t="e">
        <f t="shared" si="156"/>
        <v>#VALUE!</v>
      </c>
      <c r="V652" s="50" t="e">
        <f t="shared" si="157"/>
        <v>#VALUE!</v>
      </c>
    </row>
    <row r="653" spans="2:22" x14ac:dyDescent="0.25">
      <c r="B653" s="50" t="b">
        <f t="shared" si="144"/>
        <v>0</v>
      </c>
      <c r="C653" s="50" t="e">
        <f t="shared" si="146"/>
        <v>#VALUE!</v>
      </c>
      <c r="E653" s="56">
        <v>649</v>
      </c>
      <c r="G653" s="138"/>
      <c r="H653" s="135">
        <v>1</v>
      </c>
      <c r="I653" s="58" t="e">
        <f t="shared" si="147"/>
        <v>#VALUE!</v>
      </c>
      <c r="J653" s="50" t="e">
        <f t="shared" si="153"/>
        <v>#VALUE!</v>
      </c>
      <c r="K653" s="50" t="e">
        <f t="shared" si="145"/>
        <v>#VALUE!</v>
      </c>
      <c r="L653" s="50" t="e">
        <f t="shared" si="145"/>
        <v>#VALUE!</v>
      </c>
      <c r="M653" s="50" t="e">
        <f t="shared" si="148"/>
        <v>#VALUE!</v>
      </c>
      <c r="N653" s="50" t="e">
        <f t="shared" si="149"/>
        <v>#VALUE!</v>
      </c>
      <c r="O653" s="50">
        <f t="shared" si="150"/>
        <v>0</v>
      </c>
      <c r="Q653" s="55" t="e">
        <f t="shared" si="151"/>
        <v>#VALUE!</v>
      </c>
      <c r="R653" s="55" t="e">
        <f t="shared" si="154"/>
        <v>#VALUE!</v>
      </c>
      <c r="S653" s="55" t="e">
        <f t="shared" si="152"/>
        <v>#VALUE!</v>
      </c>
      <c r="T653" s="50" t="e">
        <f t="shared" si="155"/>
        <v>#VALUE!</v>
      </c>
      <c r="U653" s="50" t="e">
        <f t="shared" si="156"/>
        <v>#VALUE!</v>
      </c>
      <c r="V653" s="50" t="e">
        <f t="shared" si="157"/>
        <v>#VALUE!</v>
      </c>
    </row>
    <row r="654" spans="2:22" x14ac:dyDescent="0.25">
      <c r="B654" s="50" t="b">
        <f t="shared" ref="B654:B717" si="158">ISNUMBER(C654)</f>
        <v>0</v>
      </c>
      <c r="C654" s="50" t="e">
        <f t="shared" si="146"/>
        <v>#VALUE!</v>
      </c>
      <c r="E654" s="56">
        <v>650</v>
      </c>
      <c r="G654" s="138"/>
      <c r="H654" s="135">
        <v>1</v>
      </c>
      <c r="I654" s="58" t="e">
        <f t="shared" si="147"/>
        <v>#VALUE!</v>
      </c>
      <c r="J654" s="50" t="e">
        <f t="shared" si="153"/>
        <v>#VALUE!</v>
      </c>
      <c r="K654" s="50" t="e">
        <f t="shared" si="145"/>
        <v>#VALUE!</v>
      </c>
      <c r="L654" s="50" t="e">
        <f t="shared" si="145"/>
        <v>#VALUE!</v>
      </c>
      <c r="M654" s="50" t="e">
        <f t="shared" si="148"/>
        <v>#VALUE!</v>
      </c>
      <c r="N654" s="50" t="e">
        <f t="shared" si="149"/>
        <v>#VALUE!</v>
      </c>
      <c r="O654" s="50">
        <f t="shared" si="150"/>
        <v>0</v>
      </c>
      <c r="Q654" s="55" t="e">
        <f t="shared" si="151"/>
        <v>#VALUE!</v>
      </c>
      <c r="R654" s="55" t="e">
        <f t="shared" si="154"/>
        <v>#VALUE!</v>
      </c>
      <c r="S654" s="55" t="e">
        <f t="shared" si="152"/>
        <v>#VALUE!</v>
      </c>
      <c r="T654" s="50" t="e">
        <f t="shared" si="155"/>
        <v>#VALUE!</v>
      </c>
      <c r="U654" s="50" t="e">
        <f t="shared" si="156"/>
        <v>#VALUE!</v>
      </c>
      <c r="V654" s="50" t="e">
        <f t="shared" si="157"/>
        <v>#VALUE!</v>
      </c>
    </row>
    <row r="655" spans="2:22" x14ac:dyDescent="0.25">
      <c r="B655" s="50" t="b">
        <f t="shared" si="158"/>
        <v>0</v>
      </c>
      <c r="C655" s="50" t="e">
        <f t="shared" si="146"/>
        <v>#VALUE!</v>
      </c>
      <c r="E655" s="56">
        <v>651</v>
      </c>
      <c r="G655" s="138"/>
      <c r="H655" s="135">
        <v>1</v>
      </c>
      <c r="I655" s="58" t="e">
        <f t="shared" si="147"/>
        <v>#VALUE!</v>
      </c>
      <c r="J655" s="50" t="e">
        <f t="shared" si="153"/>
        <v>#VALUE!</v>
      </c>
      <c r="K655" s="50" t="e">
        <f t="shared" si="145"/>
        <v>#VALUE!</v>
      </c>
      <c r="L655" s="50" t="e">
        <f t="shared" si="145"/>
        <v>#VALUE!</v>
      </c>
      <c r="M655" s="50" t="e">
        <f t="shared" si="148"/>
        <v>#VALUE!</v>
      </c>
      <c r="N655" s="50" t="e">
        <f t="shared" si="149"/>
        <v>#VALUE!</v>
      </c>
      <c r="O655" s="50">
        <f t="shared" si="150"/>
        <v>0</v>
      </c>
      <c r="Q655" s="55" t="e">
        <f t="shared" si="151"/>
        <v>#VALUE!</v>
      </c>
      <c r="R655" s="55" t="e">
        <f t="shared" si="154"/>
        <v>#VALUE!</v>
      </c>
      <c r="S655" s="55" t="e">
        <f t="shared" si="152"/>
        <v>#VALUE!</v>
      </c>
      <c r="T655" s="50" t="e">
        <f t="shared" si="155"/>
        <v>#VALUE!</v>
      </c>
      <c r="U655" s="50" t="e">
        <f t="shared" si="156"/>
        <v>#VALUE!</v>
      </c>
      <c r="V655" s="50" t="e">
        <f t="shared" si="157"/>
        <v>#VALUE!</v>
      </c>
    </row>
    <row r="656" spans="2:22" x14ac:dyDescent="0.25">
      <c r="B656" s="50" t="b">
        <f t="shared" si="158"/>
        <v>0</v>
      </c>
      <c r="C656" s="50" t="e">
        <f t="shared" si="146"/>
        <v>#VALUE!</v>
      </c>
      <c r="E656" s="56">
        <v>652</v>
      </c>
      <c r="G656" s="138"/>
      <c r="H656" s="135">
        <v>1</v>
      </c>
      <c r="I656" s="58" t="e">
        <f t="shared" si="147"/>
        <v>#VALUE!</v>
      </c>
      <c r="J656" s="50" t="e">
        <f t="shared" si="153"/>
        <v>#VALUE!</v>
      </c>
      <c r="K656" s="50" t="e">
        <f t="shared" si="145"/>
        <v>#VALUE!</v>
      </c>
      <c r="L656" s="50" t="e">
        <f t="shared" si="145"/>
        <v>#VALUE!</v>
      </c>
      <c r="M656" s="50" t="e">
        <f t="shared" si="148"/>
        <v>#VALUE!</v>
      </c>
      <c r="N656" s="50" t="e">
        <f t="shared" si="149"/>
        <v>#VALUE!</v>
      </c>
      <c r="O656" s="50">
        <f t="shared" si="150"/>
        <v>0</v>
      </c>
      <c r="Q656" s="55" t="e">
        <f t="shared" si="151"/>
        <v>#VALUE!</v>
      </c>
      <c r="R656" s="55" t="e">
        <f t="shared" si="154"/>
        <v>#VALUE!</v>
      </c>
      <c r="S656" s="55" t="e">
        <f t="shared" si="152"/>
        <v>#VALUE!</v>
      </c>
      <c r="T656" s="50" t="e">
        <f t="shared" si="155"/>
        <v>#VALUE!</v>
      </c>
      <c r="U656" s="50" t="e">
        <f t="shared" si="156"/>
        <v>#VALUE!</v>
      </c>
      <c r="V656" s="50" t="e">
        <f t="shared" si="157"/>
        <v>#VALUE!</v>
      </c>
    </row>
    <row r="657" spans="2:22" x14ac:dyDescent="0.25">
      <c r="B657" s="50" t="b">
        <f t="shared" si="158"/>
        <v>0</v>
      </c>
      <c r="C657" s="50" t="e">
        <f t="shared" si="146"/>
        <v>#VALUE!</v>
      </c>
      <c r="E657" s="56">
        <v>653</v>
      </c>
      <c r="G657" s="138"/>
      <c r="H657" s="135">
        <v>1</v>
      </c>
      <c r="I657" s="58" t="e">
        <f t="shared" si="147"/>
        <v>#VALUE!</v>
      </c>
      <c r="J657" s="50" t="e">
        <f t="shared" si="153"/>
        <v>#VALUE!</v>
      </c>
      <c r="K657" s="50" t="e">
        <f t="shared" si="145"/>
        <v>#VALUE!</v>
      </c>
      <c r="L657" s="50" t="e">
        <f t="shared" si="145"/>
        <v>#VALUE!</v>
      </c>
      <c r="M657" s="50" t="e">
        <f t="shared" si="148"/>
        <v>#VALUE!</v>
      </c>
      <c r="N657" s="50" t="e">
        <f t="shared" si="149"/>
        <v>#VALUE!</v>
      </c>
      <c r="O657" s="50">
        <f t="shared" si="150"/>
        <v>0</v>
      </c>
      <c r="Q657" s="55" t="e">
        <f t="shared" si="151"/>
        <v>#VALUE!</v>
      </c>
      <c r="R657" s="55" t="e">
        <f t="shared" si="154"/>
        <v>#VALUE!</v>
      </c>
      <c r="S657" s="55" t="e">
        <f t="shared" si="152"/>
        <v>#VALUE!</v>
      </c>
      <c r="T657" s="50" t="e">
        <f t="shared" si="155"/>
        <v>#VALUE!</v>
      </c>
      <c r="U657" s="50" t="e">
        <f t="shared" si="156"/>
        <v>#VALUE!</v>
      </c>
      <c r="V657" s="50" t="e">
        <f t="shared" si="157"/>
        <v>#VALUE!</v>
      </c>
    </row>
    <row r="658" spans="2:22" x14ac:dyDescent="0.25">
      <c r="B658" s="50" t="b">
        <f t="shared" si="158"/>
        <v>0</v>
      </c>
      <c r="C658" s="50" t="e">
        <f t="shared" si="146"/>
        <v>#VALUE!</v>
      </c>
      <c r="E658" s="56">
        <v>654</v>
      </c>
      <c r="G658" s="138"/>
      <c r="H658" s="135">
        <v>1</v>
      </c>
      <c r="I658" s="58" t="e">
        <f t="shared" si="147"/>
        <v>#VALUE!</v>
      </c>
      <c r="J658" s="50" t="e">
        <f t="shared" si="153"/>
        <v>#VALUE!</v>
      </c>
      <c r="K658" s="50" t="e">
        <f t="shared" si="145"/>
        <v>#VALUE!</v>
      </c>
      <c r="L658" s="50" t="e">
        <f t="shared" si="145"/>
        <v>#VALUE!</v>
      </c>
      <c r="M658" s="50" t="e">
        <f t="shared" si="148"/>
        <v>#VALUE!</v>
      </c>
      <c r="N658" s="50" t="e">
        <f t="shared" si="149"/>
        <v>#VALUE!</v>
      </c>
      <c r="O658" s="50">
        <f t="shared" si="150"/>
        <v>0</v>
      </c>
      <c r="Q658" s="55" t="e">
        <f t="shared" si="151"/>
        <v>#VALUE!</v>
      </c>
      <c r="R658" s="55" t="e">
        <f t="shared" si="154"/>
        <v>#VALUE!</v>
      </c>
      <c r="S658" s="55" t="e">
        <f t="shared" si="152"/>
        <v>#VALUE!</v>
      </c>
      <c r="T658" s="50" t="e">
        <f t="shared" si="155"/>
        <v>#VALUE!</v>
      </c>
      <c r="U658" s="50" t="e">
        <f t="shared" si="156"/>
        <v>#VALUE!</v>
      </c>
      <c r="V658" s="50" t="e">
        <f t="shared" si="157"/>
        <v>#VALUE!</v>
      </c>
    </row>
    <row r="659" spans="2:22" x14ac:dyDescent="0.25">
      <c r="B659" s="50" t="b">
        <f t="shared" si="158"/>
        <v>0</v>
      </c>
      <c r="C659" s="50" t="e">
        <f t="shared" si="146"/>
        <v>#VALUE!</v>
      </c>
      <c r="E659" s="56">
        <v>655</v>
      </c>
      <c r="G659" s="138"/>
      <c r="H659" s="135">
        <v>1</v>
      </c>
      <c r="I659" s="58" t="e">
        <f t="shared" si="147"/>
        <v>#VALUE!</v>
      </c>
      <c r="J659" s="50" t="e">
        <f t="shared" si="153"/>
        <v>#VALUE!</v>
      </c>
      <c r="K659" s="50" t="e">
        <f t="shared" si="145"/>
        <v>#VALUE!</v>
      </c>
      <c r="L659" s="50" t="e">
        <f t="shared" si="145"/>
        <v>#VALUE!</v>
      </c>
      <c r="M659" s="50" t="e">
        <f t="shared" si="148"/>
        <v>#VALUE!</v>
      </c>
      <c r="N659" s="50" t="e">
        <f t="shared" si="149"/>
        <v>#VALUE!</v>
      </c>
      <c r="O659" s="50">
        <f t="shared" si="150"/>
        <v>0</v>
      </c>
      <c r="Q659" s="55" t="e">
        <f t="shared" si="151"/>
        <v>#VALUE!</v>
      </c>
      <c r="R659" s="55" t="e">
        <f t="shared" si="154"/>
        <v>#VALUE!</v>
      </c>
      <c r="S659" s="55" t="e">
        <f t="shared" si="152"/>
        <v>#VALUE!</v>
      </c>
      <c r="T659" s="50" t="e">
        <f t="shared" si="155"/>
        <v>#VALUE!</v>
      </c>
      <c r="U659" s="50" t="e">
        <f t="shared" si="156"/>
        <v>#VALUE!</v>
      </c>
      <c r="V659" s="50" t="e">
        <f t="shared" si="157"/>
        <v>#VALUE!</v>
      </c>
    </row>
    <row r="660" spans="2:22" x14ac:dyDescent="0.25">
      <c r="B660" s="50" t="b">
        <f t="shared" si="158"/>
        <v>0</v>
      </c>
      <c r="C660" s="50" t="e">
        <f t="shared" si="146"/>
        <v>#VALUE!</v>
      </c>
      <c r="E660" s="56">
        <v>656</v>
      </c>
      <c r="G660" s="138"/>
      <c r="H660" s="135">
        <v>1</v>
      </c>
      <c r="I660" s="58" t="e">
        <f t="shared" si="147"/>
        <v>#VALUE!</v>
      </c>
      <c r="J660" s="50" t="e">
        <f t="shared" si="153"/>
        <v>#VALUE!</v>
      </c>
      <c r="K660" s="50" t="e">
        <f t="shared" si="145"/>
        <v>#VALUE!</v>
      </c>
      <c r="L660" s="50" t="e">
        <f t="shared" si="145"/>
        <v>#VALUE!</v>
      </c>
      <c r="M660" s="50" t="e">
        <f t="shared" si="148"/>
        <v>#VALUE!</v>
      </c>
      <c r="N660" s="50" t="e">
        <f t="shared" si="149"/>
        <v>#VALUE!</v>
      </c>
      <c r="O660" s="50">
        <f t="shared" si="150"/>
        <v>0</v>
      </c>
      <c r="Q660" s="55" t="e">
        <f t="shared" si="151"/>
        <v>#VALUE!</v>
      </c>
      <c r="R660" s="55" t="e">
        <f t="shared" si="154"/>
        <v>#VALUE!</v>
      </c>
      <c r="S660" s="55" t="e">
        <f t="shared" si="152"/>
        <v>#VALUE!</v>
      </c>
      <c r="T660" s="50" t="e">
        <f t="shared" si="155"/>
        <v>#VALUE!</v>
      </c>
      <c r="U660" s="50" t="e">
        <f t="shared" si="156"/>
        <v>#VALUE!</v>
      </c>
      <c r="V660" s="50" t="e">
        <f t="shared" si="157"/>
        <v>#VALUE!</v>
      </c>
    </row>
    <row r="661" spans="2:22" x14ac:dyDescent="0.25">
      <c r="B661" s="50" t="b">
        <f t="shared" si="158"/>
        <v>0</v>
      </c>
      <c r="C661" s="50" t="e">
        <f t="shared" si="146"/>
        <v>#VALUE!</v>
      </c>
      <c r="E661" s="56">
        <v>657</v>
      </c>
      <c r="G661" s="138"/>
      <c r="H661" s="135">
        <v>1</v>
      </c>
      <c r="I661" s="58" t="e">
        <f t="shared" si="147"/>
        <v>#VALUE!</v>
      </c>
      <c r="J661" s="50" t="e">
        <f t="shared" si="153"/>
        <v>#VALUE!</v>
      </c>
      <c r="K661" s="50" t="e">
        <f t="shared" si="145"/>
        <v>#VALUE!</v>
      </c>
      <c r="L661" s="50" t="e">
        <f t="shared" si="145"/>
        <v>#VALUE!</v>
      </c>
      <c r="M661" s="50" t="e">
        <f t="shared" si="148"/>
        <v>#VALUE!</v>
      </c>
      <c r="N661" s="50" t="e">
        <f t="shared" si="149"/>
        <v>#VALUE!</v>
      </c>
      <c r="O661" s="50">
        <f t="shared" si="150"/>
        <v>0</v>
      </c>
      <c r="Q661" s="55" t="e">
        <f t="shared" si="151"/>
        <v>#VALUE!</v>
      </c>
      <c r="R661" s="55" t="e">
        <f t="shared" si="154"/>
        <v>#VALUE!</v>
      </c>
      <c r="S661" s="55" t="e">
        <f t="shared" si="152"/>
        <v>#VALUE!</v>
      </c>
      <c r="T661" s="50" t="e">
        <f t="shared" si="155"/>
        <v>#VALUE!</v>
      </c>
      <c r="U661" s="50" t="e">
        <f t="shared" si="156"/>
        <v>#VALUE!</v>
      </c>
      <c r="V661" s="50" t="e">
        <f t="shared" si="157"/>
        <v>#VALUE!</v>
      </c>
    </row>
    <row r="662" spans="2:22" x14ac:dyDescent="0.25">
      <c r="B662" s="50" t="b">
        <f t="shared" si="158"/>
        <v>0</v>
      </c>
      <c r="C662" s="50" t="e">
        <f t="shared" si="146"/>
        <v>#VALUE!</v>
      </c>
      <c r="E662" s="56">
        <v>658</v>
      </c>
      <c r="G662" s="138"/>
      <c r="H662" s="135">
        <v>1</v>
      </c>
      <c r="I662" s="58" t="e">
        <f t="shared" si="147"/>
        <v>#VALUE!</v>
      </c>
      <c r="J662" s="50" t="e">
        <f t="shared" si="153"/>
        <v>#VALUE!</v>
      </c>
      <c r="K662" s="50" t="e">
        <f t="shared" si="145"/>
        <v>#VALUE!</v>
      </c>
      <c r="L662" s="50" t="e">
        <f t="shared" si="145"/>
        <v>#VALUE!</v>
      </c>
      <c r="M662" s="50" t="e">
        <f t="shared" si="148"/>
        <v>#VALUE!</v>
      </c>
      <c r="N662" s="50" t="e">
        <f t="shared" si="149"/>
        <v>#VALUE!</v>
      </c>
      <c r="O662" s="50">
        <f t="shared" si="150"/>
        <v>0</v>
      </c>
      <c r="Q662" s="55" t="e">
        <f t="shared" si="151"/>
        <v>#VALUE!</v>
      </c>
      <c r="R662" s="55" t="e">
        <f t="shared" si="154"/>
        <v>#VALUE!</v>
      </c>
      <c r="S662" s="55" t="e">
        <f t="shared" si="152"/>
        <v>#VALUE!</v>
      </c>
      <c r="T662" s="50" t="e">
        <f t="shared" si="155"/>
        <v>#VALUE!</v>
      </c>
      <c r="U662" s="50" t="e">
        <f t="shared" si="156"/>
        <v>#VALUE!</v>
      </c>
      <c r="V662" s="50" t="e">
        <f t="shared" si="157"/>
        <v>#VALUE!</v>
      </c>
    </row>
    <row r="663" spans="2:22" x14ac:dyDescent="0.25">
      <c r="B663" s="50" t="b">
        <f t="shared" si="158"/>
        <v>0</v>
      </c>
      <c r="C663" s="50" t="e">
        <f t="shared" si="146"/>
        <v>#VALUE!</v>
      </c>
      <c r="E663" s="56">
        <v>659</v>
      </c>
      <c r="G663" s="138"/>
      <c r="H663" s="135">
        <v>1</v>
      </c>
      <c r="I663" s="58" t="e">
        <f t="shared" si="147"/>
        <v>#VALUE!</v>
      </c>
      <c r="J663" s="50" t="e">
        <f t="shared" si="153"/>
        <v>#VALUE!</v>
      </c>
      <c r="K663" s="50" t="e">
        <f t="shared" si="145"/>
        <v>#VALUE!</v>
      </c>
      <c r="L663" s="50" t="e">
        <f t="shared" si="145"/>
        <v>#VALUE!</v>
      </c>
      <c r="M663" s="50" t="e">
        <f t="shared" si="148"/>
        <v>#VALUE!</v>
      </c>
      <c r="N663" s="50" t="e">
        <f t="shared" si="149"/>
        <v>#VALUE!</v>
      </c>
      <c r="O663" s="50">
        <f t="shared" si="150"/>
        <v>0</v>
      </c>
      <c r="Q663" s="55" t="e">
        <f t="shared" si="151"/>
        <v>#VALUE!</v>
      </c>
      <c r="R663" s="55" t="e">
        <f t="shared" si="154"/>
        <v>#VALUE!</v>
      </c>
      <c r="S663" s="55" t="e">
        <f t="shared" si="152"/>
        <v>#VALUE!</v>
      </c>
      <c r="T663" s="50" t="e">
        <f t="shared" si="155"/>
        <v>#VALUE!</v>
      </c>
      <c r="U663" s="50" t="e">
        <f t="shared" si="156"/>
        <v>#VALUE!</v>
      </c>
      <c r="V663" s="50" t="e">
        <f t="shared" si="157"/>
        <v>#VALUE!</v>
      </c>
    </row>
    <row r="664" spans="2:22" x14ac:dyDescent="0.25">
      <c r="B664" s="50" t="b">
        <f t="shared" si="158"/>
        <v>0</v>
      </c>
      <c r="C664" s="50" t="e">
        <f t="shared" si="146"/>
        <v>#VALUE!</v>
      </c>
      <c r="E664" s="56">
        <v>660</v>
      </c>
      <c r="G664" s="138"/>
      <c r="H664" s="135">
        <v>1</v>
      </c>
      <c r="I664" s="58" t="e">
        <f t="shared" si="147"/>
        <v>#VALUE!</v>
      </c>
      <c r="J664" s="50" t="e">
        <f t="shared" si="153"/>
        <v>#VALUE!</v>
      </c>
      <c r="K664" s="50" t="e">
        <f t="shared" si="145"/>
        <v>#VALUE!</v>
      </c>
      <c r="L664" s="50" t="e">
        <f t="shared" si="145"/>
        <v>#VALUE!</v>
      </c>
      <c r="M664" s="50" t="e">
        <f t="shared" si="148"/>
        <v>#VALUE!</v>
      </c>
      <c r="N664" s="50" t="e">
        <f t="shared" si="149"/>
        <v>#VALUE!</v>
      </c>
      <c r="O664" s="50">
        <f t="shared" si="150"/>
        <v>0</v>
      </c>
      <c r="Q664" s="55" t="e">
        <f t="shared" si="151"/>
        <v>#VALUE!</v>
      </c>
      <c r="R664" s="55" t="e">
        <f t="shared" si="154"/>
        <v>#VALUE!</v>
      </c>
      <c r="S664" s="55" t="e">
        <f t="shared" si="152"/>
        <v>#VALUE!</v>
      </c>
      <c r="T664" s="50" t="e">
        <f t="shared" si="155"/>
        <v>#VALUE!</v>
      </c>
      <c r="U664" s="50" t="e">
        <f t="shared" si="156"/>
        <v>#VALUE!</v>
      </c>
      <c r="V664" s="50" t="e">
        <f t="shared" si="157"/>
        <v>#VALUE!</v>
      </c>
    </row>
    <row r="665" spans="2:22" x14ac:dyDescent="0.25">
      <c r="B665" s="50" t="b">
        <f t="shared" si="158"/>
        <v>0</v>
      </c>
      <c r="C665" s="50" t="e">
        <f t="shared" si="146"/>
        <v>#VALUE!</v>
      </c>
      <c r="E665" s="56">
        <v>661</v>
      </c>
      <c r="G665" s="138"/>
      <c r="H665" s="135">
        <v>1</v>
      </c>
      <c r="I665" s="58" t="e">
        <f t="shared" si="147"/>
        <v>#VALUE!</v>
      </c>
      <c r="J665" s="50" t="e">
        <f t="shared" si="153"/>
        <v>#VALUE!</v>
      </c>
      <c r="K665" s="50" t="e">
        <f t="shared" si="145"/>
        <v>#VALUE!</v>
      </c>
      <c r="L665" s="50" t="e">
        <f t="shared" si="145"/>
        <v>#VALUE!</v>
      </c>
      <c r="M665" s="50" t="e">
        <f t="shared" si="148"/>
        <v>#VALUE!</v>
      </c>
      <c r="N665" s="50" t="e">
        <f t="shared" si="149"/>
        <v>#VALUE!</v>
      </c>
      <c r="O665" s="50">
        <f t="shared" si="150"/>
        <v>0</v>
      </c>
      <c r="Q665" s="55" t="e">
        <f t="shared" si="151"/>
        <v>#VALUE!</v>
      </c>
      <c r="R665" s="55" t="e">
        <f t="shared" si="154"/>
        <v>#VALUE!</v>
      </c>
      <c r="S665" s="55" t="e">
        <f t="shared" si="152"/>
        <v>#VALUE!</v>
      </c>
      <c r="T665" s="50" t="e">
        <f t="shared" si="155"/>
        <v>#VALUE!</v>
      </c>
      <c r="U665" s="50" t="e">
        <f t="shared" si="156"/>
        <v>#VALUE!</v>
      </c>
      <c r="V665" s="50" t="e">
        <f t="shared" si="157"/>
        <v>#VALUE!</v>
      </c>
    </row>
    <row r="666" spans="2:22" x14ac:dyDescent="0.25">
      <c r="B666" s="50" t="b">
        <f t="shared" si="158"/>
        <v>0</v>
      </c>
      <c r="C666" s="50" t="e">
        <f t="shared" si="146"/>
        <v>#VALUE!</v>
      </c>
      <c r="E666" s="56">
        <v>662</v>
      </c>
      <c r="G666" s="138"/>
      <c r="H666" s="135">
        <v>1</v>
      </c>
      <c r="I666" s="58" t="e">
        <f t="shared" si="147"/>
        <v>#VALUE!</v>
      </c>
      <c r="J666" s="50" t="e">
        <f t="shared" si="153"/>
        <v>#VALUE!</v>
      </c>
      <c r="K666" s="50" t="e">
        <f t="shared" si="145"/>
        <v>#VALUE!</v>
      </c>
      <c r="L666" s="50" t="e">
        <f t="shared" si="145"/>
        <v>#VALUE!</v>
      </c>
      <c r="M666" s="50" t="e">
        <f t="shared" si="148"/>
        <v>#VALUE!</v>
      </c>
      <c r="N666" s="50" t="e">
        <f t="shared" si="149"/>
        <v>#VALUE!</v>
      </c>
      <c r="O666" s="50">
        <f t="shared" si="150"/>
        <v>0</v>
      </c>
      <c r="Q666" s="55" t="e">
        <f t="shared" si="151"/>
        <v>#VALUE!</v>
      </c>
      <c r="R666" s="55" t="e">
        <f t="shared" si="154"/>
        <v>#VALUE!</v>
      </c>
      <c r="S666" s="55" t="e">
        <f t="shared" si="152"/>
        <v>#VALUE!</v>
      </c>
      <c r="T666" s="50" t="e">
        <f t="shared" si="155"/>
        <v>#VALUE!</v>
      </c>
      <c r="U666" s="50" t="e">
        <f t="shared" si="156"/>
        <v>#VALUE!</v>
      </c>
      <c r="V666" s="50" t="e">
        <f t="shared" si="157"/>
        <v>#VALUE!</v>
      </c>
    </row>
    <row r="667" spans="2:22" x14ac:dyDescent="0.25">
      <c r="B667" s="50" t="b">
        <f t="shared" si="158"/>
        <v>0</v>
      </c>
      <c r="C667" s="50" t="e">
        <f t="shared" si="146"/>
        <v>#VALUE!</v>
      </c>
      <c r="E667" s="56">
        <v>663</v>
      </c>
      <c r="G667" s="138"/>
      <c r="H667" s="135">
        <v>1</v>
      </c>
      <c r="I667" s="58" t="e">
        <f t="shared" si="147"/>
        <v>#VALUE!</v>
      </c>
      <c r="J667" s="50" t="e">
        <f t="shared" si="153"/>
        <v>#VALUE!</v>
      </c>
      <c r="K667" s="50" t="e">
        <f t="shared" si="145"/>
        <v>#VALUE!</v>
      </c>
      <c r="L667" s="50" t="e">
        <f t="shared" si="145"/>
        <v>#VALUE!</v>
      </c>
      <c r="M667" s="50" t="e">
        <f t="shared" si="148"/>
        <v>#VALUE!</v>
      </c>
      <c r="N667" s="50" t="e">
        <f t="shared" si="149"/>
        <v>#VALUE!</v>
      </c>
      <c r="O667" s="50">
        <f t="shared" si="150"/>
        <v>0</v>
      </c>
      <c r="Q667" s="55" t="e">
        <f t="shared" si="151"/>
        <v>#VALUE!</v>
      </c>
      <c r="R667" s="55" t="e">
        <f t="shared" si="154"/>
        <v>#VALUE!</v>
      </c>
      <c r="S667" s="55" t="e">
        <f t="shared" si="152"/>
        <v>#VALUE!</v>
      </c>
      <c r="T667" s="50" t="e">
        <f t="shared" si="155"/>
        <v>#VALUE!</v>
      </c>
      <c r="U667" s="50" t="e">
        <f t="shared" si="156"/>
        <v>#VALUE!</v>
      </c>
      <c r="V667" s="50" t="e">
        <f t="shared" si="157"/>
        <v>#VALUE!</v>
      </c>
    </row>
    <row r="668" spans="2:22" x14ac:dyDescent="0.25">
      <c r="B668" s="50" t="b">
        <f t="shared" si="158"/>
        <v>0</v>
      </c>
      <c r="C668" s="50" t="e">
        <f t="shared" si="146"/>
        <v>#VALUE!</v>
      </c>
      <c r="E668" s="56">
        <v>664</v>
      </c>
      <c r="G668" s="138"/>
      <c r="H668" s="135">
        <v>1</v>
      </c>
      <c r="I668" s="58" t="e">
        <f t="shared" si="147"/>
        <v>#VALUE!</v>
      </c>
      <c r="J668" s="50" t="e">
        <f t="shared" si="153"/>
        <v>#VALUE!</v>
      </c>
      <c r="K668" s="50" t="e">
        <f t="shared" si="145"/>
        <v>#VALUE!</v>
      </c>
      <c r="L668" s="50" t="e">
        <f t="shared" si="145"/>
        <v>#VALUE!</v>
      </c>
      <c r="M668" s="50" t="e">
        <f t="shared" si="148"/>
        <v>#VALUE!</v>
      </c>
      <c r="N668" s="50" t="e">
        <f t="shared" si="149"/>
        <v>#VALUE!</v>
      </c>
      <c r="O668" s="50">
        <f t="shared" si="150"/>
        <v>0</v>
      </c>
      <c r="Q668" s="55" t="e">
        <f t="shared" si="151"/>
        <v>#VALUE!</v>
      </c>
      <c r="R668" s="55" t="e">
        <f t="shared" si="154"/>
        <v>#VALUE!</v>
      </c>
      <c r="S668" s="55" t="e">
        <f t="shared" si="152"/>
        <v>#VALUE!</v>
      </c>
      <c r="T668" s="50" t="e">
        <f t="shared" si="155"/>
        <v>#VALUE!</v>
      </c>
      <c r="U668" s="50" t="e">
        <f t="shared" si="156"/>
        <v>#VALUE!</v>
      </c>
      <c r="V668" s="50" t="e">
        <f t="shared" si="157"/>
        <v>#VALUE!</v>
      </c>
    </row>
    <row r="669" spans="2:22" x14ac:dyDescent="0.25">
      <c r="B669" s="50" t="b">
        <f t="shared" si="158"/>
        <v>0</v>
      </c>
      <c r="C669" s="50" t="e">
        <f t="shared" si="146"/>
        <v>#VALUE!</v>
      </c>
      <c r="E669" s="56">
        <v>665</v>
      </c>
      <c r="G669" s="138"/>
      <c r="H669" s="135">
        <v>1</v>
      </c>
      <c r="I669" s="58" t="e">
        <f t="shared" si="147"/>
        <v>#VALUE!</v>
      </c>
      <c r="J669" s="50" t="e">
        <f t="shared" si="153"/>
        <v>#VALUE!</v>
      </c>
      <c r="K669" s="50" t="e">
        <f t="shared" si="145"/>
        <v>#VALUE!</v>
      </c>
      <c r="L669" s="50" t="e">
        <f t="shared" si="145"/>
        <v>#VALUE!</v>
      </c>
      <c r="M669" s="50" t="e">
        <f t="shared" si="148"/>
        <v>#VALUE!</v>
      </c>
      <c r="N669" s="50" t="e">
        <f t="shared" si="149"/>
        <v>#VALUE!</v>
      </c>
      <c r="O669" s="50">
        <f t="shared" si="150"/>
        <v>0</v>
      </c>
      <c r="Q669" s="55" t="e">
        <f t="shared" si="151"/>
        <v>#VALUE!</v>
      </c>
      <c r="R669" s="55" t="e">
        <f t="shared" si="154"/>
        <v>#VALUE!</v>
      </c>
      <c r="S669" s="55" t="e">
        <f t="shared" si="152"/>
        <v>#VALUE!</v>
      </c>
      <c r="T669" s="50" t="e">
        <f t="shared" si="155"/>
        <v>#VALUE!</v>
      </c>
      <c r="U669" s="50" t="e">
        <f t="shared" si="156"/>
        <v>#VALUE!</v>
      </c>
      <c r="V669" s="50" t="e">
        <f t="shared" si="157"/>
        <v>#VALUE!</v>
      </c>
    </row>
    <row r="670" spans="2:22" x14ac:dyDescent="0.25">
      <c r="B670" s="50" t="b">
        <f t="shared" si="158"/>
        <v>0</v>
      </c>
      <c r="C670" s="50" t="e">
        <f t="shared" si="146"/>
        <v>#VALUE!</v>
      </c>
      <c r="E670" s="56">
        <v>666</v>
      </c>
      <c r="G670" s="138"/>
      <c r="H670" s="135">
        <v>1</v>
      </c>
      <c r="I670" s="58" t="e">
        <f t="shared" si="147"/>
        <v>#VALUE!</v>
      </c>
      <c r="J670" s="50" t="e">
        <f t="shared" si="153"/>
        <v>#VALUE!</v>
      </c>
      <c r="K670" s="50" t="e">
        <f t="shared" si="145"/>
        <v>#VALUE!</v>
      </c>
      <c r="L670" s="50" t="e">
        <f t="shared" si="145"/>
        <v>#VALUE!</v>
      </c>
      <c r="M670" s="50" t="e">
        <f t="shared" si="148"/>
        <v>#VALUE!</v>
      </c>
      <c r="N670" s="50" t="e">
        <f t="shared" si="149"/>
        <v>#VALUE!</v>
      </c>
      <c r="O670" s="50">
        <f t="shared" si="150"/>
        <v>0</v>
      </c>
      <c r="Q670" s="55" t="e">
        <f t="shared" si="151"/>
        <v>#VALUE!</v>
      </c>
      <c r="R670" s="55" t="e">
        <f t="shared" si="154"/>
        <v>#VALUE!</v>
      </c>
      <c r="S670" s="55" t="e">
        <f t="shared" si="152"/>
        <v>#VALUE!</v>
      </c>
      <c r="T670" s="50" t="e">
        <f t="shared" si="155"/>
        <v>#VALUE!</v>
      </c>
      <c r="U670" s="50" t="e">
        <f t="shared" si="156"/>
        <v>#VALUE!</v>
      </c>
      <c r="V670" s="50" t="e">
        <f t="shared" si="157"/>
        <v>#VALUE!</v>
      </c>
    </row>
    <row r="671" spans="2:22" x14ac:dyDescent="0.25">
      <c r="B671" s="50" t="b">
        <f t="shared" si="158"/>
        <v>0</v>
      </c>
      <c r="C671" s="50" t="e">
        <f t="shared" si="146"/>
        <v>#VALUE!</v>
      </c>
      <c r="E671" s="56">
        <v>667</v>
      </c>
      <c r="G671" s="138"/>
      <c r="H671" s="135">
        <v>1</v>
      </c>
      <c r="I671" s="58" t="e">
        <f t="shared" si="147"/>
        <v>#VALUE!</v>
      </c>
      <c r="J671" s="50" t="e">
        <f t="shared" si="153"/>
        <v>#VALUE!</v>
      </c>
      <c r="K671" s="50" t="e">
        <f t="shared" si="145"/>
        <v>#VALUE!</v>
      </c>
      <c r="L671" s="50" t="e">
        <f t="shared" si="145"/>
        <v>#VALUE!</v>
      </c>
      <c r="M671" s="50" t="e">
        <f t="shared" si="148"/>
        <v>#VALUE!</v>
      </c>
      <c r="N671" s="50" t="e">
        <f t="shared" si="149"/>
        <v>#VALUE!</v>
      </c>
      <c r="O671" s="50">
        <f t="shared" si="150"/>
        <v>0</v>
      </c>
      <c r="Q671" s="55" t="e">
        <f t="shared" si="151"/>
        <v>#VALUE!</v>
      </c>
      <c r="R671" s="55" t="e">
        <f t="shared" si="154"/>
        <v>#VALUE!</v>
      </c>
      <c r="S671" s="55" t="e">
        <f t="shared" si="152"/>
        <v>#VALUE!</v>
      </c>
      <c r="T671" s="50" t="e">
        <f t="shared" si="155"/>
        <v>#VALUE!</v>
      </c>
      <c r="U671" s="50" t="e">
        <f t="shared" si="156"/>
        <v>#VALUE!</v>
      </c>
      <c r="V671" s="50" t="e">
        <f t="shared" si="157"/>
        <v>#VALUE!</v>
      </c>
    </row>
    <row r="672" spans="2:22" x14ac:dyDescent="0.25">
      <c r="B672" s="50" t="b">
        <f t="shared" si="158"/>
        <v>0</v>
      </c>
      <c r="C672" s="50" t="e">
        <f t="shared" si="146"/>
        <v>#VALUE!</v>
      </c>
      <c r="E672" s="56">
        <v>668</v>
      </c>
      <c r="G672" s="138"/>
      <c r="H672" s="135">
        <v>1</v>
      </c>
      <c r="I672" s="58" t="e">
        <f t="shared" si="147"/>
        <v>#VALUE!</v>
      </c>
      <c r="J672" s="50" t="e">
        <f t="shared" si="153"/>
        <v>#VALUE!</v>
      </c>
      <c r="K672" s="50" t="e">
        <f t="shared" si="145"/>
        <v>#VALUE!</v>
      </c>
      <c r="L672" s="50" t="e">
        <f t="shared" si="145"/>
        <v>#VALUE!</v>
      </c>
      <c r="M672" s="50" t="e">
        <f t="shared" si="148"/>
        <v>#VALUE!</v>
      </c>
      <c r="N672" s="50" t="e">
        <f t="shared" si="149"/>
        <v>#VALUE!</v>
      </c>
      <c r="O672" s="50">
        <f t="shared" si="150"/>
        <v>0</v>
      </c>
      <c r="Q672" s="55" t="e">
        <f t="shared" si="151"/>
        <v>#VALUE!</v>
      </c>
      <c r="R672" s="55" t="e">
        <f t="shared" si="154"/>
        <v>#VALUE!</v>
      </c>
      <c r="S672" s="55" t="e">
        <f t="shared" si="152"/>
        <v>#VALUE!</v>
      </c>
      <c r="T672" s="50" t="e">
        <f t="shared" si="155"/>
        <v>#VALUE!</v>
      </c>
      <c r="U672" s="50" t="e">
        <f t="shared" si="156"/>
        <v>#VALUE!</v>
      </c>
      <c r="V672" s="50" t="e">
        <f t="shared" si="157"/>
        <v>#VALUE!</v>
      </c>
    </row>
    <row r="673" spans="2:22" x14ac:dyDescent="0.25">
      <c r="B673" s="50" t="b">
        <f t="shared" si="158"/>
        <v>0</v>
      </c>
      <c r="C673" s="50" t="e">
        <f t="shared" si="146"/>
        <v>#VALUE!</v>
      </c>
      <c r="E673" s="56">
        <v>669</v>
      </c>
      <c r="G673" s="138"/>
      <c r="H673" s="135">
        <v>1</v>
      </c>
      <c r="I673" s="58" t="e">
        <f t="shared" si="147"/>
        <v>#VALUE!</v>
      </c>
      <c r="J673" s="50" t="e">
        <f t="shared" si="153"/>
        <v>#VALUE!</v>
      </c>
      <c r="K673" s="50" t="e">
        <f t="shared" si="145"/>
        <v>#VALUE!</v>
      </c>
      <c r="L673" s="50" t="e">
        <f t="shared" si="145"/>
        <v>#VALUE!</v>
      </c>
      <c r="M673" s="50" t="e">
        <f t="shared" si="148"/>
        <v>#VALUE!</v>
      </c>
      <c r="N673" s="50" t="e">
        <f t="shared" si="149"/>
        <v>#VALUE!</v>
      </c>
      <c r="O673" s="50">
        <f t="shared" si="150"/>
        <v>0</v>
      </c>
      <c r="Q673" s="55" t="e">
        <f t="shared" si="151"/>
        <v>#VALUE!</v>
      </c>
      <c r="R673" s="55" t="e">
        <f t="shared" si="154"/>
        <v>#VALUE!</v>
      </c>
      <c r="S673" s="55" t="e">
        <f t="shared" si="152"/>
        <v>#VALUE!</v>
      </c>
      <c r="T673" s="50" t="e">
        <f t="shared" si="155"/>
        <v>#VALUE!</v>
      </c>
      <c r="U673" s="50" t="e">
        <f t="shared" si="156"/>
        <v>#VALUE!</v>
      </c>
      <c r="V673" s="50" t="e">
        <f t="shared" si="157"/>
        <v>#VALUE!</v>
      </c>
    </row>
    <row r="674" spans="2:22" x14ac:dyDescent="0.25">
      <c r="B674" s="50" t="b">
        <f t="shared" si="158"/>
        <v>0</v>
      </c>
      <c r="C674" s="50" t="e">
        <f t="shared" si="146"/>
        <v>#VALUE!</v>
      </c>
      <c r="E674" s="56">
        <v>670</v>
      </c>
      <c r="G674" s="138"/>
      <c r="H674" s="135">
        <v>1</v>
      </c>
      <c r="I674" s="58" t="e">
        <f t="shared" si="147"/>
        <v>#VALUE!</v>
      </c>
      <c r="J674" s="50" t="e">
        <f t="shared" si="153"/>
        <v>#VALUE!</v>
      </c>
      <c r="K674" s="50" t="e">
        <f t="shared" si="145"/>
        <v>#VALUE!</v>
      </c>
      <c r="L674" s="50" t="e">
        <f t="shared" si="145"/>
        <v>#VALUE!</v>
      </c>
      <c r="M674" s="50" t="e">
        <f t="shared" si="148"/>
        <v>#VALUE!</v>
      </c>
      <c r="N674" s="50" t="e">
        <f t="shared" si="149"/>
        <v>#VALUE!</v>
      </c>
      <c r="O674" s="50">
        <f t="shared" si="150"/>
        <v>0</v>
      </c>
      <c r="Q674" s="55" t="e">
        <f t="shared" si="151"/>
        <v>#VALUE!</v>
      </c>
      <c r="R674" s="55" t="e">
        <f t="shared" si="154"/>
        <v>#VALUE!</v>
      </c>
      <c r="S674" s="55" t="e">
        <f t="shared" si="152"/>
        <v>#VALUE!</v>
      </c>
      <c r="T674" s="50" t="e">
        <f t="shared" si="155"/>
        <v>#VALUE!</v>
      </c>
      <c r="U674" s="50" t="e">
        <f t="shared" si="156"/>
        <v>#VALUE!</v>
      </c>
      <c r="V674" s="50" t="e">
        <f t="shared" si="157"/>
        <v>#VALUE!</v>
      </c>
    </row>
    <row r="675" spans="2:22" x14ac:dyDescent="0.25">
      <c r="B675" s="50" t="b">
        <f t="shared" si="158"/>
        <v>0</v>
      </c>
      <c r="C675" s="50" t="e">
        <f t="shared" si="146"/>
        <v>#VALUE!</v>
      </c>
      <c r="E675" s="56">
        <v>671</v>
      </c>
      <c r="G675" s="138"/>
      <c r="H675" s="135">
        <v>1</v>
      </c>
      <c r="I675" s="58" t="e">
        <f t="shared" si="147"/>
        <v>#VALUE!</v>
      </c>
      <c r="J675" s="50" t="e">
        <f t="shared" si="153"/>
        <v>#VALUE!</v>
      </c>
      <c r="K675" s="50" t="e">
        <f t="shared" si="145"/>
        <v>#VALUE!</v>
      </c>
      <c r="L675" s="50" t="e">
        <f t="shared" si="145"/>
        <v>#VALUE!</v>
      </c>
      <c r="M675" s="50" t="e">
        <f t="shared" si="148"/>
        <v>#VALUE!</v>
      </c>
      <c r="N675" s="50" t="e">
        <f t="shared" si="149"/>
        <v>#VALUE!</v>
      </c>
      <c r="O675" s="50">
        <f t="shared" si="150"/>
        <v>0</v>
      </c>
      <c r="Q675" s="55" t="e">
        <f t="shared" si="151"/>
        <v>#VALUE!</v>
      </c>
      <c r="R675" s="55" t="e">
        <f t="shared" si="154"/>
        <v>#VALUE!</v>
      </c>
      <c r="S675" s="55" t="e">
        <f t="shared" si="152"/>
        <v>#VALUE!</v>
      </c>
      <c r="T675" s="50" t="e">
        <f t="shared" si="155"/>
        <v>#VALUE!</v>
      </c>
      <c r="U675" s="50" t="e">
        <f t="shared" si="156"/>
        <v>#VALUE!</v>
      </c>
      <c r="V675" s="50" t="e">
        <f t="shared" si="157"/>
        <v>#VALUE!</v>
      </c>
    </row>
    <row r="676" spans="2:22" x14ac:dyDescent="0.25">
      <c r="B676" s="50" t="b">
        <f t="shared" si="158"/>
        <v>0</v>
      </c>
      <c r="C676" s="50" t="e">
        <f t="shared" si="146"/>
        <v>#VALUE!</v>
      </c>
      <c r="E676" s="56">
        <v>672</v>
      </c>
      <c r="G676" s="138"/>
      <c r="H676" s="135">
        <v>1</v>
      </c>
      <c r="I676" s="58" t="e">
        <f t="shared" si="147"/>
        <v>#VALUE!</v>
      </c>
      <c r="J676" s="50" t="e">
        <f t="shared" si="153"/>
        <v>#VALUE!</v>
      </c>
      <c r="K676" s="50" t="e">
        <f t="shared" si="145"/>
        <v>#VALUE!</v>
      </c>
      <c r="L676" s="50" t="e">
        <f t="shared" si="145"/>
        <v>#VALUE!</v>
      </c>
      <c r="M676" s="50" t="e">
        <f t="shared" si="148"/>
        <v>#VALUE!</v>
      </c>
      <c r="N676" s="50" t="e">
        <f t="shared" si="149"/>
        <v>#VALUE!</v>
      </c>
      <c r="O676" s="50">
        <f t="shared" si="150"/>
        <v>0</v>
      </c>
      <c r="Q676" s="55" t="e">
        <f t="shared" si="151"/>
        <v>#VALUE!</v>
      </c>
      <c r="R676" s="55" t="e">
        <f t="shared" si="154"/>
        <v>#VALUE!</v>
      </c>
      <c r="S676" s="55" t="e">
        <f t="shared" si="152"/>
        <v>#VALUE!</v>
      </c>
      <c r="T676" s="50" t="e">
        <f t="shared" si="155"/>
        <v>#VALUE!</v>
      </c>
      <c r="U676" s="50" t="e">
        <f t="shared" si="156"/>
        <v>#VALUE!</v>
      </c>
      <c r="V676" s="50" t="e">
        <f t="shared" si="157"/>
        <v>#VALUE!</v>
      </c>
    </row>
    <row r="677" spans="2:22" x14ac:dyDescent="0.25">
      <c r="B677" s="50" t="b">
        <f t="shared" si="158"/>
        <v>0</v>
      </c>
      <c r="C677" s="50" t="e">
        <f t="shared" si="146"/>
        <v>#VALUE!</v>
      </c>
      <c r="E677" s="56">
        <v>673</v>
      </c>
      <c r="G677" s="138"/>
      <c r="H677" s="135">
        <v>1</v>
      </c>
      <c r="I677" s="58" t="e">
        <f t="shared" si="147"/>
        <v>#VALUE!</v>
      </c>
      <c r="J677" s="50" t="e">
        <f t="shared" si="153"/>
        <v>#VALUE!</v>
      </c>
      <c r="K677" s="50" t="e">
        <f t="shared" si="145"/>
        <v>#VALUE!</v>
      </c>
      <c r="L677" s="50" t="e">
        <f t="shared" si="145"/>
        <v>#VALUE!</v>
      </c>
      <c r="M677" s="50" t="e">
        <f t="shared" si="148"/>
        <v>#VALUE!</v>
      </c>
      <c r="N677" s="50" t="e">
        <f t="shared" si="149"/>
        <v>#VALUE!</v>
      </c>
      <c r="O677" s="50">
        <f t="shared" si="150"/>
        <v>0</v>
      </c>
      <c r="Q677" s="55" t="e">
        <f t="shared" si="151"/>
        <v>#VALUE!</v>
      </c>
      <c r="R677" s="55" t="e">
        <f t="shared" si="154"/>
        <v>#VALUE!</v>
      </c>
      <c r="S677" s="55" t="e">
        <f t="shared" si="152"/>
        <v>#VALUE!</v>
      </c>
      <c r="T677" s="50" t="e">
        <f t="shared" si="155"/>
        <v>#VALUE!</v>
      </c>
      <c r="U677" s="50" t="e">
        <f t="shared" si="156"/>
        <v>#VALUE!</v>
      </c>
      <c r="V677" s="50" t="e">
        <f t="shared" si="157"/>
        <v>#VALUE!</v>
      </c>
    </row>
    <row r="678" spans="2:22" x14ac:dyDescent="0.25">
      <c r="B678" s="50" t="b">
        <f t="shared" si="158"/>
        <v>0</v>
      </c>
      <c r="C678" s="50" t="e">
        <f t="shared" si="146"/>
        <v>#VALUE!</v>
      </c>
      <c r="E678" s="56">
        <v>674</v>
      </c>
      <c r="G678" s="138"/>
      <c r="H678" s="135">
        <v>1</v>
      </c>
      <c r="I678" s="58" t="e">
        <f t="shared" si="147"/>
        <v>#VALUE!</v>
      </c>
      <c r="J678" s="50" t="e">
        <f t="shared" si="153"/>
        <v>#VALUE!</v>
      </c>
      <c r="K678" s="50" t="e">
        <f t="shared" si="145"/>
        <v>#VALUE!</v>
      </c>
      <c r="L678" s="50" t="e">
        <f t="shared" si="145"/>
        <v>#VALUE!</v>
      </c>
      <c r="M678" s="50" t="e">
        <f t="shared" si="148"/>
        <v>#VALUE!</v>
      </c>
      <c r="N678" s="50" t="e">
        <f t="shared" si="149"/>
        <v>#VALUE!</v>
      </c>
      <c r="O678" s="50">
        <f t="shared" si="150"/>
        <v>0</v>
      </c>
      <c r="Q678" s="55" t="e">
        <f t="shared" si="151"/>
        <v>#VALUE!</v>
      </c>
      <c r="R678" s="55" t="e">
        <f t="shared" si="154"/>
        <v>#VALUE!</v>
      </c>
      <c r="S678" s="55" t="e">
        <f t="shared" si="152"/>
        <v>#VALUE!</v>
      </c>
      <c r="T678" s="50" t="e">
        <f t="shared" si="155"/>
        <v>#VALUE!</v>
      </c>
      <c r="U678" s="50" t="e">
        <f t="shared" si="156"/>
        <v>#VALUE!</v>
      </c>
      <c r="V678" s="50" t="e">
        <f t="shared" si="157"/>
        <v>#VALUE!</v>
      </c>
    </row>
    <row r="679" spans="2:22" x14ac:dyDescent="0.25">
      <c r="B679" s="50" t="b">
        <f t="shared" si="158"/>
        <v>0</v>
      </c>
      <c r="C679" s="50" t="e">
        <f t="shared" si="146"/>
        <v>#VALUE!</v>
      </c>
      <c r="E679" s="56">
        <v>675</v>
      </c>
      <c r="G679" s="138"/>
      <c r="H679" s="135">
        <v>1</v>
      </c>
      <c r="I679" s="58" t="e">
        <f t="shared" si="147"/>
        <v>#VALUE!</v>
      </c>
      <c r="J679" s="50" t="e">
        <f t="shared" si="153"/>
        <v>#VALUE!</v>
      </c>
      <c r="K679" s="50" t="e">
        <f t="shared" si="145"/>
        <v>#VALUE!</v>
      </c>
      <c r="L679" s="50" t="e">
        <f t="shared" si="145"/>
        <v>#VALUE!</v>
      </c>
      <c r="M679" s="50" t="e">
        <f t="shared" si="148"/>
        <v>#VALUE!</v>
      </c>
      <c r="N679" s="50" t="e">
        <f t="shared" si="149"/>
        <v>#VALUE!</v>
      </c>
      <c r="O679" s="50">
        <f t="shared" si="150"/>
        <v>0</v>
      </c>
      <c r="Q679" s="55" t="e">
        <f t="shared" si="151"/>
        <v>#VALUE!</v>
      </c>
      <c r="R679" s="55" t="e">
        <f t="shared" si="154"/>
        <v>#VALUE!</v>
      </c>
      <c r="S679" s="55" t="e">
        <f t="shared" si="152"/>
        <v>#VALUE!</v>
      </c>
      <c r="T679" s="50" t="e">
        <f t="shared" si="155"/>
        <v>#VALUE!</v>
      </c>
      <c r="U679" s="50" t="e">
        <f t="shared" si="156"/>
        <v>#VALUE!</v>
      </c>
      <c r="V679" s="50" t="e">
        <f t="shared" si="157"/>
        <v>#VALUE!</v>
      </c>
    </row>
    <row r="680" spans="2:22" x14ac:dyDescent="0.25">
      <c r="B680" s="50" t="b">
        <f t="shared" si="158"/>
        <v>0</v>
      </c>
      <c r="C680" s="50" t="e">
        <f t="shared" si="146"/>
        <v>#VALUE!</v>
      </c>
      <c r="E680" s="56">
        <v>676</v>
      </c>
      <c r="G680" s="138"/>
      <c r="H680" s="135">
        <v>1</v>
      </c>
      <c r="I680" s="58" t="e">
        <f t="shared" si="147"/>
        <v>#VALUE!</v>
      </c>
      <c r="J680" s="50" t="e">
        <f t="shared" si="153"/>
        <v>#VALUE!</v>
      </c>
      <c r="K680" s="50" t="e">
        <f t="shared" si="145"/>
        <v>#VALUE!</v>
      </c>
      <c r="L680" s="50" t="e">
        <f t="shared" si="145"/>
        <v>#VALUE!</v>
      </c>
      <c r="M680" s="50" t="e">
        <f t="shared" si="148"/>
        <v>#VALUE!</v>
      </c>
      <c r="N680" s="50" t="e">
        <f t="shared" si="149"/>
        <v>#VALUE!</v>
      </c>
      <c r="O680" s="50">
        <f t="shared" si="150"/>
        <v>0</v>
      </c>
      <c r="Q680" s="55" t="e">
        <f t="shared" si="151"/>
        <v>#VALUE!</v>
      </c>
      <c r="R680" s="55" t="e">
        <f t="shared" si="154"/>
        <v>#VALUE!</v>
      </c>
      <c r="S680" s="55" t="e">
        <f t="shared" si="152"/>
        <v>#VALUE!</v>
      </c>
      <c r="T680" s="50" t="e">
        <f t="shared" si="155"/>
        <v>#VALUE!</v>
      </c>
      <c r="U680" s="50" t="e">
        <f t="shared" si="156"/>
        <v>#VALUE!</v>
      </c>
      <c r="V680" s="50" t="e">
        <f t="shared" si="157"/>
        <v>#VALUE!</v>
      </c>
    </row>
    <row r="681" spans="2:22" x14ac:dyDescent="0.25">
      <c r="B681" s="50" t="b">
        <f t="shared" si="158"/>
        <v>0</v>
      </c>
      <c r="C681" s="50" t="e">
        <f t="shared" si="146"/>
        <v>#VALUE!</v>
      </c>
      <c r="E681" s="56">
        <v>677</v>
      </c>
      <c r="G681" s="138"/>
      <c r="H681" s="135">
        <v>1</v>
      </c>
      <c r="I681" s="58" t="e">
        <f t="shared" si="147"/>
        <v>#VALUE!</v>
      </c>
      <c r="J681" s="50" t="e">
        <f t="shared" si="153"/>
        <v>#VALUE!</v>
      </c>
      <c r="K681" s="50" t="e">
        <f t="shared" si="145"/>
        <v>#VALUE!</v>
      </c>
      <c r="L681" s="50" t="e">
        <f t="shared" si="145"/>
        <v>#VALUE!</v>
      </c>
      <c r="M681" s="50" t="e">
        <f t="shared" si="148"/>
        <v>#VALUE!</v>
      </c>
      <c r="N681" s="50" t="e">
        <f t="shared" si="149"/>
        <v>#VALUE!</v>
      </c>
      <c r="O681" s="50">
        <f t="shared" si="150"/>
        <v>0</v>
      </c>
      <c r="Q681" s="55" t="e">
        <f t="shared" si="151"/>
        <v>#VALUE!</v>
      </c>
      <c r="R681" s="55" t="e">
        <f t="shared" si="154"/>
        <v>#VALUE!</v>
      </c>
      <c r="S681" s="55" t="e">
        <f t="shared" si="152"/>
        <v>#VALUE!</v>
      </c>
      <c r="T681" s="50" t="e">
        <f t="shared" si="155"/>
        <v>#VALUE!</v>
      </c>
      <c r="U681" s="50" t="e">
        <f t="shared" si="156"/>
        <v>#VALUE!</v>
      </c>
      <c r="V681" s="50" t="e">
        <f t="shared" si="157"/>
        <v>#VALUE!</v>
      </c>
    </row>
    <row r="682" spans="2:22" x14ac:dyDescent="0.25">
      <c r="B682" s="50" t="b">
        <f t="shared" si="158"/>
        <v>0</v>
      </c>
      <c r="C682" s="50" t="e">
        <f t="shared" si="146"/>
        <v>#VALUE!</v>
      </c>
      <c r="E682" s="56">
        <v>678</v>
      </c>
      <c r="G682" s="138"/>
      <c r="H682" s="135">
        <v>1</v>
      </c>
      <c r="I682" s="58" t="e">
        <f t="shared" si="147"/>
        <v>#VALUE!</v>
      </c>
      <c r="J682" s="50" t="e">
        <f t="shared" si="153"/>
        <v>#VALUE!</v>
      </c>
      <c r="K682" s="50" t="e">
        <f t="shared" si="145"/>
        <v>#VALUE!</v>
      </c>
      <c r="L682" s="50" t="e">
        <f t="shared" si="145"/>
        <v>#VALUE!</v>
      </c>
      <c r="M682" s="50" t="e">
        <f t="shared" si="148"/>
        <v>#VALUE!</v>
      </c>
      <c r="N682" s="50" t="e">
        <f t="shared" si="149"/>
        <v>#VALUE!</v>
      </c>
      <c r="O682" s="50">
        <f t="shared" si="150"/>
        <v>0</v>
      </c>
      <c r="Q682" s="55" t="e">
        <f t="shared" si="151"/>
        <v>#VALUE!</v>
      </c>
      <c r="R682" s="55" t="e">
        <f t="shared" si="154"/>
        <v>#VALUE!</v>
      </c>
      <c r="S682" s="55" t="e">
        <f t="shared" si="152"/>
        <v>#VALUE!</v>
      </c>
      <c r="T682" s="50" t="e">
        <f t="shared" si="155"/>
        <v>#VALUE!</v>
      </c>
      <c r="U682" s="50" t="e">
        <f t="shared" si="156"/>
        <v>#VALUE!</v>
      </c>
      <c r="V682" s="50" t="e">
        <f t="shared" si="157"/>
        <v>#VALUE!</v>
      </c>
    </row>
    <row r="683" spans="2:22" x14ac:dyDescent="0.25">
      <c r="B683" s="50" t="b">
        <f t="shared" si="158"/>
        <v>0</v>
      </c>
      <c r="C683" s="50" t="e">
        <f t="shared" si="146"/>
        <v>#VALUE!</v>
      </c>
      <c r="E683" s="56">
        <v>679</v>
      </c>
      <c r="G683" s="138"/>
      <c r="H683" s="135">
        <v>1</v>
      </c>
      <c r="I683" s="58" t="e">
        <f t="shared" si="147"/>
        <v>#VALUE!</v>
      </c>
      <c r="J683" s="50" t="e">
        <f t="shared" si="153"/>
        <v>#VALUE!</v>
      </c>
      <c r="K683" s="50" t="e">
        <f t="shared" si="145"/>
        <v>#VALUE!</v>
      </c>
      <c r="L683" s="50" t="e">
        <f t="shared" si="145"/>
        <v>#VALUE!</v>
      </c>
      <c r="M683" s="50" t="e">
        <f t="shared" si="148"/>
        <v>#VALUE!</v>
      </c>
      <c r="N683" s="50" t="e">
        <f t="shared" si="149"/>
        <v>#VALUE!</v>
      </c>
      <c r="O683" s="50">
        <f t="shared" si="150"/>
        <v>0</v>
      </c>
      <c r="Q683" s="55" t="e">
        <f t="shared" si="151"/>
        <v>#VALUE!</v>
      </c>
      <c r="R683" s="55" t="e">
        <f t="shared" si="154"/>
        <v>#VALUE!</v>
      </c>
      <c r="S683" s="55" t="e">
        <f t="shared" si="152"/>
        <v>#VALUE!</v>
      </c>
      <c r="T683" s="50" t="e">
        <f t="shared" si="155"/>
        <v>#VALUE!</v>
      </c>
      <c r="U683" s="50" t="e">
        <f t="shared" si="156"/>
        <v>#VALUE!</v>
      </c>
      <c r="V683" s="50" t="e">
        <f t="shared" si="157"/>
        <v>#VALUE!</v>
      </c>
    </row>
    <row r="684" spans="2:22" x14ac:dyDescent="0.25">
      <c r="B684" s="50" t="b">
        <f t="shared" si="158"/>
        <v>0</v>
      </c>
      <c r="C684" s="50" t="e">
        <f t="shared" si="146"/>
        <v>#VALUE!</v>
      </c>
      <c r="E684" s="56">
        <v>680</v>
      </c>
      <c r="G684" s="138"/>
      <c r="H684" s="135">
        <v>1</v>
      </c>
      <c r="I684" s="58" t="e">
        <f t="shared" si="147"/>
        <v>#VALUE!</v>
      </c>
      <c r="J684" s="50" t="e">
        <f t="shared" si="153"/>
        <v>#VALUE!</v>
      </c>
      <c r="K684" s="50" t="e">
        <f t="shared" si="145"/>
        <v>#VALUE!</v>
      </c>
      <c r="L684" s="50" t="e">
        <f t="shared" si="145"/>
        <v>#VALUE!</v>
      </c>
      <c r="M684" s="50" t="e">
        <f t="shared" si="148"/>
        <v>#VALUE!</v>
      </c>
      <c r="N684" s="50" t="e">
        <f t="shared" si="149"/>
        <v>#VALUE!</v>
      </c>
      <c r="O684" s="50">
        <f t="shared" si="150"/>
        <v>0</v>
      </c>
      <c r="Q684" s="55" t="e">
        <f t="shared" si="151"/>
        <v>#VALUE!</v>
      </c>
      <c r="R684" s="55" t="e">
        <f t="shared" si="154"/>
        <v>#VALUE!</v>
      </c>
      <c r="S684" s="55" t="e">
        <f t="shared" si="152"/>
        <v>#VALUE!</v>
      </c>
      <c r="T684" s="50" t="e">
        <f t="shared" si="155"/>
        <v>#VALUE!</v>
      </c>
      <c r="U684" s="50" t="e">
        <f t="shared" si="156"/>
        <v>#VALUE!</v>
      </c>
      <c r="V684" s="50" t="e">
        <f t="shared" si="157"/>
        <v>#VALUE!</v>
      </c>
    </row>
    <row r="685" spans="2:22" x14ac:dyDescent="0.25">
      <c r="B685" s="50" t="b">
        <f t="shared" si="158"/>
        <v>0</v>
      </c>
      <c r="C685" s="50" t="e">
        <f t="shared" si="146"/>
        <v>#VALUE!</v>
      </c>
      <c r="E685" s="56">
        <v>681</v>
      </c>
      <c r="G685" s="138"/>
      <c r="H685" s="135">
        <v>1</v>
      </c>
      <c r="I685" s="58" t="e">
        <f t="shared" si="147"/>
        <v>#VALUE!</v>
      </c>
      <c r="J685" s="50" t="e">
        <f t="shared" si="153"/>
        <v>#VALUE!</v>
      </c>
      <c r="K685" s="50" t="e">
        <f t="shared" si="145"/>
        <v>#VALUE!</v>
      </c>
      <c r="L685" s="50" t="e">
        <f t="shared" si="145"/>
        <v>#VALUE!</v>
      </c>
      <c r="M685" s="50" t="e">
        <f t="shared" si="148"/>
        <v>#VALUE!</v>
      </c>
      <c r="N685" s="50" t="e">
        <f t="shared" si="149"/>
        <v>#VALUE!</v>
      </c>
      <c r="O685" s="50">
        <f t="shared" si="150"/>
        <v>0</v>
      </c>
      <c r="Q685" s="55" t="e">
        <f t="shared" si="151"/>
        <v>#VALUE!</v>
      </c>
      <c r="R685" s="55" t="e">
        <f t="shared" si="154"/>
        <v>#VALUE!</v>
      </c>
      <c r="S685" s="55" t="e">
        <f t="shared" si="152"/>
        <v>#VALUE!</v>
      </c>
      <c r="T685" s="50" t="e">
        <f t="shared" si="155"/>
        <v>#VALUE!</v>
      </c>
      <c r="U685" s="50" t="e">
        <f t="shared" si="156"/>
        <v>#VALUE!</v>
      </c>
      <c r="V685" s="50" t="e">
        <f t="shared" si="157"/>
        <v>#VALUE!</v>
      </c>
    </row>
    <row r="686" spans="2:22" x14ac:dyDescent="0.25">
      <c r="B686" s="50" t="b">
        <f t="shared" si="158"/>
        <v>0</v>
      </c>
      <c r="C686" s="50" t="e">
        <f t="shared" si="146"/>
        <v>#VALUE!</v>
      </c>
      <c r="E686" s="56">
        <v>682</v>
      </c>
      <c r="G686" s="138"/>
      <c r="H686" s="135">
        <v>1</v>
      </c>
      <c r="I686" s="58" t="e">
        <f t="shared" si="147"/>
        <v>#VALUE!</v>
      </c>
      <c r="J686" s="50" t="e">
        <f t="shared" si="153"/>
        <v>#VALUE!</v>
      </c>
      <c r="K686" s="50" t="e">
        <f t="shared" si="145"/>
        <v>#VALUE!</v>
      </c>
      <c r="L686" s="50" t="e">
        <f t="shared" si="145"/>
        <v>#VALUE!</v>
      </c>
      <c r="M686" s="50" t="e">
        <f t="shared" si="148"/>
        <v>#VALUE!</v>
      </c>
      <c r="N686" s="50" t="e">
        <f t="shared" si="149"/>
        <v>#VALUE!</v>
      </c>
      <c r="O686" s="50">
        <f t="shared" si="150"/>
        <v>0</v>
      </c>
      <c r="Q686" s="55" t="e">
        <f t="shared" si="151"/>
        <v>#VALUE!</v>
      </c>
      <c r="R686" s="55" t="e">
        <f t="shared" si="154"/>
        <v>#VALUE!</v>
      </c>
      <c r="S686" s="55" t="e">
        <f t="shared" si="152"/>
        <v>#VALUE!</v>
      </c>
      <c r="T686" s="50" t="e">
        <f t="shared" si="155"/>
        <v>#VALUE!</v>
      </c>
      <c r="U686" s="50" t="e">
        <f t="shared" si="156"/>
        <v>#VALUE!</v>
      </c>
      <c r="V686" s="50" t="e">
        <f t="shared" si="157"/>
        <v>#VALUE!</v>
      </c>
    </row>
    <row r="687" spans="2:22" x14ac:dyDescent="0.25">
      <c r="B687" s="50" t="b">
        <f t="shared" si="158"/>
        <v>0</v>
      </c>
      <c r="C687" s="50" t="e">
        <f t="shared" si="146"/>
        <v>#VALUE!</v>
      </c>
      <c r="E687" s="56">
        <v>683</v>
      </c>
      <c r="G687" s="138"/>
      <c r="H687" s="135">
        <v>1</v>
      </c>
      <c r="I687" s="58" t="e">
        <f t="shared" si="147"/>
        <v>#VALUE!</v>
      </c>
      <c r="J687" s="50" t="e">
        <f t="shared" si="153"/>
        <v>#VALUE!</v>
      </c>
      <c r="K687" s="50" t="e">
        <f t="shared" ref="K687:L750" si="159">N687-M687</f>
        <v>#VALUE!</v>
      </c>
      <c r="L687" s="50" t="e">
        <f t="shared" si="159"/>
        <v>#VALUE!</v>
      </c>
      <c r="M687" s="50" t="e">
        <f t="shared" si="148"/>
        <v>#VALUE!</v>
      </c>
      <c r="N687" s="50" t="e">
        <f t="shared" si="149"/>
        <v>#VALUE!</v>
      </c>
      <c r="O687" s="50">
        <f t="shared" si="150"/>
        <v>0</v>
      </c>
      <c r="Q687" s="55" t="e">
        <f t="shared" si="151"/>
        <v>#VALUE!</v>
      </c>
      <c r="R687" s="55" t="e">
        <f t="shared" si="154"/>
        <v>#VALUE!</v>
      </c>
      <c r="S687" s="55" t="e">
        <f t="shared" si="152"/>
        <v>#VALUE!</v>
      </c>
      <c r="T687" s="50" t="e">
        <f t="shared" si="155"/>
        <v>#VALUE!</v>
      </c>
      <c r="U687" s="50" t="e">
        <f t="shared" si="156"/>
        <v>#VALUE!</v>
      </c>
      <c r="V687" s="50" t="e">
        <f t="shared" si="157"/>
        <v>#VALUE!</v>
      </c>
    </row>
    <row r="688" spans="2:22" x14ac:dyDescent="0.25">
      <c r="B688" s="50" t="b">
        <f t="shared" si="158"/>
        <v>0</v>
      </c>
      <c r="C688" s="50" t="e">
        <f t="shared" si="146"/>
        <v>#VALUE!</v>
      </c>
      <c r="E688" s="56">
        <v>684</v>
      </c>
      <c r="G688" s="138"/>
      <c r="H688" s="135">
        <v>1</v>
      </c>
      <c r="I688" s="58" t="e">
        <f t="shared" si="147"/>
        <v>#VALUE!</v>
      </c>
      <c r="J688" s="50" t="e">
        <f t="shared" si="153"/>
        <v>#VALUE!</v>
      </c>
      <c r="K688" s="50" t="e">
        <f t="shared" si="159"/>
        <v>#VALUE!</v>
      </c>
      <c r="L688" s="50" t="e">
        <f t="shared" si="159"/>
        <v>#VALUE!</v>
      </c>
      <c r="M688" s="50" t="e">
        <f t="shared" si="148"/>
        <v>#VALUE!</v>
      </c>
      <c r="N688" s="50" t="e">
        <f t="shared" si="149"/>
        <v>#VALUE!</v>
      </c>
      <c r="O688" s="50">
        <f t="shared" si="150"/>
        <v>0</v>
      </c>
      <c r="Q688" s="55" t="e">
        <f t="shared" si="151"/>
        <v>#VALUE!</v>
      </c>
      <c r="R688" s="55" t="e">
        <f t="shared" si="154"/>
        <v>#VALUE!</v>
      </c>
      <c r="S688" s="55" t="e">
        <f t="shared" si="152"/>
        <v>#VALUE!</v>
      </c>
      <c r="T688" s="50" t="e">
        <f t="shared" si="155"/>
        <v>#VALUE!</v>
      </c>
      <c r="U688" s="50" t="e">
        <f t="shared" si="156"/>
        <v>#VALUE!</v>
      </c>
      <c r="V688" s="50" t="e">
        <f t="shared" si="157"/>
        <v>#VALUE!</v>
      </c>
    </row>
    <row r="689" spans="2:22" x14ac:dyDescent="0.25">
      <c r="B689" s="50" t="b">
        <f t="shared" si="158"/>
        <v>0</v>
      </c>
      <c r="C689" s="50" t="e">
        <f t="shared" si="146"/>
        <v>#VALUE!</v>
      </c>
      <c r="E689" s="56">
        <v>685</v>
      </c>
      <c r="G689" s="138"/>
      <c r="H689" s="135">
        <v>1</v>
      </c>
      <c r="I689" s="58" t="e">
        <f t="shared" si="147"/>
        <v>#VALUE!</v>
      </c>
      <c r="J689" s="50" t="e">
        <f t="shared" si="153"/>
        <v>#VALUE!</v>
      </c>
      <c r="K689" s="50" t="e">
        <f t="shared" si="159"/>
        <v>#VALUE!</v>
      </c>
      <c r="L689" s="50" t="e">
        <f t="shared" si="159"/>
        <v>#VALUE!</v>
      </c>
      <c r="M689" s="50" t="e">
        <f t="shared" si="148"/>
        <v>#VALUE!</v>
      </c>
      <c r="N689" s="50" t="e">
        <f t="shared" si="149"/>
        <v>#VALUE!</v>
      </c>
      <c r="O689" s="50">
        <f t="shared" si="150"/>
        <v>0</v>
      </c>
      <c r="Q689" s="55" t="e">
        <f t="shared" si="151"/>
        <v>#VALUE!</v>
      </c>
      <c r="R689" s="55" t="e">
        <f t="shared" si="154"/>
        <v>#VALUE!</v>
      </c>
      <c r="S689" s="55" t="e">
        <f t="shared" si="152"/>
        <v>#VALUE!</v>
      </c>
      <c r="T689" s="50" t="e">
        <f t="shared" si="155"/>
        <v>#VALUE!</v>
      </c>
      <c r="U689" s="50" t="e">
        <f t="shared" si="156"/>
        <v>#VALUE!</v>
      </c>
      <c r="V689" s="50" t="e">
        <f t="shared" si="157"/>
        <v>#VALUE!</v>
      </c>
    </row>
    <row r="690" spans="2:22" x14ac:dyDescent="0.25">
      <c r="B690" s="50" t="b">
        <f t="shared" si="158"/>
        <v>0</v>
      </c>
      <c r="C690" s="50" t="e">
        <f t="shared" si="146"/>
        <v>#VALUE!</v>
      </c>
      <c r="E690" s="56">
        <v>686</v>
      </c>
      <c r="G690" s="138"/>
      <c r="H690" s="135">
        <v>1</v>
      </c>
      <c r="I690" s="58" t="e">
        <f t="shared" si="147"/>
        <v>#VALUE!</v>
      </c>
      <c r="J690" s="50" t="e">
        <f t="shared" si="153"/>
        <v>#VALUE!</v>
      </c>
      <c r="K690" s="50" t="e">
        <f t="shared" si="159"/>
        <v>#VALUE!</v>
      </c>
      <c r="L690" s="50" t="e">
        <f t="shared" si="159"/>
        <v>#VALUE!</v>
      </c>
      <c r="M690" s="50" t="e">
        <f t="shared" si="148"/>
        <v>#VALUE!</v>
      </c>
      <c r="N690" s="50" t="e">
        <f t="shared" si="149"/>
        <v>#VALUE!</v>
      </c>
      <c r="O690" s="50">
        <f t="shared" si="150"/>
        <v>0</v>
      </c>
      <c r="Q690" s="55" t="e">
        <f t="shared" si="151"/>
        <v>#VALUE!</v>
      </c>
      <c r="R690" s="55" t="e">
        <f t="shared" si="154"/>
        <v>#VALUE!</v>
      </c>
      <c r="S690" s="55" t="e">
        <f t="shared" si="152"/>
        <v>#VALUE!</v>
      </c>
      <c r="T690" s="50" t="e">
        <f t="shared" si="155"/>
        <v>#VALUE!</v>
      </c>
      <c r="U690" s="50" t="e">
        <f t="shared" si="156"/>
        <v>#VALUE!</v>
      </c>
      <c r="V690" s="50" t="e">
        <f t="shared" si="157"/>
        <v>#VALUE!</v>
      </c>
    </row>
    <row r="691" spans="2:22" x14ac:dyDescent="0.25">
      <c r="B691" s="50" t="b">
        <f t="shared" si="158"/>
        <v>0</v>
      </c>
      <c r="C691" s="50" t="e">
        <f t="shared" si="146"/>
        <v>#VALUE!</v>
      </c>
      <c r="E691" s="56">
        <v>687</v>
      </c>
      <c r="G691" s="138"/>
      <c r="H691" s="135">
        <v>1</v>
      </c>
      <c r="I691" s="58" t="e">
        <f t="shared" si="147"/>
        <v>#VALUE!</v>
      </c>
      <c r="J691" s="50" t="e">
        <f t="shared" si="153"/>
        <v>#VALUE!</v>
      </c>
      <c r="K691" s="50" t="e">
        <f t="shared" si="159"/>
        <v>#VALUE!</v>
      </c>
      <c r="L691" s="50" t="e">
        <f t="shared" si="159"/>
        <v>#VALUE!</v>
      </c>
      <c r="M691" s="50" t="e">
        <f t="shared" si="148"/>
        <v>#VALUE!</v>
      </c>
      <c r="N691" s="50" t="e">
        <f t="shared" si="149"/>
        <v>#VALUE!</v>
      </c>
      <c r="O691" s="50">
        <f t="shared" si="150"/>
        <v>0</v>
      </c>
      <c r="Q691" s="55" t="e">
        <f t="shared" si="151"/>
        <v>#VALUE!</v>
      </c>
      <c r="R691" s="55" t="e">
        <f t="shared" si="154"/>
        <v>#VALUE!</v>
      </c>
      <c r="S691" s="55" t="e">
        <f t="shared" si="152"/>
        <v>#VALUE!</v>
      </c>
      <c r="T691" s="50" t="e">
        <f t="shared" si="155"/>
        <v>#VALUE!</v>
      </c>
      <c r="U691" s="50" t="e">
        <f t="shared" si="156"/>
        <v>#VALUE!</v>
      </c>
      <c r="V691" s="50" t="e">
        <f t="shared" si="157"/>
        <v>#VALUE!</v>
      </c>
    </row>
    <row r="692" spans="2:22" x14ac:dyDescent="0.25">
      <c r="B692" s="50" t="b">
        <f t="shared" si="158"/>
        <v>0</v>
      </c>
      <c r="C692" s="50" t="e">
        <f t="shared" si="146"/>
        <v>#VALUE!</v>
      </c>
      <c r="E692" s="56">
        <v>688</v>
      </c>
      <c r="G692" s="138"/>
      <c r="H692" s="135">
        <v>1</v>
      </c>
      <c r="I692" s="58" t="e">
        <f t="shared" si="147"/>
        <v>#VALUE!</v>
      </c>
      <c r="J692" s="50" t="e">
        <f t="shared" si="153"/>
        <v>#VALUE!</v>
      </c>
      <c r="K692" s="50" t="e">
        <f t="shared" si="159"/>
        <v>#VALUE!</v>
      </c>
      <c r="L692" s="50" t="e">
        <f t="shared" si="159"/>
        <v>#VALUE!</v>
      </c>
      <c r="M692" s="50" t="e">
        <f t="shared" si="148"/>
        <v>#VALUE!</v>
      </c>
      <c r="N692" s="50" t="e">
        <f t="shared" si="149"/>
        <v>#VALUE!</v>
      </c>
      <c r="O692" s="50">
        <f t="shared" si="150"/>
        <v>0</v>
      </c>
      <c r="Q692" s="55" t="e">
        <f t="shared" si="151"/>
        <v>#VALUE!</v>
      </c>
      <c r="R692" s="55" t="e">
        <f t="shared" si="154"/>
        <v>#VALUE!</v>
      </c>
      <c r="S692" s="55" t="e">
        <f t="shared" si="152"/>
        <v>#VALUE!</v>
      </c>
      <c r="T692" s="50" t="e">
        <f t="shared" si="155"/>
        <v>#VALUE!</v>
      </c>
      <c r="U692" s="50" t="e">
        <f t="shared" si="156"/>
        <v>#VALUE!</v>
      </c>
      <c r="V692" s="50" t="e">
        <f t="shared" si="157"/>
        <v>#VALUE!</v>
      </c>
    </row>
    <row r="693" spans="2:22" x14ac:dyDescent="0.25">
      <c r="B693" s="50" t="b">
        <f t="shared" si="158"/>
        <v>0</v>
      </c>
      <c r="C693" s="50" t="e">
        <f t="shared" si="146"/>
        <v>#VALUE!</v>
      </c>
      <c r="E693" s="56">
        <v>689</v>
      </c>
      <c r="G693" s="138"/>
      <c r="H693" s="135">
        <v>1</v>
      </c>
      <c r="I693" s="58" t="e">
        <f t="shared" si="147"/>
        <v>#VALUE!</v>
      </c>
      <c r="J693" s="50" t="e">
        <f t="shared" si="153"/>
        <v>#VALUE!</v>
      </c>
      <c r="K693" s="50" t="e">
        <f t="shared" si="159"/>
        <v>#VALUE!</v>
      </c>
      <c r="L693" s="50" t="e">
        <f t="shared" si="159"/>
        <v>#VALUE!</v>
      </c>
      <c r="M693" s="50" t="e">
        <f t="shared" si="148"/>
        <v>#VALUE!</v>
      </c>
      <c r="N693" s="50" t="e">
        <f t="shared" si="149"/>
        <v>#VALUE!</v>
      </c>
      <c r="O693" s="50">
        <f t="shared" si="150"/>
        <v>0</v>
      </c>
      <c r="Q693" s="55" t="e">
        <f t="shared" si="151"/>
        <v>#VALUE!</v>
      </c>
      <c r="R693" s="55" t="e">
        <f t="shared" si="154"/>
        <v>#VALUE!</v>
      </c>
      <c r="S693" s="55" t="e">
        <f t="shared" si="152"/>
        <v>#VALUE!</v>
      </c>
      <c r="T693" s="50" t="e">
        <f t="shared" si="155"/>
        <v>#VALUE!</v>
      </c>
      <c r="U693" s="50" t="e">
        <f t="shared" si="156"/>
        <v>#VALUE!</v>
      </c>
      <c r="V693" s="50" t="e">
        <f t="shared" si="157"/>
        <v>#VALUE!</v>
      </c>
    </row>
    <row r="694" spans="2:22" x14ac:dyDescent="0.25">
      <c r="B694" s="50" t="b">
        <f t="shared" si="158"/>
        <v>0</v>
      </c>
      <c r="C694" s="50" t="e">
        <f t="shared" ref="C694:C757" si="160">SUM(T694:V694)</f>
        <v>#VALUE!</v>
      </c>
      <c r="E694" s="56">
        <v>690</v>
      </c>
      <c r="G694" s="138"/>
      <c r="H694" s="135">
        <v>1</v>
      </c>
      <c r="I694" s="58" t="e">
        <f t="shared" si="147"/>
        <v>#VALUE!</v>
      </c>
      <c r="J694" s="50" t="e">
        <f t="shared" si="153"/>
        <v>#VALUE!</v>
      </c>
      <c r="K694" s="50" t="e">
        <f t="shared" si="159"/>
        <v>#VALUE!</v>
      </c>
      <c r="L694" s="50" t="e">
        <f t="shared" si="159"/>
        <v>#VALUE!</v>
      </c>
      <c r="M694" s="50" t="e">
        <f t="shared" si="148"/>
        <v>#VALUE!</v>
      </c>
      <c r="N694" s="50" t="e">
        <f t="shared" si="149"/>
        <v>#VALUE!</v>
      </c>
      <c r="O694" s="50">
        <f t="shared" si="150"/>
        <v>0</v>
      </c>
      <c r="Q694" s="55" t="e">
        <f t="shared" si="151"/>
        <v>#VALUE!</v>
      </c>
      <c r="R694" s="55" t="e">
        <f t="shared" si="154"/>
        <v>#VALUE!</v>
      </c>
      <c r="S694" s="55" t="e">
        <f t="shared" si="152"/>
        <v>#VALUE!</v>
      </c>
      <c r="T694" s="50" t="e">
        <f t="shared" si="155"/>
        <v>#VALUE!</v>
      </c>
      <c r="U694" s="50" t="e">
        <f t="shared" si="156"/>
        <v>#VALUE!</v>
      </c>
      <c r="V694" s="50" t="e">
        <f t="shared" si="157"/>
        <v>#VALUE!</v>
      </c>
    </row>
    <row r="695" spans="2:22" x14ac:dyDescent="0.25">
      <c r="B695" s="50" t="b">
        <f t="shared" si="158"/>
        <v>0</v>
      </c>
      <c r="C695" s="50" t="e">
        <f t="shared" si="160"/>
        <v>#VALUE!</v>
      </c>
      <c r="E695" s="56">
        <v>691</v>
      </c>
      <c r="G695" s="138"/>
      <c r="H695" s="135">
        <v>1</v>
      </c>
      <c r="I695" s="58" t="e">
        <f t="shared" si="147"/>
        <v>#VALUE!</v>
      </c>
      <c r="J695" s="50" t="e">
        <f t="shared" si="153"/>
        <v>#VALUE!</v>
      </c>
      <c r="K695" s="50" t="e">
        <f t="shared" si="159"/>
        <v>#VALUE!</v>
      </c>
      <c r="L695" s="50" t="e">
        <f t="shared" si="159"/>
        <v>#VALUE!</v>
      </c>
      <c r="M695" s="50" t="e">
        <f t="shared" si="148"/>
        <v>#VALUE!</v>
      </c>
      <c r="N695" s="50" t="e">
        <f t="shared" si="149"/>
        <v>#VALUE!</v>
      </c>
      <c r="O695" s="50">
        <f t="shared" si="150"/>
        <v>0</v>
      </c>
      <c r="Q695" s="55" t="e">
        <f t="shared" si="151"/>
        <v>#VALUE!</v>
      </c>
      <c r="R695" s="55" t="e">
        <f t="shared" si="154"/>
        <v>#VALUE!</v>
      </c>
      <c r="S695" s="55" t="e">
        <f t="shared" si="152"/>
        <v>#VALUE!</v>
      </c>
      <c r="T695" s="50" t="e">
        <f t="shared" si="155"/>
        <v>#VALUE!</v>
      </c>
      <c r="U695" s="50" t="e">
        <f t="shared" si="156"/>
        <v>#VALUE!</v>
      </c>
      <c r="V695" s="50" t="e">
        <f t="shared" si="157"/>
        <v>#VALUE!</v>
      </c>
    </row>
    <row r="696" spans="2:22" x14ac:dyDescent="0.25">
      <c r="B696" s="50" t="b">
        <f t="shared" si="158"/>
        <v>0</v>
      </c>
      <c r="C696" s="50" t="e">
        <f t="shared" si="160"/>
        <v>#VALUE!</v>
      </c>
      <c r="E696" s="56">
        <v>692</v>
      </c>
      <c r="G696" s="138"/>
      <c r="H696" s="135">
        <v>1</v>
      </c>
      <c r="I696" s="58" t="e">
        <f t="shared" si="147"/>
        <v>#VALUE!</v>
      </c>
      <c r="J696" s="50" t="e">
        <f t="shared" si="153"/>
        <v>#VALUE!</v>
      </c>
      <c r="K696" s="50" t="e">
        <f t="shared" si="159"/>
        <v>#VALUE!</v>
      </c>
      <c r="L696" s="50" t="e">
        <f t="shared" si="159"/>
        <v>#VALUE!</v>
      </c>
      <c r="M696" s="50" t="e">
        <f t="shared" si="148"/>
        <v>#VALUE!</v>
      </c>
      <c r="N696" s="50" t="e">
        <f t="shared" si="149"/>
        <v>#VALUE!</v>
      </c>
      <c r="O696" s="50">
        <f t="shared" si="150"/>
        <v>0</v>
      </c>
      <c r="Q696" s="55" t="e">
        <f t="shared" si="151"/>
        <v>#VALUE!</v>
      </c>
      <c r="R696" s="55" t="e">
        <f t="shared" si="154"/>
        <v>#VALUE!</v>
      </c>
      <c r="S696" s="55" t="e">
        <f t="shared" si="152"/>
        <v>#VALUE!</v>
      </c>
      <c r="T696" s="50" t="e">
        <f t="shared" si="155"/>
        <v>#VALUE!</v>
      </c>
      <c r="U696" s="50" t="e">
        <f t="shared" si="156"/>
        <v>#VALUE!</v>
      </c>
      <c r="V696" s="50" t="e">
        <f t="shared" si="157"/>
        <v>#VALUE!</v>
      </c>
    </row>
    <row r="697" spans="2:22" x14ac:dyDescent="0.25">
      <c r="B697" s="50" t="b">
        <f t="shared" si="158"/>
        <v>0</v>
      </c>
      <c r="C697" s="50" t="e">
        <f t="shared" si="160"/>
        <v>#VALUE!</v>
      </c>
      <c r="E697" s="56">
        <v>693</v>
      </c>
      <c r="G697" s="138"/>
      <c r="H697" s="135">
        <v>1</v>
      </c>
      <c r="I697" s="58" t="e">
        <f t="shared" si="147"/>
        <v>#VALUE!</v>
      </c>
      <c r="J697" s="50" t="e">
        <f t="shared" si="153"/>
        <v>#VALUE!</v>
      </c>
      <c r="K697" s="50" t="e">
        <f t="shared" si="159"/>
        <v>#VALUE!</v>
      </c>
      <c r="L697" s="50" t="e">
        <f t="shared" si="159"/>
        <v>#VALUE!</v>
      </c>
      <c r="M697" s="50" t="e">
        <f t="shared" si="148"/>
        <v>#VALUE!</v>
      </c>
      <c r="N697" s="50" t="e">
        <f t="shared" si="149"/>
        <v>#VALUE!</v>
      </c>
      <c r="O697" s="50">
        <f t="shared" si="150"/>
        <v>0</v>
      </c>
      <c r="Q697" s="55" t="e">
        <f t="shared" si="151"/>
        <v>#VALUE!</v>
      </c>
      <c r="R697" s="55" t="e">
        <f t="shared" si="154"/>
        <v>#VALUE!</v>
      </c>
      <c r="S697" s="55" t="e">
        <f t="shared" si="152"/>
        <v>#VALUE!</v>
      </c>
      <c r="T697" s="50" t="e">
        <f t="shared" si="155"/>
        <v>#VALUE!</v>
      </c>
      <c r="U697" s="50" t="e">
        <f t="shared" si="156"/>
        <v>#VALUE!</v>
      </c>
      <c r="V697" s="50" t="e">
        <f t="shared" si="157"/>
        <v>#VALUE!</v>
      </c>
    </row>
    <row r="698" spans="2:22" x14ac:dyDescent="0.25">
      <c r="B698" s="50" t="b">
        <f t="shared" si="158"/>
        <v>0</v>
      </c>
      <c r="C698" s="50" t="e">
        <f t="shared" si="160"/>
        <v>#VALUE!</v>
      </c>
      <c r="E698" s="56">
        <v>694</v>
      </c>
      <c r="G698" s="138"/>
      <c r="H698" s="135">
        <v>1</v>
      </c>
      <c r="I698" s="58" t="e">
        <f t="shared" si="147"/>
        <v>#VALUE!</v>
      </c>
      <c r="J698" s="50" t="e">
        <f t="shared" si="153"/>
        <v>#VALUE!</v>
      </c>
      <c r="K698" s="50" t="e">
        <f t="shared" si="159"/>
        <v>#VALUE!</v>
      </c>
      <c r="L698" s="50" t="e">
        <f t="shared" si="159"/>
        <v>#VALUE!</v>
      </c>
      <c r="M698" s="50" t="e">
        <f t="shared" si="148"/>
        <v>#VALUE!</v>
      </c>
      <c r="N698" s="50" t="e">
        <f t="shared" si="149"/>
        <v>#VALUE!</v>
      </c>
      <c r="O698" s="50">
        <f t="shared" si="150"/>
        <v>0</v>
      </c>
      <c r="Q698" s="55" t="e">
        <f t="shared" si="151"/>
        <v>#VALUE!</v>
      </c>
      <c r="R698" s="55" t="e">
        <f t="shared" si="154"/>
        <v>#VALUE!</v>
      </c>
      <c r="S698" s="55" t="e">
        <f t="shared" si="152"/>
        <v>#VALUE!</v>
      </c>
      <c r="T698" s="50" t="e">
        <f t="shared" si="155"/>
        <v>#VALUE!</v>
      </c>
      <c r="U698" s="50" t="e">
        <f t="shared" si="156"/>
        <v>#VALUE!</v>
      </c>
      <c r="V698" s="50" t="e">
        <f t="shared" si="157"/>
        <v>#VALUE!</v>
      </c>
    </row>
    <row r="699" spans="2:22" x14ac:dyDescent="0.25">
      <c r="B699" s="50" t="b">
        <f t="shared" si="158"/>
        <v>0</v>
      </c>
      <c r="C699" s="50" t="e">
        <f t="shared" si="160"/>
        <v>#VALUE!</v>
      </c>
      <c r="E699" s="56">
        <v>695</v>
      </c>
      <c r="G699" s="138"/>
      <c r="H699" s="135">
        <v>1</v>
      </c>
      <c r="I699" s="58" t="e">
        <f t="shared" si="147"/>
        <v>#VALUE!</v>
      </c>
      <c r="J699" s="50" t="e">
        <f t="shared" si="153"/>
        <v>#VALUE!</v>
      </c>
      <c r="K699" s="50" t="e">
        <f t="shared" si="159"/>
        <v>#VALUE!</v>
      </c>
      <c r="L699" s="50" t="e">
        <f t="shared" si="159"/>
        <v>#VALUE!</v>
      </c>
      <c r="M699" s="50" t="e">
        <f t="shared" si="148"/>
        <v>#VALUE!</v>
      </c>
      <c r="N699" s="50" t="e">
        <f t="shared" si="149"/>
        <v>#VALUE!</v>
      </c>
      <c r="O699" s="50">
        <f t="shared" si="150"/>
        <v>0</v>
      </c>
      <c r="Q699" s="55" t="e">
        <f t="shared" si="151"/>
        <v>#VALUE!</v>
      </c>
      <c r="R699" s="55" t="e">
        <f t="shared" si="154"/>
        <v>#VALUE!</v>
      </c>
      <c r="S699" s="55" t="e">
        <f t="shared" si="152"/>
        <v>#VALUE!</v>
      </c>
      <c r="T699" s="50" t="e">
        <f t="shared" si="155"/>
        <v>#VALUE!</v>
      </c>
      <c r="U699" s="50" t="e">
        <f t="shared" si="156"/>
        <v>#VALUE!</v>
      </c>
      <c r="V699" s="50" t="e">
        <f t="shared" si="157"/>
        <v>#VALUE!</v>
      </c>
    </row>
    <row r="700" spans="2:22" x14ac:dyDescent="0.25">
      <c r="B700" s="50" t="b">
        <f t="shared" si="158"/>
        <v>0</v>
      </c>
      <c r="C700" s="50" t="e">
        <f t="shared" si="160"/>
        <v>#VALUE!</v>
      </c>
      <c r="E700" s="56">
        <v>696</v>
      </c>
      <c r="G700" s="138"/>
      <c r="H700" s="135">
        <v>1</v>
      </c>
      <c r="I700" s="58" t="e">
        <f t="shared" si="147"/>
        <v>#VALUE!</v>
      </c>
      <c r="J700" s="50" t="e">
        <f t="shared" si="153"/>
        <v>#VALUE!</v>
      </c>
      <c r="K700" s="50" t="e">
        <f t="shared" si="159"/>
        <v>#VALUE!</v>
      </c>
      <c r="L700" s="50" t="e">
        <f t="shared" si="159"/>
        <v>#VALUE!</v>
      </c>
      <c r="M700" s="50" t="e">
        <f t="shared" si="148"/>
        <v>#VALUE!</v>
      </c>
      <c r="N700" s="50" t="e">
        <f t="shared" si="149"/>
        <v>#VALUE!</v>
      </c>
      <c r="O700" s="50">
        <f t="shared" si="150"/>
        <v>0</v>
      </c>
      <c r="Q700" s="55" t="e">
        <f t="shared" si="151"/>
        <v>#VALUE!</v>
      </c>
      <c r="R700" s="55" t="e">
        <f t="shared" si="154"/>
        <v>#VALUE!</v>
      </c>
      <c r="S700" s="55" t="e">
        <f t="shared" si="152"/>
        <v>#VALUE!</v>
      </c>
      <c r="T700" s="50" t="e">
        <f t="shared" si="155"/>
        <v>#VALUE!</v>
      </c>
      <c r="U700" s="50" t="e">
        <f t="shared" si="156"/>
        <v>#VALUE!</v>
      </c>
      <c r="V700" s="50" t="e">
        <f t="shared" si="157"/>
        <v>#VALUE!</v>
      </c>
    </row>
    <row r="701" spans="2:22" x14ac:dyDescent="0.25">
      <c r="B701" s="50" t="b">
        <f t="shared" si="158"/>
        <v>0</v>
      </c>
      <c r="C701" s="50" t="e">
        <f t="shared" si="160"/>
        <v>#VALUE!</v>
      </c>
      <c r="E701" s="56">
        <v>697</v>
      </c>
      <c r="G701" s="138"/>
      <c r="H701" s="135">
        <v>1</v>
      </c>
      <c r="I701" s="58" t="e">
        <f t="shared" si="147"/>
        <v>#VALUE!</v>
      </c>
      <c r="J701" s="50" t="e">
        <f t="shared" si="153"/>
        <v>#VALUE!</v>
      </c>
      <c r="K701" s="50" t="e">
        <f t="shared" si="159"/>
        <v>#VALUE!</v>
      </c>
      <c r="L701" s="50" t="e">
        <f t="shared" si="159"/>
        <v>#VALUE!</v>
      </c>
      <c r="M701" s="50" t="e">
        <f t="shared" si="148"/>
        <v>#VALUE!</v>
      </c>
      <c r="N701" s="50" t="e">
        <f t="shared" si="149"/>
        <v>#VALUE!</v>
      </c>
      <c r="O701" s="50">
        <f t="shared" si="150"/>
        <v>0</v>
      </c>
      <c r="Q701" s="55" t="e">
        <f t="shared" si="151"/>
        <v>#VALUE!</v>
      </c>
      <c r="R701" s="55" t="e">
        <f t="shared" si="154"/>
        <v>#VALUE!</v>
      </c>
      <c r="S701" s="55" t="e">
        <f t="shared" si="152"/>
        <v>#VALUE!</v>
      </c>
      <c r="T701" s="50" t="e">
        <f t="shared" si="155"/>
        <v>#VALUE!</v>
      </c>
      <c r="U701" s="50" t="e">
        <f t="shared" si="156"/>
        <v>#VALUE!</v>
      </c>
      <c r="V701" s="50" t="e">
        <f t="shared" si="157"/>
        <v>#VALUE!</v>
      </c>
    </row>
    <row r="702" spans="2:22" x14ac:dyDescent="0.25">
      <c r="B702" s="50" t="b">
        <f t="shared" si="158"/>
        <v>0</v>
      </c>
      <c r="C702" s="50" t="e">
        <f t="shared" si="160"/>
        <v>#VALUE!</v>
      </c>
      <c r="E702" s="56">
        <v>698</v>
      </c>
      <c r="G702" s="138"/>
      <c r="H702" s="135">
        <v>1</v>
      </c>
      <c r="I702" s="58" t="e">
        <f t="shared" si="147"/>
        <v>#VALUE!</v>
      </c>
      <c r="J702" s="50" t="e">
        <f t="shared" si="153"/>
        <v>#VALUE!</v>
      </c>
      <c r="K702" s="50" t="e">
        <f t="shared" si="159"/>
        <v>#VALUE!</v>
      </c>
      <c r="L702" s="50" t="e">
        <f t="shared" si="159"/>
        <v>#VALUE!</v>
      </c>
      <c r="M702" s="50" t="e">
        <f t="shared" si="148"/>
        <v>#VALUE!</v>
      </c>
      <c r="N702" s="50" t="e">
        <f t="shared" si="149"/>
        <v>#VALUE!</v>
      </c>
      <c r="O702" s="50">
        <f t="shared" si="150"/>
        <v>0</v>
      </c>
      <c r="Q702" s="55" t="e">
        <f t="shared" si="151"/>
        <v>#VALUE!</v>
      </c>
      <c r="R702" s="55" t="e">
        <f t="shared" si="154"/>
        <v>#VALUE!</v>
      </c>
      <c r="S702" s="55" t="e">
        <f t="shared" si="152"/>
        <v>#VALUE!</v>
      </c>
      <c r="T702" s="50" t="e">
        <f t="shared" si="155"/>
        <v>#VALUE!</v>
      </c>
      <c r="U702" s="50" t="e">
        <f t="shared" si="156"/>
        <v>#VALUE!</v>
      </c>
      <c r="V702" s="50" t="e">
        <f t="shared" si="157"/>
        <v>#VALUE!</v>
      </c>
    </row>
    <row r="703" spans="2:22" x14ac:dyDescent="0.25">
      <c r="B703" s="50" t="b">
        <f t="shared" si="158"/>
        <v>0</v>
      </c>
      <c r="C703" s="50" t="e">
        <f t="shared" si="160"/>
        <v>#VALUE!</v>
      </c>
      <c r="E703" s="56">
        <v>699</v>
      </c>
      <c r="G703" s="138"/>
      <c r="H703" s="135">
        <v>1</v>
      </c>
      <c r="I703" s="58" t="e">
        <f t="shared" si="147"/>
        <v>#VALUE!</v>
      </c>
      <c r="J703" s="50" t="e">
        <f t="shared" si="153"/>
        <v>#VALUE!</v>
      </c>
      <c r="K703" s="50" t="e">
        <f t="shared" si="159"/>
        <v>#VALUE!</v>
      </c>
      <c r="L703" s="50" t="e">
        <f t="shared" si="159"/>
        <v>#VALUE!</v>
      </c>
      <c r="M703" s="50" t="e">
        <f t="shared" si="148"/>
        <v>#VALUE!</v>
      </c>
      <c r="N703" s="50" t="e">
        <f t="shared" si="149"/>
        <v>#VALUE!</v>
      </c>
      <c r="O703" s="50">
        <f t="shared" si="150"/>
        <v>0</v>
      </c>
      <c r="Q703" s="55" t="e">
        <f t="shared" si="151"/>
        <v>#VALUE!</v>
      </c>
      <c r="R703" s="55" t="e">
        <f t="shared" si="154"/>
        <v>#VALUE!</v>
      </c>
      <c r="S703" s="55" t="e">
        <f t="shared" si="152"/>
        <v>#VALUE!</v>
      </c>
      <c r="T703" s="50" t="e">
        <f t="shared" si="155"/>
        <v>#VALUE!</v>
      </c>
      <c r="U703" s="50" t="e">
        <f t="shared" si="156"/>
        <v>#VALUE!</v>
      </c>
      <c r="V703" s="50" t="e">
        <f t="shared" si="157"/>
        <v>#VALUE!</v>
      </c>
    </row>
    <row r="704" spans="2:22" x14ac:dyDescent="0.25">
      <c r="B704" s="50" t="b">
        <f t="shared" si="158"/>
        <v>0</v>
      </c>
      <c r="C704" s="50" t="e">
        <f t="shared" si="160"/>
        <v>#VALUE!</v>
      </c>
      <c r="E704" s="56">
        <v>700</v>
      </c>
      <c r="G704" s="138"/>
      <c r="H704" s="135">
        <v>1</v>
      </c>
      <c r="I704" s="58" t="e">
        <f t="shared" si="147"/>
        <v>#VALUE!</v>
      </c>
      <c r="J704" s="50" t="e">
        <f t="shared" si="153"/>
        <v>#VALUE!</v>
      </c>
      <c r="K704" s="50" t="e">
        <f t="shared" si="159"/>
        <v>#VALUE!</v>
      </c>
      <c r="L704" s="50" t="e">
        <f t="shared" si="159"/>
        <v>#VALUE!</v>
      </c>
      <c r="M704" s="50" t="e">
        <f t="shared" si="148"/>
        <v>#VALUE!</v>
      </c>
      <c r="N704" s="50" t="e">
        <f t="shared" si="149"/>
        <v>#VALUE!</v>
      </c>
      <c r="O704" s="50">
        <f t="shared" si="150"/>
        <v>0</v>
      </c>
      <c r="Q704" s="55" t="e">
        <f t="shared" si="151"/>
        <v>#VALUE!</v>
      </c>
      <c r="R704" s="55" t="e">
        <f t="shared" si="154"/>
        <v>#VALUE!</v>
      </c>
      <c r="S704" s="55" t="e">
        <f t="shared" si="152"/>
        <v>#VALUE!</v>
      </c>
      <c r="T704" s="50" t="e">
        <f t="shared" si="155"/>
        <v>#VALUE!</v>
      </c>
      <c r="U704" s="50" t="e">
        <f t="shared" si="156"/>
        <v>#VALUE!</v>
      </c>
      <c r="V704" s="50" t="e">
        <f t="shared" si="157"/>
        <v>#VALUE!</v>
      </c>
    </row>
    <row r="705" spans="2:22" x14ac:dyDescent="0.25">
      <c r="B705" s="50" t="b">
        <f t="shared" si="158"/>
        <v>0</v>
      </c>
      <c r="C705" s="50" t="e">
        <f t="shared" si="160"/>
        <v>#VALUE!</v>
      </c>
      <c r="E705" s="56">
        <v>701</v>
      </c>
      <c r="G705" s="138"/>
      <c r="H705" s="135">
        <v>1</v>
      </c>
      <c r="I705" s="58" t="e">
        <f t="shared" si="147"/>
        <v>#VALUE!</v>
      </c>
      <c r="J705" s="50" t="e">
        <f t="shared" si="153"/>
        <v>#VALUE!</v>
      </c>
      <c r="K705" s="50" t="e">
        <f t="shared" si="159"/>
        <v>#VALUE!</v>
      </c>
      <c r="L705" s="50" t="e">
        <f t="shared" si="159"/>
        <v>#VALUE!</v>
      </c>
      <c r="M705" s="50" t="e">
        <f t="shared" si="148"/>
        <v>#VALUE!</v>
      </c>
      <c r="N705" s="50" t="e">
        <f t="shared" si="149"/>
        <v>#VALUE!</v>
      </c>
      <c r="O705" s="50">
        <f t="shared" si="150"/>
        <v>0</v>
      </c>
      <c r="Q705" s="55" t="e">
        <f t="shared" si="151"/>
        <v>#VALUE!</v>
      </c>
      <c r="R705" s="55" t="e">
        <f t="shared" si="154"/>
        <v>#VALUE!</v>
      </c>
      <c r="S705" s="55" t="e">
        <f t="shared" si="152"/>
        <v>#VALUE!</v>
      </c>
      <c r="T705" s="50" t="e">
        <f t="shared" si="155"/>
        <v>#VALUE!</v>
      </c>
      <c r="U705" s="50" t="e">
        <f t="shared" si="156"/>
        <v>#VALUE!</v>
      </c>
      <c r="V705" s="50" t="e">
        <f t="shared" si="157"/>
        <v>#VALUE!</v>
      </c>
    </row>
    <row r="706" spans="2:22" x14ac:dyDescent="0.25">
      <c r="B706" s="50" t="b">
        <f t="shared" si="158"/>
        <v>0</v>
      </c>
      <c r="C706" s="50" t="e">
        <f t="shared" si="160"/>
        <v>#VALUE!</v>
      </c>
      <c r="E706" s="56">
        <v>702</v>
      </c>
      <c r="G706" s="138"/>
      <c r="H706" s="135">
        <v>1</v>
      </c>
      <c r="I706" s="58" t="e">
        <f t="shared" si="147"/>
        <v>#VALUE!</v>
      </c>
      <c r="J706" s="50" t="e">
        <f t="shared" si="153"/>
        <v>#VALUE!</v>
      </c>
      <c r="K706" s="50" t="e">
        <f t="shared" si="159"/>
        <v>#VALUE!</v>
      </c>
      <c r="L706" s="50" t="e">
        <f t="shared" si="159"/>
        <v>#VALUE!</v>
      </c>
      <c r="M706" s="50" t="e">
        <f t="shared" si="148"/>
        <v>#VALUE!</v>
      </c>
      <c r="N706" s="50" t="e">
        <f t="shared" si="149"/>
        <v>#VALUE!</v>
      </c>
      <c r="O706" s="50">
        <f t="shared" si="150"/>
        <v>0</v>
      </c>
      <c r="Q706" s="55" t="e">
        <f t="shared" si="151"/>
        <v>#VALUE!</v>
      </c>
      <c r="R706" s="55" t="e">
        <f t="shared" si="154"/>
        <v>#VALUE!</v>
      </c>
      <c r="S706" s="55" t="e">
        <f t="shared" si="152"/>
        <v>#VALUE!</v>
      </c>
      <c r="T706" s="50" t="e">
        <f t="shared" si="155"/>
        <v>#VALUE!</v>
      </c>
      <c r="U706" s="50" t="e">
        <f t="shared" si="156"/>
        <v>#VALUE!</v>
      </c>
      <c r="V706" s="50" t="e">
        <f t="shared" si="157"/>
        <v>#VALUE!</v>
      </c>
    </row>
    <row r="707" spans="2:22" x14ac:dyDescent="0.25">
      <c r="B707" s="50" t="b">
        <f t="shared" si="158"/>
        <v>0</v>
      </c>
      <c r="C707" s="50" t="e">
        <f t="shared" si="160"/>
        <v>#VALUE!</v>
      </c>
      <c r="E707" s="56">
        <v>703</v>
      </c>
      <c r="G707" s="138"/>
      <c r="H707" s="135">
        <v>1</v>
      </c>
      <c r="I707" s="58" t="e">
        <f t="shared" si="147"/>
        <v>#VALUE!</v>
      </c>
      <c r="J707" s="50" t="e">
        <f t="shared" si="153"/>
        <v>#VALUE!</v>
      </c>
      <c r="K707" s="50" t="e">
        <f t="shared" si="159"/>
        <v>#VALUE!</v>
      </c>
      <c r="L707" s="50" t="e">
        <f t="shared" si="159"/>
        <v>#VALUE!</v>
      </c>
      <c r="M707" s="50" t="e">
        <f t="shared" si="148"/>
        <v>#VALUE!</v>
      </c>
      <c r="N707" s="50" t="e">
        <f t="shared" si="149"/>
        <v>#VALUE!</v>
      </c>
      <c r="O707" s="50">
        <f t="shared" si="150"/>
        <v>0</v>
      </c>
      <c r="Q707" s="55" t="e">
        <f t="shared" si="151"/>
        <v>#VALUE!</v>
      </c>
      <c r="R707" s="55" t="e">
        <f t="shared" si="154"/>
        <v>#VALUE!</v>
      </c>
      <c r="S707" s="55" t="e">
        <f t="shared" si="152"/>
        <v>#VALUE!</v>
      </c>
      <c r="T707" s="50" t="e">
        <f t="shared" si="155"/>
        <v>#VALUE!</v>
      </c>
      <c r="U707" s="50" t="e">
        <f t="shared" si="156"/>
        <v>#VALUE!</v>
      </c>
      <c r="V707" s="50" t="e">
        <f t="shared" si="157"/>
        <v>#VALUE!</v>
      </c>
    </row>
    <row r="708" spans="2:22" x14ac:dyDescent="0.25">
      <c r="B708" s="50" t="b">
        <f t="shared" si="158"/>
        <v>0</v>
      </c>
      <c r="C708" s="50" t="e">
        <f t="shared" si="160"/>
        <v>#VALUE!</v>
      </c>
      <c r="E708" s="56">
        <v>704</v>
      </c>
      <c r="G708" s="138"/>
      <c r="H708" s="135">
        <v>1</v>
      </c>
      <c r="I708" s="58" t="e">
        <f t="shared" ref="I708:I771" si="161">RIGHT(G708,J708)</f>
        <v>#VALUE!</v>
      </c>
      <c r="J708" s="50" t="e">
        <f t="shared" si="153"/>
        <v>#VALUE!</v>
      </c>
      <c r="K708" s="50" t="e">
        <f t="shared" si="159"/>
        <v>#VALUE!</v>
      </c>
      <c r="L708" s="50" t="e">
        <f t="shared" si="159"/>
        <v>#VALUE!</v>
      </c>
      <c r="M708" s="50" t="e">
        <f t="shared" ref="M708:M771" si="162">SEARCH("-",G708,2)</f>
        <v>#VALUE!</v>
      </c>
      <c r="N708" s="50" t="e">
        <f t="shared" ref="N708:N771" si="163">SEARCH("-",G708,M708+1)</f>
        <v>#VALUE!</v>
      </c>
      <c r="O708" s="50">
        <f t="shared" ref="O708:O771" si="164">LEN(G708)</f>
        <v>0</v>
      </c>
      <c r="Q708" s="55" t="e">
        <f t="shared" ref="Q708:Q771" si="165">LEFT(G708,M708-1)</f>
        <v>#VALUE!</v>
      </c>
      <c r="R708" s="55" t="e">
        <f t="shared" si="154"/>
        <v>#VALUE!</v>
      </c>
      <c r="S708" s="55" t="e">
        <f t="shared" ref="S708:S771" si="166">RIGHT(G708,L708)</f>
        <v>#VALUE!</v>
      </c>
      <c r="T708" s="50" t="e">
        <f t="shared" si="155"/>
        <v>#VALUE!</v>
      </c>
      <c r="U708" s="50" t="e">
        <f t="shared" si="156"/>
        <v>#VALUE!</v>
      </c>
      <c r="V708" s="50" t="e">
        <f t="shared" si="157"/>
        <v>#VALUE!</v>
      </c>
    </row>
    <row r="709" spans="2:22" x14ac:dyDescent="0.25">
      <c r="B709" s="50" t="b">
        <f t="shared" si="158"/>
        <v>0</v>
      </c>
      <c r="C709" s="50" t="e">
        <f t="shared" si="160"/>
        <v>#VALUE!</v>
      </c>
      <c r="E709" s="56">
        <v>705</v>
      </c>
      <c r="G709" s="138"/>
      <c r="H709" s="135">
        <v>1</v>
      </c>
      <c r="I709" s="58" t="e">
        <f t="shared" si="161"/>
        <v>#VALUE!</v>
      </c>
      <c r="J709" s="50" t="e">
        <f t="shared" ref="J709:J772" si="167">O709-M709</f>
        <v>#VALUE!</v>
      </c>
      <c r="K709" s="50" t="e">
        <f t="shared" si="159"/>
        <v>#VALUE!</v>
      </c>
      <c r="L709" s="50" t="e">
        <f t="shared" si="159"/>
        <v>#VALUE!</v>
      </c>
      <c r="M709" s="50" t="e">
        <f t="shared" si="162"/>
        <v>#VALUE!</v>
      </c>
      <c r="N709" s="50" t="e">
        <f t="shared" si="163"/>
        <v>#VALUE!</v>
      </c>
      <c r="O709" s="50">
        <f t="shared" si="164"/>
        <v>0</v>
      </c>
      <c r="Q709" s="55" t="e">
        <f t="shared" si="165"/>
        <v>#VALUE!</v>
      </c>
      <c r="R709" s="55" t="e">
        <f t="shared" ref="R709:R772" si="168">LEFT(I709,K709-1)</f>
        <v>#VALUE!</v>
      </c>
      <c r="S709" s="55" t="e">
        <f t="shared" si="166"/>
        <v>#VALUE!</v>
      </c>
      <c r="T709" s="50" t="e">
        <f t="shared" ref="T709:T772" si="169">Q709*1*$H709</f>
        <v>#VALUE!</v>
      </c>
      <c r="U709" s="50" t="e">
        <f t="shared" ref="U709:U772" si="170">R709*1*$H709</f>
        <v>#VALUE!</v>
      </c>
      <c r="V709" s="50" t="e">
        <f t="shared" ref="V709:V772" si="171">S709*1*$H709</f>
        <v>#VALUE!</v>
      </c>
    </row>
    <row r="710" spans="2:22" x14ac:dyDescent="0.25">
      <c r="B710" s="50" t="b">
        <f t="shared" si="158"/>
        <v>0</v>
      </c>
      <c r="C710" s="50" t="e">
        <f t="shared" si="160"/>
        <v>#VALUE!</v>
      </c>
      <c r="E710" s="56">
        <v>706</v>
      </c>
      <c r="G710" s="138"/>
      <c r="H710" s="135">
        <v>1</v>
      </c>
      <c r="I710" s="58" t="e">
        <f t="shared" si="161"/>
        <v>#VALUE!</v>
      </c>
      <c r="J710" s="50" t="e">
        <f t="shared" si="167"/>
        <v>#VALUE!</v>
      </c>
      <c r="K710" s="50" t="e">
        <f t="shared" si="159"/>
        <v>#VALUE!</v>
      </c>
      <c r="L710" s="50" t="e">
        <f t="shared" si="159"/>
        <v>#VALUE!</v>
      </c>
      <c r="M710" s="50" t="e">
        <f t="shared" si="162"/>
        <v>#VALUE!</v>
      </c>
      <c r="N710" s="50" t="e">
        <f t="shared" si="163"/>
        <v>#VALUE!</v>
      </c>
      <c r="O710" s="50">
        <f t="shared" si="164"/>
        <v>0</v>
      </c>
      <c r="Q710" s="55" t="e">
        <f t="shared" si="165"/>
        <v>#VALUE!</v>
      </c>
      <c r="R710" s="55" t="e">
        <f t="shared" si="168"/>
        <v>#VALUE!</v>
      </c>
      <c r="S710" s="55" t="e">
        <f t="shared" si="166"/>
        <v>#VALUE!</v>
      </c>
      <c r="T710" s="50" t="e">
        <f t="shared" si="169"/>
        <v>#VALUE!</v>
      </c>
      <c r="U710" s="50" t="e">
        <f t="shared" si="170"/>
        <v>#VALUE!</v>
      </c>
      <c r="V710" s="50" t="e">
        <f t="shared" si="171"/>
        <v>#VALUE!</v>
      </c>
    </row>
    <row r="711" spans="2:22" x14ac:dyDescent="0.25">
      <c r="B711" s="50" t="b">
        <f t="shared" si="158"/>
        <v>0</v>
      </c>
      <c r="C711" s="50" t="e">
        <f t="shared" si="160"/>
        <v>#VALUE!</v>
      </c>
      <c r="E711" s="56">
        <v>707</v>
      </c>
      <c r="G711" s="138"/>
      <c r="H711" s="135">
        <v>1</v>
      </c>
      <c r="I711" s="58" t="e">
        <f t="shared" si="161"/>
        <v>#VALUE!</v>
      </c>
      <c r="J711" s="50" t="e">
        <f t="shared" si="167"/>
        <v>#VALUE!</v>
      </c>
      <c r="K711" s="50" t="e">
        <f t="shared" si="159"/>
        <v>#VALUE!</v>
      </c>
      <c r="L711" s="50" t="e">
        <f t="shared" si="159"/>
        <v>#VALUE!</v>
      </c>
      <c r="M711" s="50" t="e">
        <f t="shared" si="162"/>
        <v>#VALUE!</v>
      </c>
      <c r="N711" s="50" t="e">
        <f t="shared" si="163"/>
        <v>#VALUE!</v>
      </c>
      <c r="O711" s="50">
        <f t="shared" si="164"/>
        <v>0</v>
      </c>
      <c r="Q711" s="55" t="e">
        <f t="shared" si="165"/>
        <v>#VALUE!</v>
      </c>
      <c r="R711" s="55" t="e">
        <f t="shared" si="168"/>
        <v>#VALUE!</v>
      </c>
      <c r="S711" s="55" t="e">
        <f t="shared" si="166"/>
        <v>#VALUE!</v>
      </c>
      <c r="T711" s="50" t="e">
        <f t="shared" si="169"/>
        <v>#VALUE!</v>
      </c>
      <c r="U711" s="50" t="e">
        <f t="shared" si="170"/>
        <v>#VALUE!</v>
      </c>
      <c r="V711" s="50" t="e">
        <f t="shared" si="171"/>
        <v>#VALUE!</v>
      </c>
    </row>
    <row r="712" spans="2:22" x14ac:dyDescent="0.25">
      <c r="B712" s="50" t="b">
        <f t="shared" si="158"/>
        <v>0</v>
      </c>
      <c r="C712" s="50" t="e">
        <f t="shared" si="160"/>
        <v>#VALUE!</v>
      </c>
      <c r="E712" s="56">
        <v>708</v>
      </c>
      <c r="G712" s="138"/>
      <c r="H712" s="135">
        <v>1</v>
      </c>
      <c r="I712" s="58" t="e">
        <f t="shared" si="161"/>
        <v>#VALUE!</v>
      </c>
      <c r="J712" s="50" t="e">
        <f t="shared" si="167"/>
        <v>#VALUE!</v>
      </c>
      <c r="K712" s="50" t="e">
        <f t="shared" si="159"/>
        <v>#VALUE!</v>
      </c>
      <c r="L712" s="50" t="e">
        <f t="shared" si="159"/>
        <v>#VALUE!</v>
      </c>
      <c r="M712" s="50" t="e">
        <f t="shared" si="162"/>
        <v>#VALUE!</v>
      </c>
      <c r="N712" s="50" t="e">
        <f t="shared" si="163"/>
        <v>#VALUE!</v>
      </c>
      <c r="O712" s="50">
        <f t="shared" si="164"/>
        <v>0</v>
      </c>
      <c r="Q712" s="55" t="e">
        <f t="shared" si="165"/>
        <v>#VALUE!</v>
      </c>
      <c r="R712" s="55" t="e">
        <f t="shared" si="168"/>
        <v>#VALUE!</v>
      </c>
      <c r="S712" s="55" t="e">
        <f t="shared" si="166"/>
        <v>#VALUE!</v>
      </c>
      <c r="T712" s="50" t="e">
        <f t="shared" si="169"/>
        <v>#VALUE!</v>
      </c>
      <c r="U712" s="50" t="e">
        <f t="shared" si="170"/>
        <v>#VALUE!</v>
      </c>
      <c r="V712" s="50" t="e">
        <f t="shared" si="171"/>
        <v>#VALUE!</v>
      </c>
    </row>
    <row r="713" spans="2:22" x14ac:dyDescent="0.25">
      <c r="B713" s="50" t="b">
        <f t="shared" si="158"/>
        <v>0</v>
      </c>
      <c r="C713" s="50" t="e">
        <f t="shared" si="160"/>
        <v>#VALUE!</v>
      </c>
      <c r="E713" s="56">
        <v>709</v>
      </c>
      <c r="G713" s="138"/>
      <c r="H713" s="135">
        <v>1</v>
      </c>
      <c r="I713" s="58" t="e">
        <f t="shared" si="161"/>
        <v>#VALUE!</v>
      </c>
      <c r="J713" s="50" t="e">
        <f t="shared" si="167"/>
        <v>#VALUE!</v>
      </c>
      <c r="K713" s="50" t="e">
        <f t="shared" si="159"/>
        <v>#VALUE!</v>
      </c>
      <c r="L713" s="50" t="e">
        <f t="shared" si="159"/>
        <v>#VALUE!</v>
      </c>
      <c r="M713" s="50" t="e">
        <f t="shared" si="162"/>
        <v>#VALUE!</v>
      </c>
      <c r="N713" s="50" t="e">
        <f t="shared" si="163"/>
        <v>#VALUE!</v>
      </c>
      <c r="O713" s="50">
        <f t="shared" si="164"/>
        <v>0</v>
      </c>
      <c r="Q713" s="55" t="e">
        <f t="shared" si="165"/>
        <v>#VALUE!</v>
      </c>
      <c r="R713" s="55" t="e">
        <f t="shared" si="168"/>
        <v>#VALUE!</v>
      </c>
      <c r="S713" s="55" t="e">
        <f t="shared" si="166"/>
        <v>#VALUE!</v>
      </c>
      <c r="T713" s="50" t="e">
        <f t="shared" si="169"/>
        <v>#VALUE!</v>
      </c>
      <c r="U713" s="50" t="e">
        <f t="shared" si="170"/>
        <v>#VALUE!</v>
      </c>
      <c r="V713" s="50" t="e">
        <f t="shared" si="171"/>
        <v>#VALUE!</v>
      </c>
    </row>
    <row r="714" spans="2:22" x14ac:dyDescent="0.25">
      <c r="B714" s="50" t="b">
        <f t="shared" si="158"/>
        <v>0</v>
      </c>
      <c r="C714" s="50" t="e">
        <f t="shared" si="160"/>
        <v>#VALUE!</v>
      </c>
      <c r="E714" s="56">
        <v>710</v>
      </c>
      <c r="G714" s="138"/>
      <c r="H714" s="135">
        <v>1</v>
      </c>
      <c r="I714" s="58" t="e">
        <f t="shared" si="161"/>
        <v>#VALUE!</v>
      </c>
      <c r="J714" s="50" t="e">
        <f t="shared" si="167"/>
        <v>#VALUE!</v>
      </c>
      <c r="K714" s="50" t="e">
        <f t="shared" si="159"/>
        <v>#VALUE!</v>
      </c>
      <c r="L714" s="50" t="e">
        <f t="shared" si="159"/>
        <v>#VALUE!</v>
      </c>
      <c r="M714" s="50" t="e">
        <f t="shared" si="162"/>
        <v>#VALUE!</v>
      </c>
      <c r="N714" s="50" t="e">
        <f t="shared" si="163"/>
        <v>#VALUE!</v>
      </c>
      <c r="O714" s="50">
        <f t="shared" si="164"/>
        <v>0</v>
      </c>
      <c r="Q714" s="55" t="e">
        <f t="shared" si="165"/>
        <v>#VALUE!</v>
      </c>
      <c r="R714" s="55" t="e">
        <f t="shared" si="168"/>
        <v>#VALUE!</v>
      </c>
      <c r="S714" s="55" t="e">
        <f t="shared" si="166"/>
        <v>#VALUE!</v>
      </c>
      <c r="T714" s="50" t="e">
        <f t="shared" si="169"/>
        <v>#VALUE!</v>
      </c>
      <c r="U714" s="50" t="e">
        <f t="shared" si="170"/>
        <v>#VALUE!</v>
      </c>
      <c r="V714" s="50" t="e">
        <f t="shared" si="171"/>
        <v>#VALUE!</v>
      </c>
    </row>
    <row r="715" spans="2:22" x14ac:dyDescent="0.25">
      <c r="B715" s="50" t="b">
        <f t="shared" si="158"/>
        <v>0</v>
      </c>
      <c r="C715" s="50" t="e">
        <f t="shared" si="160"/>
        <v>#VALUE!</v>
      </c>
      <c r="E715" s="56">
        <v>711</v>
      </c>
      <c r="G715" s="138"/>
      <c r="H715" s="135">
        <v>1</v>
      </c>
      <c r="I715" s="58" t="e">
        <f t="shared" si="161"/>
        <v>#VALUE!</v>
      </c>
      <c r="J715" s="50" t="e">
        <f t="shared" si="167"/>
        <v>#VALUE!</v>
      </c>
      <c r="K715" s="50" t="e">
        <f t="shared" si="159"/>
        <v>#VALUE!</v>
      </c>
      <c r="L715" s="50" t="e">
        <f t="shared" si="159"/>
        <v>#VALUE!</v>
      </c>
      <c r="M715" s="50" t="e">
        <f t="shared" si="162"/>
        <v>#VALUE!</v>
      </c>
      <c r="N715" s="50" t="e">
        <f t="shared" si="163"/>
        <v>#VALUE!</v>
      </c>
      <c r="O715" s="50">
        <f t="shared" si="164"/>
        <v>0</v>
      </c>
      <c r="Q715" s="55" t="e">
        <f t="shared" si="165"/>
        <v>#VALUE!</v>
      </c>
      <c r="R715" s="55" t="e">
        <f t="shared" si="168"/>
        <v>#VALUE!</v>
      </c>
      <c r="S715" s="55" t="e">
        <f t="shared" si="166"/>
        <v>#VALUE!</v>
      </c>
      <c r="T715" s="50" t="e">
        <f t="shared" si="169"/>
        <v>#VALUE!</v>
      </c>
      <c r="U715" s="50" t="e">
        <f t="shared" si="170"/>
        <v>#VALUE!</v>
      </c>
      <c r="V715" s="50" t="e">
        <f t="shared" si="171"/>
        <v>#VALUE!</v>
      </c>
    </row>
    <row r="716" spans="2:22" x14ac:dyDescent="0.25">
      <c r="B716" s="50" t="b">
        <f t="shared" si="158"/>
        <v>0</v>
      </c>
      <c r="C716" s="50" t="e">
        <f t="shared" si="160"/>
        <v>#VALUE!</v>
      </c>
      <c r="E716" s="56">
        <v>712</v>
      </c>
      <c r="G716" s="138"/>
      <c r="H716" s="135">
        <v>1</v>
      </c>
      <c r="I716" s="58" t="e">
        <f t="shared" si="161"/>
        <v>#VALUE!</v>
      </c>
      <c r="J716" s="50" t="e">
        <f t="shared" si="167"/>
        <v>#VALUE!</v>
      </c>
      <c r="K716" s="50" t="e">
        <f t="shared" si="159"/>
        <v>#VALUE!</v>
      </c>
      <c r="L716" s="50" t="e">
        <f t="shared" si="159"/>
        <v>#VALUE!</v>
      </c>
      <c r="M716" s="50" t="e">
        <f t="shared" si="162"/>
        <v>#VALUE!</v>
      </c>
      <c r="N716" s="50" t="e">
        <f t="shared" si="163"/>
        <v>#VALUE!</v>
      </c>
      <c r="O716" s="50">
        <f t="shared" si="164"/>
        <v>0</v>
      </c>
      <c r="Q716" s="55" t="e">
        <f t="shared" si="165"/>
        <v>#VALUE!</v>
      </c>
      <c r="R716" s="55" t="e">
        <f t="shared" si="168"/>
        <v>#VALUE!</v>
      </c>
      <c r="S716" s="55" t="e">
        <f t="shared" si="166"/>
        <v>#VALUE!</v>
      </c>
      <c r="T716" s="50" t="e">
        <f t="shared" si="169"/>
        <v>#VALUE!</v>
      </c>
      <c r="U716" s="50" t="e">
        <f t="shared" si="170"/>
        <v>#VALUE!</v>
      </c>
      <c r="V716" s="50" t="e">
        <f t="shared" si="171"/>
        <v>#VALUE!</v>
      </c>
    </row>
    <row r="717" spans="2:22" x14ac:dyDescent="0.25">
      <c r="B717" s="50" t="b">
        <f t="shared" si="158"/>
        <v>0</v>
      </c>
      <c r="C717" s="50" t="e">
        <f t="shared" si="160"/>
        <v>#VALUE!</v>
      </c>
      <c r="E717" s="56">
        <v>713</v>
      </c>
      <c r="G717" s="138"/>
      <c r="H717" s="135">
        <v>1</v>
      </c>
      <c r="I717" s="58" t="e">
        <f t="shared" si="161"/>
        <v>#VALUE!</v>
      </c>
      <c r="J717" s="50" t="e">
        <f t="shared" si="167"/>
        <v>#VALUE!</v>
      </c>
      <c r="K717" s="50" t="e">
        <f t="shared" si="159"/>
        <v>#VALUE!</v>
      </c>
      <c r="L717" s="50" t="e">
        <f t="shared" si="159"/>
        <v>#VALUE!</v>
      </c>
      <c r="M717" s="50" t="e">
        <f t="shared" si="162"/>
        <v>#VALUE!</v>
      </c>
      <c r="N717" s="50" t="e">
        <f t="shared" si="163"/>
        <v>#VALUE!</v>
      </c>
      <c r="O717" s="50">
        <f t="shared" si="164"/>
        <v>0</v>
      </c>
      <c r="Q717" s="55" t="e">
        <f t="shared" si="165"/>
        <v>#VALUE!</v>
      </c>
      <c r="R717" s="55" t="e">
        <f t="shared" si="168"/>
        <v>#VALUE!</v>
      </c>
      <c r="S717" s="55" t="e">
        <f t="shared" si="166"/>
        <v>#VALUE!</v>
      </c>
      <c r="T717" s="50" t="e">
        <f t="shared" si="169"/>
        <v>#VALUE!</v>
      </c>
      <c r="U717" s="50" t="e">
        <f t="shared" si="170"/>
        <v>#VALUE!</v>
      </c>
      <c r="V717" s="50" t="e">
        <f t="shared" si="171"/>
        <v>#VALUE!</v>
      </c>
    </row>
    <row r="718" spans="2:22" x14ac:dyDescent="0.25">
      <c r="B718" s="50" t="b">
        <f t="shared" ref="B718:B781" si="172">ISNUMBER(C718)</f>
        <v>0</v>
      </c>
      <c r="C718" s="50" t="e">
        <f t="shared" si="160"/>
        <v>#VALUE!</v>
      </c>
      <c r="E718" s="56">
        <v>714</v>
      </c>
      <c r="G718" s="138"/>
      <c r="H718" s="135">
        <v>1</v>
      </c>
      <c r="I718" s="58" t="e">
        <f t="shared" si="161"/>
        <v>#VALUE!</v>
      </c>
      <c r="J718" s="50" t="e">
        <f t="shared" si="167"/>
        <v>#VALUE!</v>
      </c>
      <c r="K718" s="50" t="e">
        <f t="shared" si="159"/>
        <v>#VALUE!</v>
      </c>
      <c r="L718" s="50" t="e">
        <f t="shared" si="159"/>
        <v>#VALUE!</v>
      </c>
      <c r="M718" s="50" t="e">
        <f t="shared" si="162"/>
        <v>#VALUE!</v>
      </c>
      <c r="N718" s="50" t="e">
        <f t="shared" si="163"/>
        <v>#VALUE!</v>
      </c>
      <c r="O718" s="50">
        <f t="shared" si="164"/>
        <v>0</v>
      </c>
      <c r="Q718" s="55" t="e">
        <f t="shared" si="165"/>
        <v>#VALUE!</v>
      </c>
      <c r="R718" s="55" t="e">
        <f t="shared" si="168"/>
        <v>#VALUE!</v>
      </c>
      <c r="S718" s="55" t="e">
        <f t="shared" si="166"/>
        <v>#VALUE!</v>
      </c>
      <c r="T718" s="50" t="e">
        <f t="shared" si="169"/>
        <v>#VALUE!</v>
      </c>
      <c r="U718" s="50" t="e">
        <f t="shared" si="170"/>
        <v>#VALUE!</v>
      </c>
      <c r="V718" s="50" t="e">
        <f t="shared" si="171"/>
        <v>#VALUE!</v>
      </c>
    </row>
    <row r="719" spans="2:22" x14ac:dyDescent="0.25">
      <c r="B719" s="50" t="b">
        <f t="shared" si="172"/>
        <v>0</v>
      </c>
      <c r="C719" s="50" t="e">
        <f t="shared" si="160"/>
        <v>#VALUE!</v>
      </c>
      <c r="E719" s="56">
        <v>715</v>
      </c>
      <c r="G719" s="138"/>
      <c r="H719" s="135">
        <v>1</v>
      </c>
      <c r="I719" s="58" t="e">
        <f t="shared" si="161"/>
        <v>#VALUE!</v>
      </c>
      <c r="J719" s="50" t="e">
        <f t="shared" si="167"/>
        <v>#VALUE!</v>
      </c>
      <c r="K719" s="50" t="e">
        <f t="shared" si="159"/>
        <v>#VALUE!</v>
      </c>
      <c r="L719" s="50" t="e">
        <f t="shared" si="159"/>
        <v>#VALUE!</v>
      </c>
      <c r="M719" s="50" t="e">
        <f t="shared" si="162"/>
        <v>#VALUE!</v>
      </c>
      <c r="N719" s="50" t="e">
        <f t="shared" si="163"/>
        <v>#VALUE!</v>
      </c>
      <c r="O719" s="50">
        <f t="shared" si="164"/>
        <v>0</v>
      </c>
      <c r="Q719" s="55" t="e">
        <f t="shared" si="165"/>
        <v>#VALUE!</v>
      </c>
      <c r="R719" s="55" t="e">
        <f t="shared" si="168"/>
        <v>#VALUE!</v>
      </c>
      <c r="S719" s="55" t="e">
        <f t="shared" si="166"/>
        <v>#VALUE!</v>
      </c>
      <c r="T719" s="50" t="e">
        <f t="shared" si="169"/>
        <v>#VALUE!</v>
      </c>
      <c r="U719" s="50" t="e">
        <f t="shared" si="170"/>
        <v>#VALUE!</v>
      </c>
      <c r="V719" s="50" t="e">
        <f t="shared" si="171"/>
        <v>#VALUE!</v>
      </c>
    </row>
    <row r="720" spans="2:22" x14ac:dyDescent="0.25">
      <c r="B720" s="50" t="b">
        <f t="shared" si="172"/>
        <v>0</v>
      </c>
      <c r="C720" s="50" t="e">
        <f t="shared" si="160"/>
        <v>#VALUE!</v>
      </c>
      <c r="E720" s="56">
        <v>716</v>
      </c>
      <c r="G720" s="138"/>
      <c r="H720" s="135">
        <v>1</v>
      </c>
      <c r="I720" s="58" t="e">
        <f t="shared" si="161"/>
        <v>#VALUE!</v>
      </c>
      <c r="J720" s="50" t="e">
        <f t="shared" si="167"/>
        <v>#VALUE!</v>
      </c>
      <c r="K720" s="50" t="e">
        <f t="shared" si="159"/>
        <v>#VALUE!</v>
      </c>
      <c r="L720" s="50" t="e">
        <f t="shared" si="159"/>
        <v>#VALUE!</v>
      </c>
      <c r="M720" s="50" t="e">
        <f t="shared" si="162"/>
        <v>#VALUE!</v>
      </c>
      <c r="N720" s="50" t="e">
        <f t="shared" si="163"/>
        <v>#VALUE!</v>
      </c>
      <c r="O720" s="50">
        <f t="shared" si="164"/>
        <v>0</v>
      </c>
      <c r="Q720" s="55" t="e">
        <f t="shared" si="165"/>
        <v>#VALUE!</v>
      </c>
      <c r="R720" s="55" t="e">
        <f t="shared" si="168"/>
        <v>#VALUE!</v>
      </c>
      <c r="S720" s="55" t="e">
        <f t="shared" si="166"/>
        <v>#VALUE!</v>
      </c>
      <c r="T720" s="50" t="e">
        <f t="shared" si="169"/>
        <v>#VALUE!</v>
      </c>
      <c r="U720" s="50" t="e">
        <f t="shared" si="170"/>
        <v>#VALUE!</v>
      </c>
      <c r="V720" s="50" t="e">
        <f t="shared" si="171"/>
        <v>#VALUE!</v>
      </c>
    </row>
    <row r="721" spans="2:22" x14ac:dyDescent="0.25">
      <c r="B721" s="50" t="b">
        <f t="shared" si="172"/>
        <v>0</v>
      </c>
      <c r="C721" s="50" t="e">
        <f t="shared" si="160"/>
        <v>#VALUE!</v>
      </c>
      <c r="E721" s="56">
        <v>717</v>
      </c>
      <c r="G721" s="138"/>
      <c r="H721" s="135">
        <v>1</v>
      </c>
      <c r="I721" s="58" t="e">
        <f t="shared" si="161"/>
        <v>#VALUE!</v>
      </c>
      <c r="J721" s="50" t="e">
        <f t="shared" si="167"/>
        <v>#VALUE!</v>
      </c>
      <c r="K721" s="50" t="e">
        <f t="shared" si="159"/>
        <v>#VALUE!</v>
      </c>
      <c r="L721" s="50" t="e">
        <f t="shared" si="159"/>
        <v>#VALUE!</v>
      </c>
      <c r="M721" s="50" t="e">
        <f t="shared" si="162"/>
        <v>#VALUE!</v>
      </c>
      <c r="N721" s="50" t="e">
        <f t="shared" si="163"/>
        <v>#VALUE!</v>
      </c>
      <c r="O721" s="50">
        <f t="shared" si="164"/>
        <v>0</v>
      </c>
      <c r="Q721" s="55" t="e">
        <f t="shared" si="165"/>
        <v>#VALUE!</v>
      </c>
      <c r="R721" s="55" t="e">
        <f t="shared" si="168"/>
        <v>#VALUE!</v>
      </c>
      <c r="S721" s="55" t="e">
        <f t="shared" si="166"/>
        <v>#VALUE!</v>
      </c>
      <c r="T721" s="50" t="e">
        <f t="shared" si="169"/>
        <v>#VALUE!</v>
      </c>
      <c r="U721" s="50" t="e">
        <f t="shared" si="170"/>
        <v>#VALUE!</v>
      </c>
      <c r="V721" s="50" t="e">
        <f t="shared" si="171"/>
        <v>#VALUE!</v>
      </c>
    </row>
    <row r="722" spans="2:22" x14ac:dyDescent="0.25">
      <c r="B722" s="50" t="b">
        <f t="shared" si="172"/>
        <v>0</v>
      </c>
      <c r="C722" s="50" t="e">
        <f t="shared" si="160"/>
        <v>#VALUE!</v>
      </c>
      <c r="E722" s="56">
        <v>718</v>
      </c>
      <c r="G722" s="138"/>
      <c r="H722" s="135">
        <v>1</v>
      </c>
      <c r="I722" s="58" t="e">
        <f t="shared" si="161"/>
        <v>#VALUE!</v>
      </c>
      <c r="J722" s="50" t="e">
        <f t="shared" si="167"/>
        <v>#VALUE!</v>
      </c>
      <c r="K722" s="50" t="e">
        <f t="shared" si="159"/>
        <v>#VALUE!</v>
      </c>
      <c r="L722" s="50" t="e">
        <f t="shared" si="159"/>
        <v>#VALUE!</v>
      </c>
      <c r="M722" s="50" t="e">
        <f t="shared" si="162"/>
        <v>#VALUE!</v>
      </c>
      <c r="N722" s="50" t="e">
        <f t="shared" si="163"/>
        <v>#VALUE!</v>
      </c>
      <c r="O722" s="50">
        <f t="shared" si="164"/>
        <v>0</v>
      </c>
      <c r="Q722" s="55" t="e">
        <f t="shared" si="165"/>
        <v>#VALUE!</v>
      </c>
      <c r="R722" s="55" t="e">
        <f t="shared" si="168"/>
        <v>#VALUE!</v>
      </c>
      <c r="S722" s="55" t="e">
        <f t="shared" si="166"/>
        <v>#VALUE!</v>
      </c>
      <c r="T722" s="50" t="e">
        <f t="shared" si="169"/>
        <v>#VALUE!</v>
      </c>
      <c r="U722" s="50" t="e">
        <f t="shared" si="170"/>
        <v>#VALUE!</v>
      </c>
      <c r="V722" s="50" t="e">
        <f t="shared" si="171"/>
        <v>#VALUE!</v>
      </c>
    </row>
    <row r="723" spans="2:22" x14ac:dyDescent="0.25">
      <c r="B723" s="50" t="b">
        <f t="shared" si="172"/>
        <v>0</v>
      </c>
      <c r="C723" s="50" t="e">
        <f t="shared" si="160"/>
        <v>#VALUE!</v>
      </c>
      <c r="E723" s="56">
        <v>719</v>
      </c>
      <c r="G723" s="138"/>
      <c r="H723" s="135">
        <v>1</v>
      </c>
      <c r="I723" s="58" t="e">
        <f t="shared" si="161"/>
        <v>#VALUE!</v>
      </c>
      <c r="J723" s="50" t="e">
        <f t="shared" si="167"/>
        <v>#VALUE!</v>
      </c>
      <c r="K723" s="50" t="e">
        <f t="shared" si="159"/>
        <v>#VALUE!</v>
      </c>
      <c r="L723" s="50" t="e">
        <f t="shared" si="159"/>
        <v>#VALUE!</v>
      </c>
      <c r="M723" s="50" t="e">
        <f t="shared" si="162"/>
        <v>#VALUE!</v>
      </c>
      <c r="N723" s="50" t="e">
        <f t="shared" si="163"/>
        <v>#VALUE!</v>
      </c>
      <c r="O723" s="50">
        <f t="shared" si="164"/>
        <v>0</v>
      </c>
      <c r="Q723" s="55" t="e">
        <f t="shared" si="165"/>
        <v>#VALUE!</v>
      </c>
      <c r="R723" s="55" t="e">
        <f t="shared" si="168"/>
        <v>#VALUE!</v>
      </c>
      <c r="S723" s="55" t="e">
        <f t="shared" si="166"/>
        <v>#VALUE!</v>
      </c>
      <c r="T723" s="50" t="e">
        <f t="shared" si="169"/>
        <v>#VALUE!</v>
      </c>
      <c r="U723" s="50" t="e">
        <f t="shared" si="170"/>
        <v>#VALUE!</v>
      </c>
      <c r="V723" s="50" t="e">
        <f t="shared" si="171"/>
        <v>#VALUE!</v>
      </c>
    </row>
    <row r="724" spans="2:22" x14ac:dyDescent="0.25">
      <c r="B724" s="50" t="b">
        <f t="shared" si="172"/>
        <v>0</v>
      </c>
      <c r="C724" s="50" t="e">
        <f t="shared" si="160"/>
        <v>#VALUE!</v>
      </c>
      <c r="E724" s="56">
        <v>720</v>
      </c>
      <c r="G724" s="138"/>
      <c r="H724" s="135">
        <v>1</v>
      </c>
      <c r="I724" s="58" t="e">
        <f t="shared" si="161"/>
        <v>#VALUE!</v>
      </c>
      <c r="J724" s="50" t="e">
        <f t="shared" si="167"/>
        <v>#VALUE!</v>
      </c>
      <c r="K724" s="50" t="e">
        <f t="shared" si="159"/>
        <v>#VALUE!</v>
      </c>
      <c r="L724" s="50" t="e">
        <f t="shared" si="159"/>
        <v>#VALUE!</v>
      </c>
      <c r="M724" s="50" t="e">
        <f t="shared" si="162"/>
        <v>#VALUE!</v>
      </c>
      <c r="N724" s="50" t="e">
        <f t="shared" si="163"/>
        <v>#VALUE!</v>
      </c>
      <c r="O724" s="50">
        <f t="shared" si="164"/>
        <v>0</v>
      </c>
      <c r="Q724" s="55" t="e">
        <f t="shared" si="165"/>
        <v>#VALUE!</v>
      </c>
      <c r="R724" s="55" t="e">
        <f t="shared" si="168"/>
        <v>#VALUE!</v>
      </c>
      <c r="S724" s="55" t="e">
        <f t="shared" si="166"/>
        <v>#VALUE!</v>
      </c>
      <c r="T724" s="50" t="e">
        <f t="shared" si="169"/>
        <v>#VALUE!</v>
      </c>
      <c r="U724" s="50" t="e">
        <f t="shared" si="170"/>
        <v>#VALUE!</v>
      </c>
      <c r="V724" s="50" t="e">
        <f t="shared" si="171"/>
        <v>#VALUE!</v>
      </c>
    </row>
    <row r="725" spans="2:22" x14ac:dyDescent="0.25">
      <c r="B725" s="50" t="b">
        <f t="shared" si="172"/>
        <v>0</v>
      </c>
      <c r="C725" s="50" t="e">
        <f t="shared" si="160"/>
        <v>#VALUE!</v>
      </c>
      <c r="E725" s="56">
        <v>721</v>
      </c>
      <c r="G725" s="138"/>
      <c r="H725" s="135">
        <v>1</v>
      </c>
      <c r="I725" s="58" t="e">
        <f t="shared" si="161"/>
        <v>#VALUE!</v>
      </c>
      <c r="J725" s="50" t="e">
        <f t="shared" si="167"/>
        <v>#VALUE!</v>
      </c>
      <c r="K725" s="50" t="e">
        <f t="shared" si="159"/>
        <v>#VALUE!</v>
      </c>
      <c r="L725" s="50" t="e">
        <f t="shared" si="159"/>
        <v>#VALUE!</v>
      </c>
      <c r="M725" s="50" t="e">
        <f t="shared" si="162"/>
        <v>#VALUE!</v>
      </c>
      <c r="N725" s="50" t="e">
        <f t="shared" si="163"/>
        <v>#VALUE!</v>
      </c>
      <c r="O725" s="50">
        <f t="shared" si="164"/>
        <v>0</v>
      </c>
      <c r="Q725" s="55" t="e">
        <f t="shared" si="165"/>
        <v>#VALUE!</v>
      </c>
      <c r="R725" s="55" t="e">
        <f t="shared" si="168"/>
        <v>#VALUE!</v>
      </c>
      <c r="S725" s="55" t="e">
        <f t="shared" si="166"/>
        <v>#VALUE!</v>
      </c>
      <c r="T725" s="50" t="e">
        <f t="shared" si="169"/>
        <v>#VALUE!</v>
      </c>
      <c r="U725" s="50" t="e">
        <f t="shared" si="170"/>
        <v>#VALUE!</v>
      </c>
      <c r="V725" s="50" t="e">
        <f t="shared" si="171"/>
        <v>#VALUE!</v>
      </c>
    </row>
    <row r="726" spans="2:22" x14ac:dyDescent="0.25">
      <c r="B726" s="50" t="b">
        <f t="shared" si="172"/>
        <v>0</v>
      </c>
      <c r="C726" s="50" t="e">
        <f t="shared" si="160"/>
        <v>#VALUE!</v>
      </c>
      <c r="E726" s="56">
        <v>722</v>
      </c>
      <c r="G726" s="138"/>
      <c r="H726" s="135">
        <v>1</v>
      </c>
      <c r="I726" s="58" t="e">
        <f t="shared" si="161"/>
        <v>#VALUE!</v>
      </c>
      <c r="J726" s="50" t="e">
        <f t="shared" si="167"/>
        <v>#VALUE!</v>
      </c>
      <c r="K726" s="50" t="e">
        <f t="shared" si="159"/>
        <v>#VALUE!</v>
      </c>
      <c r="L726" s="50" t="e">
        <f t="shared" si="159"/>
        <v>#VALUE!</v>
      </c>
      <c r="M726" s="50" t="e">
        <f t="shared" si="162"/>
        <v>#VALUE!</v>
      </c>
      <c r="N726" s="50" t="e">
        <f t="shared" si="163"/>
        <v>#VALUE!</v>
      </c>
      <c r="O726" s="50">
        <f t="shared" si="164"/>
        <v>0</v>
      </c>
      <c r="Q726" s="55" t="e">
        <f t="shared" si="165"/>
        <v>#VALUE!</v>
      </c>
      <c r="R726" s="55" t="e">
        <f t="shared" si="168"/>
        <v>#VALUE!</v>
      </c>
      <c r="S726" s="55" t="e">
        <f t="shared" si="166"/>
        <v>#VALUE!</v>
      </c>
      <c r="T726" s="50" t="e">
        <f t="shared" si="169"/>
        <v>#VALUE!</v>
      </c>
      <c r="U726" s="50" t="e">
        <f t="shared" si="170"/>
        <v>#VALUE!</v>
      </c>
      <c r="V726" s="50" t="e">
        <f t="shared" si="171"/>
        <v>#VALUE!</v>
      </c>
    </row>
    <row r="727" spans="2:22" x14ac:dyDescent="0.25">
      <c r="B727" s="50" t="b">
        <f t="shared" si="172"/>
        <v>0</v>
      </c>
      <c r="C727" s="50" t="e">
        <f t="shared" si="160"/>
        <v>#VALUE!</v>
      </c>
      <c r="E727" s="56">
        <v>723</v>
      </c>
      <c r="G727" s="138"/>
      <c r="H727" s="135">
        <v>1</v>
      </c>
      <c r="I727" s="58" t="e">
        <f t="shared" si="161"/>
        <v>#VALUE!</v>
      </c>
      <c r="J727" s="50" t="e">
        <f t="shared" si="167"/>
        <v>#VALUE!</v>
      </c>
      <c r="K727" s="50" t="e">
        <f t="shared" si="159"/>
        <v>#VALUE!</v>
      </c>
      <c r="L727" s="50" t="e">
        <f t="shared" si="159"/>
        <v>#VALUE!</v>
      </c>
      <c r="M727" s="50" t="e">
        <f t="shared" si="162"/>
        <v>#VALUE!</v>
      </c>
      <c r="N727" s="50" t="e">
        <f t="shared" si="163"/>
        <v>#VALUE!</v>
      </c>
      <c r="O727" s="50">
        <f t="shared" si="164"/>
        <v>0</v>
      </c>
      <c r="Q727" s="55" t="e">
        <f t="shared" si="165"/>
        <v>#VALUE!</v>
      </c>
      <c r="R727" s="55" t="e">
        <f t="shared" si="168"/>
        <v>#VALUE!</v>
      </c>
      <c r="S727" s="55" t="e">
        <f t="shared" si="166"/>
        <v>#VALUE!</v>
      </c>
      <c r="T727" s="50" t="e">
        <f t="shared" si="169"/>
        <v>#VALUE!</v>
      </c>
      <c r="U727" s="50" t="e">
        <f t="shared" si="170"/>
        <v>#VALUE!</v>
      </c>
      <c r="V727" s="50" t="e">
        <f t="shared" si="171"/>
        <v>#VALUE!</v>
      </c>
    </row>
    <row r="728" spans="2:22" x14ac:dyDescent="0.25">
      <c r="B728" s="50" t="b">
        <f t="shared" si="172"/>
        <v>0</v>
      </c>
      <c r="C728" s="50" t="e">
        <f t="shared" si="160"/>
        <v>#VALUE!</v>
      </c>
      <c r="E728" s="56">
        <v>724</v>
      </c>
      <c r="G728" s="138"/>
      <c r="H728" s="135">
        <v>1</v>
      </c>
      <c r="I728" s="58" t="e">
        <f t="shared" si="161"/>
        <v>#VALUE!</v>
      </c>
      <c r="J728" s="50" t="e">
        <f t="shared" si="167"/>
        <v>#VALUE!</v>
      </c>
      <c r="K728" s="50" t="e">
        <f t="shared" si="159"/>
        <v>#VALUE!</v>
      </c>
      <c r="L728" s="50" t="e">
        <f t="shared" si="159"/>
        <v>#VALUE!</v>
      </c>
      <c r="M728" s="50" t="e">
        <f t="shared" si="162"/>
        <v>#VALUE!</v>
      </c>
      <c r="N728" s="50" t="e">
        <f t="shared" si="163"/>
        <v>#VALUE!</v>
      </c>
      <c r="O728" s="50">
        <f t="shared" si="164"/>
        <v>0</v>
      </c>
      <c r="Q728" s="55" t="e">
        <f t="shared" si="165"/>
        <v>#VALUE!</v>
      </c>
      <c r="R728" s="55" t="e">
        <f t="shared" si="168"/>
        <v>#VALUE!</v>
      </c>
      <c r="S728" s="55" t="e">
        <f t="shared" si="166"/>
        <v>#VALUE!</v>
      </c>
      <c r="T728" s="50" t="e">
        <f t="shared" si="169"/>
        <v>#VALUE!</v>
      </c>
      <c r="U728" s="50" t="e">
        <f t="shared" si="170"/>
        <v>#VALUE!</v>
      </c>
      <c r="V728" s="50" t="e">
        <f t="shared" si="171"/>
        <v>#VALUE!</v>
      </c>
    </row>
    <row r="729" spans="2:22" x14ac:dyDescent="0.25">
      <c r="B729" s="50" t="b">
        <f t="shared" si="172"/>
        <v>0</v>
      </c>
      <c r="C729" s="50" t="e">
        <f t="shared" si="160"/>
        <v>#VALUE!</v>
      </c>
      <c r="E729" s="56">
        <v>725</v>
      </c>
      <c r="G729" s="138"/>
      <c r="H729" s="135">
        <v>1</v>
      </c>
      <c r="I729" s="58" t="e">
        <f t="shared" si="161"/>
        <v>#VALUE!</v>
      </c>
      <c r="J729" s="50" t="e">
        <f t="shared" si="167"/>
        <v>#VALUE!</v>
      </c>
      <c r="K729" s="50" t="e">
        <f t="shared" si="159"/>
        <v>#VALUE!</v>
      </c>
      <c r="L729" s="50" t="e">
        <f t="shared" si="159"/>
        <v>#VALUE!</v>
      </c>
      <c r="M729" s="50" t="e">
        <f t="shared" si="162"/>
        <v>#VALUE!</v>
      </c>
      <c r="N729" s="50" t="e">
        <f t="shared" si="163"/>
        <v>#VALUE!</v>
      </c>
      <c r="O729" s="50">
        <f t="shared" si="164"/>
        <v>0</v>
      </c>
      <c r="Q729" s="55" t="e">
        <f t="shared" si="165"/>
        <v>#VALUE!</v>
      </c>
      <c r="R729" s="55" t="e">
        <f t="shared" si="168"/>
        <v>#VALUE!</v>
      </c>
      <c r="S729" s="55" t="e">
        <f t="shared" si="166"/>
        <v>#VALUE!</v>
      </c>
      <c r="T729" s="50" t="e">
        <f t="shared" si="169"/>
        <v>#VALUE!</v>
      </c>
      <c r="U729" s="50" t="e">
        <f t="shared" si="170"/>
        <v>#VALUE!</v>
      </c>
      <c r="V729" s="50" t="e">
        <f t="shared" si="171"/>
        <v>#VALUE!</v>
      </c>
    </row>
    <row r="730" spans="2:22" x14ac:dyDescent="0.25">
      <c r="B730" s="50" t="b">
        <f t="shared" si="172"/>
        <v>0</v>
      </c>
      <c r="C730" s="50" t="e">
        <f t="shared" si="160"/>
        <v>#VALUE!</v>
      </c>
      <c r="E730" s="56">
        <v>726</v>
      </c>
      <c r="G730" s="138"/>
      <c r="H730" s="135">
        <v>1</v>
      </c>
      <c r="I730" s="58" t="e">
        <f t="shared" si="161"/>
        <v>#VALUE!</v>
      </c>
      <c r="J730" s="50" t="e">
        <f t="shared" si="167"/>
        <v>#VALUE!</v>
      </c>
      <c r="K730" s="50" t="e">
        <f t="shared" si="159"/>
        <v>#VALUE!</v>
      </c>
      <c r="L730" s="50" t="e">
        <f t="shared" si="159"/>
        <v>#VALUE!</v>
      </c>
      <c r="M730" s="50" t="e">
        <f t="shared" si="162"/>
        <v>#VALUE!</v>
      </c>
      <c r="N730" s="50" t="e">
        <f t="shared" si="163"/>
        <v>#VALUE!</v>
      </c>
      <c r="O730" s="50">
        <f t="shared" si="164"/>
        <v>0</v>
      </c>
      <c r="Q730" s="55" t="e">
        <f t="shared" si="165"/>
        <v>#VALUE!</v>
      </c>
      <c r="R730" s="55" t="e">
        <f t="shared" si="168"/>
        <v>#VALUE!</v>
      </c>
      <c r="S730" s="55" t="e">
        <f t="shared" si="166"/>
        <v>#VALUE!</v>
      </c>
      <c r="T730" s="50" t="e">
        <f t="shared" si="169"/>
        <v>#VALUE!</v>
      </c>
      <c r="U730" s="50" t="e">
        <f t="shared" si="170"/>
        <v>#VALUE!</v>
      </c>
      <c r="V730" s="50" t="e">
        <f t="shared" si="171"/>
        <v>#VALUE!</v>
      </c>
    </row>
    <row r="731" spans="2:22" x14ac:dyDescent="0.25">
      <c r="B731" s="50" t="b">
        <f t="shared" si="172"/>
        <v>0</v>
      </c>
      <c r="C731" s="50" t="e">
        <f t="shared" si="160"/>
        <v>#VALUE!</v>
      </c>
      <c r="E731" s="56">
        <v>727</v>
      </c>
      <c r="G731" s="138"/>
      <c r="H731" s="135">
        <v>1</v>
      </c>
      <c r="I731" s="58" t="e">
        <f t="shared" si="161"/>
        <v>#VALUE!</v>
      </c>
      <c r="J731" s="50" t="e">
        <f t="shared" si="167"/>
        <v>#VALUE!</v>
      </c>
      <c r="K731" s="50" t="e">
        <f t="shared" si="159"/>
        <v>#VALUE!</v>
      </c>
      <c r="L731" s="50" t="e">
        <f t="shared" si="159"/>
        <v>#VALUE!</v>
      </c>
      <c r="M731" s="50" t="e">
        <f t="shared" si="162"/>
        <v>#VALUE!</v>
      </c>
      <c r="N731" s="50" t="e">
        <f t="shared" si="163"/>
        <v>#VALUE!</v>
      </c>
      <c r="O731" s="50">
        <f t="shared" si="164"/>
        <v>0</v>
      </c>
      <c r="Q731" s="55" t="e">
        <f t="shared" si="165"/>
        <v>#VALUE!</v>
      </c>
      <c r="R731" s="55" t="e">
        <f t="shared" si="168"/>
        <v>#VALUE!</v>
      </c>
      <c r="S731" s="55" t="e">
        <f t="shared" si="166"/>
        <v>#VALUE!</v>
      </c>
      <c r="T731" s="50" t="e">
        <f t="shared" si="169"/>
        <v>#VALUE!</v>
      </c>
      <c r="U731" s="50" t="e">
        <f t="shared" si="170"/>
        <v>#VALUE!</v>
      </c>
      <c r="V731" s="50" t="e">
        <f t="shared" si="171"/>
        <v>#VALUE!</v>
      </c>
    </row>
    <row r="732" spans="2:22" x14ac:dyDescent="0.25">
      <c r="B732" s="50" t="b">
        <f t="shared" si="172"/>
        <v>0</v>
      </c>
      <c r="C732" s="50" t="e">
        <f t="shared" si="160"/>
        <v>#VALUE!</v>
      </c>
      <c r="E732" s="56">
        <v>728</v>
      </c>
      <c r="G732" s="138"/>
      <c r="H732" s="135">
        <v>1</v>
      </c>
      <c r="I732" s="58" t="e">
        <f t="shared" si="161"/>
        <v>#VALUE!</v>
      </c>
      <c r="J732" s="50" t="e">
        <f t="shared" si="167"/>
        <v>#VALUE!</v>
      </c>
      <c r="K732" s="50" t="e">
        <f t="shared" si="159"/>
        <v>#VALUE!</v>
      </c>
      <c r="L732" s="50" t="e">
        <f t="shared" si="159"/>
        <v>#VALUE!</v>
      </c>
      <c r="M732" s="50" t="e">
        <f t="shared" si="162"/>
        <v>#VALUE!</v>
      </c>
      <c r="N732" s="50" t="e">
        <f t="shared" si="163"/>
        <v>#VALUE!</v>
      </c>
      <c r="O732" s="50">
        <f t="shared" si="164"/>
        <v>0</v>
      </c>
      <c r="Q732" s="55" t="e">
        <f t="shared" si="165"/>
        <v>#VALUE!</v>
      </c>
      <c r="R732" s="55" t="e">
        <f t="shared" si="168"/>
        <v>#VALUE!</v>
      </c>
      <c r="S732" s="55" t="e">
        <f t="shared" si="166"/>
        <v>#VALUE!</v>
      </c>
      <c r="T732" s="50" t="e">
        <f t="shared" si="169"/>
        <v>#VALUE!</v>
      </c>
      <c r="U732" s="50" t="e">
        <f t="shared" si="170"/>
        <v>#VALUE!</v>
      </c>
      <c r="V732" s="50" t="e">
        <f t="shared" si="171"/>
        <v>#VALUE!</v>
      </c>
    </row>
    <row r="733" spans="2:22" x14ac:dyDescent="0.25">
      <c r="B733" s="50" t="b">
        <f t="shared" si="172"/>
        <v>0</v>
      </c>
      <c r="C733" s="50" t="e">
        <f t="shared" si="160"/>
        <v>#VALUE!</v>
      </c>
      <c r="E733" s="56">
        <v>729</v>
      </c>
      <c r="G733" s="138"/>
      <c r="H733" s="135">
        <v>1</v>
      </c>
      <c r="I733" s="58" t="e">
        <f t="shared" si="161"/>
        <v>#VALUE!</v>
      </c>
      <c r="J733" s="50" t="e">
        <f t="shared" si="167"/>
        <v>#VALUE!</v>
      </c>
      <c r="K733" s="50" t="e">
        <f t="shared" si="159"/>
        <v>#VALUE!</v>
      </c>
      <c r="L733" s="50" t="e">
        <f t="shared" si="159"/>
        <v>#VALUE!</v>
      </c>
      <c r="M733" s="50" t="e">
        <f t="shared" si="162"/>
        <v>#VALUE!</v>
      </c>
      <c r="N733" s="50" t="e">
        <f t="shared" si="163"/>
        <v>#VALUE!</v>
      </c>
      <c r="O733" s="50">
        <f t="shared" si="164"/>
        <v>0</v>
      </c>
      <c r="Q733" s="55" t="e">
        <f t="shared" si="165"/>
        <v>#VALUE!</v>
      </c>
      <c r="R733" s="55" t="e">
        <f t="shared" si="168"/>
        <v>#VALUE!</v>
      </c>
      <c r="S733" s="55" t="e">
        <f t="shared" si="166"/>
        <v>#VALUE!</v>
      </c>
      <c r="T733" s="50" t="e">
        <f t="shared" si="169"/>
        <v>#VALUE!</v>
      </c>
      <c r="U733" s="50" t="e">
        <f t="shared" si="170"/>
        <v>#VALUE!</v>
      </c>
      <c r="V733" s="50" t="e">
        <f t="shared" si="171"/>
        <v>#VALUE!</v>
      </c>
    </row>
    <row r="734" spans="2:22" x14ac:dyDescent="0.25">
      <c r="B734" s="50" t="b">
        <f t="shared" si="172"/>
        <v>0</v>
      </c>
      <c r="C734" s="50" t="e">
        <f t="shared" si="160"/>
        <v>#VALUE!</v>
      </c>
      <c r="E734" s="56">
        <v>730</v>
      </c>
      <c r="G734" s="138"/>
      <c r="H734" s="135">
        <v>1</v>
      </c>
      <c r="I734" s="58" t="e">
        <f t="shared" si="161"/>
        <v>#VALUE!</v>
      </c>
      <c r="J734" s="50" t="e">
        <f t="shared" si="167"/>
        <v>#VALUE!</v>
      </c>
      <c r="K734" s="50" t="e">
        <f t="shared" si="159"/>
        <v>#VALUE!</v>
      </c>
      <c r="L734" s="50" t="e">
        <f t="shared" si="159"/>
        <v>#VALUE!</v>
      </c>
      <c r="M734" s="50" t="e">
        <f t="shared" si="162"/>
        <v>#VALUE!</v>
      </c>
      <c r="N734" s="50" t="e">
        <f t="shared" si="163"/>
        <v>#VALUE!</v>
      </c>
      <c r="O734" s="50">
        <f t="shared" si="164"/>
        <v>0</v>
      </c>
      <c r="Q734" s="55" t="e">
        <f t="shared" si="165"/>
        <v>#VALUE!</v>
      </c>
      <c r="R734" s="55" t="e">
        <f t="shared" si="168"/>
        <v>#VALUE!</v>
      </c>
      <c r="S734" s="55" t="e">
        <f t="shared" si="166"/>
        <v>#VALUE!</v>
      </c>
      <c r="T734" s="50" t="e">
        <f t="shared" si="169"/>
        <v>#VALUE!</v>
      </c>
      <c r="U734" s="50" t="e">
        <f t="shared" si="170"/>
        <v>#VALUE!</v>
      </c>
      <c r="V734" s="50" t="e">
        <f t="shared" si="171"/>
        <v>#VALUE!</v>
      </c>
    </row>
    <row r="735" spans="2:22" x14ac:dyDescent="0.25">
      <c r="B735" s="50" t="b">
        <f t="shared" si="172"/>
        <v>0</v>
      </c>
      <c r="C735" s="50" t="e">
        <f t="shared" si="160"/>
        <v>#VALUE!</v>
      </c>
      <c r="E735" s="56">
        <v>731</v>
      </c>
      <c r="G735" s="138"/>
      <c r="H735" s="135">
        <v>1</v>
      </c>
      <c r="I735" s="58" t="e">
        <f t="shared" si="161"/>
        <v>#VALUE!</v>
      </c>
      <c r="J735" s="50" t="e">
        <f t="shared" si="167"/>
        <v>#VALUE!</v>
      </c>
      <c r="K735" s="50" t="e">
        <f t="shared" si="159"/>
        <v>#VALUE!</v>
      </c>
      <c r="L735" s="50" t="e">
        <f t="shared" si="159"/>
        <v>#VALUE!</v>
      </c>
      <c r="M735" s="50" t="e">
        <f t="shared" si="162"/>
        <v>#VALUE!</v>
      </c>
      <c r="N735" s="50" t="e">
        <f t="shared" si="163"/>
        <v>#VALUE!</v>
      </c>
      <c r="O735" s="50">
        <f t="shared" si="164"/>
        <v>0</v>
      </c>
      <c r="Q735" s="55" t="e">
        <f t="shared" si="165"/>
        <v>#VALUE!</v>
      </c>
      <c r="R735" s="55" t="e">
        <f t="shared" si="168"/>
        <v>#VALUE!</v>
      </c>
      <c r="S735" s="55" t="e">
        <f t="shared" si="166"/>
        <v>#VALUE!</v>
      </c>
      <c r="T735" s="50" t="e">
        <f t="shared" si="169"/>
        <v>#VALUE!</v>
      </c>
      <c r="U735" s="50" t="e">
        <f t="shared" si="170"/>
        <v>#VALUE!</v>
      </c>
      <c r="V735" s="50" t="e">
        <f t="shared" si="171"/>
        <v>#VALUE!</v>
      </c>
    </row>
    <row r="736" spans="2:22" x14ac:dyDescent="0.25">
      <c r="B736" s="50" t="b">
        <f t="shared" si="172"/>
        <v>0</v>
      </c>
      <c r="C736" s="50" t="e">
        <f t="shared" si="160"/>
        <v>#VALUE!</v>
      </c>
      <c r="E736" s="56">
        <v>732</v>
      </c>
      <c r="G736" s="138"/>
      <c r="H736" s="135">
        <v>1</v>
      </c>
      <c r="I736" s="58" t="e">
        <f t="shared" si="161"/>
        <v>#VALUE!</v>
      </c>
      <c r="J736" s="50" t="e">
        <f t="shared" si="167"/>
        <v>#VALUE!</v>
      </c>
      <c r="K736" s="50" t="e">
        <f t="shared" si="159"/>
        <v>#VALUE!</v>
      </c>
      <c r="L736" s="50" t="e">
        <f t="shared" si="159"/>
        <v>#VALUE!</v>
      </c>
      <c r="M736" s="50" t="e">
        <f t="shared" si="162"/>
        <v>#VALUE!</v>
      </c>
      <c r="N736" s="50" t="e">
        <f t="shared" si="163"/>
        <v>#VALUE!</v>
      </c>
      <c r="O736" s="50">
        <f t="shared" si="164"/>
        <v>0</v>
      </c>
      <c r="Q736" s="55" t="e">
        <f t="shared" si="165"/>
        <v>#VALUE!</v>
      </c>
      <c r="R736" s="55" t="e">
        <f t="shared" si="168"/>
        <v>#VALUE!</v>
      </c>
      <c r="S736" s="55" t="e">
        <f t="shared" si="166"/>
        <v>#VALUE!</v>
      </c>
      <c r="T736" s="50" t="e">
        <f t="shared" si="169"/>
        <v>#VALUE!</v>
      </c>
      <c r="U736" s="50" t="e">
        <f t="shared" si="170"/>
        <v>#VALUE!</v>
      </c>
      <c r="V736" s="50" t="e">
        <f t="shared" si="171"/>
        <v>#VALUE!</v>
      </c>
    </row>
    <row r="737" spans="2:22" x14ac:dyDescent="0.25">
      <c r="B737" s="50" t="b">
        <f t="shared" si="172"/>
        <v>0</v>
      </c>
      <c r="C737" s="50" t="e">
        <f t="shared" si="160"/>
        <v>#VALUE!</v>
      </c>
      <c r="E737" s="56">
        <v>733</v>
      </c>
      <c r="G737" s="138"/>
      <c r="H737" s="135">
        <v>1</v>
      </c>
      <c r="I737" s="58" t="e">
        <f t="shared" si="161"/>
        <v>#VALUE!</v>
      </c>
      <c r="J737" s="50" t="e">
        <f t="shared" si="167"/>
        <v>#VALUE!</v>
      </c>
      <c r="K737" s="50" t="e">
        <f t="shared" si="159"/>
        <v>#VALUE!</v>
      </c>
      <c r="L737" s="50" t="e">
        <f t="shared" si="159"/>
        <v>#VALUE!</v>
      </c>
      <c r="M737" s="50" t="e">
        <f t="shared" si="162"/>
        <v>#VALUE!</v>
      </c>
      <c r="N737" s="50" t="e">
        <f t="shared" si="163"/>
        <v>#VALUE!</v>
      </c>
      <c r="O737" s="50">
        <f t="shared" si="164"/>
        <v>0</v>
      </c>
      <c r="Q737" s="55" t="e">
        <f t="shared" si="165"/>
        <v>#VALUE!</v>
      </c>
      <c r="R737" s="55" t="e">
        <f t="shared" si="168"/>
        <v>#VALUE!</v>
      </c>
      <c r="S737" s="55" t="e">
        <f t="shared" si="166"/>
        <v>#VALUE!</v>
      </c>
      <c r="T737" s="50" t="e">
        <f t="shared" si="169"/>
        <v>#VALUE!</v>
      </c>
      <c r="U737" s="50" t="e">
        <f t="shared" si="170"/>
        <v>#VALUE!</v>
      </c>
      <c r="V737" s="50" t="e">
        <f t="shared" si="171"/>
        <v>#VALUE!</v>
      </c>
    </row>
    <row r="738" spans="2:22" x14ac:dyDescent="0.25">
      <c r="B738" s="50" t="b">
        <f t="shared" si="172"/>
        <v>0</v>
      </c>
      <c r="C738" s="50" t="e">
        <f t="shared" si="160"/>
        <v>#VALUE!</v>
      </c>
      <c r="E738" s="56">
        <v>734</v>
      </c>
      <c r="G738" s="138"/>
      <c r="H738" s="135">
        <v>1</v>
      </c>
      <c r="I738" s="58" t="e">
        <f t="shared" si="161"/>
        <v>#VALUE!</v>
      </c>
      <c r="J738" s="50" t="e">
        <f t="shared" si="167"/>
        <v>#VALUE!</v>
      </c>
      <c r="K738" s="50" t="e">
        <f t="shared" si="159"/>
        <v>#VALUE!</v>
      </c>
      <c r="L738" s="50" t="e">
        <f t="shared" si="159"/>
        <v>#VALUE!</v>
      </c>
      <c r="M738" s="50" t="e">
        <f t="shared" si="162"/>
        <v>#VALUE!</v>
      </c>
      <c r="N738" s="50" t="e">
        <f t="shared" si="163"/>
        <v>#VALUE!</v>
      </c>
      <c r="O738" s="50">
        <f t="shared" si="164"/>
        <v>0</v>
      </c>
      <c r="Q738" s="55" t="e">
        <f t="shared" si="165"/>
        <v>#VALUE!</v>
      </c>
      <c r="R738" s="55" t="e">
        <f t="shared" si="168"/>
        <v>#VALUE!</v>
      </c>
      <c r="S738" s="55" t="e">
        <f t="shared" si="166"/>
        <v>#VALUE!</v>
      </c>
      <c r="T738" s="50" t="e">
        <f t="shared" si="169"/>
        <v>#VALUE!</v>
      </c>
      <c r="U738" s="50" t="e">
        <f t="shared" si="170"/>
        <v>#VALUE!</v>
      </c>
      <c r="V738" s="50" t="e">
        <f t="shared" si="171"/>
        <v>#VALUE!</v>
      </c>
    </row>
    <row r="739" spans="2:22" x14ac:dyDescent="0.25">
      <c r="B739" s="50" t="b">
        <f t="shared" si="172"/>
        <v>0</v>
      </c>
      <c r="C739" s="50" t="e">
        <f t="shared" si="160"/>
        <v>#VALUE!</v>
      </c>
      <c r="E739" s="56">
        <v>735</v>
      </c>
      <c r="G739" s="138"/>
      <c r="H739" s="135">
        <v>1</v>
      </c>
      <c r="I739" s="58" t="e">
        <f t="shared" si="161"/>
        <v>#VALUE!</v>
      </c>
      <c r="J739" s="50" t="e">
        <f t="shared" si="167"/>
        <v>#VALUE!</v>
      </c>
      <c r="K739" s="50" t="e">
        <f t="shared" si="159"/>
        <v>#VALUE!</v>
      </c>
      <c r="L739" s="50" t="e">
        <f t="shared" si="159"/>
        <v>#VALUE!</v>
      </c>
      <c r="M739" s="50" t="e">
        <f t="shared" si="162"/>
        <v>#VALUE!</v>
      </c>
      <c r="N739" s="50" t="e">
        <f t="shared" si="163"/>
        <v>#VALUE!</v>
      </c>
      <c r="O739" s="50">
        <f t="shared" si="164"/>
        <v>0</v>
      </c>
      <c r="Q739" s="55" t="e">
        <f t="shared" si="165"/>
        <v>#VALUE!</v>
      </c>
      <c r="R739" s="55" t="e">
        <f t="shared" si="168"/>
        <v>#VALUE!</v>
      </c>
      <c r="S739" s="55" t="e">
        <f t="shared" si="166"/>
        <v>#VALUE!</v>
      </c>
      <c r="T739" s="50" t="e">
        <f t="shared" si="169"/>
        <v>#VALUE!</v>
      </c>
      <c r="U739" s="50" t="e">
        <f t="shared" si="170"/>
        <v>#VALUE!</v>
      </c>
      <c r="V739" s="50" t="e">
        <f t="shared" si="171"/>
        <v>#VALUE!</v>
      </c>
    </row>
    <row r="740" spans="2:22" x14ac:dyDescent="0.25">
      <c r="B740" s="50" t="b">
        <f t="shared" si="172"/>
        <v>0</v>
      </c>
      <c r="C740" s="50" t="e">
        <f t="shared" si="160"/>
        <v>#VALUE!</v>
      </c>
      <c r="E740" s="56">
        <v>736</v>
      </c>
      <c r="G740" s="138"/>
      <c r="H740" s="135">
        <v>1</v>
      </c>
      <c r="I740" s="58" t="e">
        <f t="shared" si="161"/>
        <v>#VALUE!</v>
      </c>
      <c r="J740" s="50" t="e">
        <f t="shared" si="167"/>
        <v>#VALUE!</v>
      </c>
      <c r="K740" s="50" t="e">
        <f t="shared" si="159"/>
        <v>#VALUE!</v>
      </c>
      <c r="L740" s="50" t="e">
        <f t="shared" si="159"/>
        <v>#VALUE!</v>
      </c>
      <c r="M740" s="50" t="e">
        <f t="shared" si="162"/>
        <v>#VALUE!</v>
      </c>
      <c r="N740" s="50" t="e">
        <f t="shared" si="163"/>
        <v>#VALUE!</v>
      </c>
      <c r="O740" s="50">
        <f t="shared" si="164"/>
        <v>0</v>
      </c>
      <c r="Q740" s="55" t="e">
        <f t="shared" si="165"/>
        <v>#VALUE!</v>
      </c>
      <c r="R740" s="55" t="e">
        <f t="shared" si="168"/>
        <v>#VALUE!</v>
      </c>
      <c r="S740" s="55" t="e">
        <f t="shared" si="166"/>
        <v>#VALUE!</v>
      </c>
      <c r="T740" s="50" t="e">
        <f t="shared" si="169"/>
        <v>#VALUE!</v>
      </c>
      <c r="U740" s="50" t="e">
        <f t="shared" si="170"/>
        <v>#VALUE!</v>
      </c>
      <c r="V740" s="50" t="e">
        <f t="shared" si="171"/>
        <v>#VALUE!</v>
      </c>
    </row>
    <row r="741" spans="2:22" x14ac:dyDescent="0.25">
      <c r="B741" s="50" t="b">
        <f t="shared" si="172"/>
        <v>0</v>
      </c>
      <c r="C741" s="50" t="e">
        <f t="shared" si="160"/>
        <v>#VALUE!</v>
      </c>
      <c r="E741" s="56">
        <v>737</v>
      </c>
      <c r="G741" s="138"/>
      <c r="H741" s="135">
        <v>1</v>
      </c>
      <c r="I741" s="58" t="e">
        <f t="shared" si="161"/>
        <v>#VALUE!</v>
      </c>
      <c r="J741" s="50" t="e">
        <f t="shared" si="167"/>
        <v>#VALUE!</v>
      </c>
      <c r="K741" s="50" t="e">
        <f t="shared" si="159"/>
        <v>#VALUE!</v>
      </c>
      <c r="L741" s="50" t="e">
        <f t="shared" si="159"/>
        <v>#VALUE!</v>
      </c>
      <c r="M741" s="50" t="e">
        <f t="shared" si="162"/>
        <v>#VALUE!</v>
      </c>
      <c r="N741" s="50" t="e">
        <f t="shared" si="163"/>
        <v>#VALUE!</v>
      </c>
      <c r="O741" s="50">
        <f t="shared" si="164"/>
        <v>0</v>
      </c>
      <c r="Q741" s="55" t="e">
        <f t="shared" si="165"/>
        <v>#VALUE!</v>
      </c>
      <c r="R741" s="55" t="e">
        <f t="shared" si="168"/>
        <v>#VALUE!</v>
      </c>
      <c r="S741" s="55" t="e">
        <f t="shared" si="166"/>
        <v>#VALUE!</v>
      </c>
      <c r="T741" s="50" t="e">
        <f t="shared" si="169"/>
        <v>#VALUE!</v>
      </c>
      <c r="U741" s="50" t="e">
        <f t="shared" si="170"/>
        <v>#VALUE!</v>
      </c>
      <c r="V741" s="50" t="e">
        <f t="shared" si="171"/>
        <v>#VALUE!</v>
      </c>
    </row>
    <row r="742" spans="2:22" x14ac:dyDescent="0.25">
      <c r="B742" s="50" t="b">
        <f t="shared" si="172"/>
        <v>0</v>
      </c>
      <c r="C742" s="50" t="e">
        <f t="shared" si="160"/>
        <v>#VALUE!</v>
      </c>
      <c r="E742" s="56">
        <v>738</v>
      </c>
      <c r="G742" s="138"/>
      <c r="H742" s="135">
        <v>1</v>
      </c>
      <c r="I742" s="58" t="e">
        <f t="shared" si="161"/>
        <v>#VALUE!</v>
      </c>
      <c r="J742" s="50" t="e">
        <f t="shared" si="167"/>
        <v>#VALUE!</v>
      </c>
      <c r="K742" s="50" t="e">
        <f t="shared" si="159"/>
        <v>#VALUE!</v>
      </c>
      <c r="L742" s="50" t="e">
        <f t="shared" si="159"/>
        <v>#VALUE!</v>
      </c>
      <c r="M742" s="50" t="e">
        <f t="shared" si="162"/>
        <v>#VALUE!</v>
      </c>
      <c r="N742" s="50" t="e">
        <f t="shared" si="163"/>
        <v>#VALUE!</v>
      </c>
      <c r="O742" s="50">
        <f t="shared" si="164"/>
        <v>0</v>
      </c>
      <c r="Q742" s="55" t="e">
        <f t="shared" si="165"/>
        <v>#VALUE!</v>
      </c>
      <c r="R742" s="55" t="e">
        <f t="shared" si="168"/>
        <v>#VALUE!</v>
      </c>
      <c r="S742" s="55" t="e">
        <f t="shared" si="166"/>
        <v>#VALUE!</v>
      </c>
      <c r="T742" s="50" t="e">
        <f t="shared" si="169"/>
        <v>#VALUE!</v>
      </c>
      <c r="U742" s="50" t="e">
        <f t="shared" si="170"/>
        <v>#VALUE!</v>
      </c>
      <c r="V742" s="50" t="e">
        <f t="shared" si="171"/>
        <v>#VALUE!</v>
      </c>
    </row>
    <row r="743" spans="2:22" x14ac:dyDescent="0.25">
      <c r="B743" s="50" t="b">
        <f t="shared" si="172"/>
        <v>0</v>
      </c>
      <c r="C743" s="50" t="e">
        <f t="shared" si="160"/>
        <v>#VALUE!</v>
      </c>
      <c r="E743" s="56">
        <v>739</v>
      </c>
      <c r="G743" s="138"/>
      <c r="H743" s="135">
        <v>1</v>
      </c>
      <c r="I743" s="58" t="e">
        <f t="shared" si="161"/>
        <v>#VALUE!</v>
      </c>
      <c r="J743" s="50" t="e">
        <f t="shared" si="167"/>
        <v>#VALUE!</v>
      </c>
      <c r="K743" s="50" t="e">
        <f t="shared" si="159"/>
        <v>#VALUE!</v>
      </c>
      <c r="L743" s="50" t="e">
        <f t="shared" si="159"/>
        <v>#VALUE!</v>
      </c>
      <c r="M743" s="50" t="e">
        <f t="shared" si="162"/>
        <v>#VALUE!</v>
      </c>
      <c r="N743" s="50" t="e">
        <f t="shared" si="163"/>
        <v>#VALUE!</v>
      </c>
      <c r="O743" s="50">
        <f t="shared" si="164"/>
        <v>0</v>
      </c>
      <c r="Q743" s="55" t="e">
        <f t="shared" si="165"/>
        <v>#VALUE!</v>
      </c>
      <c r="R743" s="55" t="e">
        <f t="shared" si="168"/>
        <v>#VALUE!</v>
      </c>
      <c r="S743" s="55" t="e">
        <f t="shared" si="166"/>
        <v>#VALUE!</v>
      </c>
      <c r="T743" s="50" t="e">
        <f t="shared" si="169"/>
        <v>#VALUE!</v>
      </c>
      <c r="U743" s="50" t="e">
        <f t="shared" si="170"/>
        <v>#VALUE!</v>
      </c>
      <c r="V743" s="50" t="e">
        <f t="shared" si="171"/>
        <v>#VALUE!</v>
      </c>
    </row>
    <row r="744" spans="2:22" x14ac:dyDescent="0.25">
      <c r="B744" s="50" t="b">
        <f t="shared" si="172"/>
        <v>0</v>
      </c>
      <c r="C744" s="50" t="e">
        <f t="shared" si="160"/>
        <v>#VALUE!</v>
      </c>
      <c r="E744" s="56">
        <v>740</v>
      </c>
      <c r="G744" s="138"/>
      <c r="H744" s="135">
        <v>1</v>
      </c>
      <c r="I744" s="58" t="e">
        <f t="shared" si="161"/>
        <v>#VALUE!</v>
      </c>
      <c r="J744" s="50" t="e">
        <f t="shared" si="167"/>
        <v>#VALUE!</v>
      </c>
      <c r="K744" s="50" t="e">
        <f t="shared" si="159"/>
        <v>#VALUE!</v>
      </c>
      <c r="L744" s="50" t="e">
        <f t="shared" si="159"/>
        <v>#VALUE!</v>
      </c>
      <c r="M744" s="50" t="e">
        <f t="shared" si="162"/>
        <v>#VALUE!</v>
      </c>
      <c r="N744" s="50" t="e">
        <f t="shared" si="163"/>
        <v>#VALUE!</v>
      </c>
      <c r="O744" s="50">
        <f t="shared" si="164"/>
        <v>0</v>
      </c>
      <c r="Q744" s="55" t="e">
        <f t="shared" si="165"/>
        <v>#VALUE!</v>
      </c>
      <c r="R744" s="55" t="e">
        <f t="shared" si="168"/>
        <v>#VALUE!</v>
      </c>
      <c r="S744" s="55" t="e">
        <f t="shared" si="166"/>
        <v>#VALUE!</v>
      </c>
      <c r="T744" s="50" t="e">
        <f t="shared" si="169"/>
        <v>#VALUE!</v>
      </c>
      <c r="U744" s="50" t="e">
        <f t="shared" si="170"/>
        <v>#VALUE!</v>
      </c>
      <c r="V744" s="50" t="e">
        <f t="shared" si="171"/>
        <v>#VALUE!</v>
      </c>
    </row>
    <row r="745" spans="2:22" x14ac:dyDescent="0.25">
      <c r="B745" s="50" t="b">
        <f t="shared" si="172"/>
        <v>0</v>
      </c>
      <c r="C745" s="50" t="e">
        <f t="shared" si="160"/>
        <v>#VALUE!</v>
      </c>
      <c r="E745" s="56">
        <v>741</v>
      </c>
      <c r="G745" s="138"/>
      <c r="H745" s="135">
        <v>1</v>
      </c>
      <c r="I745" s="58" t="e">
        <f t="shared" si="161"/>
        <v>#VALUE!</v>
      </c>
      <c r="J745" s="50" t="e">
        <f t="shared" si="167"/>
        <v>#VALUE!</v>
      </c>
      <c r="K745" s="50" t="e">
        <f t="shared" si="159"/>
        <v>#VALUE!</v>
      </c>
      <c r="L745" s="50" t="e">
        <f t="shared" si="159"/>
        <v>#VALUE!</v>
      </c>
      <c r="M745" s="50" t="e">
        <f t="shared" si="162"/>
        <v>#VALUE!</v>
      </c>
      <c r="N745" s="50" t="e">
        <f t="shared" si="163"/>
        <v>#VALUE!</v>
      </c>
      <c r="O745" s="50">
        <f t="shared" si="164"/>
        <v>0</v>
      </c>
      <c r="Q745" s="55" t="e">
        <f t="shared" si="165"/>
        <v>#VALUE!</v>
      </c>
      <c r="R745" s="55" t="e">
        <f t="shared" si="168"/>
        <v>#VALUE!</v>
      </c>
      <c r="S745" s="55" t="e">
        <f t="shared" si="166"/>
        <v>#VALUE!</v>
      </c>
      <c r="T745" s="50" t="e">
        <f t="shared" si="169"/>
        <v>#VALUE!</v>
      </c>
      <c r="U745" s="50" t="e">
        <f t="shared" si="170"/>
        <v>#VALUE!</v>
      </c>
      <c r="V745" s="50" t="e">
        <f t="shared" si="171"/>
        <v>#VALUE!</v>
      </c>
    </row>
    <row r="746" spans="2:22" x14ac:dyDescent="0.25">
      <c r="B746" s="50" t="b">
        <f t="shared" si="172"/>
        <v>0</v>
      </c>
      <c r="C746" s="50" t="e">
        <f t="shared" si="160"/>
        <v>#VALUE!</v>
      </c>
      <c r="E746" s="56">
        <v>742</v>
      </c>
      <c r="G746" s="138"/>
      <c r="H746" s="135">
        <v>1</v>
      </c>
      <c r="I746" s="58" t="e">
        <f t="shared" si="161"/>
        <v>#VALUE!</v>
      </c>
      <c r="J746" s="50" t="e">
        <f t="shared" si="167"/>
        <v>#VALUE!</v>
      </c>
      <c r="K746" s="50" t="e">
        <f t="shared" si="159"/>
        <v>#VALUE!</v>
      </c>
      <c r="L746" s="50" t="e">
        <f t="shared" si="159"/>
        <v>#VALUE!</v>
      </c>
      <c r="M746" s="50" t="e">
        <f t="shared" si="162"/>
        <v>#VALUE!</v>
      </c>
      <c r="N746" s="50" t="e">
        <f t="shared" si="163"/>
        <v>#VALUE!</v>
      </c>
      <c r="O746" s="50">
        <f t="shared" si="164"/>
        <v>0</v>
      </c>
      <c r="Q746" s="55" t="e">
        <f t="shared" si="165"/>
        <v>#VALUE!</v>
      </c>
      <c r="R746" s="55" t="e">
        <f t="shared" si="168"/>
        <v>#VALUE!</v>
      </c>
      <c r="S746" s="55" t="e">
        <f t="shared" si="166"/>
        <v>#VALUE!</v>
      </c>
      <c r="T746" s="50" t="e">
        <f t="shared" si="169"/>
        <v>#VALUE!</v>
      </c>
      <c r="U746" s="50" t="e">
        <f t="shared" si="170"/>
        <v>#VALUE!</v>
      </c>
      <c r="V746" s="50" t="e">
        <f t="shared" si="171"/>
        <v>#VALUE!</v>
      </c>
    </row>
    <row r="747" spans="2:22" x14ac:dyDescent="0.25">
      <c r="B747" s="50" t="b">
        <f t="shared" si="172"/>
        <v>0</v>
      </c>
      <c r="C747" s="50" t="e">
        <f t="shared" si="160"/>
        <v>#VALUE!</v>
      </c>
      <c r="E747" s="56">
        <v>743</v>
      </c>
      <c r="G747" s="138"/>
      <c r="H747" s="135">
        <v>1</v>
      </c>
      <c r="I747" s="58" t="e">
        <f t="shared" si="161"/>
        <v>#VALUE!</v>
      </c>
      <c r="J747" s="50" t="e">
        <f t="shared" si="167"/>
        <v>#VALUE!</v>
      </c>
      <c r="K747" s="50" t="e">
        <f t="shared" si="159"/>
        <v>#VALUE!</v>
      </c>
      <c r="L747" s="50" t="e">
        <f t="shared" si="159"/>
        <v>#VALUE!</v>
      </c>
      <c r="M747" s="50" t="e">
        <f t="shared" si="162"/>
        <v>#VALUE!</v>
      </c>
      <c r="N747" s="50" t="e">
        <f t="shared" si="163"/>
        <v>#VALUE!</v>
      </c>
      <c r="O747" s="50">
        <f t="shared" si="164"/>
        <v>0</v>
      </c>
      <c r="Q747" s="55" t="e">
        <f t="shared" si="165"/>
        <v>#VALUE!</v>
      </c>
      <c r="R747" s="55" t="e">
        <f t="shared" si="168"/>
        <v>#VALUE!</v>
      </c>
      <c r="S747" s="55" t="e">
        <f t="shared" si="166"/>
        <v>#VALUE!</v>
      </c>
      <c r="T747" s="50" t="e">
        <f t="shared" si="169"/>
        <v>#VALUE!</v>
      </c>
      <c r="U747" s="50" t="e">
        <f t="shared" si="170"/>
        <v>#VALUE!</v>
      </c>
      <c r="V747" s="50" t="e">
        <f t="shared" si="171"/>
        <v>#VALUE!</v>
      </c>
    </row>
    <row r="748" spans="2:22" x14ac:dyDescent="0.25">
      <c r="B748" s="50" t="b">
        <f t="shared" si="172"/>
        <v>0</v>
      </c>
      <c r="C748" s="50" t="e">
        <f t="shared" si="160"/>
        <v>#VALUE!</v>
      </c>
      <c r="E748" s="56">
        <v>744</v>
      </c>
      <c r="G748" s="138"/>
      <c r="H748" s="135">
        <v>1</v>
      </c>
      <c r="I748" s="58" t="e">
        <f t="shared" si="161"/>
        <v>#VALUE!</v>
      </c>
      <c r="J748" s="50" t="e">
        <f t="shared" si="167"/>
        <v>#VALUE!</v>
      </c>
      <c r="K748" s="50" t="e">
        <f t="shared" si="159"/>
        <v>#VALUE!</v>
      </c>
      <c r="L748" s="50" t="e">
        <f t="shared" si="159"/>
        <v>#VALUE!</v>
      </c>
      <c r="M748" s="50" t="e">
        <f t="shared" si="162"/>
        <v>#VALUE!</v>
      </c>
      <c r="N748" s="50" t="e">
        <f t="shared" si="163"/>
        <v>#VALUE!</v>
      </c>
      <c r="O748" s="50">
        <f t="shared" si="164"/>
        <v>0</v>
      </c>
      <c r="Q748" s="55" t="e">
        <f t="shared" si="165"/>
        <v>#VALUE!</v>
      </c>
      <c r="R748" s="55" t="e">
        <f t="shared" si="168"/>
        <v>#VALUE!</v>
      </c>
      <c r="S748" s="55" t="e">
        <f t="shared" si="166"/>
        <v>#VALUE!</v>
      </c>
      <c r="T748" s="50" t="e">
        <f t="shared" si="169"/>
        <v>#VALUE!</v>
      </c>
      <c r="U748" s="50" t="e">
        <f t="shared" si="170"/>
        <v>#VALUE!</v>
      </c>
      <c r="V748" s="50" t="e">
        <f t="shared" si="171"/>
        <v>#VALUE!</v>
      </c>
    </row>
    <row r="749" spans="2:22" x14ac:dyDescent="0.25">
      <c r="B749" s="50" t="b">
        <f t="shared" si="172"/>
        <v>0</v>
      </c>
      <c r="C749" s="50" t="e">
        <f t="shared" si="160"/>
        <v>#VALUE!</v>
      </c>
      <c r="E749" s="56">
        <v>745</v>
      </c>
      <c r="G749" s="138"/>
      <c r="H749" s="135">
        <v>1</v>
      </c>
      <c r="I749" s="58" t="e">
        <f t="shared" si="161"/>
        <v>#VALUE!</v>
      </c>
      <c r="J749" s="50" t="e">
        <f t="shared" si="167"/>
        <v>#VALUE!</v>
      </c>
      <c r="K749" s="50" t="e">
        <f t="shared" si="159"/>
        <v>#VALUE!</v>
      </c>
      <c r="L749" s="50" t="e">
        <f t="shared" si="159"/>
        <v>#VALUE!</v>
      </c>
      <c r="M749" s="50" t="e">
        <f t="shared" si="162"/>
        <v>#VALUE!</v>
      </c>
      <c r="N749" s="50" t="e">
        <f t="shared" si="163"/>
        <v>#VALUE!</v>
      </c>
      <c r="O749" s="50">
        <f t="shared" si="164"/>
        <v>0</v>
      </c>
      <c r="Q749" s="55" t="e">
        <f t="shared" si="165"/>
        <v>#VALUE!</v>
      </c>
      <c r="R749" s="55" t="e">
        <f t="shared" si="168"/>
        <v>#VALUE!</v>
      </c>
      <c r="S749" s="55" t="e">
        <f t="shared" si="166"/>
        <v>#VALUE!</v>
      </c>
      <c r="T749" s="50" t="e">
        <f t="shared" si="169"/>
        <v>#VALUE!</v>
      </c>
      <c r="U749" s="50" t="e">
        <f t="shared" si="170"/>
        <v>#VALUE!</v>
      </c>
      <c r="V749" s="50" t="e">
        <f t="shared" si="171"/>
        <v>#VALUE!</v>
      </c>
    </row>
    <row r="750" spans="2:22" x14ac:dyDescent="0.25">
      <c r="B750" s="50" t="b">
        <f t="shared" si="172"/>
        <v>0</v>
      </c>
      <c r="C750" s="50" t="e">
        <f t="shared" si="160"/>
        <v>#VALUE!</v>
      </c>
      <c r="E750" s="56">
        <v>746</v>
      </c>
      <c r="G750" s="138"/>
      <c r="H750" s="135">
        <v>1</v>
      </c>
      <c r="I750" s="58" t="e">
        <f t="shared" si="161"/>
        <v>#VALUE!</v>
      </c>
      <c r="J750" s="50" t="e">
        <f t="shared" si="167"/>
        <v>#VALUE!</v>
      </c>
      <c r="K750" s="50" t="e">
        <f t="shared" si="159"/>
        <v>#VALUE!</v>
      </c>
      <c r="L750" s="50" t="e">
        <f t="shared" si="159"/>
        <v>#VALUE!</v>
      </c>
      <c r="M750" s="50" t="e">
        <f t="shared" si="162"/>
        <v>#VALUE!</v>
      </c>
      <c r="N750" s="50" t="e">
        <f t="shared" si="163"/>
        <v>#VALUE!</v>
      </c>
      <c r="O750" s="50">
        <f t="shared" si="164"/>
        <v>0</v>
      </c>
      <c r="Q750" s="55" t="e">
        <f t="shared" si="165"/>
        <v>#VALUE!</v>
      </c>
      <c r="R750" s="55" t="e">
        <f t="shared" si="168"/>
        <v>#VALUE!</v>
      </c>
      <c r="S750" s="55" t="e">
        <f t="shared" si="166"/>
        <v>#VALUE!</v>
      </c>
      <c r="T750" s="50" t="e">
        <f t="shared" si="169"/>
        <v>#VALUE!</v>
      </c>
      <c r="U750" s="50" t="e">
        <f t="shared" si="170"/>
        <v>#VALUE!</v>
      </c>
      <c r="V750" s="50" t="e">
        <f t="shared" si="171"/>
        <v>#VALUE!</v>
      </c>
    </row>
    <row r="751" spans="2:22" x14ac:dyDescent="0.25">
      <c r="B751" s="50" t="b">
        <f t="shared" si="172"/>
        <v>0</v>
      </c>
      <c r="C751" s="50" t="e">
        <f t="shared" si="160"/>
        <v>#VALUE!</v>
      </c>
      <c r="E751" s="56">
        <v>747</v>
      </c>
      <c r="G751" s="138"/>
      <c r="H751" s="135">
        <v>1</v>
      </c>
      <c r="I751" s="58" t="e">
        <f t="shared" si="161"/>
        <v>#VALUE!</v>
      </c>
      <c r="J751" s="50" t="e">
        <f t="shared" si="167"/>
        <v>#VALUE!</v>
      </c>
      <c r="K751" s="50" t="e">
        <f t="shared" ref="K751:L814" si="173">N751-M751</f>
        <v>#VALUE!</v>
      </c>
      <c r="L751" s="50" t="e">
        <f t="shared" si="173"/>
        <v>#VALUE!</v>
      </c>
      <c r="M751" s="50" t="e">
        <f t="shared" si="162"/>
        <v>#VALUE!</v>
      </c>
      <c r="N751" s="50" t="e">
        <f t="shared" si="163"/>
        <v>#VALUE!</v>
      </c>
      <c r="O751" s="50">
        <f t="shared" si="164"/>
        <v>0</v>
      </c>
      <c r="Q751" s="55" t="e">
        <f t="shared" si="165"/>
        <v>#VALUE!</v>
      </c>
      <c r="R751" s="55" t="e">
        <f t="shared" si="168"/>
        <v>#VALUE!</v>
      </c>
      <c r="S751" s="55" t="e">
        <f t="shared" si="166"/>
        <v>#VALUE!</v>
      </c>
      <c r="T751" s="50" t="e">
        <f t="shared" si="169"/>
        <v>#VALUE!</v>
      </c>
      <c r="U751" s="50" t="e">
        <f t="shared" si="170"/>
        <v>#VALUE!</v>
      </c>
      <c r="V751" s="50" t="e">
        <f t="shared" si="171"/>
        <v>#VALUE!</v>
      </c>
    </row>
    <row r="752" spans="2:22" x14ac:dyDescent="0.25">
      <c r="B752" s="50" t="b">
        <f t="shared" si="172"/>
        <v>0</v>
      </c>
      <c r="C752" s="50" t="e">
        <f t="shared" si="160"/>
        <v>#VALUE!</v>
      </c>
      <c r="E752" s="56">
        <v>748</v>
      </c>
      <c r="G752" s="138"/>
      <c r="H752" s="135">
        <v>1</v>
      </c>
      <c r="I752" s="58" t="e">
        <f t="shared" si="161"/>
        <v>#VALUE!</v>
      </c>
      <c r="J752" s="50" t="e">
        <f t="shared" si="167"/>
        <v>#VALUE!</v>
      </c>
      <c r="K752" s="50" t="e">
        <f t="shared" si="173"/>
        <v>#VALUE!</v>
      </c>
      <c r="L752" s="50" t="e">
        <f t="shared" si="173"/>
        <v>#VALUE!</v>
      </c>
      <c r="M752" s="50" t="e">
        <f t="shared" si="162"/>
        <v>#VALUE!</v>
      </c>
      <c r="N752" s="50" t="e">
        <f t="shared" si="163"/>
        <v>#VALUE!</v>
      </c>
      <c r="O752" s="50">
        <f t="shared" si="164"/>
        <v>0</v>
      </c>
      <c r="Q752" s="55" t="e">
        <f t="shared" si="165"/>
        <v>#VALUE!</v>
      </c>
      <c r="R752" s="55" t="e">
        <f t="shared" si="168"/>
        <v>#VALUE!</v>
      </c>
      <c r="S752" s="55" t="e">
        <f t="shared" si="166"/>
        <v>#VALUE!</v>
      </c>
      <c r="T752" s="50" t="e">
        <f t="shared" si="169"/>
        <v>#VALUE!</v>
      </c>
      <c r="U752" s="50" t="e">
        <f t="shared" si="170"/>
        <v>#VALUE!</v>
      </c>
      <c r="V752" s="50" t="e">
        <f t="shared" si="171"/>
        <v>#VALUE!</v>
      </c>
    </row>
    <row r="753" spans="2:22" x14ac:dyDescent="0.25">
      <c r="B753" s="50" t="b">
        <f t="shared" si="172"/>
        <v>0</v>
      </c>
      <c r="C753" s="50" t="e">
        <f t="shared" si="160"/>
        <v>#VALUE!</v>
      </c>
      <c r="E753" s="56">
        <v>749</v>
      </c>
      <c r="G753" s="138"/>
      <c r="H753" s="135">
        <v>1</v>
      </c>
      <c r="I753" s="58" t="e">
        <f t="shared" si="161"/>
        <v>#VALUE!</v>
      </c>
      <c r="J753" s="50" t="e">
        <f t="shared" si="167"/>
        <v>#VALUE!</v>
      </c>
      <c r="K753" s="50" t="e">
        <f t="shared" si="173"/>
        <v>#VALUE!</v>
      </c>
      <c r="L753" s="50" t="e">
        <f t="shared" si="173"/>
        <v>#VALUE!</v>
      </c>
      <c r="M753" s="50" t="e">
        <f t="shared" si="162"/>
        <v>#VALUE!</v>
      </c>
      <c r="N753" s="50" t="e">
        <f t="shared" si="163"/>
        <v>#VALUE!</v>
      </c>
      <c r="O753" s="50">
        <f t="shared" si="164"/>
        <v>0</v>
      </c>
      <c r="Q753" s="55" t="e">
        <f t="shared" si="165"/>
        <v>#VALUE!</v>
      </c>
      <c r="R753" s="55" t="e">
        <f t="shared" si="168"/>
        <v>#VALUE!</v>
      </c>
      <c r="S753" s="55" t="e">
        <f t="shared" si="166"/>
        <v>#VALUE!</v>
      </c>
      <c r="T753" s="50" t="e">
        <f t="shared" si="169"/>
        <v>#VALUE!</v>
      </c>
      <c r="U753" s="50" t="e">
        <f t="shared" si="170"/>
        <v>#VALUE!</v>
      </c>
      <c r="V753" s="50" t="e">
        <f t="shared" si="171"/>
        <v>#VALUE!</v>
      </c>
    </row>
    <row r="754" spans="2:22" x14ac:dyDescent="0.25">
      <c r="B754" s="50" t="b">
        <f t="shared" si="172"/>
        <v>0</v>
      </c>
      <c r="C754" s="50" t="e">
        <f t="shared" si="160"/>
        <v>#VALUE!</v>
      </c>
      <c r="E754" s="56">
        <v>750</v>
      </c>
      <c r="G754" s="138"/>
      <c r="H754" s="135">
        <v>1</v>
      </c>
      <c r="I754" s="58" t="e">
        <f t="shared" si="161"/>
        <v>#VALUE!</v>
      </c>
      <c r="J754" s="50" t="e">
        <f t="shared" si="167"/>
        <v>#VALUE!</v>
      </c>
      <c r="K754" s="50" t="e">
        <f t="shared" si="173"/>
        <v>#VALUE!</v>
      </c>
      <c r="L754" s="50" t="e">
        <f t="shared" si="173"/>
        <v>#VALUE!</v>
      </c>
      <c r="M754" s="50" t="e">
        <f t="shared" si="162"/>
        <v>#VALUE!</v>
      </c>
      <c r="N754" s="50" t="e">
        <f t="shared" si="163"/>
        <v>#VALUE!</v>
      </c>
      <c r="O754" s="50">
        <f t="shared" si="164"/>
        <v>0</v>
      </c>
      <c r="Q754" s="55" t="e">
        <f t="shared" si="165"/>
        <v>#VALUE!</v>
      </c>
      <c r="R754" s="55" t="e">
        <f t="shared" si="168"/>
        <v>#VALUE!</v>
      </c>
      <c r="S754" s="55" t="e">
        <f t="shared" si="166"/>
        <v>#VALUE!</v>
      </c>
      <c r="T754" s="50" t="e">
        <f t="shared" si="169"/>
        <v>#VALUE!</v>
      </c>
      <c r="U754" s="50" t="e">
        <f t="shared" si="170"/>
        <v>#VALUE!</v>
      </c>
      <c r="V754" s="50" t="e">
        <f t="shared" si="171"/>
        <v>#VALUE!</v>
      </c>
    </row>
    <row r="755" spans="2:22" x14ac:dyDescent="0.25">
      <c r="B755" s="50" t="b">
        <f t="shared" si="172"/>
        <v>0</v>
      </c>
      <c r="C755" s="50" t="e">
        <f t="shared" si="160"/>
        <v>#VALUE!</v>
      </c>
      <c r="E755" s="56">
        <v>751</v>
      </c>
      <c r="G755" s="138"/>
      <c r="H755" s="135">
        <v>1</v>
      </c>
      <c r="I755" s="58" t="e">
        <f t="shared" si="161"/>
        <v>#VALUE!</v>
      </c>
      <c r="J755" s="50" t="e">
        <f t="shared" si="167"/>
        <v>#VALUE!</v>
      </c>
      <c r="K755" s="50" t="e">
        <f t="shared" si="173"/>
        <v>#VALUE!</v>
      </c>
      <c r="L755" s="50" t="e">
        <f t="shared" si="173"/>
        <v>#VALUE!</v>
      </c>
      <c r="M755" s="50" t="e">
        <f t="shared" si="162"/>
        <v>#VALUE!</v>
      </c>
      <c r="N755" s="50" t="e">
        <f t="shared" si="163"/>
        <v>#VALUE!</v>
      </c>
      <c r="O755" s="50">
        <f t="shared" si="164"/>
        <v>0</v>
      </c>
      <c r="Q755" s="55" t="e">
        <f t="shared" si="165"/>
        <v>#VALUE!</v>
      </c>
      <c r="R755" s="55" t="e">
        <f t="shared" si="168"/>
        <v>#VALUE!</v>
      </c>
      <c r="S755" s="55" t="e">
        <f t="shared" si="166"/>
        <v>#VALUE!</v>
      </c>
      <c r="T755" s="50" t="e">
        <f t="shared" si="169"/>
        <v>#VALUE!</v>
      </c>
      <c r="U755" s="50" t="e">
        <f t="shared" si="170"/>
        <v>#VALUE!</v>
      </c>
      <c r="V755" s="50" t="e">
        <f t="shared" si="171"/>
        <v>#VALUE!</v>
      </c>
    </row>
    <row r="756" spans="2:22" x14ac:dyDescent="0.25">
      <c r="B756" s="50" t="b">
        <f t="shared" si="172"/>
        <v>0</v>
      </c>
      <c r="C756" s="50" t="e">
        <f t="shared" si="160"/>
        <v>#VALUE!</v>
      </c>
      <c r="E756" s="56">
        <v>752</v>
      </c>
      <c r="G756" s="138"/>
      <c r="H756" s="135">
        <v>1</v>
      </c>
      <c r="I756" s="58" t="e">
        <f t="shared" si="161"/>
        <v>#VALUE!</v>
      </c>
      <c r="J756" s="50" t="e">
        <f t="shared" si="167"/>
        <v>#VALUE!</v>
      </c>
      <c r="K756" s="50" t="e">
        <f t="shared" si="173"/>
        <v>#VALUE!</v>
      </c>
      <c r="L756" s="50" t="e">
        <f t="shared" si="173"/>
        <v>#VALUE!</v>
      </c>
      <c r="M756" s="50" t="e">
        <f t="shared" si="162"/>
        <v>#VALUE!</v>
      </c>
      <c r="N756" s="50" t="e">
        <f t="shared" si="163"/>
        <v>#VALUE!</v>
      </c>
      <c r="O756" s="50">
        <f t="shared" si="164"/>
        <v>0</v>
      </c>
      <c r="Q756" s="55" t="e">
        <f t="shared" si="165"/>
        <v>#VALUE!</v>
      </c>
      <c r="R756" s="55" t="e">
        <f t="shared" si="168"/>
        <v>#VALUE!</v>
      </c>
      <c r="S756" s="55" t="e">
        <f t="shared" si="166"/>
        <v>#VALUE!</v>
      </c>
      <c r="T756" s="50" t="e">
        <f t="shared" si="169"/>
        <v>#VALUE!</v>
      </c>
      <c r="U756" s="50" t="e">
        <f t="shared" si="170"/>
        <v>#VALUE!</v>
      </c>
      <c r="V756" s="50" t="e">
        <f t="shared" si="171"/>
        <v>#VALUE!</v>
      </c>
    </row>
    <row r="757" spans="2:22" x14ac:dyDescent="0.25">
      <c r="B757" s="50" t="b">
        <f t="shared" si="172"/>
        <v>0</v>
      </c>
      <c r="C757" s="50" t="e">
        <f t="shared" si="160"/>
        <v>#VALUE!</v>
      </c>
      <c r="E757" s="56">
        <v>753</v>
      </c>
      <c r="G757" s="138"/>
      <c r="H757" s="135">
        <v>1</v>
      </c>
      <c r="I757" s="58" t="e">
        <f t="shared" si="161"/>
        <v>#VALUE!</v>
      </c>
      <c r="J757" s="50" t="e">
        <f t="shared" si="167"/>
        <v>#VALUE!</v>
      </c>
      <c r="K757" s="50" t="e">
        <f t="shared" si="173"/>
        <v>#VALUE!</v>
      </c>
      <c r="L757" s="50" t="e">
        <f t="shared" si="173"/>
        <v>#VALUE!</v>
      </c>
      <c r="M757" s="50" t="e">
        <f t="shared" si="162"/>
        <v>#VALUE!</v>
      </c>
      <c r="N757" s="50" t="e">
        <f t="shared" si="163"/>
        <v>#VALUE!</v>
      </c>
      <c r="O757" s="50">
        <f t="shared" si="164"/>
        <v>0</v>
      </c>
      <c r="Q757" s="55" t="e">
        <f t="shared" si="165"/>
        <v>#VALUE!</v>
      </c>
      <c r="R757" s="55" t="e">
        <f t="shared" si="168"/>
        <v>#VALUE!</v>
      </c>
      <c r="S757" s="55" t="e">
        <f t="shared" si="166"/>
        <v>#VALUE!</v>
      </c>
      <c r="T757" s="50" t="e">
        <f t="shared" si="169"/>
        <v>#VALUE!</v>
      </c>
      <c r="U757" s="50" t="e">
        <f t="shared" si="170"/>
        <v>#VALUE!</v>
      </c>
      <c r="V757" s="50" t="e">
        <f t="shared" si="171"/>
        <v>#VALUE!</v>
      </c>
    </row>
    <row r="758" spans="2:22" x14ac:dyDescent="0.25">
      <c r="B758" s="50" t="b">
        <f t="shared" si="172"/>
        <v>0</v>
      </c>
      <c r="C758" s="50" t="e">
        <f t="shared" ref="C758:C821" si="174">SUM(T758:V758)</f>
        <v>#VALUE!</v>
      </c>
      <c r="E758" s="56">
        <v>754</v>
      </c>
      <c r="G758" s="138"/>
      <c r="H758" s="135">
        <v>1</v>
      </c>
      <c r="I758" s="58" t="e">
        <f t="shared" si="161"/>
        <v>#VALUE!</v>
      </c>
      <c r="J758" s="50" t="e">
        <f t="shared" si="167"/>
        <v>#VALUE!</v>
      </c>
      <c r="K758" s="50" t="e">
        <f t="shared" si="173"/>
        <v>#VALUE!</v>
      </c>
      <c r="L758" s="50" t="e">
        <f t="shared" si="173"/>
        <v>#VALUE!</v>
      </c>
      <c r="M758" s="50" t="e">
        <f t="shared" si="162"/>
        <v>#VALUE!</v>
      </c>
      <c r="N758" s="50" t="e">
        <f t="shared" si="163"/>
        <v>#VALUE!</v>
      </c>
      <c r="O758" s="50">
        <f t="shared" si="164"/>
        <v>0</v>
      </c>
      <c r="Q758" s="55" t="e">
        <f t="shared" si="165"/>
        <v>#VALUE!</v>
      </c>
      <c r="R758" s="55" t="e">
        <f t="shared" si="168"/>
        <v>#VALUE!</v>
      </c>
      <c r="S758" s="55" t="e">
        <f t="shared" si="166"/>
        <v>#VALUE!</v>
      </c>
      <c r="T758" s="50" t="e">
        <f t="shared" si="169"/>
        <v>#VALUE!</v>
      </c>
      <c r="U758" s="50" t="e">
        <f t="shared" si="170"/>
        <v>#VALUE!</v>
      </c>
      <c r="V758" s="50" t="e">
        <f t="shared" si="171"/>
        <v>#VALUE!</v>
      </c>
    </row>
    <row r="759" spans="2:22" x14ac:dyDescent="0.25">
      <c r="B759" s="50" t="b">
        <f t="shared" si="172"/>
        <v>0</v>
      </c>
      <c r="C759" s="50" t="e">
        <f t="shared" si="174"/>
        <v>#VALUE!</v>
      </c>
      <c r="E759" s="56">
        <v>755</v>
      </c>
      <c r="G759" s="138"/>
      <c r="H759" s="135">
        <v>1</v>
      </c>
      <c r="I759" s="58" t="e">
        <f t="shared" si="161"/>
        <v>#VALUE!</v>
      </c>
      <c r="J759" s="50" t="e">
        <f t="shared" si="167"/>
        <v>#VALUE!</v>
      </c>
      <c r="K759" s="50" t="e">
        <f t="shared" si="173"/>
        <v>#VALUE!</v>
      </c>
      <c r="L759" s="50" t="e">
        <f t="shared" si="173"/>
        <v>#VALUE!</v>
      </c>
      <c r="M759" s="50" t="e">
        <f t="shared" si="162"/>
        <v>#VALUE!</v>
      </c>
      <c r="N759" s="50" t="e">
        <f t="shared" si="163"/>
        <v>#VALUE!</v>
      </c>
      <c r="O759" s="50">
        <f t="shared" si="164"/>
        <v>0</v>
      </c>
      <c r="Q759" s="55" t="e">
        <f t="shared" si="165"/>
        <v>#VALUE!</v>
      </c>
      <c r="R759" s="55" t="e">
        <f t="shared" si="168"/>
        <v>#VALUE!</v>
      </c>
      <c r="S759" s="55" t="e">
        <f t="shared" si="166"/>
        <v>#VALUE!</v>
      </c>
      <c r="T759" s="50" t="e">
        <f t="shared" si="169"/>
        <v>#VALUE!</v>
      </c>
      <c r="U759" s="50" t="e">
        <f t="shared" si="170"/>
        <v>#VALUE!</v>
      </c>
      <c r="V759" s="50" t="e">
        <f t="shared" si="171"/>
        <v>#VALUE!</v>
      </c>
    </row>
    <row r="760" spans="2:22" x14ac:dyDescent="0.25">
      <c r="B760" s="50" t="b">
        <f t="shared" si="172"/>
        <v>0</v>
      </c>
      <c r="C760" s="50" t="e">
        <f t="shared" si="174"/>
        <v>#VALUE!</v>
      </c>
      <c r="E760" s="56">
        <v>756</v>
      </c>
      <c r="G760" s="138"/>
      <c r="H760" s="135">
        <v>1</v>
      </c>
      <c r="I760" s="58" t="e">
        <f t="shared" si="161"/>
        <v>#VALUE!</v>
      </c>
      <c r="J760" s="50" t="e">
        <f t="shared" si="167"/>
        <v>#VALUE!</v>
      </c>
      <c r="K760" s="50" t="e">
        <f t="shared" si="173"/>
        <v>#VALUE!</v>
      </c>
      <c r="L760" s="50" t="e">
        <f t="shared" si="173"/>
        <v>#VALUE!</v>
      </c>
      <c r="M760" s="50" t="e">
        <f t="shared" si="162"/>
        <v>#VALUE!</v>
      </c>
      <c r="N760" s="50" t="e">
        <f t="shared" si="163"/>
        <v>#VALUE!</v>
      </c>
      <c r="O760" s="50">
        <f t="shared" si="164"/>
        <v>0</v>
      </c>
      <c r="Q760" s="55" t="e">
        <f t="shared" si="165"/>
        <v>#VALUE!</v>
      </c>
      <c r="R760" s="55" t="e">
        <f t="shared" si="168"/>
        <v>#VALUE!</v>
      </c>
      <c r="S760" s="55" t="e">
        <f t="shared" si="166"/>
        <v>#VALUE!</v>
      </c>
      <c r="T760" s="50" t="e">
        <f t="shared" si="169"/>
        <v>#VALUE!</v>
      </c>
      <c r="U760" s="50" t="e">
        <f t="shared" si="170"/>
        <v>#VALUE!</v>
      </c>
      <c r="V760" s="50" t="e">
        <f t="shared" si="171"/>
        <v>#VALUE!</v>
      </c>
    </row>
    <row r="761" spans="2:22" x14ac:dyDescent="0.25">
      <c r="B761" s="50" t="b">
        <f t="shared" si="172"/>
        <v>0</v>
      </c>
      <c r="C761" s="50" t="e">
        <f t="shared" si="174"/>
        <v>#VALUE!</v>
      </c>
      <c r="E761" s="56">
        <v>757</v>
      </c>
      <c r="G761" s="138"/>
      <c r="H761" s="135">
        <v>1</v>
      </c>
      <c r="I761" s="58" t="e">
        <f t="shared" si="161"/>
        <v>#VALUE!</v>
      </c>
      <c r="J761" s="50" t="e">
        <f t="shared" si="167"/>
        <v>#VALUE!</v>
      </c>
      <c r="K761" s="50" t="e">
        <f t="shared" si="173"/>
        <v>#VALUE!</v>
      </c>
      <c r="L761" s="50" t="e">
        <f t="shared" si="173"/>
        <v>#VALUE!</v>
      </c>
      <c r="M761" s="50" t="e">
        <f t="shared" si="162"/>
        <v>#VALUE!</v>
      </c>
      <c r="N761" s="50" t="e">
        <f t="shared" si="163"/>
        <v>#VALUE!</v>
      </c>
      <c r="O761" s="50">
        <f t="shared" si="164"/>
        <v>0</v>
      </c>
      <c r="Q761" s="55" t="e">
        <f t="shared" si="165"/>
        <v>#VALUE!</v>
      </c>
      <c r="R761" s="55" t="e">
        <f t="shared" si="168"/>
        <v>#VALUE!</v>
      </c>
      <c r="S761" s="55" t="e">
        <f t="shared" si="166"/>
        <v>#VALUE!</v>
      </c>
      <c r="T761" s="50" t="e">
        <f t="shared" si="169"/>
        <v>#VALUE!</v>
      </c>
      <c r="U761" s="50" t="e">
        <f t="shared" si="170"/>
        <v>#VALUE!</v>
      </c>
      <c r="V761" s="50" t="e">
        <f t="shared" si="171"/>
        <v>#VALUE!</v>
      </c>
    </row>
    <row r="762" spans="2:22" x14ac:dyDescent="0.25">
      <c r="B762" s="50" t="b">
        <f t="shared" si="172"/>
        <v>0</v>
      </c>
      <c r="C762" s="50" t="e">
        <f t="shared" si="174"/>
        <v>#VALUE!</v>
      </c>
      <c r="E762" s="56">
        <v>758</v>
      </c>
      <c r="G762" s="138"/>
      <c r="H762" s="135">
        <v>1</v>
      </c>
      <c r="I762" s="58" t="e">
        <f t="shared" si="161"/>
        <v>#VALUE!</v>
      </c>
      <c r="J762" s="50" t="e">
        <f t="shared" si="167"/>
        <v>#VALUE!</v>
      </c>
      <c r="K762" s="50" t="e">
        <f t="shared" si="173"/>
        <v>#VALUE!</v>
      </c>
      <c r="L762" s="50" t="e">
        <f t="shared" si="173"/>
        <v>#VALUE!</v>
      </c>
      <c r="M762" s="50" t="e">
        <f t="shared" si="162"/>
        <v>#VALUE!</v>
      </c>
      <c r="N762" s="50" t="e">
        <f t="shared" si="163"/>
        <v>#VALUE!</v>
      </c>
      <c r="O762" s="50">
        <f t="shared" si="164"/>
        <v>0</v>
      </c>
      <c r="Q762" s="55" t="e">
        <f t="shared" si="165"/>
        <v>#VALUE!</v>
      </c>
      <c r="R762" s="55" t="e">
        <f t="shared" si="168"/>
        <v>#VALUE!</v>
      </c>
      <c r="S762" s="55" t="e">
        <f t="shared" si="166"/>
        <v>#VALUE!</v>
      </c>
      <c r="T762" s="50" t="e">
        <f t="shared" si="169"/>
        <v>#VALUE!</v>
      </c>
      <c r="U762" s="50" t="e">
        <f t="shared" si="170"/>
        <v>#VALUE!</v>
      </c>
      <c r="V762" s="50" t="e">
        <f t="shared" si="171"/>
        <v>#VALUE!</v>
      </c>
    </row>
    <row r="763" spans="2:22" x14ac:dyDescent="0.25">
      <c r="B763" s="50" t="b">
        <f t="shared" si="172"/>
        <v>0</v>
      </c>
      <c r="C763" s="50" t="e">
        <f t="shared" si="174"/>
        <v>#VALUE!</v>
      </c>
      <c r="E763" s="56">
        <v>759</v>
      </c>
      <c r="G763" s="138"/>
      <c r="H763" s="135">
        <v>1</v>
      </c>
      <c r="I763" s="58" t="e">
        <f t="shared" si="161"/>
        <v>#VALUE!</v>
      </c>
      <c r="J763" s="50" t="e">
        <f t="shared" si="167"/>
        <v>#VALUE!</v>
      </c>
      <c r="K763" s="50" t="e">
        <f t="shared" si="173"/>
        <v>#VALUE!</v>
      </c>
      <c r="L763" s="50" t="e">
        <f t="shared" si="173"/>
        <v>#VALUE!</v>
      </c>
      <c r="M763" s="50" t="e">
        <f t="shared" si="162"/>
        <v>#VALUE!</v>
      </c>
      <c r="N763" s="50" t="e">
        <f t="shared" si="163"/>
        <v>#VALUE!</v>
      </c>
      <c r="O763" s="50">
        <f t="shared" si="164"/>
        <v>0</v>
      </c>
      <c r="Q763" s="55" t="e">
        <f t="shared" si="165"/>
        <v>#VALUE!</v>
      </c>
      <c r="R763" s="55" t="e">
        <f t="shared" si="168"/>
        <v>#VALUE!</v>
      </c>
      <c r="S763" s="55" t="e">
        <f t="shared" si="166"/>
        <v>#VALUE!</v>
      </c>
      <c r="T763" s="50" t="e">
        <f t="shared" si="169"/>
        <v>#VALUE!</v>
      </c>
      <c r="U763" s="50" t="e">
        <f t="shared" si="170"/>
        <v>#VALUE!</v>
      </c>
      <c r="V763" s="50" t="e">
        <f t="shared" si="171"/>
        <v>#VALUE!</v>
      </c>
    </row>
    <row r="764" spans="2:22" x14ac:dyDescent="0.25">
      <c r="B764" s="50" t="b">
        <f t="shared" si="172"/>
        <v>0</v>
      </c>
      <c r="C764" s="50" t="e">
        <f t="shared" si="174"/>
        <v>#VALUE!</v>
      </c>
      <c r="E764" s="56">
        <v>760</v>
      </c>
      <c r="G764" s="138"/>
      <c r="H764" s="135">
        <v>1</v>
      </c>
      <c r="I764" s="58" t="e">
        <f t="shared" si="161"/>
        <v>#VALUE!</v>
      </c>
      <c r="J764" s="50" t="e">
        <f t="shared" si="167"/>
        <v>#VALUE!</v>
      </c>
      <c r="K764" s="50" t="e">
        <f t="shared" si="173"/>
        <v>#VALUE!</v>
      </c>
      <c r="L764" s="50" t="e">
        <f t="shared" si="173"/>
        <v>#VALUE!</v>
      </c>
      <c r="M764" s="50" t="e">
        <f t="shared" si="162"/>
        <v>#VALUE!</v>
      </c>
      <c r="N764" s="50" t="e">
        <f t="shared" si="163"/>
        <v>#VALUE!</v>
      </c>
      <c r="O764" s="50">
        <f t="shared" si="164"/>
        <v>0</v>
      </c>
      <c r="Q764" s="55" t="e">
        <f t="shared" si="165"/>
        <v>#VALUE!</v>
      </c>
      <c r="R764" s="55" t="e">
        <f t="shared" si="168"/>
        <v>#VALUE!</v>
      </c>
      <c r="S764" s="55" t="e">
        <f t="shared" si="166"/>
        <v>#VALUE!</v>
      </c>
      <c r="T764" s="50" t="e">
        <f t="shared" si="169"/>
        <v>#VALUE!</v>
      </c>
      <c r="U764" s="50" t="e">
        <f t="shared" si="170"/>
        <v>#VALUE!</v>
      </c>
      <c r="V764" s="50" t="e">
        <f t="shared" si="171"/>
        <v>#VALUE!</v>
      </c>
    </row>
    <row r="765" spans="2:22" x14ac:dyDescent="0.25">
      <c r="B765" s="50" t="b">
        <f t="shared" si="172"/>
        <v>0</v>
      </c>
      <c r="C765" s="50" t="e">
        <f t="shared" si="174"/>
        <v>#VALUE!</v>
      </c>
      <c r="E765" s="56">
        <v>761</v>
      </c>
      <c r="G765" s="138"/>
      <c r="H765" s="135">
        <v>1</v>
      </c>
      <c r="I765" s="58" t="e">
        <f t="shared" si="161"/>
        <v>#VALUE!</v>
      </c>
      <c r="J765" s="50" t="e">
        <f t="shared" si="167"/>
        <v>#VALUE!</v>
      </c>
      <c r="K765" s="50" t="e">
        <f t="shared" si="173"/>
        <v>#VALUE!</v>
      </c>
      <c r="L765" s="50" t="e">
        <f t="shared" si="173"/>
        <v>#VALUE!</v>
      </c>
      <c r="M765" s="50" t="e">
        <f t="shared" si="162"/>
        <v>#VALUE!</v>
      </c>
      <c r="N765" s="50" t="e">
        <f t="shared" si="163"/>
        <v>#VALUE!</v>
      </c>
      <c r="O765" s="50">
        <f t="shared" si="164"/>
        <v>0</v>
      </c>
      <c r="Q765" s="55" t="e">
        <f t="shared" si="165"/>
        <v>#VALUE!</v>
      </c>
      <c r="R765" s="55" t="e">
        <f t="shared" si="168"/>
        <v>#VALUE!</v>
      </c>
      <c r="S765" s="55" t="e">
        <f t="shared" si="166"/>
        <v>#VALUE!</v>
      </c>
      <c r="T765" s="50" t="e">
        <f t="shared" si="169"/>
        <v>#VALUE!</v>
      </c>
      <c r="U765" s="50" t="e">
        <f t="shared" si="170"/>
        <v>#VALUE!</v>
      </c>
      <c r="V765" s="50" t="e">
        <f t="shared" si="171"/>
        <v>#VALUE!</v>
      </c>
    </row>
    <row r="766" spans="2:22" x14ac:dyDescent="0.25">
      <c r="B766" s="50" t="b">
        <f t="shared" si="172"/>
        <v>0</v>
      </c>
      <c r="C766" s="50" t="e">
        <f t="shared" si="174"/>
        <v>#VALUE!</v>
      </c>
      <c r="E766" s="56">
        <v>762</v>
      </c>
      <c r="G766" s="138"/>
      <c r="H766" s="135">
        <v>1</v>
      </c>
      <c r="I766" s="58" t="e">
        <f t="shared" si="161"/>
        <v>#VALUE!</v>
      </c>
      <c r="J766" s="50" t="e">
        <f t="shared" si="167"/>
        <v>#VALUE!</v>
      </c>
      <c r="K766" s="50" t="e">
        <f t="shared" si="173"/>
        <v>#VALUE!</v>
      </c>
      <c r="L766" s="50" t="e">
        <f t="shared" si="173"/>
        <v>#VALUE!</v>
      </c>
      <c r="M766" s="50" t="e">
        <f t="shared" si="162"/>
        <v>#VALUE!</v>
      </c>
      <c r="N766" s="50" t="e">
        <f t="shared" si="163"/>
        <v>#VALUE!</v>
      </c>
      <c r="O766" s="50">
        <f t="shared" si="164"/>
        <v>0</v>
      </c>
      <c r="Q766" s="55" t="e">
        <f t="shared" si="165"/>
        <v>#VALUE!</v>
      </c>
      <c r="R766" s="55" t="e">
        <f t="shared" si="168"/>
        <v>#VALUE!</v>
      </c>
      <c r="S766" s="55" t="e">
        <f t="shared" si="166"/>
        <v>#VALUE!</v>
      </c>
      <c r="T766" s="50" t="e">
        <f t="shared" si="169"/>
        <v>#VALUE!</v>
      </c>
      <c r="U766" s="50" t="e">
        <f t="shared" si="170"/>
        <v>#VALUE!</v>
      </c>
      <c r="V766" s="50" t="e">
        <f t="shared" si="171"/>
        <v>#VALUE!</v>
      </c>
    </row>
    <row r="767" spans="2:22" x14ac:dyDescent="0.25">
      <c r="B767" s="50" t="b">
        <f t="shared" si="172"/>
        <v>0</v>
      </c>
      <c r="C767" s="50" t="e">
        <f t="shared" si="174"/>
        <v>#VALUE!</v>
      </c>
      <c r="E767" s="56">
        <v>763</v>
      </c>
      <c r="G767" s="138"/>
      <c r="H767" s="135">
        <v>1</v>
      </c>
      <c r="I767" s="58" t="e">
        <f t="shared" si="161"/>
        <v>#VALUE!</v>
      </c>
      <c r="J767" s="50" t="e">
        <f t="shared" si="167"/>
        <v>#VALUE!</v>
      </c>
      <c r="K767" s="50" t="e">
        <f t="shared" si="173"/>
        <v>#VALUE!</v>
      </c>
      <c r="L767" s="50" t="e">
        <f t="shared" si="173"/>
        <v>#VALUE!</v>
      </c>
      <c r="M767" s="50" t="e">
        <f t="shared" si="162"/>
        <v>#VALUE!</v>
      </c>
      <c r="N767" s="50" t="e">
        <f t="shared" si="163"/>
        <v>#VALUE!</v>
      </c>
      <c r="O767" s="50">
        <f t="shared" si="164"/>
        <v>0</v>
      </c>
      <c r="Q767" s="55" t="e">
        <f t="shared" si="165"/>
        <v>#VALUE!</v>
      </c>
      <c r="R767" s="55" t="e">
        <f t="shared" si="168"/>
        <v>#VALUE!</v>
      </c>
      <c r="S767" s="55" t="e">
        <f t="shared" si="166"/>
        <v>#VALUE!</v>
      </c>
      <c r="T767" s="50" t="e">
        <f t="shared" si="169"/>
        <v>#VALUE!</v>
      </c>
      <c r="U767" s="50" t="e">
        <f t="shared" si="170"/>
        <v>#VALUE!</v>
      </c>
      <c r="V767" s="50" t="e">
        <f t="shared" si="171"/>
        <v>#VALUE!</v>
      </c>
    </row>
    <row r="768" spans="2:22" x14ac:dyDescent="0.25">
      <c r="B768" s="50" t="b">
        <f t="shared" si="172"/>
        <v>0</v>
      </c>
      <c r="C768" s="50" t="e">
        <f t="shared" si="174"/>
        <v>#VALUE!</v>
      </c>
      <c r="E768" s="56">
        <v>764</v>
      </c>
      <c r="G768" s="138"/>
      <c r="H768" s="135">
        <v>1</v>
      </c>
      <c r="I768" s="58" t="e">
        <f t="shared" si="161"/>
        <v>#VALUE!</v>
      </c>
      <c r="J768" s="50" t="e">
        <f t="shared" si="167"/>
        <v>#VALUE!</v>
      </c>
      <c r="K768" s="50" t="e">
        <f t="shared" si="173"/>
        <v>#VALUE!</v>
      </c>
      <c r="L768" s="50" t="e">
        <f t="shared" si="173"/>
        <v>#VALUE!</v>
      </c>
      <c r="M768" s="50" t="e">
        <f t="shared" si="162"/>
        <v>#VALUE!</v>
      </c>
      <c r="N768" s="50" t="e">
        <f t="shared" si="163"/>
        <v>#VALUE!</v>
      </c>
      <c r="O768" s="50">
        <f t="shared" si="164"/>
        <v>0</v>
      </c>
      <c r="Q768" s="55" t="e">
        <f t="shared" si="165"/>
        <v>#VALUE!</v>
      </c>
      <c r="R768" s="55" t="e">
        <f t="shared" si="168"/>
        <v>#VALUE!</v>
      </c>
      <c r="S768" s="55" t="e">
        <f t="shared" si="166"/>
        <v>#VALUE!</v>
      </c>
      <c r="T768" s="50" t="e">
        <f t="shared" si="169"/>
        <v>#VALUE!</v>
      </c>
      <c r="U768" s="50" t="e">
        <f t="shared" si="170"/>
        <v>#VALUE!</v>
      </c>
      <c r="V768" s="50" t="e">
        <f t="shared" si="171"/>
        <v>#VALUE!</v>
      </c>
    </row>
    <row r="769" spans="2:22" x14ac:dyDescent="0.25">
      <c r="B769" s="50" t="b">
        <f t="shared" si="172"/>
        <v>0</v>
      </c>
      <c r="C769" s="50" t="e">
        <f t="shared" si="174"/>
        <v>#VALUE!</v>
      </c>
      <c r="E769" s="56">
        <v>765</v>
      </c>
      <c r="G769" s="138"/>
      <c r="H769" s="135">
        <v>1</v>
      </c>
      <c r="I769" s="58" t="e">
        <f t="shared" si="161"/>
        <v>#VALUE!</v>
      </c>
      <c r="J769" s="50" t="e">
        <f t="shared" si="167"/>
        <v>#VALUE!</v>
      </c>
      <c r="K769" s="50" t="e">
        <f t="shared" si="173"/>
        <v>#VALUE!</v>
      </c>
      <c r="L769" s="50" t="e">
        <f t="shared" si="173"/>
        <v>#VALUE!</v>
      </c>
      <c r="M769" s="50" t="e">
        <f t="shared" si="162"/>
        <v>#VALUE!</v>
      </c>
      <c r="N769" s="50" t="e">
        <f t="shared" si="163"/>
        <v>#VALUE!</v>
      </c>
      <c r="O769" s="50">
        <f t="shared" si="164"/>
        <v>0</v>
      </c>
      <c r="Q769" s="55" t="e">
        <f t="shared" si="165"/>
        <v>#VALUE!</v>
      </c>
      <c r="R769" s="55" t="e">
        <f t="shared" si="168"/>
        <v>#VALUE!</v>
      </c>
      <c r="S769" s="55" t="e">
        <f t="shared" si="166"/>
        <v>#VALUE!</v>
      </c>
      <c r="T769" s="50" t="e">
        <f t="shared" si="169"/>
        <v>#VALUE!</v>
      </c>
      <c r="U769" s="50" t="e">
        <f t="shared" si="170"/>
        <v>#VALUE!</v>
      </c>
      <c r="V769" s="50" t="e">
        <f t="shared" si="171"/>
        <v>#VALUE!</v>
      </c>
    </row>
    <row r="770" spans="2:22" x14ac:dyDescent="0.25">
      <c r="B770" s="50" t="b">
        <f t="shared" si="172"/>
        <v>0</v>
      </c>
      <c r="C770" s="50" t="e">
        <f t="shared" si="174"/>
        <v>#VALUE!</v>
      </c>
      <c r="E770" s="56">
        <v>766</v>
      </c>
      <c r="G770" s="138"/>
      <c r="H770" s="135">
        <v>1</v>
      </c>
      <c r="I770" s="58" t="e">
        <f t="shared" si="161"/>
        <v>#VALUE!</v>
      </c>
      <c r="J770" s="50" t="e">
        <f t="shared" si="167"/>
        <v>#VALUE!</v>
      </c>
      <c r="K770" s="50" t="e">
        <f t="shared" si="173"/>
        <v>#VALUE!</v>
      </c>
      <c r="L770" s="50" t="e">
        <f t="shared" si="173"/>
        <v>#VALUE!</v>
      </c>
      <c r="M770" s="50" t="e">
        <f t="shared" si="162"/>
        <v>#VALUE!</v>
      </c>
      <c r="N770" s="50" t="e">
        <f t="shared" si="163"/>
        <v>#VALUE!</v>
      </c>
      <c r="O770" s="50">
        <f t="shared" si="164"/>
        <v>0</v>
      </c>
      <c r="Q770" s="55" t="e">
        <f t="shared" si="165"/>
        <v>#VALUE!</v>
      </c>
      <c r="R770" s="55" t="e">
        <f t="shared" si="168"/>
        <v>#VALUE!</v>
      </c>
      <c r="S770" s="55" t="e">
        <f t="shared" si="166"/>
        <v>#VALUE!</v>
      </c>
      <c r="T770" s="50" t="e">
        <f t="shared" si="169"/>
        <v>#VALUE!</v>
      </c>
      <c r="U770" s="50" t="e">
        <f t="shared" si="170"/>
        <v>#VALUE!</v>
      </c>
      <c r="V770" s="50" t="e">
        <f t="shared" si="171"/>
        <v>#VALUE!</v>
      </c>
    </row>
    <row r="771" spans="2:22" x14ac:dyDescent="0.25">
      <c r="B771" s="50" t="b">
        <f t="shared" si="172"/>
        <v>0</v>
      </c>
      <c r="C771" s="50" t="e">
        <f t="shared" si="174"/>
        <v>#VALUE!</v>
      </c>
      <c r="E771" s="56">
        <v>767</v>
      </c>
      <c r="G771" s="138"/>
      <c r="H771" s="135">
        <v>1</v>
      </c>
      <c r="I771" s="58" t="e">
        <f t="shared" si="161"/>
        <v>#VALUE!</v>
      </c>
      <c r="J771" s="50" t="e">
        <f t="shared" si="167"/>
        <v>#VALUE!</v>
      </c>
      <c r="K771" s="50" t="e">
        <f t="shared" si="173"/>
        <v>#VALUE!</v>
      </c>
      <c r="L771" s="50" t="e">
        <f t="shared" si="173"/>
        <v>#VALUE!</v>
      </c>
      <c r="M771" s="50" t="e">
        <f t="shared" si="162"/>
        <v>#VALUE!</v>
      </c>
      <c r="N771" s="50" t="e">
        <f t="shared" si="163"/>
        <v>#VALUE!</v>
      </c>
      <c r="O771" s="50">
        <f t="shared" si="164"/>
        <v>0</v>
      </c>
      <c r="Q771" s="55" t="e">
        <f t="shared" si="165"/>
        <v>#VALUE!</v>
      </c>
      <c r="R771" s="55" t="e">
        <f t="shared" si="168"/>
        <v>#VALUE!</v>
      </c>
      <c r="S771" s="55" t="e">
        <f t="shared" si="166"/>
        <v>#VALUE!</v>
      </c>
      <c r="T771" s="50" t="e">
        <f t="shared" si="169"/>
        <v>#VALUE!</v>
      </c>
      <c r="U771" s="50" t="e">
        <f t="shared" si="170"/>
        <v>#VALUE!</v>
      </c>
      <c r="V771" s="50" t="e">
        <f t="shared" si="171"/>
        <v>#VALUE!</v>
      </c>
    </row>
    <row r="772" spans="2:22" x14ac:dyDescent="0.25">
      <c r="B772" s="50" t="b">
        <f t="shared" si="172"/>
        <v>0</v>
      </c>
      <c r="C772" s="50" t="e">
        <f t="shared" si="174"/>
        <v>#VALUE!</v>
      </c>
      <c r="E772" s="56">
        <v>768</v>
      </c>
      <c r="G772" s="138"/>
      <c r="H772" s="135">
        <v>1</v>
      </c>
      <c r="I772" s="58" t="e">
        <f t="shared" ref="I772:I835" si="175">RIGHT(G772,J772)</f>
        <v>#VALUE!</v>
      </c>
      <c r="J772" s="50" t="e">
        <f t="shared" si="167"/>
        <v>#VALUE!</v>
      </c>
      <c r="K772" s="50" t="e">
        <f t="shared" si="173"/>
        <v>#VALUE!</v>
      </c>
      <c r="L772" s="50" t="e">
        <f t="shared" si="173"/>
        <v>#VALUE!</v>
      </c>
      <c r="M772" s="50" t="e">
        <f t="shared" ref="M772:M835" si="176">SEARCH("-",G772,2)</f>
        <v>#VALUE!</v>
      </c>
      <c r="N772" s="50" t="e">
        <f t="shared" ref="N772:N835" si="177">SEARCH("-",G772,M772+1)</f>
        <v>#VALUE!</v>
      </c>
      <c r="O772" s="50">
        <f t="shared" ref="O772:O835" si="178">LEN(G772)</f>
        <v>0</v>
      </c>
      <c r="Q772" s="55" t="e">
        <f t="shared" ref="Q772:Q835" si="179">LEFT(G772,M772-1)</f>
        <v>#VALUE!</v>
      </c>
      <c r="R772" s="55" t="e">
        <f t="shared" si="168"/>
        <v>#VALUE!</v>
      </c>
      <c r="S772" s="55" t="e">
        <f t="shared" ref="S772:S835" si="180">RIGHT(G772,L772)</f>
        <v>#VALUE!</v>
      </c>
      <c r="T772" s="50" t="e">
        <f t="shared" si="169"/>
        <v>#VALUE!</v>
      </c>
      <c r="U772" s="50" t="e">
        <f t="shared" si="170"/>
        <v>#VALUE!</v>
      </c>
      <c r="V772" s="50" t="e">
        <f t="shared" si="171"/>
        <v>#VALUE!</v>
      </c>
    </row>
    <row r="773" spans="2:22" x14ac:dyDescent="0.25">
      <c r="B773" s="50" t="b">
        <f t="shared" si="172"/>
        <v>0</v>
      </c>
      <c r="C773" s="50" t="e">
        <f t="shared" si="174"/>
        <v>#VALUE!</v>
      </c>
      <c r="E773" s="56">
        <v>769</v>
      </c>
      <c r="G773" s="138"/>
      <c r="H773" s="135">
        <v>1</v>
      </c>
      <c r="I773" s="58" t="e">
        <f t="shared" si="175"/>
        <v>#VALUE!</v>
      </c>
      <c r="J773" s="50" t="e">
        <f t="shared" ref="J773:J836" si="181">O773-M773</f>
        <v>#VALUE!</v>
      </c>
      <c r="K773" s="50" t="e">
        <f t="shared" si="173"/>
        <v>#VALUE!</v>
      </c>
      <c r="L773" s="50" t="e">
        <f t="shared" si="173"/>
        <v>#VALUE!</v>
      </c>
      <c r="M773" s="50" t="e">
        <f t="shared" si="176"/>
        <v>#VALUE!</v>
      </c>
      <c r="N773" s="50" t="e">
        <f t="shared" si="177"/>
        <v>#VALUE!</v>
      </c>
      <c r="O773" s="50">
        <f t="shared" si="178"/>
        <v>0</v>
      </c>
      <c r="Q773" s="55" t="e">
        <f t="shared" si="179"/>
        <v>#VALUE!</v>
      </c>
      <c r="R773" s="55" t="e">
        <f t="shared" ref="R773:R836" si="182">LEFT(I773,K773-1)</f>
        <v>#VALUE!</v>
      </c>
      <c r="S773" s="55" t="e">
        <f t="shared" si="180"/>
        <v>#VALUE!</v>
      </c>
      <c r="T773" s="50" t="e">
        <f t="shared" ref="T773:T836" si="183">Q773*1*$H773</f>
        <v>#VALUE!</v>
      </c>
      <c r="U773" s="50" t="e">
        <f t="shared" ref="U773:U836" si="184">R773*1*$H773</f>
        <v>#VALUE!</v>
      </c>
      <c r="V773" s="50" t="e">
        <f t="shared" ref="V773:V836" si="185">S773*1*$H773</f>
        <v>#VALUE!</v>
      </c>
    </row>
    <row r="774" spans="2:22" x14ac:dyDescent="0.25">
      <c r="B774" s="50" t="b">
        <f t="shared" si="172"/>
        <v>0</v>
      </c>
      <c r="C774" s="50" t="e">
        <f t="shared" si="174"/>
        <v>#VALUE!</v>
      </c>
      <c r="E774" s="56">
        <v>770</v>
      </c>
      <c r="G774" s="138"/>
      <c r="H774" s="135">
        <v>1</v>
      </c>
      <c r="I774" s="58" t="e">
        <f t="shared" si="175"/>
        <v>#VALUE!</v>
      </c>
      <c r="J774" s="50" t="e">
        <f t="shared" si="181"/>
        <v>#VALUE!</v>
      </c>
      <c r="K774" s="50" t="e">
        <f t="shared" si="173"/>
        <v>#VALUE!</v>
      </c>
      <c r="L774" s="50" t="e">
        <f t="shared" si="173"/>
        <v>#VALUE!</v>
      </c>
      <c r="M774" s="50" t="e">
        <f t="shared" si="176"/>
        <v>#VALUE!</v>
      </c>
      <c r="N774" s="50" t="e">
        <f t="shared" si="177"/>
        <v>#VALUE!</v>
      </c>
      <c r="O774" s="50">
        <f t="shared" si="178"/>
        <v>0</v>
      </c>
      <c r="Q774" s="55" t="e">
        <f t="shared" si="179"/>
        <v>#VALUE!</v>
      </c>
      <c r="R774" s="55" t="e">
        <f t="shared" si="182"/>
        <v>#VALUE!</v>
      </c>
      <c r="S774" s="55" t="e">
        <f t="shared" si="180"/>
        <v>#VALUE!</v>
      </c>
      <c r="T774" s="50" t="e">
        <f t="shared" si="183"/>
        <v>#VALUE!</v>
      </c>
      <c r="U774" s="50" t="e">
        <f t="shared" si="184"/>
        <v>#VALUE!</v>
      </c>
      <c r="V774" s="50" t="e">
        <f t="shared" si="185"/>
        <v>#VALUE!</v>
      </c>
    </row>
    <row r="775" spans="2:22" x14ac:dyDescent="0.25">
      <c r="B775" s="50" t="b">
        <f t="shared" si="172"/>
        <v>0</v>
      </c>
      <c r="C775" s="50" t="e">
        <f t="shared" si="174"/>
        <v>#VALUE!</v>
      </c>
      <c r="E775" s="56">
        <v>771</v>
      </c>
      <c r="G775" s="138"/>
      <c r="H775" s="135">
        <v>1</v>
      </c>
      <c r="I775" s="58" t="e">
        <f t="shared" si="175"/>
        <v>#VALUE!</v>
      </c>
      <c r="J775" s="50" t="e">
        <f t="shared" si="181"/>
        <v>#VALUE!</v>
      </c>
      <c r="K775" s="50" t="e">
        <f t="shared" si="173"/>
        <v>#VALUE!</v>
      </c>
      <c r="L775" s="50" t="e">
        <f t="shared" si="173"/>
        <v>#VALUE!</v>
      </c>
      <c r="M775" s="50" t="e">
        <f t="shared" si="176"/>
        <v>#VALUE!</v>
      </c>
      <c r="N775" s="50" t="e">
        <f t="shared" si="177"/>
        <v>#VALUE!</v>
      </c>
      <c r="O775" s="50">
        <f t="shared" si="178"/>
        <v>0</v>
      </c>
      <c r="Q775" s="55" t="e">
        <f t="shared" si="179"/>
        <v>#VALUE!</v>
      </c>
      <c r="R775" s="55" t="e">
        <f t="shared" si="182"/>
        <v>#VALUE!</v>
      </c>
      <c r="S775" s="55" t="e">
        <f t="shared" si="180"/>
        <v>#VALUE!</v>
      </c>
      <c r="T775" s="50" t="e">
        <f t="shared" si="183"/>
        <v>#VALUE!</v>
      </c>
      <c r="U775" s="50" t="e">
        <f t="shared" si="184"/>
        <v>#VALUE!</v>
      </c>
      <c r="V775" s="50" t="e">
        <f t="shared" si="185"/>
        <v>#VALUE!</v>
      </c>
    </row>
    <row r="776" spans="2:22" x14ac:dyDescent="0.25">
      <c r="B776" s="50" t="b">
        <f t="shared" si="172"/>
        <v>0</v>
      </c>
      <c r="C776" s="50" t="e">
        <f t="shared" si="174"/>
        <v>#VALUE!</v>
      </c>
      <c r="E776" s="56">
        <v>772</v>
      </c>
      <c r="G776" s="138"/>
      <c r="H776" s="135">
        <v>1</v>
      </c>
      <c r="I776" s="58" t="e">
        <f t="shared" si="175"/>
        <v>#VALUE!</v>
      </c>
      <c r="J776" s="50" t="e">
        <f t="shared" si="181"/>
        <v>#VALUE!</v>
      </c>
      <c r="K776" s="50" t="e">
        <f t="shared" si="173"/>
        <v>#VALUE!</v>
      </c>
      <c r="L776" s="50" t="e">
        <f t="shared" si="173"/>
        <v>#VALUE!</v>
      </c>
      <c r="M776" s="50" t="e">
        <f t="shared" si="176"/>
        <v>#VALUE!</v>
      </c>
      <c r="N776" s="50" t="e">
        <f t="shared" si="177"/>
        <v>#VALUE!</v>
      </c>
      <c r="O776" s="50">
        <f t="shared" si="178"/>
        <v>0</v>
      </c>
      <c r="Q776" s="55" t="e">
        <f t="shared" si="179"/>
        <v>#VALUE!</v>
      </c>
      <c r="R776" s="55" t="e">
        <f t="shared" si="182"/>
        <v>#VALUE!</v>
      </c>
      <c r="S776" s="55" t="e">
        <f t="shared" si="180"/>
        <v>#VALUE!</v>
      </c>
      <c r="T776" s="50" t="e">
        <f t="shared" si="183"/>
        <v>#VALUE!</v>
      </c>
      <c r="U776" s="50" t="e">
        <f t="shared" si="184"/>
        <v>#VALUE!</v>
      </c>
      <c r="V776" s="50" t="e">
        <f t="shared" si="185"/>
        <v>#VALUE!</v>
      </c>
    </row>
    <row r="777" spans="2:22" x14ac:dyDescent="0.25">
      <c r="B777" s="50" t="b">
        <f t="shared" si="172"/>
        <v>0</v>
      </c>
      <c r="C777" s="50" t="e">
        <f t="shared" si="174"/>
        <v>#VALUE!</v>
      </c>
      <c r="E777" s="56">
        <v>773</v>
      </c>
      <c r="G777" s="138"/>
      <c r="H777" s="135">
        <v>1</v>
      </c>
      <c r="I777" s="58" t="e">
        <f t="shared" si="175"/>
        <v>#VALUE!</v>
      </c>
      <c r="J777" s="50" t="e">
        <f t="shared" si="181"/>
        <v>#VALUE!</v>
      </c>
      <c r="K777" s="50" t="e">
        <f t="shared" si="173"/>
        <v>#VALUE!</v>
      </c>
      <c r="L777" s="50" t="e">
        <f t="shared" si="173"/>
        <v>#VALUE!</v>
      </c>
      <c r="M777" s="50" t="e">
        <f t="shared" si="176"/>
        <v>#VALUE!</v>
      </c>
      <c r="N777" s="50" t="e">
        <f t="shared" si="177"/>
        <v>#VALUE!</v>
      </c>
      <c r="O777" s="50">
        <f t="shared" si="178"/>
        <v>0</v>
      </c>
      <c r="Q777" s="55" t="e">
        <f t="shared" si="179"/>
        <v>#VALUE!</v>
      </c>
      <c r="R777" s="55" t="e">
        <f t="shared" si="182"/>
        <v>#VALUE!</v>
      </c>
      <c r="S777" s="55" t="e">
        <f t="shared" si="180"/>
        <v>#VALUE!</v>
      </c>
      <c r="T777" s="50" t="e">
        <f t="shared" si="183"/>
        <v>#VALUE!</v>
      </c>
      <c r="U777" s="50" t="e">
        <f t="shared" si="184"/>
        <v>#VALUE!</v>
      </c>
      <c r="V777" s="50" t="e">
        <f t="shared" si="185"/>
        <v>#VALUE!</v>
      </c>
    </row>
    <row r="778" spans="2:22" x14ac:dyDescent="0.25">
      <c r="B778" s="50" t="b">
        <f t="shared" si="172"/>
        <v>0</v>
      </c>
      <c r="C778" s="50" t="e">
        <f t="shared" si="174"/>
        <v>#VALUE!</v>
      </c>
      <c r="E778" s="56">
        <v>774</v>
      </c>
      <c r="G778" s="138"/>
      <c r="H778" s="135">
        <v>1</v>
      </c>
      <c r="I778" s="58" t="e">
        <f t="shared" si="175"/>
        <v>#VALUE!</v>
      </c>
      <c r="J778" s="50" t="e">
        <f t="shared" si="181"/>
        <v>#VALUE!</v>
      </c>
      <c r="K778" s="50" t="e">
        <f t="shared" si="173"/>
        <v>#VALUE!</v>
      </c>
      <c r="L778" s="50" t="e">
        <f t="shared" si="173"/>
        <v>#VALUE!</v>
      </c>
      <c r="M778" s="50" t="e">
        <f t="shared" si="176"/>
        <v>#VALUE!</v>
      </c>
      <c r="N778" s="50" t="e">
        <f t="shared" si="177"/>
        <v>#VALUE!</v>
      </c>
      <c r="O778" s="50">
        <f t="shared" si="178"/>
        <v>0</v>
      </c>
      <c r="Q778" s="55" t="e">
        <f t="shared" si="179"/>
        <v>#VALUE!</v>
      </c>
      <c r="R778" s="55" t="e">
        <f t="shared" si="182"/>
        <v>#VALUE!</v>
      </c>
      <c r="S778" s="55" t="e">
        <f t="shared" si="180"/>
        <v>#VALUE!</v>
      </c>
      <c r="T778" s="50" t="e">
        <f t="shared" si="183"/>
        <v>#VALUE!</v>
      </c>
      <c r="U778" s="50" t="e">
        <f t="shared" si="184"/>
        <v>#VALUE!</v>
      </c>
      <c r="V778" s="50" t="e">
        <f t="shared" si="185"/>
        <v>#VALUE!</v>
      </c>
    </row>
    <row r="779" spans="2:22" x14ac:dyDescent="0.25">
      <c r="B779" s="50" t="b">
        <f t="shared" si="172"/>
        <v>0</v>
      </c>
      <c r="C779" s="50" t="e">
        <f t="shared" si="174"/>
        <v>#VALUE!</v>
      </c>
      <c r="E779" s="56">
        <v>775</v>
      </c>
      <c r="G779" s="138"/>
      <c r="H779" s="135">
        <v>1</v>
      </c>
      <c r="I779" s="58" t="e">
        <f t="shared" si="175"/>
        <v>#VALUE!</v>
      </c>
      <c r="J779" s="50" t="e">
        <f t="shared" si="181"/>
        <v>#VALUE!</v>
      </c>
      <c r="K779" s="50" t="e">
        <f t="shared" si="173"/>
        <v>#VALUE!</v>
      </c>
      <c r="L779" s="50" t="e">
        <f t="shared" si="173"/>
        <v>#VALUE!</v>
      </c>
      <c r="M779" s="50" t="e">
        <f t="shared" si="176"/>
        <v>#VALUE!</v>
      </c>
      <c r="N779" s="50" t="e">
        <f t="shared" si="177"/>
        <v>#VALUE!</v>
      </c>
      <c r="O779" s="50">
        <f t="shared" si="178"/>
        <v>0</v>
      </c>
      <c r="Q779" s="55" t="e">
        <f t="shared" si="179"/>
        <v>#VALUE!</v>
      </c>
      <c r="R779" s="55" t="e">
        <f t="shared" si="182"/>
        <v>#VALUE!</v>
      </c>
      <c r="S779" s="55" t="e">
        <f t="shared" si="180"/>
        <v>#VALUE!</v>
      </c>
      <c r="T779" s="50" t="e">
        <f t="shared" si="183"/>
        <v>#VALUE!</v>
      </c>
      <c r="U779" s="50" t="e">
        <f t="shared" si="184"/>
        <v>#VALUE!</v>
      </c>
      <c r="V779" s="50" t="e">
        <f t="shared" si="185"/>
        <v>#VALUE!</v>
      </c>
    </row>
    <row r="780" spans="2:22" x14ac:dyDescent="0.25">
      <c r="B780" s="50" t="b">
        <f t="shared" si="172"/>
        <v>0</v>
      </c>
      <c r="C780" s="50" t="e">
        <f t="shared" si="174"/>
        <v>#VALUE!</v>
      </c>
      <c r="E780" s="56">
        <v>776</v>
      </c>
      <c r="G780" s="138"/>
      <c r="H780" s="135">
        <v>1</v>
      </c>
      <c r="I780" s="58" t="e">
        <f t="shared" si="175"/>
        <v>#VALUE!</v>
      </c>
      <c r="J780" s="50" t="e">
        <f t="shared" si="181"/>
        <v>#VALUE!</v>
      </c>
      <c r="K780" s="50" t="e">
        <f t="shared" si="173"/>
        <v>#VALUE!</v>
      </c>
      <c r="L780" s="50" t="e">
        <f t="shared" si="173"/>
        <v>#VALUE!</v>
      </c>
      <c r="M780" s="50" t="e">
        <f t="shared" si="176"/>
        <v>#VALUE!</v>
      </c>
      <c r="N780" s="50" t="e">
        <f t="shared" si="177"/>
        <v>#VALUE!</v>
      </c>
      <c r="O780" s="50">
        <f t="shared" si="178"/>
        <v>0</v>
      </c>
      <c r="Q780" s="55" t="e">
        <f t="shared" si="179"/>
        <v>#VALUE!</v>
      </c>
      <c r="R780" s="55" t="e">
        <f t="shared" si="182"/>
        <v>#VALUE!</v>
      </c>
      <c r="S780" s="55" t="e">
        <f t="shared" si="180"/>
        <v>#VALUE!</v>
      </c>
      <c r="T780" s="50" t="e">
        <f t="shared" si="183"/>
        <v>#VALUE!</v>
      </c>
      <c r="U780" s="50" t="e">
        <f t="shared" si="184"/>
        <v>#VALUE!</v>
      </c>
      <c r="V780" s="50" t="e">
        <f t="shared" si="185"/>
        <v>#VALUE!</v>
      </c>
    </row>
    <row r="781" spans="2:22" x14ac:dyDescent="0.25">
      <c r="B781" s="50" t="b">
        <f t="shared" si="172"/>
        <v>0</v>
      </c>
      <c r="C781" s="50" t="e">
        <f t="shared" si="174"/>
        <v>#VALUE!</v>
      </c>
      <c r="E781" s="56">
        <v>777</v>
      </c>
      <c r="G781" s="138"/>
      <c r="H781" s="135">
        <v>1</v>
      </c>
      <c r="I781" s="58" t="e">
        <f t="shared" si="175"/>
        <v>#VALUE!</v>
      </c>
      <c r="J781" s="50" t="e">
        <f t="shared" si="181"/>
        <v>#VALUE!</v>
      </c>
      <c r="K781" s="50" t="e">
        <f t="shared" si="173"/>
        <v>#VALUE!</v>
      </c>
      <c r="L781" s="50" t="e">
        <f t="shared" si="173"/>
        <v>#VALUE!</v>
      </c>
      <c r="M781" s="50" t="e">
        <f t="shared" si="176"/>
        <v>#VALUE!</v>
      </c>
      <c r="N781" s="50" t="e">
        <f t="shared" si="177"/>
        <v>#VALUE!</v>
      </c>
      <c r="O781" s="50">
        <f t="shared" si="178"/>
        <v>0</v>
      </c>
      <c r="Q781" s="55" t="e">
        <f t="shared" si="179"/>
        <v>#VALUE!</v>
      </c>
      <c r="R781" s="55" t="e">
        <f t="shared" si="182"/>
        <v>#VALUE!</v>
      </c>
      <c r="S781" s="55" t="e">
        <f t="shared" si="180"/>
        <v>#VALUE!</v>
      </c>
      <c r="T781" s="50" t="e">
        <f t="shared" si="183"/>
        <v>#VALUE!</v>
      </c>
      <c r="U781" s="50" t="e">
        <f t="shared" si="184"/>
        <v>#VALUE!</v>
      </c>
      <c r="V781" s="50" t="e">
        <f t="shared" si="185"/>
        <v>#VALUE!</v>
      </c>
    </row>
    <row r="782" spans="2:22" x14ac:dyDescent="0.25">
      <c r="B782" s="50" t="b">
        <f t="shared" ref="B782:B845" si="186">ISNUMBER(C782)</f>
        <v>0</v>
      </c>
      <c r="C782" s="50" t="e">
        <f t="shared" si="174"/>
        <v>#VALUE!</v>
      </c>
      <c r="E782" s="56">
        <v>778</v>
      </c>
      <c r="G782" s="138"/>
      <c r="H782" s="135">
        <v>1</v>
      </c>
      <c r="I782" s="58" t="e">
        <f t="shared" si="175"/>
        <v>#VALUE!</v>
      </c>
      <c r="J782" s="50" t="e">
        <f t="shared" si="181"/>
        <v>#VALUE!</v>
      </c>
      <c r="K782" s="50" t="e">
        <f t="shared" si="173"/>
        <v>#VALUE!</v>
      </c>
      <c r="L782" s="50" t="e">
        <f t="shared" si="173"/>
        <v>#VALUE!</v>
      </c>
      <c r="M782" s="50" t="e">
        <f t="shared" si="176"/>
        <v>#VALUE!</v>
      </c>
      <c r="N782" s="50" t="e">
        <f t="shared" si="177"/>
        <v>#VALUE!</v>
      </c>
      <c r="O782" s="50">
        <f t="shared" si="178"/>
        <v>0</v>
      </c>
      <c r="Q782" s="55" t="e">
        <f t="shared" si="179"/>
        <v>#VALUE!</v>
      </c>
      <c r="R782" s="55" t="e">
        <f t="shared" si="182"/>
        <v>#VALUE!</v>
      </c>
      <c r="S782" s="55" t="e">
        <f t="shared" si="180"/>
        <v>#VALUE!</v>
      </c>
      <c r="T782" s="50" t="e">
        <f t="shared" si="183"/>
        <v>#VALUE!</v>
      </c>
      <c r="U782" s="50" t="e">
        <f t="shared" si="184"/>
        <v>#VALUE!</v>
      </c>
      <c r="V782" s="50" t="e">
        <f t="shared" si="185"/>
        <v>#VALUE!</v>
      </c>
    </row>
    <row r="783" spans="2:22" x14ac:dyDescent="0.25">
      <c r="B783" s="50" t="b">
        <f t="shared" si="186"/>
        <v>0</v>
      </c>
      <c r="C783" s="50" t="e">
        <f t="shared" si="174"/>
        <v>#VALUE!</v>
      </c>
      <c r="E783" s="56">
        <v>779</v>
      </c>
      <c r="G783" s="138"/>
      <c r="H783" s="135">
        <v>1</v>
      </c>
      <c r="I783" s="58" t="e">
        <f t="shared" si="175"/>
        <v>#VALUE!</v>
      </c>
      <c r="J783" s="50" t="e">
        <f t="shared" si="181"/>
        <v>#VALUE!</v>
      </c>
      <c r="K783" s="50" t="e">
        <f t="shared" si="173"/>
        <v>#VALUE!</v>
      </c>
      <c r="L783" s="50" t="e">
        <f t="shared" si="173"/>
        <v>#VALUE!</v>
      </c>
      <c r="M783" s="50" t="e">
        <f t="shared" si="176"/>
        <v>#VALUE!</v>
      </c>
      <c r="N783" s="50" t="e">
        <f t="shared" si="177"/>
        <v>#VALUE!</v>
      </c>
      <c r="O783" s="50">
        <f t="shared" si="178"/>
        <v>0</v>
      </c>
      <c r="Q783" s="55" t="e">
        <f t="shared" si="179"/>
        <v>#VALUE!</v>
      </c>
      <c r="R783" s="55" t="e">
        <f t="shared" si="182"/>
        <v>#VALUE!</v>
      </c>
      <c r="S783" s="55" t="e">
        <f t="shared" si="180"/>
        <v>#VALUE!</v>
      </c>
      <c r="T783" s="50" t="e">
        <f t="shared" si="183"/>
        <v>#VALUE!</v>
      </c>
      <c r="U783" s="50" t="e">
        <f t="shared" si="184"/>
        <v>#VALUE!</v>
      </c>
      <c r="V783" s="50" t="e">
        <f t="shared" si="185"/>
        <v>#VALUE!</v>
      </c>
    </row>
    <row r="784" spans="2:22" x14ac:dyDescent="0.25">
      <c r="B784" s="50" t="b">
        <f t="shared" si="186"/>
        <v>0</v>
      </c>
      <c r="C784" s="50" t="e">
        <f t="shared" si="174"/>
        <v>#VALUE!</v>
      </c>
      <c r="E784" s="56">
        <v>780</v>
      </c>
      <c r="G784" s="138"/>
      <c r="H784" s="135">
        <v>1</v>
      </c>
      <c r="I784" s="58" t="e">
        <f t="shared" si="175"/>
        <v>#VALUE!</v>
      </c>
      <c r="J784" s="50" t="e">
        <f t="shared" si="181"/>
        <v>#VALUE!</v>
      </c>
      <c r="K784" s="50" t="e">
        <f t="shared" si="173"/>
        <v>#VALUE!</v>
      </c>
      <c r="L784" s="50" t="e">
        <f t="shared" si="173"/>
        <v>#VALUE!</v>
      </c>
      <c r="M784" s="50" t="e">
        <f t="shared" si="176"/>
        <v>#VALUE!</v>
      </c>
      <c r="N784" s="50" t="e">
        <f t="shared" si="177"/>
        <v>#VALUE!</v>
      </c>
      <c r="O784" s="50">
        <f t="shared" si="178"/>
        <v>0</v>
      </c>
      <c r="Q784" s="55" t="e">
        <f t="shared" si="179"/>
        <v>#VALUE!</v>
      </c>
      <c r="R784" s="55" t="e">
        <f t="shared" si="182"/>
        <v>#VALUE!</v>
      </c>
      <c r="S784" s="55" t="e">
        <f t="shared" si="180"/>
        <v>#VALUE!</v>
      </c>
      <c r="T784" s="50" t="e">
        <f t="shared" si="183"/>
        <v>#VALUE!</v>
      </c>
      <c r="U784" s="50" t="e">
        <f t="shared" si="184"/>
        <v>#VALUE!</v>
      </c>
      <c r="V784" s="50" t="e">
        <f t="shared" si="185"/>
        <v>#VALUE!</v>
      </c>
    </row>
    <row r="785" spans="2:22" x14ac:dyDescent="0.25">
      <c r="B785" s="50" t="b">
        <f t="shared" si="186"/>
        <v>0</v>
      </c>
      <c r="C785" s="50" t="e">
        <f t="shared" si="174"/>
        <v>#VALUE!</v>
      </c>
      <c r="E785" s="56">
        <v>781</v>
      </c>
      <c r="G785" s="138"/>
      <c r="H785" s="135">
        <v>1</v>
      </c>
      <c r="I785" s="58" t="e">
        <f t="shared" si="175"/>
        <v>#VALUE!</v>
      </c>
      <c r="J785" s="50" t="e">
        <f t="shared" si="181"/>
        <v>#VALUE!</v>
      </c>
      <c r="K785" s="50" t="e">
        <f t="shared" si="173"/>
        <v>#VALUE!</v>
      </c>
      <c r="L785" s="50" t="e">
        <f t="shared" si="173"/>
        <v>#VALUE!</v>
      </c>
      <c r="M785" s="50" t="e">
        <f t="shared" si="176"/>
        <v>#VALUE!</v>
      </c>
      <c r="N785" s="50" t="e">
        <f t="shared" si="177"/>
        <v>#VALUE!</v>
      </c>
      <c r="O785" s="50">
        <f t="shared" si="178"/>
        <v>0</v>
      </c>
      <c r="Q785" s="55" t="e">
        <f t="shared" si="179"/>
        <v>#VALUE!</v>
      </c>
      <c r="R785" s="55" t="e">
        <f t="shared" si="182"/>
        <v>#VALUE!</v>
      </c>
      <c r="S785" s="55" t="e">
        <f t="shared" si="180"/>
        <v>#VALUE!</v>
      </c>
      <c r="T785" s="50" t="e">
        <f t="shared" si="183"/>
        <v>#VALUE!</v>
      </c>
      <c r="U785" s="50" t="e">
        <f t="shared" si="184"/>
        <v>#VALUE!</v>
      </c>
      <c r="V785" s="50" t="e">
        <f t="shared" si="185"/>
        <v>#VALUE!</v>
      </c>
    </row>
    <row r="786" spans="2:22" x14ac:dyDescent="0.25">
      <c r="B786" s="50" t="b">
        <f t="shared" si="186"/>
        <v>0</v>
      </c>
      <c r="C786" s="50" t="e">
        <f t="shared" si="174"/>
        <v>#VALUE!</v>
      </c>
      <c r="E786" s="56">
        <v>782</v>
      </c>
      <c r="G786" s="138"/>
      <c r="H786" s="135">
        <v>1</v>
      </c>
      <c r="I786" s="58" t="e">
        <f t="shared" si="175"/>
        <v>#VALUE!</v>
      </c>
      <c r="J786" s="50" t="e">
        <f t="shared" si="181"/>
        <v>#VALUE!</v>
      </c>
      <c r="K786" s="50" t="e">
        <f t="shared" si="173"/>
        <v>#VALUE!</v>
      </c>
      <c r="L786" s="50" t="e">
        <f t="shared" si="173"/>
        <v>#VALUE!</v>
      </c>
      <c r="M786" s="50" t="e">
        <f t="shared" si="176"/>
        <v>#VALUE!</v>
      </c>
      <c r="N786" s="50" t="e">
        <f t="shared" si="177"/>
        <v>#VALUE!</v>
      </c>
      <c r="O786" s="50">
        <f t="shared" si="178"/>
        <v>0</v>
      </c>
      <c r="Q786" s="55" t="e">
        <f t="shared" si="179"/>
        <v>#VALUE!</v>
      </c>
      <c r="R786" s="55" t="e">
        <f t="shared" si="182"/>
        <v>#VALUE!</v>
      </c>
      <c r="S786" s="55" t="e">
        <f t="shared" si="180"/>
        <v>#VALUE!</v>
      </c>
      <c r="T786" s="50" t="e">
        <f t="shared" si="183"/>
        <v>#VALUE!</v>
      </c>
      <c r="U786" s="50" t="e">
        <f t="shared" si="184"/>
        <v>#VALUE!</v>
      </c>
      <c r="V786" s="50" t="e">
        <f t="shared" si="185"/>
        <v>#VALUE!</v>
      </c>
    </row>
    <row r="787" spans="2:22" x14ac:dyDescent="0.25">
      <c r="B787" s="50" t="b">
        <f t="shared" si="186"/>
        <v>0</v>
      </c>
      <c r="C787" s="50" t="e">
        <f t="shared" si="174"/>
        <v>#VALUE!</v>
      </c>
      <c r="E787" s="56">
        <v>783</v>
      </c>
      <c r="G787" s="138"/>
      <c r="H787" s="135">
        <v>1</v>
      </c>
      <c r="I787" s="58" t="e">
        <f t="shared" si="175"/>
        <v>#VALUE!</v>
      </c>
      <c r="J787" s="50" t="e">
        <f t="shared" si="181"/>
        <v>#VALUE!</v>
      </c>
      <c r="K787" s="50" t="e">
        <f t="shared" si="173"/>
        <v>#VALUE!</v>
      </c>
      <c r="L787" s="50" t="e">
        <f t="shared" si="173"/>
        <v>#VALUE!</v>
      </c>
      <c r="M787" s="50" t="e">
        <f t="shared" si="176"/>
        <v>#VALUE!</v>
      </c>
      <c r="N787" s="50" t="e">
        <f t="shared" si="177"/>
        <v>#VALUE!</v>
      </c>
      <c r="O787" s="50">
        <f t="shared" si="178"/>
        <v>0</v>
      </c>
      <c r="Q787" s="55" t="e">
        <f t="shared" si="179"/>
        <v>#VALUE!</v>
      </c>
      <c r="R787" s="55" t="e">
        <f t="shared" si="182"/>
        <v>#VALUE!</v>
      </c>
      <c r="S787" s="55" t="e">
        <f t="shared" si="180"/>
        <v>#VALUE!</v>
      </c>
      <c r="T787" s="50" t="e">
        <f t="shared" si="183"/>
        <v>#VALUE!</v>
      </c>
      <c r="U787" s="50" t="e">
        <f t="shared" si="184"/>
        <v>#VALUE!</v>
      </c>
      <c r="V787" s="50" t="e">
        <f t="shared" si="185"/>
        <v>#VALUE!</v>
      </c>
    </row>
    <row r="788" spans="2:22" x14ac:dyDescent="0.25">
      <c r="B788" s="50" t="b">
        <f t="shared" si="186"/>
        <v>0</v>
      </c>
      <c r="C788" s="50" t="e">
        <f t="shared" si="174"/>
        <v>#VALUE!</v>
      </c>
      <c r="E788" s="56">
        <v>784</v>
      </c>
      <c r="G788" s="138"/>
      <c r="H788" s="135">
        <v>1</v>
      </c>
      <c r="I788" s="58" t="e">
        <f t="shared" si="175"/>
        <v>#VALUE!</v>
      </c>
      <c r="J788" s="50" t="e">
        <f t="shared" si="181"/>
        <v>#VALUE!</v>
      </c>
      <c r="K788" s="50" t="e">
        <f t="shared" si="173"/>
        <v>#VALUE!</v>
      </c>
      <c r="L788" s="50" t="e">
        <f t="shared" si="173"/>
        <v>#VALUE!</v>
      </c>
      <c r="M788" s="50" t="e">
        <f t="shared" si="176"/>
        <v>#VALUE!</v>
      </c>
      <c r="N788" s="50" t="e">
        <f t="shared" si="177"/>
        <v>#VALUE!</v>
      </c>
      <c r="O788" s="50">
        <f t="shared" si="178"/>
        <v>0</v>
      </c>
      <c r="Q788" s="55" t="e">
        <f t="shared" si="179"/>
        <v>#VALUE!</v>
      </c>
      <c r="R788" s="55" t="e">
        <f t="shared" si="182"/>
        <v>#VALUE!</v>
      </c>
      <c r="S788" s="55" t="e">
        <f t="shared" si="180"/>
        <v>#VALUE!</v>
      </c>
      <c r="T788" s="50" t="e">
        <f t="shared" si="183"/>
        <v>#VALUE!</v>
      </c>
      <c r="U788" s="50" t="e">
        <f t="shared" si="184"/>
        <v>#VALUE!</v>
      </c>
      <c r="V788" s="50" t="e">
        <f t="shared" si="185"/>
        <v>#VALUE!</v>
      </c>
    </row>
    <row r="789" spans="2:22" x14ac:dyDescent="0.25">
      <c r="B789" s="50" t="b">
        <f t="shared" si="186"/>
        <v>0</v>
      </c>
      <c r="C789" s="50" t="e">
        <f t="shared" si="174"/>
        <v>#VALUE!</v>
      </c>
      <c r="E789" s="56">
        <v>785</v>
      </c>
      <c r="G789" s="138"/>
      <c r="H789" s="135">
        <v>1</v>
      </c>
      <c r="I789" s="58" t="e">
        <f t="shared" si="175"/>
        <v>#VALUE!</v>
      </c>
      <c r="J789" s="50" t="e">
        <f t="shared" si="181"/>
        <v>#VALUE!</v>
      </c>
      <c r="K789" s="50" t="e">
        <f t="shared" si="173"/>
        <v>#VALUE!</v>
      </c>
      <c r="L789" s="50" t="e">
        <f t="shared" si="173"/>
        <v>#VALUE!</v>
      </c>
      <c r="M789" s="50" t="e">
        <f t="shared" si="176"/>
        <v>#VALUE!</v>
      </c>
      <c r="N789" s="50" t="e">
        <f t="shared" si="177"/>
        <v>#VALUE!</v>
      </c>
      <c r="O789" s="50">
        <f t="shared" si="178"/>
        <v>0</v>
      </c>
      <c r="Q789" s="55" t="e">
        <f t="shared" si="179"/>
        <v>#VALUE!</v>
      </c>
      <c r="R789" s="55" t="e">
        <f t="shared" si="182"/>
        <v>#VALUE!</v>
      </c>
      <c r="S789" s="55" t="e">
        <f t="shared" si="180"/>
        <v>#VALUE!</v>
      </c>
      <c r="T789" s="50" t="e">
        <f t="shared" si="183"/>
        <v>#VALUE!</v>
      </c>
      <c r="U789" s="50" t="e">
        <f t="shared" si="184"/>
        <v>#VALUE!</v>
      </c>
      <c r="V789" s="50" t="e">
        <f t="shared" si="185"/>
        <v>#VALUE!</v>
      </c>
    </row>
    <row r="790" spans="2:22" x14ac:dyDescent="0.25">
      <c r="B790" s="50" t="b">
        <f t="shared" si="186"/>
        <v>0</v>
      </c>
      <c r="C790" s="50" t="e">
        <f t="shared" si="174"/>
        <v>#VALUE!</v>
      </c>
      <c r="E790" s="56">
        <v>786</v>
      </c>
      <c r="G790" s="138"/>
      <c r="H790" s="135">
        <v>1</v>
      </c>
      <c r="I790" s="58" t="e">
        <f t="shared" si="175"/>
        <v>#VALUE!</v>
      </c>
      <c r="J790" s="50" t="e">
        <f t="shared" si="181"/>
        <v>#VALUE!</v>
      </c>
      <c r="K790" s="50" t="e">
        <f t="shared" si="173"/>
        <v>#VALUE!</v>
      </c>
      <c r="L790" s="50" t="e">
        <f t="shared" si="173"/>
        <v>#VALUE!</v>
      </c>
      <c r="M790" s="50" t="e">
        <f t="shared" si="176"/>
        <v>#VALUE!</v>
      </c>
      <c r="N790" s="50" t="e">
        <f t="shared" si="177"/>
        <v>#VALUE!</v>
      </c>
      <c r="O790" s="50">
        <f t="shared" si="178"/>
        <v>0</v>
      </c>
      <c r="Q790" s="55" t="e">
        <f t="shared" si="179"/>
        <v>#VALUE!</v>
      </c>
      <c r="R790" s="55" t="e">
        <f t="shared" si="182"/>
        <v>#VALUE!</v>
      </c>
      <c r="S790" s="55" t="e">
        <f t="shared" si="180"/>
        <v>#VALUE!</v>
      </c>
      <c r="T790" s="50" t="e">
        <f t="shared" si="183"/>
        <v>#VALUE!</v>
      </c>
      <c r="U790" s="50" t="e">
        <f t="shared" si="184"/>
        <v>#VALUE!</v>
      </c>
      <c r="V790" s="50" t="e">
        <f t="shared" si="185"/>
        <v>#VALUE!</v>
      </c>
    </row>
    <row r="791" spans="2:22" x14ac:dyDescent="0.25">
      <c r="B791" s="50" t="b">
        <f t="shared" si="186"/>
        <v>0</v>
      </c>
      <c r="C791" s="50" t="e">
        <f t="shared" si="174"/>
        <v>#VALUE!</v>
      </c>
      <c r="E791" s="56">
        <v>787</v>
      </c>
      <c r="G791" s="138"/>
      <c r="H791" s="135">
        <v>1</v>
      </c>
      <c r="I791" s="58" t="e">
        <f t="shared" si="175"/>
        <v>#VALUE!</v>
      </c>
      <c r="J791" s="50" t="e">
        <f t="shared" si="181"/>
        <v>#VALUE!</v>
      </c>
      <c r="K791" s="50" t="e">
        <f t="shared" si="173"/>
        <v>#VALUE!</v>
      </c>
      <c r="L791" s="50" t="e">
        <f t="shared" si="173"/>
        <v>#VALUE!</v>
      </c>
      <c r="M791" s="50" t="e">
        <f t="shared" si="176"/>
        <v>#VALUE!</v>
      </c>
      <c r="N791" s="50" t="e">
        <f t="shared" si="177"/>
        <v>#VALUE!</v>
      </c>
      <c r="O791" s="50">
        <f t="shared" si="178"/>
        <v>0</v>
      </c>
      <c r="Q791" s="55" t="e">
        <f t="shared" si="179"/>
        <v>#VALUE!</v>
      </c>
      <c r="R791" s="55" t="e">
        <f t="shared" si="182"/>
        <v>#VALUE!</v>
      </c>
      <c r="S791" s="55" t="e">
        <f t="shared" si="180"/>
        <v>#VALUE!</v>
      </c>
      <c r="T791" s="50" t="e">
        <f t="shared" si="183"/>
        <v>#VALUE!</v>
      </c>
      <c r="U791" s="50" t="e">
        <f t="shared" si="184"/>
        <v>#VALUE!</v>
      </c>
      <c r="V791" s="50" t="e">
        <f t="shared" si="185"/>
        <v>#VALUE!</v>
      </c>
    </row>
    <row r="792" spans="2:22" x14ac:dyDescent="0.25">
      <c r="B792" s="50" t="b">
        <f t="shared" si="186"/>
        <v>0</v>
      </c>
      <c r="C792" s="50" t="e">
        <f t="shared" si="174"/>
        <v>#VALUE!</v>
      </c>
      <c r="E792" s="56">
        <v>788</v>
      </c>
      <c r="G792" s="138"/>
      <c r="H792" s="135">
        <v>1</v>
      </c>
      <c r="I792" s="58" t="e">
        <f t="shared" si="175"/>
        <v>#VALUE!</v>
      </c>
      <c r="J792" s="50" t="e">
        <f t="shared" si="181"/>
        <v>#VALUE!</v>
      </c>
      <c r="K792" s="50" t="e">
        <f t="shared" si="173"/>
        <v>#VALUE!</v>
      </c>
      <c r="L792" s="50" t="e">
        <f t="shared" si="173"/>
        <v>#VALUE!</v>
      </c>
      <c r="M792" s="50" t="e">
        <f t="shared" si="176"/>
        <v>#VALUE!</v>
      </c>
      <c r="N792" s="50" t="e">
        <f t="shared" si="177"/>
        <v>#VALUE!</v>
      </c>
      <c r="O792" s="50">
        <f t="shared" si="178"/>
        <v>0</v>
      </c>
      <c r="Q792" s="55" t="e">
        <f t="shared" si="179"/>
        <v>#VALUE!</v>
      </c>
      <c r="R792" s="55" t="e">
        <f t="shared" si="182"/>
        <v>#VALUE!</v>
      </c>
      <c r="S792" s="55" t="e">
        <f t="shared" si="180"/>
        <v>#VALUE!</v>
      </c>
      <c r="T792" s="50" t="e">
        <f t="shared" si="183"/>
        <v>#VALUE!</v>
      </c>
      <c r="U792" s="50" t="e">
        <f t="shared" si="184"/>
        <v>#VALUE!</v>
      </c>
      <c r="V792" s="50" t="e">
        <f t="shared" si="185"/>
        <v>#VALUE!</v>
      </c>
    </row>
    <row r="793" spans="2:22" x14ac:dyDescent="0.25">
      <c r="B793" s="50" t="b">
        <f t="shared" si="186"/>
        <v>0</v>
      </c>
      <c r="C793" s="50" t="e">
        <f t="shared" si="174"/>
        <v>#VALUE!</v>
      </c>
      <c r="E793" s="56">
        <v>789</v>
      </c>
      <c r="G793" s="138"/>
      <c r="H793" s="135">
        <v>1</v>
      </c>
      <c r="I793" s="58" t="e">
        <f t="shared" si="175"/>
        <v>#VALUE!</v>
      </c>
      <c r="J793" s="50" t="e">
        <f t="shared" si="181"/>
        <v>#VALUE!</v>
      </c>
      <c r="K793" s="50" t="e">
        <f t="shared" si="173"/>
        <v>#VALUE!</v>
      </c>
      <c r="L793" s="50" t="e">
        <f t="shared" si="173"/>
        <v>#VALUE!</v>
      </c>
      <c r="M793" s="50" t="e">
        <f t="shared" si="176"/>
        <v>#VALUE!</v>
      </c>
      <c r="N793" s="50" t="e">
        <f t="shared" si="177"/>
        <v>#VALUE!</v>
      </c>
      <c r="O793" s="50">
        <f t="shared" si="178"/>
        <v>0</v>
      </c>
      <c r="Q793" s="55" t="e">
        <f t="shared" si="179"/>
        <v>#VALUE!</v>
      </c>
      <c r="R793" s="55" t="e">
        <f t="shared" si="182"/>
        <v>#VALUE!</v>
      </c>
      <c r="S793" s="55" t="e">
        <f t="shared" si="180"/>
        <v>#VALUE!</v>
      </c>
      <c r="T793" s="50" t="e">
        <f t="shared" si="183"/>
        <v>#VALUE!</v>
      </c>
      <c r="U793" s="50" t="e">
        <f t="shared" si="184"/>
        <v>#VALUE!</v>
      </c>
      <c r="V793" s="50" t="e">
        <f t="shared" si="185"/>
        <v>#VALUE!</v>
      </c>
    </row>
    <row r="794" spans="2:22" x14ac:dyDescent="0.25">
      <c r="B794" s="50" t="b">
        <f t="shared" si="186"/>
        <v>0</v>
      </c>
      <c r="C794" s="50" t="e">
        <f t="shared" si="174"/>
        <v>#VALUE!</v>
      </c>
      <c r="E794" s="56">
        <v>790</v>
      </c>
      <c r="G794" s="138"/>
      <c r="H794" s="135">
        <v>1</v>
      </c>
      <c r="I794" s="58" t="e">
        <f t="shared" si="175"/>
        <v>#VALUE!</v>
      </c>
      <c r="J794" s="50" t="e">
        <f t="shared" si="181"/>
        <v>#VALUE!</v>
      </c>
      <c r="K794" s="50" t="e">
        <f t="shared" si="173"/>
        <v>#VALUE!</v>
      </c>
      <c r="L794" s="50" t="e">
        <f t="shared" si="173"/>
        <v>#VALUE!</v>
      </c>
      <c r="M794" s="50" t="e">
        <f t="shared" si="176"/>
        <v>#VALUE!</v>
      </c>
      <c r="N794" s="50" t="e">
        <f t="shared" si="177"/>
        <v>#VALUE!</v>
      </c>
      <c r="O794" s="50">
        <f t="shared" si="178"/>
        <v>0</v>
      </c>
      <c r="Q794" s="55" t="e">
        <f t="shared" si="179"/>
        <v>#VALUE!</v>
      </c>
      <c r="R794" s="55" t="e">
        <f t="shared" si="182"/>
        <v>#VALUE!</v>
      </c>
      <c r="S794" s="55" t="e">
        <f t="shared" si="180"/>
        <v>#VALUE!</v>
      </c>
      <c r="T794" s="50" t="e">
        <f t="shared" si="183"/>
        <v>#VALUE!</v>
      </c>
      <c r="U794" s="50" t="e">
        <f t="shared" si="184"/>
        <v>#VALUE!</v>
      </c>
      <c r="V794" s="50" t="e">
        <f t="shared" si="185"/>
        <v>#VALUE!</v>
      </c>
    </row>
    <row r="795" spans="2:22" x14ac:dyDescent="0.25">
      <c r="B795" s="50" t="b">
        <f t="shared" si="186"/>
        <v>0</v>
      </c>
      <c r="C795" s="50" t="e">
        <f t="shared" si="174"/>
        <v>#VALUE!</v>
      </c>
      <c r="E795" s="56">
        <v>791</v>
      </c>
      <c r="G795" s="138"/>
      <c r="H795" s="135">
        <v>1</v>
      </c>
      <c r="I795" s="58" t="e">
        <f t="shared" si="175"/>
        <v>#VALUE!</v>
      </c>
      <c r="J795" s="50" t="e">
        <f t="shared" si="181"/>
        <v>#VALUE!</v>
      </c>
      <c r="K795" s="50" t="e">
        <f t="shared" si="173"/>
        <v>#VALUE!</v>
      </c>
      <c r="L795" s="50" t="e">
        <f t="shared" si="173"/>
        <v>#VALUE!</v>
      </c>
      <c r="M795" s="50" t="e">
        <f t="shared" si="176"/>
        <v>#VALUE!</v>
      </c>
      <c r="N795" s="50" t="e">
        <f t="shared" si="177"/>
        <v>#VALUE!</v>
      </c>
      <c r="O795" s="50">
        <f t="shared" si="178"/>
        <v>0</v>
      </c>
      <c r="Q795" s="55" t="e">
        <f t="shared" si="179"/>
        <v>#VALUE!</v>
      </c>
      <c r="R795" s="55" t="e">
        <f t="shared" si="182"/>
        <v>#VALUE!</v>
      </c>
      <c r="S795" s="55" t="e">
        <f t="shared" si="180"/>
        <v>#VALUE!</v>
      </c>
      <c r="T795" s="50" t="e">
        <f t="shared" si="183"/>
        <v>#VALUE!</v>
      </c>
      <c r="U795" s="50" t="e">
        <f t="shared" si="184"/>
        <v>#VALUE!</v>
      </c>
      <c r="V795" s="50" t="e">
        <f t="shared" si="185"/>
        <v>#VALUE!</v>
      </c>
    </row>
    <row r="796" spans="2:22" x14ac:dyDescent="0.25">
      <c r="B796" s="50" t="b">
        <f t="shared" si="186"/>
        <v>0</v>
      </c>
      <c r="C796" s="50" t="e">
        <f t="shared" si="174"/>
        <v>#VALUE!</v>
      </c>
      <c r="E796" s="56">
        <v>792</v>
      </c>
      <c r="G796" s="138"/>
      <c r="H796" s="135">
        <v>1</v>
      </c>
      <c r="I796" s="58" t="e">
        <f t="shared" si="175"/>
        <v>#VALUE!</v>
      </c>
      <c r="J796" s="50" t="e">
        <f t="shared" si="181"/>
        <v>#VALUE!</v>
      </c>
      <c r="K796" s="50" t="e">
        <f t="shared" si="173"/>
        <v>#VALUE!</v>
      </c>
      <c r="L796" s="50" t="e">
        <f t="shared" si="173"/>
        <v>#VALUE!</v>
      </c>
      <c r="M796" s="50" t="e">
        <f t="shared" si="176"/>
        <v>#VALUE!</v>
      </c>
      <c r="N796" s="50" t="e">
        <f t="shared" si="177"/>
        <v>#VALUE!</v>
      </c>
      <c r="O796" s="50">
        <f t="shared" si="178"/>
        <v>0</v>
      </c>
      <c r="Q796" s="55" t="e">
        <f t="shared" si="179"/>
        <v>#VALUE!</v>
      </c>
      <c r="R796" s="55" t="e">
        <f t="shared" si="182"/>
        <v>#VALUE!</v>
      </c>
      <c r="S796" s="55" t="e">
        <f t="shared" si="180"/>
        <v>#VALUE!</v>
      </c>
      <c r="T796" s="50" t="e">
        <f t="shared" si="183"/>
        <v>#VALUE!</v>
      </c>
      <c r="U796" s="50" t="e">
        <f t="shared" si="184"/>
        <v>#VALUE!</v>
      </c>
      <c r="V796" s="50" t="e">
        <f t="shared" si="185"/>
        <v>#VALUE!</v>
      </c>
    </row>
    <row r="797" spans="2:22" x14ac:dyDescent="0.25">
      <c r="B797" s="50" t="b">
        <f t="shared" si="186"/>
        <v>0</v>
      </c>
      <c r="C797" s="50" t="e">
        <f t="shared" si="174"/>
        <v>#VALUE!</v>
      </c>
      <c r="E797" s="56">
        <v>793</v>
      </c>
      <c r="G797" s="138"/>
      <c r="H797" s="135">
        <v>1</v>
      </c>
      <c r="I797" s="58" t="e">
        <f t="shared" si="175"/>
        <v>#VALUE!</v>
      </c>
      <c r="J797" s="50" t="e">
        <f t="shared" si="181"/>
        <v>#VALUE!</v>
      </c>
      <c r="K797" s="50" t="e">
        <f t="shared" si="173"/>
        <v>#VALUE!</v>
      </c>
      <c r="L797" s="50" t="e">
        <f t="shared" si="173"/>
        <v>#VALUE!</v>
      </c>
      <c r="M797" s="50" t="e">
        <f t="shared" si="176"/>
        <v>#VALUE!</v>
      </c>
      <c r="N797" s="50" t="e">
        <f t="shared" si="177"/>
        <v>#VALUE!</v>
      </c>
      <c r="O797" s="50">
        <f t="shared" si="178"/>
        <v>0</v>
      </c>
      <c r="Q797" s="55" t="e">
        <f t="shared" si="179"/>
        <v>#VALUE!</v>
      </c>
      <c r="R797" s="55" t="e">
        <f t="shared" si="182"/>
        <v>#VALUE!</v>
      </c>
      <c r="S797" s="55" t="e">
        <f t="shared" si="180"/>
        <v>#VALUE!</v>
      </c>
      <c r="T797" s="50" t="e">
        <f t="shared" si="183"/>
        <v>#VALUE!</v>
      </c>
      <c r="U797" s="50" t="e">
        <f t="shared" si="184"/>
        <v>#VALUE!</v>
      </c>
      <c r="V797" s="50" t="e">
        <f t="shared" si="185"/>
        <v>#VALUE!</v>
      </c>
    </row>
    <row r="798" spans="2:22" x14ac:dyDescent="0.25">
      <c r="B798" s="50" t="b">
        <f t="shared" si="186"/>
        <v>0</v>
      </c>
      <c r="C798" s="50" t="e">
        <f t="shared" si="174"/>
        <v>#VALUE!</v>
      </c>
      <c r="E798" s="56">
        <v>794</v>
      </c>
      <c r="G798" s="138"/>
      <c r="H798" s="135">
        <v>1</v>
      </c>
      <c r="I798" s="58" t="e">
        <f t="shared" si="175"/>
        <v>#VALUE!</v>
      </c>
      <c r="J798" s="50" t="e">
        <f t="shared" si="181"/>
        <v>#VALUE!</v>
      </c>
      <c r="K798" s="50" t="e">
        <f t="shared" si="173"/>
        <v>#VALUE!</v>
      </c>
      <c r="L798" s="50" t="e">
        <f t="shared" si="173"/>
        <v>#VALUE!</v>
      </c>
      <c r="M798" s="50" t="e">
        <f t="shared" si="176"/>
        <v>#VALUE!</v>
      </c>
      <c r="N798" s="50" t="e">
        <f t="shared" si="177"/>
        <v>#VALUE!</v>
      </c>
      <c r="O798" s="50">
        <f t="shared" si="178"/>
        <v>0</v>
      </c>
      <c r="Q798" s="55" t="e">
        <f t="shared" si="179"/>
        <v>#VALUE!</v>
      </c>
      <c r="R798" s="55" t="e">
        <f t="shared" si="182"/>
        <v>#VALUE!</v>
      </c>
      <c r="S798" s="55" t="e">
        <f t="shared" si="180"/>
        <v>#VALUE!</v>
      </c>
      <c r="T798" s="50" t="e">
        <f t="shared" si="183"/>
        <v>#VALUE!</v>
      </c>
      <c r="U798" s="50" t="e">
        <f t="shared" si="184"/>
        <v>#VALUE!</v>
      </c>
      <c r="V798" s="50" t="e">
        <f t="shared" si="185"/>
        <v>#VALUE!</v>
      </c>
    </row>
    <row r="799" spans="2:22" x14ac:dyDescent="0.25">
      <c r="B799" s="50" t="b">
        <f t="shared" si="186"/>
        <v>0</v>
      </c>
      <c r="C799" s="50" t="e">
        <f t="shared" si="174"/>
        <v>#VALUE!</v>
      </c>
      <c r="E799" s="56">
        <v>795</v>
      </c>
      <c r="G799" s="138"/>
      <c r="H799" s="135">
        <v>1</v>
      </c>
      <c r="I799" s="58" t="e">
        <f t="shared" si="175"/>
        <v>#VALUE!</v>
      </c>
      <c r="J799" s="50" t="e">
        <f t="shared" si="181"/>
        <v>#VALUE!</v>
      </c>
      <c r="K799" s="50" t="e">
        <f t="shared" si="173"/>
        <v>#VALUE!</v>
      </c>
      <c r="L799" s="50" t="e">
        <f t="shared" si="173"/>
        <v>#VALUE!</v>
      </c>
      <c r="M799" s="50" t="e">
        <f t="shared" si="176"/>
        <v>#VALUE!</v>
      </c>
      <c r="N799" s="50" t="e">
        <f t="shared" si="177"/>
        <v>#VALUE!</v>
      </c>
      <c r="O799" s="50">
        <f t="shared" si="178"/>
        <v>0</v>
      </c>
      <c r="Q799" s="55" t="e">
        <f t="shared" si="179"/>
        <v>#VALUE!</v>
      </c>
      <c r="R799" s="55" t="e">
        <f t="shared" si="182"/>
        <v>#VALUE!</v>
      </c>
      <c r="S799" s="55" t="e">
        <f t="shared" si="180"/>
        <v>#VALUE!</v>
      </c>
      <c r="T799" s="50" t="e">
        <f t="shared" si="183"/>
        <v>#VALUE!</v>
      </c>
      <c r="U799" s="50" t="e">
        <f t="shared" si="184"/>
        <v>#VALUE!</v>
      </c>
      <c r="V799" s="50" t="e">
        <f t="shared" si="185"/>
        <v>#VALUE!</v>
      </c>
    </row>
    <row r="800" spans="2:22" x14ac:dyDescent="0.25">
      <c r="B800" s="50" t="b">
        <f t="shared" si="186"/>
        <v>0</v>
      </c>
      <c r="C800" s="50" t="e">
        <f t="shared" si="174"/>
        <v>#VALUE!</v>
      </c>
      <c r="E800" s="56">
        <v>796</v>
      </c>
      <c r="G800" s="138"/>
      <c r="H800" s="135">
        <v>1</v>
      </c>
      <c r="I800" s="58" t="e">
        <f t="shared" si="175"/>
        <v>#VALUE!</v>
      </c>
      <c r="J800" s="50" t="e">
        <f t="shared" si="181"/>
        <v>#VALUE!</v>
      </c>
      <c r="K800" s="50" t="e">
        <f t="shared" si="173"/>
        <v>#VALUE!</v>
      </c>
      <c r="L800" s="50" t="e">
        <f t="shared" si="173"/>
        <v>#VALUE!</v>
      </c>
      <c r="M800" s="50" t="e">
        <f t="shared" si="176"/>
        <v>#VALUE!</v>
      </c>
      <c r="N800" s="50" t="e">
        <f t="shared" si="177"/>
        <v>#VALUE!</v>
      </c>
      <c r="O800" s="50">
        <f t="shared" si="178"/>
        <v>0</v>
      </c>
      <c r="Q800" s="55" t="e">
        <f t="shared" si="179"/>
        <v>#VALUE!</v>
      </c>
      <c r="R800" s="55" t="e">
        <f t="shared" si="182"/>
        <v>#VALUE!</v>
      </c>
      <c r="S800" s="55" t="e">
        <f t="shared" si="180"/>
        <v>#VALUE!</v>
      </c>
      <c r="T800" s="50" t="e">
        <f t="shared" si="183"/>
        <v>#VALUE!</v>
      </c>
      <c r="U800" s="50" t="e">
        <f t="shared" si="184"/>
        <v>#VALUE!</v>
      </c>
      <c r="V800" s="50" t="e">
        <f t="shared" si="185"/>
        <v>#VALUE!</v>
      </c>
    </row>
    <row r="801" spans="2:22" x14ac:dyDescent="0.25">
      <c r="B801" s="50" t="b">
        <f t="shared" si="186"/>
        <v>0</v>
      </c>
      <c r="C801" s="50" t="e">
        <f t="shared" si="174"/>
        <v>#VALUE!</v>
      </c>
      <c r="E801" s="56">
        <v>797</v>
      </c>
      <c r="G801" s="138"/>
      <c r="H801" s="135">
        <v>1</v>
      </c>
      <c r="I801" s="58" t="e">
        <f t="shared" si="175"/>
        <v>#VALUE!</v>
      </c>
      <c r="J801" s="50" t="e">
        <f t="shared" si="181"/>
        <v>#VALUE!</v>
      </c>
      <c r="K801" s="50" t="e">
        <f t="shared" si="173"/>
        <v>#VALUE!</v>
      </c>
      <c r="L801" s="50" t="e">
        <f t="shared" si="173"/>
        <v>#VALUE!</v>
      </c>
      <c r="M801" s="50" t="e">
        <f t="shared" si="176"/>
        <v>#VALUE!</v>
      </c>
      <c r="N801" s="50" t="e">
        <f t="shared" si="177"/>
        <v>#VALUE!</v>
      </c>
      <c r="O801" s="50">
        <f t="shared" si="178"/>
        <v>0</v>
      </c>
      <c r="Q801" s="55" t="e">
        <f t="shared" si="179"/>
        <v>#VALUE!</v>
      </c>
      <c r="R801" s="55" t="e">
        <f t="shared" si="182"/>
        <v>#VALUE!</v>
      </c>
      <c r="S801" s="55" t="e">
        <f t="shared" si="180"/>
        <v>#VALUE!</v>
      </c>
      <c r="T801" s="50" t="e">
        <f t="shared" si="183"/>
        <v>#VALUE!</v>
      </c>
      <c r="U801" s="50" t="e">
        <f t="shared" si="184"/>
        <v>#VALUE!</v>
      </c>
      <c r="V801" s="50" t="e">
        <f t="shared" si="185"/>
        <v>#VALUE!</v>
      </c>
    </row>
    <row r="802" spans="2:22" x14ac:dyDescent="0.25">
      <c r="B802" s="50" t="b">
        <f t="shared" si="186"/>
        <v>0</v>
      </c>
      <c r="C802" s="50" t="e">
        <f t="shared" si="174"/>
        <v>#VALUE!</v>
      </c>
      <c r="E802" s="56">
        <v>798</v>
      </c>
      <c r="G802" s="138"/>
      <c r="H802" s="135">
        <v>1</v>
      </c>
      <c r="I802" s="58" t="e">
        <f t="shared" si="175"/>
        <v>#VALUE!</v>
      </c>
      <c r="J802" s="50" t="e">
        <f t="shared" si="181"/>
        <v>#VALUE!</v>
      </c>
      <c r="K802" s="50" t="e">
        <f t="shared" si="173"/>
        <v>#VALUE!</v>
      </c>
      <c r="L802" s="50" t="e">
        <f t="shared" si="173"/>
        <v>#VALUE!</v>
      </c>
      <c r="M802" s="50" t="e">
        <f t="shared" si="176"/>
        <v>#VALUE!</v>
      </c>
      <c r="N802" s="50" t="e">
        <f t="shared" si="177"/>
        <v>#VALUE!</v>
      </c>
      <c r="O802" s="50">
        <f t="shared" si="178"/>
        <v>0</v>
      </c>
      <c r="Q802" s="55" t="e">
        <f t="shared" si="179"/>
        <v>#VALUE!</v>
      </c>
      <c r="R802" s="55" t="e">
        <f t="shared" si="182"/>
        <v>#VALUE!</v>
      </c>
      <c r="S802" s="55" t="e">
        <f t="shared" si="180"/>
        <v>#VALUE!</v>
      </c>
      <c r="T802" s="50" t="e">
        <f t="shared" si="183"/>
        <v>#VALUE!</v>
      </c>
      <c r="U802" s="50" t="e">
        <f t="shared" si="184"/>
        <v>#VALUE!</v>
      </c>
      <c r="V802" s="50" t="e">
        <f t="shared" si="185"/>
        <v>#VALUE!</v>
      </c>
    </row>
    <row r="803" spans="2:22" x14ac:dyDescent="0.25">
      <c r="B803" s="50" t="b">
        <f t="shared" si="186"/>
        <v>0</v>
      </c>
      <c r="C803" s="50" t="e">
        <f t="shared" si="174"/>
        <v>#VALUE!</v>
      </c>
      <c r="E803" s="56">
        <v>799</v>
      </c>
      <c r="G803" s="138"/>
      <c r="H803" s="135">
        <v>1</v>
      </c>
      <c r="I803" s="58" t="e">
        <f t="shared" si="175"/>
        <v>#VALUE!</v>
      </c>
      <c r="J803" s="50" t="e">
        <f t="shared" si="181"/>
        <v>#VALUE!</v>
      </c>
      <c r="K803" s="50" t="e">
        <f t="shared" si="173"/>
        <v>#VALUE!</v>
      </c>
      <c r="L803" s="50" t="e">
        <f t="shared" si="173"/>
        <v>#VALUE!</v>
      </c>
      <c r="M803" s="50" t="e">
        <f t="shared" si="176"/>
        <v>#VALUE!</v>
      </c>
      <c r="N803" s="50" t="e">
        <f t="shared" si="177"/>
        <v>#VALUE!</v>
      </c>
      <c r="O803" s="50">
        <f t="shared" si="178"/>
        <v>0</v>
      </c>
      <c r="Q803" s="55" t="e">
        <f t="shared" si="179"/>
        <v>#VALUE!</v>
      </c>
      <c r="R803" s="55" t="e">
        <f t="shared" si="182"/>
        <v>#VALUE!</v>
      </c>
      <c r="S803" s="55" t="e">
        <f t="shared" si="180"/>
        <v>#VALUE!</v>
      </c>
      <c r="T803" s="50" t="e">
        <f t="shared" si="183"/>
        <v>#VALUE!</v>
      </c>
      <c r="U803" s="50" t="e">
        <f t="shared" si="184"/>
        <v>#VALUE!</v>
      </c>
      <c r="V803" s="50" t="e">
        <f t="shared" si="185"/>
        <v>#VALUE!</v>
      </c>
    </row>
    <row r="804" spans="2:22" x14ac:dyDescent="0.25">
      <c r="B804" s="50" t="b">
        <f t="shared" si="186"/>
        <v>0</v>
      </c>
      <c r="C804" s="50" t="e">
        <f t="shared" si="174"/>
        <v>#VALUE!</v>
      </c>
      <c r="E804" s="56">
        <v>800</v>
      </c>
      <c r="G804" s="138"/>
      <c r="H804" s="135">
        <v>1</v>
      </c>
      <c r="I804" s="58" t="e">
        <f t="shared" si="175"/>
        <v>#VALUE!</v>
      </c>
      <c r="J804" s="50" t="e">
        <f t="shared" si="181"/>
        <v>#VALUE!</v>
      </c>
      <c r="K804" s="50" t="e">
        <f t="shared" si="173"/>
        <v>#VALUE!</v>
      </c>
      <c r="L804" s="50" t="e">
        <f t="shared" si="173"/>
        <v>#VALUE!</v>
      </c>
      <c r="M804" s="50" t="e">
        <f t="shared" si="176"/>
        <v>#VALUE!</v>
      </c>
      <c r="N804" s="50" t="e">
        <f t="shared" si="177"/>
        <v>#VALUE!</v>
      </c>
      <c r="O804" s="50">
        <f t="shared" si="178"/>
        <v>0</v>
      </c>
      <c r="Q804" s="55" t="e">
        <f t="shared" si="179"/>
        <v>#VALUE!</v>
      </c>
      <c r="R804" s="55" t="e">
        <f t="shared" si="182"/>
        <v>#VALUE!</v>
      </c>
      <c r="S804" s="55" t="e">
        <f t="shared" si="180"/>
        <v>#VALUE!</v>
      </c>
      <c r="T804" s="50" t="e">
        <f t="shared" si="183"/>
        <v>#VALUE!</v>
      </c>
      <c r="U804" s="50" t="e">
        <f t="shared" si="184"/>
        <v>#VALUE!</v>
      </c>
      <c r="V804" s="50" t="e">
        <f t="shared" si="185"/>
        <v>#VALUE!</v>
      </c>
    </row>
    <row r="805" spans="2:22" x14ac:dyDescent="0.25">
      <c r="B805" s="50" t="b">
        <f t="shared" si="186"/>
        <v>0</v>
      </c>
      <c r="C805" s="50" t="e">
        <f t="shared" si="174"/>
        <v>#VALUE!</v>
      </c>
      <c r="E805" s="56">
        <v>801</v>
      </c>
      <c r="G805" s="138"/>
      <c r="H805" s="135">
        <v>1</v>
      </c>
      <c r="I805" s="58" t="e">
        <f t="shared" si="175"/>
        <v>#VALUE!</v>
      </c>
      <c r="J805" s="50" t="e">
        <f t="shared" si="181"/>
        <v>#VALUE!</v>
      </c>
      <c r="K805" s="50" t="e">
        <f t="shared" si="173"/>
        <v>#VALUE!</v>
      </c>
      <c r="L805" s="50" t="e">
        <f t="shared" si="173"/>
        <v>#VALUE!</v>
      </c>
      <c r="M805" s="50" t="e">
        <f t="shared" si="176"/>
        <v>#VALUE!</v>
      </c>
      <c r="N805" s="50" t="e">
        <f t="shared" si="177"/>
        <v>#VALUE!</v>
      </c>
      <c r="O805" s="50">
        <f t="shared" si="178"/>
        <v>0</v>
      </c>
      <c r="Q805" s="55" t="e">
        <f t="shared" si="179"/>
        <v>#VALUE!</v>
      </c>
      <c r="R805" s="55" t="e">
        <f t="shared" si="182"/>
        <v>#VALUE!</v>
      </c>
      <c r="S805" s="55" t="e">
        <f t="shared" si="180"/>
        <v>#VALUE!</v>
      </c>
      <c r="T805" s="50" t="e">
        <f t="shared" si="183"/>
        <v>#VALUE!</v>
      </c>
      <c r="U805" s="50" t="e">
        <f t="shared" si="184"/>
        <v>#VALUE!</v>
      </c>
      <c r="V805" s="50" t="e">
        <f t="shared" si="185"/>
        <v>#VALUE!</v>
      </c>
    </row>
    <row r="806" spans="2:22" x14ac:dyDescent="0.25">
      <c r="B806" s="50" t="b">
        <f t="shared" si="186"/>
        <v>0</v>
      </c>
      <c r="C806" s="50" t="e">
        <f t="shared" si="174"/>
        <v>#VALUE!</v>
      </c>
      <c r="E806" s="56">
        <v>802</v>
      </c>
      <c r="G806" s="138"/>
      <c r="H806" s="135">
        <v>1</v>
      </c>
      <c r="I806" s="58" t="e">
        <f t="shared" si="175"/>
        <v>#VALUE!</v>
      </c>
      <c r="J806" s="50" t="e">
        <f t="shared" si="181"/>
        <v>#VALUE!</v>
      </c>
      <c r="K806" s="50" t="e">
        <f t="shared" si="173"/>
        <v>#VALUE!</v>
      </c>
      <c r="L806" s="50" t="e">
        <f t="shared" si="173"/>
        <v>#VALUE!</v>
      </c>
      <c r="M806" s="50" t="e">
        <f t="shared" si="176"/>
        <v>#VALUE!</v>
      </c>
      <c r="N806" s="50" t="e">
        <f t="shared" si="177"/>
        <v>#VALUE!</v>
      </c>
      <c r="O806" s="50">
        <f t="shared" si="178"/>
        <v>0</v>
      </c>
      <c r="Q806" s="55" t="e">
        <f t="shared" si="179"/>
        <v>#VALUE!</v>
      </c>
      <c r="R806" s="55" t="e">
        <f t="shared" si="182"/>
        <v>#VALUE!</v>
      </c>
      <c r="S806" s="55" t="e">
        <f t="shared" si="180"/>
        <v>#VALUE!</v>
      </c>
      <c r="T806" s="50" t="e">
        <f t="shared" si="183"/>
        <v>#VALUE!</v>
      </c>
      <c r="U806" s="50" t="e">
        <f t="shared" si="184"/>
        <v>#VALUE!</v>
      </c>
      <c r="V806" s="50" t="e">
        <f t="shared" si="185"/>
        <v>#VALUE!</v>
      </c>
    </row>
    <row r="807" spans="2:22" x14ac:dyDescent="0.25">
      <c r="B807" s="50" t="b">
        <f t="shared" si="186"/>
        <v>0</v>
      </c>
      <c r="C807" s="50" t="e">
        <f t="shared" si="174"/>
        <v>#VALUE!</v>
      </c>
      <c r="E807" s="56">
        <v>803</v>
      </c>
      <c r="G807" s="138"/>
      <c r="H807" s="135">
        <v>1</v>
      </c>
      <c r="I807" s="58" t="e">
        <f t="shared" si="175"/>
        <v>#VALUE!</v>
      </c>
      <c r="J807" s="50" t="e">
        <f t="shared" si="181"/>
        <v>#VALUE!</v>
      </c>
      <c r="K807" s="50" t="e">
        <f t="shared" si="173"/>
        <v>#VALUE!</v>
      </c>
      <c r="L807" s="50" t="e">
        <f t="shared" si="173"/>
        <v>#VALUE!</v>
      </c>
      <c r="M807" s="50" t="e">
        <f t="shared" si="176"/>
        <v>#VALUE!</v>
      </c>
      <c r="N807" s="50" t="e">
        <f t="shared" si="177"/>
        <v>#VALUE!</v>
      </c>
      <c r="O807" s="50">
        <f t="shared" si="178"/>
        <v>0</v>
      </c>
      <c r="Q807" s="55" t="e">
        <f t="shared" si="179"/>
        <v>#VALUE!</v>
      </c>
      <c r="R807" s="55" t="e">
        <f t="shared" si="182"/>
        <v>#VALUE!</v>
      </c>
      <c r="S807" s="55" t="e">
        <f t="shared" si="180"/>
        <v>#VALUE!</v>
      </c>
      <c r="T807" s="50" t="e">
        <f t="shared" si="183"/>
        <v>#VALUE!</v>
      </c>
      <c r="U807" s="50" t="e">
        <f t="shared" si="184"/>
        <v>#VALUE!</v>
      </c>
      <c r="V807" s="50" t="e">
        <f t="shared" si="185"/>
        <v>#VALUE!</v>
      </c>
    </row>
    <row r="808" spans="2:22" x14ac:dyDescent="0.25">
      <c r="B808" s="50" t="b">
        <f t="shared" si="186"/>
        <v>0</v>
      </c>
      <c r="C808" s="50" t="e">
        <f t="shared" si="174"/>
        <v>#VALUE!</v>
      </c>
      <c r="E808" s="56">
        <v>804</v>
      </c>
      <c r="G808" s="138"/>
      <c r="H808" s="135">
        <v>1</v>
      </c>
      <c r="I808" s="58" t="e">
        <f t="shared" si="175"/>
        <v>#VALUE!</v>
      </c>
      <c r="J808" s="50" t="e">
        <f t="shared" si="181"/>
        <v>#VALUE!</v>
      </c>
      <c r="K808" s="50" t="e">
        <f t="shared" si="173"/>
        <v>#VALUE!</v>
      </c>
      <c r="L808" s="50" t="e">
        <f t="shared" si="173"/>
        <v>#VALUE!</v>
      </c>
      <c r="M808" s="50" t="e">
        <f t="shared" si="176"/>
        <v>#VALUE!</v>
      </c>
      <c r="N808" s="50" t="e">
        <f t="shared" si="177"/>
        <v>#VALUE!</v>
      </c>
      <c r="O808" s="50">
        <f t="shared" si="178"/>
        <v>0</v>
      </c>
      <c r="Q808" s="55" t="e">
        <f t="shared" si="179"/>
        <v>#VALUE!</v>
      </c>
      <c r="R808" s="55" t="e">
        <f t="shared" si="182"/>
        <v>#VALUE!</v>
      </c>
      <c r="S808" s="55" t="e">
        <f t="shared" si="180"/>
        <v>#VALUE!</v>
      </c>
      <c r="T808" s="50" t="e">
        <f t="shared" si="183"/>
        <v>#VALUE!</v>
      </c>
      <c r="U808" s="50" t="e">
        <f t="shared" si="184"/>
        <v>#VALUE!</v>
      </c>
      <c r="V808" s="50" t="e">
        <f t="shared" si="185"/>
        <v>#VALUE!</v>
      </c>
    </row>
    <row r="809" spans="2:22" x14ac:dyDescent="0.25">
      <c r="B809" s="50" t="b">
        <f t="shared" si="186"/>
        <v>0</v>
      </c>
      <c r="C809" s="50" t="e">
        <f t="shared" si="174"/>
        <v>#VALUE!</v>
      </c>
      <c r="E809" s="56">
        <v>805</v>
      </c>
      <c r="G809" s="138"/>
      <c r="H809" s="135">
        <v>1</v>
      </c>
      <c r="I809" s="58" t="e">
        <f t="shared" si="175"/>
        <v>#VALUE!</v>
      </c>
      <c r="J809" s="50" t="e">
        <f t="shared" si="181"/>
        <v>#VALUE!</v>
      </c>
      <c r="K809" s="50" t="e">
        <f t="shared" si="173"/>
        <v>#VALUE!</v>
      </c>
      <c r="L809" s="50" t="e">
        <f t="shared" si="173"/>
        <v>#VALUE!</v>
      </c>
      <c r="M809" s="50" t="e">
        <f t="shared" si="176"/>
        <v>#VALUE!</v>
      </c>
      <c r="N809" s="50" t="e">
        <f t="shared" si="177"/>
        <v>#VALUE!</v>
      </c>
      <c r="O809" s="50">
        <f t="shared" si="178"/>
        <v>0</v>
      </c>
      <c r="Q809" s="55" t="e">
        <f t="shared" si="179"/>
        <v>#VALUE!</v>
      </c>
      <c r="R809" s="55" t="e">
        <f t="shared" si="182"/>
        <v>#VALUE!</v>
      </c>
      <c r="S809" s="55" t="e">
        <f t="shared" si="180"/>
        <v>#VALUE!</v>
      </c>
      <c r="T809" s="50" t="e">
        <f t="shared" si="183"/>
        <v>#VALUE!</v>
      </c>
      <c r="U809" s="50" t="e">
        <f t="shared" si="184"/>
        <v>#VALUE!</v>
      </c>
      <c r="V809" s="50" t="e">
        <f t="shared" si="185"/>
        <v>#VALUE!</v>
      </c>
    </row>
    <row r="810" spans="2:22" x14ac:dyDescent="0.25">
      <c r="B810" s="50" t="b">
        <f t="shared" si="186"/>
        <v>0</v>
      </c>
      <c r="C810" s="50" t="e">
        <f t="shared" si="174"/>
        <v>#VALUE!</v>
      </c>
      <c r="E810" s="56">
        <v>806</v>
      </c>
      <c r="G810" s="138"/>
      <c r="H810" s="135">
        <v>1</v>
      </c>
      <c r="I810" s="58" t="e">
        <f t="shared" si="175"/>
        <v>#VALUE!</v>
      </c>
      <c r="J810" s="50" t="e">
        <f t="shared" si="181"/>
        <v>#VALUE!</v>
      </c>
      <c r="K810" s="50" t="e">
        <f t="shared" si="173"/>
        <v>#VALUE!</v>
      </c>
      <c r="L810" s="50" t="e">
        <f t="shared" si="173"/>
        <v>#VALUE!</v>
      </c>
      <c r="M810" s="50" t="e">
        <f t="shared" si="176"/>
        <v>#VALUE!</v>
      </c>
      <c r="N810" s="50" t="e">
        <f t="shared" si="177"/>
        <v>#VALUE!</v>
      </c>
      <c r="O810" s="50">
        <f t="shared" si="178"/>
        <v>0</v>
      </c>
      <c r="Q810" s="55" t="e">
        <f t="shared" si="179"/>
        <v>#VALUE!</v>
      </c>
      <c r="R810" s="55" t="e">
        <f t="shared" si="182"/>
        <v>#VALUE!</v>
      </c>
      <c r="S810" s="55" t="e">
        <f t="shared" si="180"/>
        <v>#VALUE!</v>
      </c>
      <c r="T810" s="50" t="e">
        <f t="shared" si="183"/>
        <v>#VALUE!</v>
      </c>
      <c r="U810" s="50" t="e">
        <f t="shared" si="184"/>
        <v>#VALUE!</v>
      </c>
      <c r="V810" s="50" t="e">
        <f t="shared" si="185"/>
        <v>#VALUE!</v>
      </c>
    </row>
    <row r="811" spans="2:22" x14ac:dyDescent="0.25">
      <c r="B811" s="50" t="b">
        <f t="shared" si="186"/>
        <v>0</v>
      </c>
      <c r="C811" s="50" t="e">
        <f t="shared" si="174"/>
        <v>#VALUE!</v>
      </c>
      <c r="E811" s="56">
        <v>807</v>
      </c>
      <c r="G811" s="138"/>
      <c r="H811" s="135">
        <v>1</v>
      </c>
      <c r="I811" s="58" t="e">
        <f t="shared" si="175"/>
        <v>#VALUE!</v>
      </c>
      <c r="J811" s="50" t="e">
        <f t="shared" si="181"/>
        <v>#VALUE!</v>
      </c>
      <c r="K811" s="50" t="e">
        <f t="shared" si="173"/>
        <v>#VALUE!</v>
      </c>
      <c r="L811" s="50" t="e">
        <f t="shared" si="173"/>
        <v>#VALUE!</v>
      </c>
      <c r="M811" s="50" t="e">
        <f t="shared" si="176"/>
        <v>#VALUE!</v>
      </c>
      <c r="N811" s="50" t="e">
        <f t="shared" si="177"/>
        <v>#VALUE!</v>
      </c>
      <c r="O811" s="50">
        <f t="shared" si="178"/>
        <v>0</v>
      </c>
      <c r="Q811" s="55" t="e">
        <f t="shared" si="179"/>
        <v>#VALUE!</v>
      </c>
      <c r="R811" s="55" t="e">
        <f t="shared" si="182"/>
        <v>#VALUE!</v>
      </c>
      <c r="S811" s="55" t="e">
        <f t="shared" si="180"/>
        <v>#VALUE!</v>
      </c>
      <c r="T811" s="50" t="e">
        <f t="shared" si="183"/>
        <v>#VALUE!</v>
      </c>
      <c r="U811" s="50" t="e">
        <f t="shared" si="184"/>
        <v>#VALUE!</v>
      </c>
      <c r="V811" s="50" t="e">
        <f t="shared" si="185"/>
        <v>#VALUE!</v>
      </c>
    </row>
    <row r="812" spans="2:22" x14ac:dyDescent="0.25">
      <c r="B812" s="50" t="b">
        <f t="shared" si="186"/>
        <v>0</v>
      </c>
      <c r="C812" s="50" t="e">
        <f t="shared" si="174"/>
        <v>#VALUE!</v>
      </c>
      <c r="E812" s="56">
        <v>808</v>
      </c>
      <c r="G812" s="138"/>
      <c r="H812" s="135">
        <v>1</v>
      </c>
      <c r="I812" s="58" t="e">
        <f t="shared" si="175"/>
        <v>#VALUE!</v>
      </c>
      <c r="J812" s="50" t="e">
        <f t="shared" si="181"/>
        <v>#VALUE!</v>
      </c>
      <c r="K812" s="50" t="e">
        <f t="shared" si="173"/>
        <v>#VALUE!</v>
      </c>
      <c r="L812" s="50" t="e">
        <f t="shared" si="173"/>
        <v>#VALUE!</v>
      </c>
      <c r="M812" s="50" t="e">
        <f t="shared" si="176"/>
        <v>#VALUE!</v>
      </c>
      <c r="N812" s="50" t="e">
        <f t="shared" si="177"/>
        <v>#VALUE!</v>
      </c>
      <c r="O812" s="50">
        <f t="shared" si="178"/>
        <v>0</v>
      </c>
      <c r="Q812" s="55" t="e">
        <f t="shared" si="179"/>
        <v>#VALUE!</v>
      </c>
      <c r="R812" s="55" t="e">
        <f t="shared" si="182"/>
        <v>#VALUE!</v>
      </c>
      <c r="S812" s="55" t="e">
        <f t="shared" si="180"/>
        <v>#VALUE!</v>
      </c>
      <c r="T812" s="50" t="e">
        <f t="shared" si="183"/>
        <v>#VALUE!</v>
      </c>
      <c r="U812" s="50" t="e">
        <f t="shared" si="184"/>
        <v>#VALUE!</v>
      </c>
      <c r="V812" s="50" t="e">
        <f t="shared" si="185"/>
        <v>#VALUE!</v>
      </c>
    </row>
    <row r="813" spans="2:22" x14ac:dyDescent="0.25">
      <c r="B813" s="50" t="b">
        <f t="shared" si="186"/>
        <v>0</v>
      </c>
      <c r="C813" s="50" t="e">
        <f t="shared" si="174"/>
        <v>#VALUE!</v>
      </c>
      <c r="E813" s="56">
        <v>809</v>
      </c>
      <c r="G813" s="138"/>
      <c r="H813" s="135">
        <v>1</v>
      </c>
      <c r="I813" s="58" t="e">
        <f t="shared" si="175"/>
        <v>#VALUE!</v>
      </c>
      <c r="J813" s="50" t="e">
        <f t="shared" si="181"/>
        <v>#VALUE!</v>
      </c>
      <c r="K813" s="50" t="e">
        <f t="shared" si="173"/>
        <v>#VALUE!</v>
      </c>
      <c r="L813" s="50" t="e">
        <f t="shared" si="173"/>
        <v>#VALUE!</v>
      </c>
      <c r="M813" s="50" t="e">
        <f t="shared" si="176"/>
        <v>#VALUE!</v>
      </c>
      <c r="N813" s="50" t="e">
        <f t="shared" si="177"/>
        <v>#VALUE!</v>
      </c>
      <c r="O813" s="50">
        <f t="shared" si="178"/>
        <v>0</v>
      </c>
      <c r="Q813" s="55" t="e">
        <f t="shared" si="179"/>
        <v>#VALUE!</v>
      </c>
      <c r="R813" s="55" t="e">
        <f t="shared" si="182"/>
        <v>#VALUE!</v>
      </c>
      <c r="S813" s="55" t="e">
        <f t="shared" si="180"/>
        <v>#VALUE!</v>
      </c>
      <c r="T813" s="50" t="e">
        <f t="shared" si="183"/>
        <v>#VALUE!</v>
      </c>
      <c r="U813" s="50" t="e">
        <f t="shared" si="184"/>
        <v>#VALUE!</v>
      </c>
      <c r="V813" s="50" t="e">
        <f t="shared" si="185"/>
        <v>#VALUE!</v>
      </c>
    </row>
    <row r="814" spans="2:22" x14ac:dyDescent="0.25">
      <c r="B814" s="50" t="b">
        <f t="shared" si="186"/>
        <v>0</v>
      </c>
      <c r="C814" s="50" t="e">
        <f t="shared" si="174"/>
        <v>#VALUE!</v>
      </c>
      <c r="E814" s="56">
        <v>810</v>
      </c>
      <c r="G814" s="138"/>
      <c r="H814" s="135">
        <v>1</v>
      </c>
      <c r="I814" s="58" t="e">
        <f t="shared" si="175"/>
        <v>#VALUE!</v>
      </c>
      <c r="J814" s="50" t="e">
        <f t="shared" si="181"/>
        <v>#VALUE!</v>
      </c>
      <c r="K814" s="50" t="e">
        <f t="shared" si="173"/>
        <v>#VALUE!</v>
      </c>
      <c r="L814" s="50" t="e">
        <f t="shared" si="173"/>
        <v>#VALUE!</v>
      </c>
      <c r="M814" s="50" t="e">
        <f t="shared" si="176"/>
        <v>#VALUE!</v>
      </c>
      <c r="N814" s="50" t="e">
        <f t="shared" si="177"/>
        <v>#VALUE!</v>
      </c>
      <c r="O814" s="50">
        <f t="shared" si="178"/>
        <v>0</v>
      </c>
      <c r="Q814" s="55" t="e">
        <f t="shared" si="179"/>
        <v>#VALUE!</v>
      </c>
      <c r="R814" s="55" t="e">
        <f t="shared" si="182"/>
        <v>#VALUE!</v>
      </c>
      <c r="S814" s="55" t="e">
        <f t="shared" si="180"/>
        <v>#VALUE!</v>
      </c>
      <c r="T814" s="50" t="e">
        <f t="shared" si="183"/>
        <v>#VALUE!</v>
      </c>
      <c r="U814" s="50" t="e">
        <f t="shared" si="184"/>
        <v>#VALUE!</v>
      </c>
      <c r="V814" s="50" t="e">
        <f t="shared" si="185"/>
        <v>#VALUE!</v>
      </c>
    </row>
    <row r="815" spans="2:22" x14ac:dyDescent="0.25">
      <c r="B815" s="50" t="b">
        <f t="shared" si="186"/>
        <v>0</v>
      </c>
      <c r="C815" s="50" t="e">
        <f t="shared" si="174"/>
        <v>#VALUE!</v>
      </c>
      <c r="E815" s="56">
        <v>811</v>
      </c>
      <c r="G815" s="138"/>
      <c r="H815" s="135">
        <v>1</v>
      </c>
      <c r="I815" s="58" t="e">
        <f t="shared" si="175"/>
        <v>#VALUE!</v>
      </c>
      <c r="J815" s="50" t="e">
        <f t="shared" si="181"/>
        <v>#VALUE!</v>
      </c>
      <c r="K815" s="50" t="e">
        <f t="shared" ref="K815:L878" si="187">N815-M815</f>
        <v>#VALUE!</v>
      </c>
      <c r="L815" s="50" t="e">
        <f t="shared" si="187"/>
        <v>#VALUE!</v>
      </c>
      <c r="M815" s="50" t="e">
        <f t="shared" si="176"/>
        <v>#VALUE!</v>
      </c>
      <c r="N815" s="50" t="e">
        <f t="shared" si="177"/>
        <v>#VALUE!</v>
      </c>
      <c r="O815" s="50">
        <f t="shared" si="178"/>
        <v>0</v>
      </c>
      <c r="Q815" s="55" t="e">
        <f t="shared" si="179"/>
        <v>#VALUE!</v>
      </c>
      <c r="R815" s="55" t="e">
        <f t="shared" si="182"/>
        <v>#VALUE!</v>
      </c>
      <c r="S815" s="55" t="e">
        <f t="shared" si="180"/>
        <v>#VALUE!</v>
      </c>
      <c r="T815" s="50" t="e">
        <f t="shared" si="183"/>
        <v>#VALUE!</v>
      </c>
      <c r="U815" s="50" t="e">
        <f t="shared" si="184"/>
        <v>#VALUE!</v>
      </c>
      <c r="V815" s="50" t="e">
        <f t="shared" si="185"/>
        <v>#VALUE!</v>
      </c>
    </row>
    <row r="816" spans="2:22" x14ac:dyDescent="0.25">
      <c r="B816" s="50" t="b">
        <f t="shared" si="186"/>
        <v>0</v>
      </c>
      <c r="C816" s="50" t="e">
        <f t="shared" si="174"/>
        <v>#VALUE!</v>
      </c>
      <c r="E816" s="56">
        <v>812</v>
      </c>
      <c r="G816" s="138"/>
      <c r="H816" s="135">
        <v>1</v>
      </c>
      <c r="I816" s="58" t="e">
        <f t="shared" si="175"/>
        <v>#VALUE!</v>
      </c>
      <c r="J816" s="50" t="e">
        <f t="shared" si="181"/>
        <v>#VALUE!</v>
      </c>
      <c r="K816" s="50" t="e">
        <f t="shared" si="187"/>
        <v>#VALUE!</v>
      </c>
      <c r="L816" s="50" t="e">
        <f t="shared" si="187"/>
        <v>#VALUE!</v>
      </c>
      <c r="M816" s="50" t="e">
        <f t="shared" si="176"/>
        <v>#VALUE!</v>
      </c>
      <c r="N816" s="50" t="e">
        <f t="shared" si="177"/>
        <v>#VALUE!</v>
      </c>
      <c r="O816" s="50">
        <f t="shared" si="178"/>
        <v>0</v>
      </c>
      <c r="Q816" s="55" t="e">
        <f t="shared" si="179"/>
        <v>#VALUE!</v>
      </c>
      <c r="R816" s="55" t="e">
        <f t="shared" si="182"/>
        <v>#VALUE!</v>
      </c>
      <c r="S816" s="55" t="e">
        <f t="shared" si="180"/>
        <v>#VALUE!</v>
      </c>
      <c r="T816" s="50" t="e">
        <f t="shared" si="183"/>
        <v>#VALUE!</v>
      </c>
      <c r="U816" s="50" t="e">
        <f t="shared" si="184"/>
        <v>#VALUE!</v>
      </c>
      <c r="V816" s="50" t="e">
        <f t="shared" si="185"/>
        <v>#VALUE!</v>
      </c>
    </row>
    <row r="817" spans="2:22" x14ac:dyDescent="0.25">
      <c r="B817" s="50" t="b">
        <f t="shared" si="186"/>
        <v>0</v>
      </c>
      <c r="C817" s="50" t="e">
        <f t="shared" si="174"/>
        <v>#VALUE!</v>
      </c>
      <c r="E817" s="56">
        <v>813</v>
      </c>
      <c r="G817" s="138"/>
      <c r="H817" s="135">
        <v>1</v>
      </c>
      <c r="I817" s="58" t="e">
        <f t="shared" si="175"/>
        <v>#VALUE!</v>
      </c>
      <c r="J817" s="50" t="e">
        <f t="shared" si="181"/>
        <v>#VALUE!</v>
      </c>
      <c r="K817" s="50" t="e">
        <f t="shared" si="187"/>
        <v>#VALUE!</v>
      </c>
      <c r="L817" s="50" t="e">
        <f t="shared" si="187"/>
        <v>#VALUE!</v>
      </c>
      <c r="M817" s="50" t="e">
        <f t="shared" si="176"/>
        <v>#VALUE!</v>
      </c>
      <c r="N817" s="50" t="e">
        <f t="shared" si="177"/>
        <v>#VALUE!</v>
      </c>
      <c r="O817" s="50">
        <f t="shared" si="178"/>
        <v>0</v>
      </c>
      <c r="Q817" s="55" t="e">
        <f t="shared" si="179"/>
        <v>#VALUE!</v>
      </c>
      <c r="R817" s="55" t="e">
        <f t="shared" si="182"/>
        <v>#VALUE!</v>
      </c>
      <c r="S817" s="55" t="e">
        <f t="shared" si="180"/>
        <v>#VALUE!</v>
      </c>
      <c r="T817" s="50" t="e">
        <f t="shared" si="183"/>
        <v>#VALUE!</v>
      </c>
      <c r="U817" s="50" t="e">
        <f t="shared" si="184"/>
        <v>#VALUE!</v>
      </c>
      <c r="V817" s="50" t="e">
        <f t="shared" si="185"/>
        <v>#VALUE!</v>
      </c>
    </row>
    <row r="818" spans="2:22" x14ac:dyDescent="0.25">
      <c r="B818" s="50" t="b">
        <f t="shared" si="186"/>
        <v>0</v>
      </c>
      <c r="C818" s="50" t="e">
        <f t="shared" si="174"/>
        <v>#VALUE!</v>
      </c>
      <c r="E818" s="56">
        <v>814</v>
      </c>
      <c r="G818" s="138"/>
      <c r="H818" s="135">
        <v>1</v>
      </c>
      <c r="I818" s="58" t="e">
        <f t="shared" si="175"/>
        <v>#VALUE!</v>
      </c>
      <c r="J818" s="50" t="e">
        <f t="shared" si="181"/>
        <v>#VALUE!</v>
      </c>
      <c r="K818" s="50" t="e">
        <f t="shared" si="187"/>
        <v>#VALUE!</v>
      </c>
      <c r="L818" s="50" t="e">
        <f t="shared" si="187"/>
        <v>#VALUE!</v>
      </c>
      <c r="M818" s="50" t="e">
        <f t="shared" si="176"/>
        <v>#VALUE!</v>
      </c>
      <c r="N818" s="50" t="e">
        <f t="shared" si="177"/>
        <v>#VALUE!</v>
      </c>
      <c r="O818" s="50">
        <f t="shared" si="178"/>
        <v>0</v>
      </c>
      <c r="Q818" s="55" t="e">
        <f t="shared" si="179"/>
        <v>#VALUE!</v>
      </c>
      <c r="R818" s="55" t="e">
        <f t="shared" si="182"/>
        <v>#VALUE!</v>
      </c>
      <c r="S818" s="55" t="e">
        <f t="shared" si="180"/>
        <v>#VALUE!</v>
      </c>
      <c r="T818" s="50" t="e">
        <f t="shared" si="183"/>
        <v>#VALUE!</v>
      </c>
      <c r="U818" s="50" t="e">
        <f t="shared" si="184"/>
        <v>#VALUE!</v>
      </c>
      <c r="V818" s="50" t="e">
        <f t="shared" si="185"/>
        <v>#VALUE!</v>
      </c>
    </row>
    <row r="819" spans="2:22" x14ac:dyDescent="0.25">
      <c r="B819" s="50" t="b">
        <f t="shared" si="186"/>
        <v>0</v>
      </c>
      <c r="C819" s="50" t="e">
        <f t="shared" si="174"/>
        <v>#VALUE!</v>
      </c>
      <c r="E819" s="56">
        <v>815</v>
      </c>
      <c r="G819" s="138"/>
      <c r="H819" s="135">
        <v>1</v>
      </c>
      <c r="I819" s="58" t="e">
        <f t="shared" si="175"/>
        <v>#VALUE!</v>
      </c>
      <c r="J819" s="50" t="e">
        <f t="shared" si="181"/>
        <v>#VALUE!</v>
      </c>
      <c r="K819" s="50" t="e">
        <f t="shared" si="187"/>
        <v>#VALUE!</v>
      </c>
      <c r="L819" s="50" t="e">
        <f t="shared" si="187"/>
        <v>#VALUE!</v>
      </c>
      <c r="M819" s="50" t="e">
        <f t="shared" si="176"/>
        <v>#VALUE!</v>
      </c>
      <c r="N819" s="50" t="e">
        <f t="shared" si="177"/>
        <v>#VALUE!</v>
      </c>
      <c r="O819" s="50">
        <f t="shared" si="178"/>
        <v>0</v>
      </c>
      <c r="Q819" s="55" t="e">
        <f t="shared" si="179"/>
        <v>#VALUE!</v>
      </c>
      <c r="R819" s="55" t="e">
        <f t="shared" si="182"/>
        <v>#VALUE!</v>
      </c>
      <c r="S819" s="55" t="e">
        <f t="shared" si="180"/>
        <v>#VALUE!</v>
      </c>
      <c r="T819" s="50" t="e">
        <f t="shared" si="183"/>
        <v>#VALUE!</v>
      </c>
      <c r="U819" s="50" t="e">
        <f t="shared" si="184"/>
        <v>#VALUE!</v>
      </c>
      <c r="V819" s="50" t="e">
        <f t="shared" si="185"/>
        <v>#VALUE!</v>
      </c>
    </row>
    <row r="820" spans="2:22" x14ac:dyDescent="0.25">
      <c r="B820" s="50" t="b">
        <f t="shared" si="186"/>
        <v>0</v>
      </c>
      <c r="C820" s="50" t="e">
        <f t="shared" si="174"/>
        <v>#VALUE!</v>
      </c>
      <c r="E820" s="56">
        <v>816</v>
      </c>
      <c r="G820" s="138"/>
      <c r="H820" s="135">
        <v>1</v>
      </c>
      <c r="I820" s="58" t="e">
        <f t="shared" si="175"/>
        <v>#VALUE!</v>
      </c>
      <c r="J820" s="50" t="e">
        <f t="shared" si="181"/>
        <v>#VALUE!</v>
      </c>
      <c r="K820" s="50" t="e">
        <f t="shared" si="187"/>
        <v>#VALUE!</v>
      </c>
      <c r="L820" s="50" t="e">
        <f t="shared" si="187"/>
        <v>#VALUE!</v>
      </c>
      <c r="M820" s="50" t="e">
        <f t="shared" si="176"/>
        <v>#VALUE!</v>
      </c>
      <c r="N820" s="50" t="e">
        <f t="shared" si="177"/>
        <v>#VALUE!</v>
      </c>
      <c r="O820" s="50">
        <f t="shared" si="178"/>
        <v>0</v>
      </c>
      <c r="Q820" s="55" t="e">
        <f t="shared" si="179"/>
        <v>#VALUE!</v>
      </c>
      <c r="R820" s="55" t="e">
        <f t="shared" si="182"/>
        <v>#VALUE!</v>
      </c>
      <c r="S820" s="55" t="e">
        <f t="shared" si="180"/>
        <v>#VALUE!</v>
      </c>
      <c r="T820" s="50" t="e">
        <f t="shared" si="183"/>
        <v>#VALUE!</v>
      </c>
      <c r="U820" s="50" t="e">
        <f t="shared" si="184"/>
        <v>#VALUE!</v>
      </c>
      <c r="V820" s="50" t="e">
        <f t="shared" si="185"/>
        <v>#VALUE!</v>
      </c>
    </row>
    <row r="821" spans="2:22" x14ac:dyDescent="0.25">
      <c r="B821" s="50" t="b">
        <f t="shared" si="186"/>
        <v>0</v>
      </c>
      <c r="C821" s="50" t="e">
        <f t="shared" si="174"/>
        <v>#VALUE!</v>
      </c>
      <c r="E821" s="56">
        <v>817</v>
      </c>
      <c r="G821" s="138"/>
      <c r="H821" s="135">
        <v>1</v>
      </c>
      <c r="I821" s="58" t="e">
        <f t="shared" si="175"/>
        <v>#VALUE!</v>
      </c>
      <c r="J821" s="50" t="e">
        <f t="shared" si="181"/>
        <v>#VALUE!</v>
      </c>
      <c r="K821" s="50" t="e">
        <f t="shared" si="187"/>
        <v>#VALUE!</v>
      </c>
      <c r="L821" s="50" t="e">
        <f t="shared" si="187"/>
        <v>#VALUE!</v>
      </c>
      <c r="M821" s="50" t="e">
        <f t="shared" si="176"/>
        <v>#VALUE!</v>
      </c>
      <c r="N821" s="50" t="e">
        <f t="shared" si="177"/>
        <v>#VALUE!</v>
      </c>
      <c r="O821" s="50">
        <f t="shared" si="178"/>
        <v>0</v>
      </c>
      <c r="Q821" s="55" t="e">
        <f t="shared" si="179"/>
        <v>#VALUE!</v>
      </c>
      <c r="R821" s="55" t="e">
        <f t="shared" si="182"/>
        <v>#VALUE!</v>
      </c>
      <c r="S821" s="55" t="e">
        <f t="shared" si="180"/>
        <v>#VALUE!</v>
      </c>
      <c r="T821" s="50" t="e">
        <f t="shared" si="183"/>
        <v>#VALUE!</v>
      </c>
      <c r="U821" s="50" t="e">
        <f t="shared" si="184"/>
        <v>#VALUE!</v>
      </c>
      <c r="V821" s="50" t="e">
        <f t="shared" si="185"/>
        <v>#VALUE!</v>
      </c>
    </row>
    <row r="822" spans="2:22" x14ac:dyDescent="0.25">
      <c r="B822" s="50" t="b">
        <f t="shared" si="186"/>
        <v>0</v>
      </c>
      <c r="C822" s="50" t="e">
        <f t="shared" ref="C822:C885" si="188">SUM(T822:V822)</f>
        <v>#VALUE!</v>
      </c>
      <c r="E822" s="56">
        <v>818</v>
      </c>
      <c r="G822" s="138"/>
      <c r="H822" s="135">
        <v>1</v>
      </c>
      <c r="I822" s="58" t="e">
        <f t="shared" si="175"/>
        <v>#VALUE!</v>
      </c>
      <c r="J822" s="50" t="e">
        <f t="shared" si="181"/>
        <v>#VALUE!</v>
      </c>
      <c r="K822" s="50" t="e">
        <f t="shared" si="187"/>
        <v>#VALUE!</v>
      </c>
      <c r="L822" s="50" t="e">
        <f t="shared" si="187"/>
        <v>#VALUE!</v>
      </c>
      <c r="M822" s="50" t="e">
        <f t="shared" si="176"/>
        <v>#VALUE!</v>
      </c>
      <c r="N822" s="50" t="e">
        <f t="shared" si="177"/>
        <v>#VALUE!</v>
      </c>
      <c r="O822" s="50">
        <f t="shared" si="178"/>
        <v>0</v>
      </c>
      <c r="Q822" s="55" t="e">
        <f t="shared" si="179"/>
        <v>#VALUE!</v>
      </c>
      <c r="R822" s="55" t="e">
        <f t="shared" si="182"/>
        <v>#VALUE!</v>
      </c>
      <c r="S822" s="55" t="e">
        <f t="shared" si="180"/>
        <v>#VALUE!</v>
      </c>
      <c r="T822" s="50" t="e">
        <f t="shared" si="183"/>
        <v>#VALUE!</v>
      </c>
      <c r="U822" s="50" t="e">
        <f t="shared" si="184"/>
        <v>#VALUE!</v>
      </c>
      <c r="V822" s="50" t="e">
        <f t="shared" si="185"/>
        <v>#VALUE!</v>
      </c>
    </row>
    <row r="823" spans="2:22" x14ac:dyDescent="0.25">
      <c r="B823" s="50" t="b">
        <f t="shared" si="186"/>
        <v>0</v>
      </c>
      <c r="C823" s="50" t="e">
        <f t="shared" si="188"/>
        <v>#VALUE!</v>
      </c>
      <c r="E823" s="56">
        <v>819</v>
      </c>
      <c r="G823" s="138"/>
      <c r="H823" s="135">
        <v>1</v>
      </c>
      <c r="I823" s="58" t="e">
        <f t="shared" si="175"/>
        <v>#VALUE!</v>
      </c>
      <c r="J823" s="50" t="e">
        <f t="shared" si="181"/>
        <v>#VALUE!</v>
      </c>
      <c r="K823" s="50" t="e">
        <f t="shared" si="187"/>
        <v>#VALUE!</v>
      </c>
      <c r="L823" s="50" t="e">
        <f t="shared" si="187"/>
        <v>#VALUE!</v>
      </c>
      <c r="M823" s="50" t="e">
        <f t="shared" si="176"/>
        <v>#VALUE!</v>
      </c>
      <c r="N823" s="50" t="e">
        <f t="shared" si="177"/>
        <v>#VALUE!</v>
      </c>
      <c r="O823" s="50">
        <f t="shared" si="178"/>
        <v>0</v>
      </c>
      <c r="Q823" s="55" t="e">
        <f t="shared" si="179"/>
        <v>#VALUE!</v>
      </c>
      <c r="R823" s="55" t="e">
        <f t="shared" si="182"/>
        <v>#VALUE!</v>
      </c>
      <c r="S823" s="55" t="e">
        <f t="shared" si="180"/>
        <v>#VALUE!</v>
      </c>
      <c r="T823" s="50" t="e">
        <f t="shared" si="183"/>
        <v>#VALUE!</v>
      </c>
      <c r="U823" s="50" t="e">
        <f t="shared" si="184"/>
        <v>#VALUE!</v>
      </c>
      <c r="V823" s="50" t="e">
        <f t="shared" si="185"/>
        <v>#VALUE!</v>
      </c>
    </row>
    <row r="824" spans="2:22" x14ac:dyDescent="0.25">
      <c r="B824" s="50" t="b">
        <f t="shared" si="186"/>
        <v>0</v>
      </c>
      <c r="C824" s="50" t="e">
        <f t="shared" si="188"/>
        <v>#VALUE!</v>
      </c>
      <c r="E824" s="56">
        <v>820</v>
      </c>
      <c r="G824" s="138"/>
      <c r="H824" s="135">
        <v>1</v>
      </c>
      <c r="I824" s="58" t="e">
        <f t="shared" si="175"/>
        <v>#VALUE!</v>
      </c>
      <c r="J824" s="50" t="e">
        <f t="shared" si="181"/>
        <v>#VALUE!</v>
      </c>
      <c r="K824" s="50" t="e">
        <f t="shared" si="187"/>
        <v>#VALUE!</v>
      </c>
      <c r="L824" s="50" t="e">
        <f t="shared" si="187"/>
        <v>#VALUE!</v>
      </c>
      <c r="M824" s="50" t="e">
        <f t="shared" si="176"/>
        <v>#VALUE!</v>
      </c>
      <c r="N824" s="50" t="e">
        <f t="shared" si="177"/>
        <v>#VALUE!</v>
      </c>
      <c r="O824" s="50">
        <f t="shared" si="178"/>
        <v>0</v>
      </c>
      <c r="Q824" s="55" t="e">
        <f t="shared" si="179"/>
        <v>#VALUE!</v>
      </c>
      <c r="R824" s="55" t="e">
        <f t="shared" si="182"/>
        <v>#VALUE!</v>
      </c>
      <c r="S824" s="55" t="e">
        <f t="shared" si="180"/>
        <v>#VALUE!</v>
      </c>
      <c r="T824" s="50" t="e">
        <f t="shared" si="183"/>
        <v>#VALUE!</v>
      </c>
      <c r="U824" s="50" t="e">
        <f t="shared" si="184"/>
        <v>#VALUE!</v>
      </c>
      <c r="V824" s="50" t="e">
        <f t="shared" si="185"/>
        <v>#VALUE!</v>
      </c>
    </row>
    <row r="825" spans="2:22" x14ac:dyDescent="0.25">
      <c r="B825" s="50" t="b">
        <f t="shared" si="186"/>
        <v>0</v>
      </c>
      <c r="C825" s="50" t="e">
        <f t="shared" si="188"/>
        <v>#VALUE!</v>
      </c>
      <c r="E825" s="56">
        <v>821</v>
      </c>
      <c r="G825" s="138"/>
      <c r="H825" s="135">
        <v>1</v>
      </c>
      <c r="I825" s="58" t="e">
        <f t="shared" si="175"/>
        <v>#VALUE!</v>
      </c>
      <c r="J825" s="50" t="e">
        <f t="shared" si="181"/>
        <v>#VALUE!</v>
      </c>
      <c r="K825" s="50" t="e">
        <f t="shared" si="187"/>
        <v>#VALUE!</v>
      </c>
      <c r="L825" s="50" t="e">
        <f t="shared" si="187"/>
        <v>#VALUE!</v>
      </c>
      <c r="M825" s="50" t="e">
        <f t="shared" si="176"/>
        <v>#VALUE!</v>
      </c>
      <c r="N825" s="50" t="e">
        <f t="shared" si="177"/>
        <v>#VALUE!</v>
      </c>
      <c r="O825" s="50">
        <f t="shared" si="178"/>
        <v>0</v>
      </c>
      <c r="Q825" s="55" t="e">
        <f t="shared" si="179"/>
        <v>#VALUE!</v>
      </c>
      <c r="R825" s="55" t="e">
        <f t="shared" si="182"/>
        <v>#VALUE!</v>
      </c>
      <c r="S825" s="55" t="e">
        <f t="shared" si="180"/>
        <v>#VALUE!</v>
      </c>
      <c r="T825" s="50" t="e">
        <f t="shared" si="183"/>
        <v>#VALUE!</v>
      </c>
      <c r="U825" s="50" t="e">
        <f t="shared" si="184"/>
        <v>#VALUE!</v>
      </c>
      <c r="V825" s="50" t="e">
        <f t="shared" si="185"/>
        <v>#VALUE!</v>
      </c>
    </row>
    <row r="826" spans="2:22" x14ac:dyDescent="0.25">
      <c r="B826" s="50" t="b">
        <f t="shared" si="186"/>
        <v>0</v>
      </c>
      <c r="C826" s="50" t="e">
        <f t="shared" si="188"/>
        <v>#VALUE!</v>
      </c>
      <c r="E826" s="56">
        <v>822</v>
      </c>
      <c r="G826" s="138"/>
      <c r="H826" s="135">
        <v>1</v>
      </c>
      <c r="I826" s="58" t="e">
        <f t="shared" si="175"/>
        <v>#VALUE!</v>
      </c>
      <c r="J826" s="50" t="e">
        <f t="shared" si="181"/>
        <v>#VALUE!</v>
      </c>
      <c r="K826" s="50" t="e">
        <f t="shared" si="187"/>
        <v>#VALUE!</v>
      </c>
      <c r="L826" s="50" t="e">
        <f t="shared" si="187"/>
        <v>#VALUE!</v>
      </c>
      <c r="M826" s="50" t="e">
        <f t="shared" si="176"/>
        <v>#VALUE!</v>
      </c>
      <c r="N826" s="50" t="e">
        <f t="shared" si="177"/>
        <v>#VALUE!</v>
      </c>
      <c r="O826" s="50">
        <f t="shared" si="178"/>
        <v>0</v>
      </c>
      <c r="Q826" s="55" t="e">
        <f t="shared" si="179"/>
        <v>#VALUE!</v>
      </c>
      <c r="R826" s="55" t="e">
        <f t="shared" si="182"/>
        <v>#VALUE!</v>
      </c>
      <c r="S826" s="55" t="e">
        <f t="shared" si="180"/>
        <v>#VALUE!</v>
      </c>
      <c r="T826" s="50" t="e">
        <f t="shared" si="183"/>
        <v>#VALUE!</v>
      </c>
      <c r="U826" s="50" t="e">
        <f t="shared" si="184"/>
        <v>#VALUE!</v>
      </c>
      <c r="V826" s="50" t="e">
        <f t="shared" si="185"/>
        <v>#VALUE!</v>
      </c>
    </row>
    <row r="827" spans="2:22" x14ac:dyDescent="0.25">
      <c r="B827" s="50" t="b">
        <f t="shared" si="186"/>
        <v>0</v>
      </c>
      <c r="C827" s="50" t="e">
        <f t="shared" si="188"/>
        <v>#VALUE!</v>
      </c>
      <c r="E827" s="56">
        <v>823</v>
      </c>
      <c r="G827" s="138"/>
      <c r="H827" s="135">
        <v>1</v>
      </c>
      <c r="I827" s="58" t="e">
        <f t="shared" si="175"/>
        <v>#VALUE!</v>
      </c>
      <c r="J827" s="50" t="e">
        <f t="shared" si="181"/>
        <v>#VALUE!</v>
      </c>
      <c r="K827" s="50" t="e">
        <f t="shared" si="187"/>
        <v>#VALUE!</v>
      </c>
      <c r="L827" s="50" t="e">
        <f t="shared" si="187"/>
        <v>#VALUE!</v>
      </c>
      <c r="M827" s="50" t="e">
        <f t="shared" si="176"/>
        <v>#VALUE!</v>
      </c>
      <c r="N827" s="50" t="e">
        <f t="shared" si="177"/>
        <v>#VALUE!</v>
      </c>
      <c r="O827" s="50">
        <f t="shared" si="178"/>
        <v>0</v>
      </c>
      <c r="Q827" s="55" t="e">
        <f t="shared" si="179"/>
        <v>#VALUE!</v>
      </c>
      <c r="R827" s="55" t="e">
        <f t="shared" si="182"/>
        <v>#VALUE!</v>
      </c>
      <c r="S827" s="55" t="e">
        <f t="shared" si="180"/>
        <v>#VALUE!</v>
      </c>
      <c r="T827" s="50" t="e">
        <f t="shared" si="183"/>
        <v>#VALUE!</v>
      </c>
      <c r="U827" s="50" t="e">
        <f t="shared" si="184"/>
        <v>#VALUE!</v>
      </c>
      <c r="V827" s="50" t="e">
        <f t="shared" si="185"/>
        <v>#VALUE!</v>
      </c>
    </row>
    <row r="828" spans="2:22" x14ac:dyDescent="0.25">
      <c r="B828" s="50" t="b">
        <f t="shared" si="186"/>
        <v>0</v>
      </c>
      <c r="C828" s="50" t="e">
        <f t="shared" si="188"/>
        <v>#VALUE!</v>
      </c>
      <c r="E828" s="56">
        <v>824</v>
      </c>
      <c r="G828" s="138"/>
      <c r="H828" s="135">
        <v>1</v>
      </c>
      <c r="I828" s="58" t="e">
        <f t="shared" si="175"/>
        <v>#VALUE!</v>
      </c>
      <c r="J828" s="50" t="e">
        <f t="shared" si="181"/>
        <v>#VALUE!</v>
      </c>
      <c r="K828" s="50" t="e">
        <f t="shared" si="187"/>
        <v>#VALUE!</v>
      </c>
      <c r="L828" s="50" t="e">
        <f t="shared" si="187"/>
        <v>#VALUE!</v>
      </c>
      <c r="M828" s="50" t="e">
        <f t="shared" si="176"/>
        <v>#VALUE!</v>
      </c>
      <c r="N828" s="50" t="e">
        <f t="shared" si="177"/>
        <v>#VALUE!</v>
      </c>
      <c r="O828" s="50">
        <f t="shared" si="178"/>
        <v>0</v>
      </c>
      <c r="Q828" s="55" t="e">
        <f t="shared" si="179"/>
        <v>#VALUE!</v>
      </c>
      <c r="R828" s="55" t="e">
        <f t="shared" si="182"/>
        <v>#VALUE!</v>
      </c>
      <c r="S828" s="55" t="e">
        <f t="shared" si="180"/>
        <v>#VALUE!</v>
      </c>
      <c r="T828" s="50" t="e">
        <f t="shared" si="183"/>
        <v>#VALUE!</v>
      </c>
      <c r="U828" s="50" t="e">
        <f t="shared" si="184"/>
        <v>#VALUE!</v>
      </c>
      <c r="V828" s="50" t="e">
        <f t="shared" si="185"/>
        <v>#VALUE!</v>
      </c>
    </row>
    <row r="829" spans="2:22" x14ac:dyDescent="0.25">
      <c r="B829" s="50" t="b">
        <f t="shared" si="186"/>
        <v>0</v>
      </c>
      <c r="C829" s="50" t="e">
        <f t="shared" si="188"/>
        <v>#VALUE!</v>
      </c>
      <c r="E829" s="56">
        <v>825</v>
      </c>
      <c r="G829" s="138"/>
      <c r="H829" s="135">
        <v>1</v>
      </c>
      <c r="I829" s="58" t="e">
        <f t="shared" si="175"/>
        <v>#VALUE!</v>
      </c>
      <c r="J829" s="50" t="e">
        <f t="shared" si="181"/>
        <v>#VALUE!</v>
      </c>
      <c r="K829" s="50" t="e">
        <f t="shared" si="187"/>
        <v>#VALUE!</v>
      </c>
      <c r="L829" s="50" t="e">
        <f t="shared" si="187"/>
        <v>#VALUE!</v>
      </c>
      <c r="M829" s="50" t="e">
        <f t="shared" si="176"/>
        <v>#VALUE!</v>
      </c>
      <c r="N829" s="50" t="e">
        <f t="shared" si="177"/>
        <v>#VALUE!</v>
      </c>
      <c r="O829" s="50">
        <f t="shared" si="178"/>
        <v>0</v>
      </c>
      <c r="Q829" s="55" t="e">
        <f t="shared" si="179"/>
        <v>#VALUE!</v>
      </c>
      <c r="R829" s="55" t="e">
        <f t="shared" si="182"/>
        <v>#VALUE!</v>
      </c>
      <c r="S829" s="55" t="e">
        <f t="shared" si="180"/>
        <v>#VALUE!</v>
      </c>
      <c r="T829" s="50" t="e">
        <f t="shared" si="183"/>
        <v>#VALUE!</v>
      </c>
      <c r="U829" s="50" t="e">
        <f t="shared" si="184"/>
        <v>#VALUE!</v>
      </c>
      <c r="V829" s="50" t="e">
        <f t="shared" si="185"/>
        <v>#VALUE!</v>
      </c>
    </row>
    <row r="830" spans="2:22" x14ac:dyDescent="0.25">
      <c r="B830" s="50" t="b">
        <f t="shared" si="186"/>
        <v>0</v>
      </c>
      <c r="C830" s="50" t="e">
        <f t="shared" si="188"/>
        <v>#VALUE!</v>
      </c>
      <c r="E830" s="56">
        <v>826</v>
      </c>
      <c r="G830" s="138"/>
      <c r="H830" s="135">
        <v>1</v>
      </c>
      <c r="I830" s="58" t="e">
        <f t="shared" si="175"/>
        <v>#VALUE!</v>
      </c>
      <c r="J830" s="50" t="e">
        <f t="shared" si="181"/>
        <v>#VALUE!</v>
      </c>
      <c r="K830" s="50" t="e">
        <f t="shared" si="187"/>
        <v>#VALUE!</v>
      </c>
      <c r="L830" s="50" t="e">
        <f t="shared" si="187"/>
        <v>#VALUE!</v>
      </c>
      <c r="M830" s="50" t="e">
        <f t="shared" si="176"/>
        <v>#VALUE!</v>
      </c>
      <c r="N830" s="50" t="e">
        <f t="shared" si="177"/>
        <v>#VALUE!</v>
      </c>
      <c r="O830" s="50">
        <f t="shared" si="178"/>
        <v>0</v>
      </c>
      <c r="Q830" s="55" t="e">
        <f t="shared" si="179"/>
        <v>#VALUE!</v>
      </c>
      <c r="R830" s="55" t="e">
        <f t="shared" si="182"/>
        <v>#VALUE!</v>
      </c>
      <c r="S830" s="55" t="e">
        <f t="shared" si="180"/>
        <v>#VALUE!</v>
      </c>
      <c r="T830" s="50" t="e">
        <f t="shared" si="183"/>
        <v>#VALUE!</v>
      </c>
      <c r="U830" s="50" t="e">
        <f t="shared" si="184"/>
        <v>#VALUE!</v>
      </c>
      <c r="V830" s="50" t="e">
        <f t="shared" si="185"/>
        <v>#VALUE!</v>
      </c>
    </row>
    <row r="831" spans="2:22" x14ac:dyDescent="0.25">
      <c r="B831" s="50" t="b">
        <f t="shared" si="186"/>
        <v>0</v>
      </c>
      <c r="C831" s="50" t="e">
        <f t="shared" si="188"/>
        <v>#VALUE!</v>
      </c>
      <c r="E831" s="56">
        <v>827</v>
      </c>
      <c r="G831" s="138"/>
      <c r="H831" s="135">
        <v>1</v>
      </c>
      <c r="I831" s="58" t="e">
        <f t="shared" si="175"/>
        <v>#VALUE!</v>
      </c>
      <c r="J831" s="50" t="e">
        <f t="shared" si="181"/>
        <v>#VALUE!</v>
      </c>
      <c r="K831" s="50" t="e">
        <f t="shared" si="187"/>
        <v>#VALUE!</v>
      </c>
      <c r="L831" s="50" t="e">
        <f t="shared" si="187"/>
        <v>#VALUE!</v>
      </c>
      <c r="M831" s="50" t="e">
        <f t="shared" si="176"/>
        <v>#VALUE!</v>
      </c>
      <c r="N831" s="50" t="e">
        <f t="shared" si="177"/>
        <v>#VALUE!</v>
      </c>
      <c r="O831" s="50">
        <f t="shared" si="178"/>
        <v>0</v>
      </c>
      <c r="Q831" s="55" t="e">
        <f t="shared" si="179"/>
        <v>#VALUE!</v>
      </c>
      <c r="R831" s="55" t="e">
        <f t="shared" si="182"/>
        <v>#VALUE!</v>
      </c>
      <c r="S831" s="55" t="e">
        <f t="shared" si="180"/>
        <v>#VALUE!</v>
      </c>
      <c r="T831" s="50" t="e">
        <f t="shared" si="183"/>
        <v>#VALUE!</v>
      </c>
      <c r="U831" s="50" t="e">
        <f t="shared" si="184"/>
        <v>#VALUE!</v>
      </c>
      <c r="V831" s="50" t="e">
        <f t="shared" si="185"/>
        <v>#VALUE!</v>
      </c>
    </row>
    <row r="832" spans="2:22" x14ac:dyDescent="0.25">
      <c r="B832" s="50" t="b">
        <f t="shared" si="186"/>
        <v>0</v>
      </c>
      <c r="C832" s="50" t="e">
        <f t="shared" si="188"/>
        <v>#VALUE!</v>
      </c>
      <c r="E832" s="56">
        <v>828</v>
      </c>
      <c r="G832" s="138"/>
      <c r="H832" s="135">
        <v>1</v>
      </c>
      <c r="I832" s="58" t="e">
        <f t="shared" si="175"/>
        <v>#VALUE!</v>
      </c>
      <c r="J832" s="50" t="e">
        <f t="shared" si="181"/>
        <v>#VALUE!</v>
      </c>
      <c r="K832" s="50" t="e">
        <f t="shared" si="187"/>
        <v>#VALUE!</v>
      </c>
      <c r="L832" s="50" t="e">
        <f t="shared" si="187"/>
        <v>#VALUE!</v>
      </c>
      <c r="M832" s="50" t="e">
        <f t="shared" si="176"/>
        <v>#VALUE!</v>
      </c>
      <c r="N832" s="50" t="e">
        <f t="shared" si="177"/>
        <v>#VALUE!</v>
      </c>
      <c r="O832" s="50">
        <f t="shared" si="178"/>
        <v>0</v>
      </c>
      <c r="Q832" s="55" t="e">
        <f t="shared" si="179"/>
        <v>#VALUE!</v>
      </c>
      <c r="R832" s="55" t="e">
        <f t="shared" si="182"/>
        <v>#VALUE!</v>
      </c>
      <c r="S832" s="55" t="e">
        <f t="shared" si="180"/>
        <v>#VALUE!</v>
      </c>
      <c r="T832" s="50" t="e">
        <f t="shared" si="183"/>
        <v>#VALUE!</v>
      </c>
      <c r="U832" s="50" t="e">
        <f t="shared" si="184"/>
        <v>#VALUE!</v>
      </c>
      <c r="V832" s="50" t="e">
        <f t="shared" si="185"/>
        <v>#VALUE!</v>
      </c>
    </row>
    <row r="833" spans="2:22" x14ac:dyDescent="0.25">
      <c r="B833" s="50" t="b">
        <f t="shared" si="186"/>
        <v>0</v>
      </c>
      <c r="C833" s="50" t="e">
        <f t="shared" si="188"/>
        <v>#VALUE!</v>
      </c>
      <c r="E833" s="56">
        <v>829</v>
      </c>
      <c r="G833" s="138"/>
      <c r="H833" s="135">
        <v>1</v>
      </c>
      <c r="I833" s="58" t="e">
        <f t="shared" si="175"/>
        <v>#VALUE!</v>
      </c>
      <c r="J833" s="50" t="e">
        <f t="shared" si="181"/>
        <v>#VALUE!</v>
      </c>
      <c r="K833" s="50" t="e">
        <f t="shared" si="187"/>
        <v>#VALUE!</v>
      </c>
      <c r="L833" s="50" t="e">
        <f t="shared" si="187"/>
        <v>#VALUE!</v>
      </c>
      <c r="M833" s="50" t="e">
        <f t="shared" si="176"/>
        <v>#VALUE!</v>
      </c>
      <c r="N833" s="50" t="e">
        <f t="shared" si="177"/>
        <v>#VALUE!</v>
      </c>
      <c r="O833" s="50">
        <f t="shared" si="178"/>
        <v>0</v>
      </c>
      <c r="Q833" s="55" t="e">
        <f t="shared" si="179"/>
        <v>#VALUE!</v>
      </c>
      <c r="R833" s="55" t="e">
        <f t="shared" si="182"/>
        <v>#VALUE!</v>
      </c>
      <c r="S833" s="55" t="e">
        <f t="shared" si="180"/>
        <v>#VALUE!</v>
      </c>
      <c r="T833" s="50" t="e">
        <f t="shared" si="183"/>
        <v>#VALUE!</v>
      </c>
      <c r="U833" s="50" t="e">
        <f t="shared" si="184"/>
        <v>#VALUE!</v>
      </c>
      <c r="V833" s="50" t="e">
        <f t="shared" si="185"/>
        <v>#VALUE!</v>
      </c>
    </row>
    <row r="834" spans="2:22" x14ac:dyDescent="0.25">
      <c r="B834" s="50" t="b">
        <f t="shared" si="186"/>
        <v>0</v>
      </c>
      <c r="C834" s="50" t="e">
        <f t="shared" si="188"/>
        <v>#VALUE!</v>
      </c>
      <c r="E834" s="56">
        <v>830</v>
      </c>
      <c r="G834" s="138"/>
      <c r="H834" s="135">
        <v>1</v>
      </c>
      <c r="I834" s="58" t="e">
        <f t="shared" si="175"/>
        <v>#VALUE!</v>
      </c>
      <c r="J834" s="50" t="e">
        <f t="shared" si="181"/>
        <v>#VALUE!</v>
      </c>
      <c r="K834" s="50" t="e">
        <f t="shared" si="187"/>
        <v>#VALUE!</v>
      </c>
      <c r="L834" s="50" t="e">
        <f t="shared" si="187"/>
        <v>#VALUE!</v>
      </c>
      <c r="M834" s="50" t="e">
        <f t="shared" si="176"/>
        <v>#VALUE!</v>
      </c>
      <c r="N834" s="50" t="e">
        <f t="shared" si="177"/>
        <v>#VALUE!</v>
      </c>
      <c r="O834" s="50">
        <f t="shared" si="178"/>
        <v>0</v>
      </c>
      <c r="Q834" s="55" t="e">
        <f t="shared" si="179"/>
        <v>#VALUE!</v>
      </c>
      <c r="R834" s="55" t="e">
        <f t="shared" si="182"/>
        <v>#VALUE!</v>
      </c>
      <c r="S834" s="55" t="e">
        <f t="shared" si="180"/>
        <v>#VALUE!</v>
      </c>
      <c r="T834" s="50" t="e">
        <f t="shared" si="183"/>
        <v>#VALUE!</v>
      </c>
      <c r="U834" s="50" t="e">
        <f t="shared" si="184"/>
        <v>#VALUE!</v>
      </c>
      <c r="V834" s="50" t="e">
        <f t="shared" si="185"/>
        <v>#VALUE!</v>
      </c>
    </row>
    <row r="835" spans="2:22" x14ac:dyDescent="0.25">
      <c r="B835" s="50" t="b">
        <f t="shared" si="186"/>
        <v>0</v>
      </c>
      <c r="C835" s="50" t="e">
        <f t="shared" si="188"/>
        <v>#VALUE!</v>
      </c>
      <c r="E835" s="56">
        <v>831</v>
      </c>
      <c r="G835" s="138"/>
      <c r="H835" s="135">
        <v>1</v>
      </c>
      <c r="I835" s="58" t="e">
        <f t="shared" si="175"/>
        <v>#VALUE!</v>
      </c>
      <c r="J835" s="50" t="e">
        <f t="shared" si="181"/>
        <v>#VALUE!</v>
      </c>
      <c r="K835" s="50" t="e">
        <f t="shared" si="187"/>
        <v>#VALUE!</v>
      </c>
      <c r="L835" s="50" t="e">
        <f t="shared" si="187"/>
        <v>#VALUE!</v>
      </c>
      <c r="M835" s="50" t="e">
        <f t="shared" si="176"/>
        <v>#VALUE!</v>
      </c>
      <c r="N835" s="50" t="e">
        <f t="shared" si="177"/>
        <v>#VALUE!</v>
      </c>
      <c r="O835" s="50">
        <f t="shared" si="178"/>
        <v>0</v>
      </c>
      <c r="Q835" s="55" t="e">
        <f t="shared" si="179"/>
        <v>#VALUE!</v>
      </c>
      <c r="R835" s="55" t="e">
        <f t="shared" si="182"/>
        <v>#VALUE!</v>
      </c>
      <c r="S835" s="55" t="e">
        <f t="shared" si="180"/>
        <v>#VALUE!</v>
      </c>
      <c r="T835" s="50" t="e">
        <f t="shared" si="183"/>
        <v>#VALUE!</v>
      </c>
      <c r="U835" s="50" t="e">
        <f t="shared" si="184"/>
        <v>#VALUE!</v>
      </c>
      <c r="V835" s="50" t="e">
        <f t="shared" si="185"/>
        <v>#VALUE!</v>
      </c>
    </row>
    <row r="836" spans="2:22" x14ac:dyDescent="0.25">
      <c r="B836" s="50" t="b">
        <f t="shared" si="186"/>
        <v>0</v>
      </c>
      <c r="C836" s="50" t="e">
        <f t="shared" si="188"/>
        <v>#VALUE!</v>
      </c>
      <c r="E836" s="56">
        <v>832</v>
      </c>
      <c r="G836" s="138"/>
      <c r="H836" s="135">
        <v>1</v>
      </c>
      <c r="I836" s="58" t="e">
        <f t="shared" ref="I836:I899" si="189">RIGHT(G836,J836)</f>
        <v>#VALUE!</v>
      </c>
      <c r="J836" s="50" t="e">
        <f t="shared" si="181"/>
        <v>#VALUE!</v>
      </c>
      <c r="K836" s="50" t="e">
        <f t="shared" si="187"/>
        <v>#VALUE!</v>
      </c>
      <c r="L836" s="50" t="e">
        <f t="shared" si="187"/>
        <v>#VALUE!</v>
      </c>
      <c r="M836" s="50" t="e">
        <f t="shared" ref="M836:M899" si="190">SEARCH("-",G836,2)</f>
        <v>#VALUE!</v>
      </c>
      <c r="N836" s="50" t="e">
        <f t="shared" ref="N836:N899" si="191">SEARCH("-",G836,M836+1)</f>
        <v>#VALUE!</v>
      </c>
      <c r="O836" s="50">
        <f t="shared" ref="O836:O899" si="192">LEN(G836)</f>
        <v>0</v>
      </c>
      <c r="Q836" s="55" t="e">
        <f t="shared" ref="Q836:Q899" si="193">LEFT(G836,M836-1)</f>
        <v>#VALUE!</v>
      </c>
      <c r="R836" s="55" t="e">
        <f t="shared" si="182"/>
        <v>#VALUE!</v>
      </c>
      <c r="S836" s="55" t="e">
        <f t="shared" ref="S836:S899" si="194">RIGHT(G836,L836)</f>
        <v>#VALUE!</v>
      </c>
      <c r="T836" s="50" t="e">
        <f t="shared" si="183"/>
        <v>#VALUE!</v>
      </c>
      <c r="U836" s="50" t="e">
        <f t="shared" si="184"/>
        <v>#VALUE!</v>
      </c>
      <c r="V836" s="50" t="e">
        <f t="shared" si="185"/>
        <v>#VALUE!</v>
      </c>
    </row>
    <row r="837" spans="2:22" x14ac:dyDescent="0.25">
      <c r="B837" s="50" t="b">
        <f t="shared" si="186"/>
        <v>0</v>
      </c>
      <c r="C837" s="50" t="e">
        <f t="shared" si="188"/>
        <v>#VALUE!</v>
      </c>
      <c r="E837" s="56">
        <v>833</v>
      </c>
      <c r="G837" s="138"/>
      <c r="H837" s="135">
        <v>1</v>
      </c>
      <c r="I837" s="58" t="e">
        <f t="shared" si="189"/>
        <v>#VALUE!</v>
      </c>
      <c r="J837" s="50" t="e">
        <f t="shared" ref="J837:J900" si="195">O837-M837</f>
        <v>#VALUE!</v>
      </c>
      <c r="K837" s="50" t="e">
        <f t="shared" si="187"/>
        <v>#VALUE!</v>
      </c>
      <c r="L837" s="50" t="e">
        <f t="shared" si="187"/>
        <v>#VALUE!</v>
      </c>
      <c r="M837" s="50" t="e">
        <f t="shared" si="190"/>
        <v>#VALUE!</v>
      </c>
      <c r="N837" s="50" t="e">
        <f t="shared" si="191"/>
        <v>#VALUE!</v>
      </c>
      <c r="O837" s="50">
        <f t="shared" si="192"/>
        <v>0</v>
      </c>
      <c r="Q837" s="55" t="e">
        <f t="shared" si="193"/>
        <v>#VALUE!</v>
      </c>
      <c r="R837" s="55" t="e">
        <f t="shared" ref="R837:R900" si="196">LEFT(I837,K837-1)</f>
        <v>#VALUE!</v>
      </c>
      <c r="S837" s="55" t="e">
        <f t="shared" si="194"/>
        <v>#VALUE!</v>
      </c>
      <c r="T837" s="50" t="e">
        <f t="shared" ref="T837:T900" si="197">Q837*1*$H837</f>
        <v>#VALUE!</v>
      </c>
      <c r="U837" s="50" t="e">
        <f t="shared" ref="U837:U900" si="198">R837*1*$H837</f>
        <v>#VALUE!</v>
      </c>
      <c r="V837" s="50" t="e">
        <f t="shared" ref="V837:V900" si="199">S837*1*$H837</f>
        <v>#VALUE!</v>
      </c>
    </row>
    <row r="838" spans="2:22" x14ac:dyDescent="0.25">
      <c r="B838" s="50" t="b">
        <f t="shared" si="186"/>
        <v>0</v>
      </c>
      <c r="C838" s="50" t="e">
        <f t="shared" si="188"/>
        <v>#VALUE!</v>
      </c>
      <c r="E838" s="56">
        <v>834</v>
      </c>
      <c r="G838" s="138"/>
      <c r="H838" s="135">
        <v>1</v>
      </c>
      <c r="I838" s="58" t="e">
        <f t="shared" si="189"/>
        <v>#VALUE!</v>
      </c>
      <c r="J838" s="50" t="e">
        <f t="shared" si="195"/>
        <v>#VALUE!</v>
      </c>
      <c r="K838" s="50" t="e">
        <f t="shared" si="187"/>
        <v>#VALUE!</v>
      </c>
      <c r="L838" s="50" t="e">
        <f t="shared" si="187"/>
        <v>#VALUE!</v>
      </c>
      <c r="M838" s="50" t="e">
        <f t="shared" si="190"/>
        <v>#VALUE!</v>
      </c>
      <c r="N838" s="50" t="e">
        <f t="shared" si="191"/>
        <v>#VALUE!</v>
      </c>
      <c r="O838" s="50">
        <f t="shared" si="192"/>
        <v>0</v>
      </c>
      <c r="Q838" s="55" t="e">
        <f t="shared" si="193"/>
        <v>#VALUE!</v>
      </c>
      <c r="R838" s="55" t="e">
        <f t="shared" si="196"/>
        <v>#VALUE!</v>
      </c>
      <c r="S838" s="55" t="e">
        <f t="shared" si="194"/>
        <v>#VALUE!</v>
      </c>
      <c r="T838" s="50" t="e">
        <f t="shared" si="197"/>
        <v>#VALUE!</v>
      </c>
      <c r="U838" s="50" t="e">
        <f t="shared" si="198"/>
        <v>#VALUE!</v>
      </c>
      <c r="V838" s="50" t="e">
        <f t="shared" si="199"/>
        <v>#VALUE!</v>
      </c>
    </row>
    <row r="839" spans="2:22" x14ac:dyDescent="0.25">
      <c r="B839" s="50" t="b">
        <f t="shared" si="186"/>
        <v>0</v>
      </c>
      <c r="C839" s="50" t="e">
        <f t="shared" si="188"/>
        <v>#VALUE!</v>
      </c>
      <c r="E839" s="56">
        <v>835</v>
      </c>
      <c r="G839" s="138"/>
      <c r="H839" s="135">
        <v>1</v>
      </c>
      <c r="I839" s="58" t="e">
        <f t="shared" si="189"/>
        <v>#VALUE!</v>
      </c>
      <c r="J839" s="50" t="e">
        <f t="shared" si="195"/>
        <v>#VALUE!</v>
      </c>
      <c r="K839" s="50" t="e">
        <f t="shared" si="187"/>
        <v>#VALUE!</v>
      </c>
      <c r="L839" s="50" t="e">
        <f t="shared" si="187"/>
        <v>#VALUE!</v>
      </c>
      <c r="M839" s="50" t="e">
        <f t="shared" si="190"/>
        <v>#VALUE!</v>
      </c>
      <c r="N839" s="50" t="e">
        <f t="shared" si="191"/>
        <v>#VALUE!</v>
      </c>
      <c r="O839" s="50">
        <f t="shared" si="192"/>
        <v>0</v>
      </c>
      <c r="Q839" s="55" t="e">
        <f t="shared" si="193"/>
        <v>#VALUE!</v>
      </c>
      <c r="R839" s="55" t="e">
        <f t="shared" si="196"/>
        <v>#VALUE!</v>
      </c>
      <c r="S839" s="55" t="e">
        <f t="shared" si="194"/>
        <v>#VALUE!</v>
      </c>
      <c r="T839" s="50" t="e">
        <f t="shared" si="197"/>
        <v>#VALUE!</v>
      </c>
      <c r="U839" s="50" t="e">
        <f t="shared" si="198"/>
        <v>#VALUE!</v>
      </c>
      <c r="V839" s="50" t="e">
        <f t="shared" si="199"/>
        <v>#VALUE!</v>
      </c>
    </row>
    <row r="840" spans="2:22" x14ac:dyDescent="0.25">
      <c r="B840" s="50" t="b">
        <f t="shared" si="186"/>
        <v>0</v>
      </c>
      <c r="C840" s="50" t="e">
        <f t="shared" si="188"/>
        <v>#VALUE!</v>
      </c>
      <c r="E840" s="56">
        <v>836</v>
      </c>
      <c r="G840" s="138"/>
      <c r="H840" s="135">
        <v>1</v>
      </c>
      <c r="I840" s="58" t="e">
        <f t="shared" si="189"/>
        <v>#VALUE!</v>
      </c>
      <c r="J840" s="50" t="e">
        <f t="shared" si="195"/>
        <v>#VALUE!</v>
      </c>
      <c r="K840" s="50" t="e">
        <f t="shared" si="187"/>
        <v>#VALUE!</v>
      </c>
      <c r="L840" s="50" t="e">
        <f t="shared" si="187"/>
        <v>#VALUE!</v>
      </c>
      <c r="M840" s="50" t="e">
        <f t="shared" si="190"/>
        <v>#VALUE!</v>
      </c>
      <c r="N840" s="50" t="e">
        <f t="shared" si="191"/>
        <v>#VALUE!</v>
      </c>
      <c r="O840" s="50">
        <f t="shared" si="192"/>
        <v>0</v>
      </c>
      <c r="Q840" s="55" t="e">
        <f t="shared" si="193"/>
        <v>#VALUE!</v>
      </c>
      <c r="R840" s="55" t="e">
        <f t="shared" si="196"/>
        <v>#VALUE!</v>
      </c>
      <c r="S840" s="55" t="e">
        <f t="shared" si="194"/>
        <v>#VALUE!</v>
      </c>
      <c r="T840" s="50" t="e">
        <f t="shared" si="197"/>
        <v>#VALUE!</v>
      </c>
      <c r="U840" s="50" t="e">
        <f t="shared" si="198"/>
        <v>#VALUE!</v>
      </c>
      <c r="V840" s="50" t="e">
        <f t="shared" si="199"/>
        <v>#VALUE!</v>
      </c>
    </row>
    <row r="841" spans="2:22" x14ac:dyDescent="0.25">
      <c r="B841" s="50" t="b">
        <f t="shared" si="186"/>
        <v>0</v>
      </c>
      <c r="C841" s="50" t="e">
        <f t="shared" si="188"/>
        <v>#VALUE!</v>
      </c>
      <c r="E841" s="56">
        <v>837</v>
      </c>
      <c r="G841" s="138"/>
      <c r="H841" s="135">
        <v>1</v>
      </c>
      <c r="I841" s="58" t="e">
        <f t="shared" si="189"/>
        <v>#VALUE!</v>
      </c>
      <c r="J841" s="50" t="e">
        <f t="shared" si="195"/>
        <v>#VALUE!</v>
      </c>
      <c r="K841" s="50" t="e">
        <f t="shared" si="187"/>
        <v>#VALUE!</v>
      </c>
      <c r="L841" s="50" t="e">
        <f t="shared" si="187"/>
        <v>#VALUE!</v>
      </c>
      <c r="M841" s="50" t="e">
        <f t="shared" si="190"/>
        <v>#VALUE!</v>
      </c>
      <c r="N841" s="50" t="e">
        <f t="shared" si="191"/>
        <v>#VALUE!</v>
      </c>
      <c r="O841" s="50">
        <f t="shared" si="192"/>
        <v>0</v>
      </c>
      <c r="Q841" s="55" t="e">
        <f t="shared" si="193"/>
        <v>#VALUE!</v>
      </c>
      <c r="R841" s="55" t="e">
        <f t="shared" si="196"/>
        <v>#VALUE!</v>
      </c>
      <c r="S841" s="55" t="e">
        <f t="shared" si="194"/>
        <v>#VALUE!</v>
      </c>
      <c r="T841" s="50" t="e">
        <f t="shared" si="197"/>
        <v>#VALUE!</v>
      </c>
      <c r="U841" s="50" t="e">
        <f t="shared" si="198"/>
        <v>#VALUE!</v>
      </c>
      <c r="V841" s="50" t="e">
        <f t="shared" si="199"/>
        <v>#VALUE!</v>
      </c>
    </row>
    <row r="842" spans="2:22" x14ac:dyDescent="0.25">
      <c r="B842" s="50" t="b">
        <f t="shared" si="186"/>
        <v>0</v>
      </c>
      <c r="C842" s="50" t="e">
        <f t="shared" si="188"/>
        <v>#VALUE!</v>
      </c>
      <c r="E842" s="56">
        <v>838</v>
      </c>
      <c r="G842" s="138"/>
      <c r="H842" s="135">
        <v>1</v>
      </c>
      <c r="I842" s="58" t="e">
        <f t="shared" si="189"/>
        <v>#VALUE!</v>
      </c>
      <c r="J842" s="50" t="e">
        <f t="shared" si="195"/>
        <v>#VALUE!</v>
      </c>
      <c r="K842" s="50" t="e">
        <f t="shared" si="187"/>
        <v>#VALUE!</v>
      </c>
      <c r="L842" s="50" t="e">
        <f t="shared" si="187"/>
        <v>#VALUE!</v>
      </c>
      <c r="M842" s="50" t="e">
        <f t="shared" si="190"/>
        <v>#VALUE!</v>
      </c>
      <c r="N842" s="50" t="e">
        <f t="shared" si="191"/>
        <v>#VALUE!</v>
      </c>
      <c r="O842" s="50">
        <f t="shared" si="192"/>
        <v>0</v>
      </c>
      <c r="Q842" s="55" t="e">
        <f t="shared" si="193"/>
        <v>#VALUE!</v>
      </c>
      <c r="R842" s="55" t="e">
        <f t="shared" si="196"/>
        <v>#VALUE!</v>
      </c>
      <c r="S842" s="55" t="e">
        <f t="shared" si="194"/>
        <v>#VALUE!</v>
      </c>
      <c r="T842" s="50" t="e">
        <f t="shared" si="197"/>
        <v>#VALUE!</v>
      </c>
      <c r="U842" s="50" t="e">
        <f t="shared" si="198"/>
        <v>#VALUE!</v>
      </c>
      <c r="V842" s="50" t="e">
        <f t="shared" si="199"/>
        <v>#VALUE!</v>
      </c>
    </row>
    <row r="843" spans="2:22" x14ac:dyDescent="0.25">
      <c r="B843" s="50" t="b">
        <f t="shared" si="186"/>
        <v>0</v>
      </c>
      <c r="C843" s="50" t="e">
        <f t="shared" si="188"/>
        <v>#VALUE!</v>
      </c>
      <c r="E843" s="56">
        <v>839</v>
      </c>
      <c r="G843" s="138"/>
      <c r="H843" s="135">
        <v>1</v>
      </c>
      <c r="I843" s="58" t="e">
        <f t="shared" si="189"/>
        <v>#VALUE!</v>
      </c>
      <c r="J843" s="50" t="e">
        <f t="shared" si="195"/>
        <v>#VALUE!</v>
      </c>
      <c r="K843" s="50" t="e">
        <f t="shared" si="187"/>
        <v>#VALUE!</v>
      </c>
      <c r="L843" s="50" t="e">
        <f t="shared" si="187"/>
        <v>#VALUE!</v>
      </c>
      <c r="M843" s="50" t="e">
        <f t="shared" si="190"/>
        <v>#VALUE!</v>
      </c>
      <c r="N843" s="50" t="e">
        <f t="shared" si="191"/>
        <v>#VALUE!</v>
      </c>
      <c r="O843" s="50">
        <f t="shared" si="192"/>
        <v>0</v>
      </c>
      <c r="Q843" s="55" t="e">
        <f t="shared" si="193"/>
        <v>#VALUE!</v>
      </c>
      <c r="R843" s="55" t="e">
        <f t="shared" si="196"/>
        <v>#VALUE!</v>
      </c>
      <c r="S843" s="55" t="e">
        <f t="shared" si="194"/>
        <v>#VALUE!</v>
      </c>
      <c r="T843" s="50" t="e">
        <f t="shared" si="197"/>
        <v>#VALUE!</v>
      </c>
      <c r="U843" s="50" t="e">
        <f t="shared" si="198"/>
        <v>#VALUE!</v>
      </c>
      <c r="V843" s="50" t="e">
        <f t="shared" si="199"/>
        <v>#VALUE!</v>
      </c>
    </row>
    <row r="844" spans="2:22" x14ac:dyDescent="0.25">
      <c r="B844" s="50" t="b">
        <f t="shared" si="186"/>
        <v>0</v>
      </c>
      <c r="C844" s="50" t="e">
        <f t="shared" si="188"/>
        <v>#VALUE!</v>
      </c>
      <c r="E844" s="56">
        <v>840</v>
      </c>
      <c r="G844" s="138"/>
      <c r="H844" s="135">
        <v>1</v>
      </c>
      <c r="I844" s="58" t="e">
        <f t="shared" si="189"/>
        <v>#VALUE!</v>
      </c>
      <c r="J844" s="50" t="e">
        <f t="shared" si="195"/>
        <v>#VALUE!</v>
      </c>
      <c r="K844" s="50" t="e">
        <f t="shared" si="187"/>
        <v>#VALUE!</v>
      </c>
      <c r="L844" s="50" t="e">
        <f t="shared" si="187"/>
        <v>#VALUE!</v>
      </c>
      <c r="M844" s="50" t="e">
        <f t="shared" si="190"/>
        <v>#VALUE!</v>
      </c>
      <c r="N844" s="50" t="e">
        <f t="shared" si="191"/>
        <v>#VALUE!</v>
      </c>
      <c r="O844" s="50">
        <f t="shared" si="192"/>
        <v>0</v>
      </c>
      <c r="Q844" s="55" t="e">
        <f t="shared" si="193"/>
        <v>#VALUE!</v>
      </c>
      <c r="R844" s="55" t="e">
        <f t="shared" si="196"/>
        <v>#VALUE!</v>
      </c>
      <c r="S844" s="55" t="e">
        <f t="shared" si="194"/>
        <v>#VALUE!</v>
      </c>
      <c r="T844" s="50" t="e">
        <f t="shared" si="197"/>
        <v>#VALUE!</v>
      </c>
      <c r="U844" s="50" t="e">
        <f t="shared" si="198"/>
        <v>#VALUE!</v>
      </c>
      <c r="V844" s="50" t="e">
        <f t="shared" si="199"/>
        <v>#VALUE!</v>
      </c>
    </row>
    <row r="845" spans="2:22" x14ac:dyDescent="0.25">
      <c r="B845" s="50" t="b">
        <f t="shared" si="186"/>
        <v>0</v>
      </c>
      <c r="C845" s="50" t="e">
        <f t="shared" si="188"/>
        <v>#VALUE!</v>
      </c>
      <c r="E845" s="56">
        <v>841</v>
      </c>
      <c r="G845" s="138"/>
      <c r="H845" s="135">
        <v>1</v>
      </c>
      <c r="I845" s="58" t="e">
        <f t="shared" si="189"/>
        <v>#VALUE!</v>
      </c>
      <c r="J845" s="50" t="e">
        <f t="shared" si="195"/>
        <v>#VALUE!</v>
      </c>
      <c r="K845" s="50" t="e">
        <f t="shared" si="187"/>
        <v>#VALUE!</v>
      </c>
      <c r="L845" s="50" t="e">
        <f t="shared" si="187"/>
        <v>#VALUE!</v>
      </c>
      <c r="M845" s="50" t="e">
        <f t="shared" si="190"/>
        <v>#VALUE!</v>
      </c>
      <c r="N845" s="50" t="e">
        <f t="shared" si="191"/>
        <v>#VALUE!</v>
      </c>
      <c r="O845" s="50">
        <f t="shared" si="192"/>
        <v>0</v>
      </c>
      <c r="Q845" s="55" t="e">
        <f t="shared" si="193"/>
        <v>#VALUE!</v>
      </c>
      <c r="R845" s="55" t="e">
        <f t="shared" si="196"/>
        <v>#VALUE!</v>
      </c>
      <c r="S845" s="55" t="e">
        <f t="shared" si="194"/>
        <v>#VALUE!</v>
      </c>
      <c r="T845" s="50" t="e">
        <f t="shared" si="197"/>
        <v>#VALUE!</v>
      </c>
      <c r="U845" s="50" t="e">
        <f t="shared" si="198"/>
        <v>#VALUE!</v>
      </c>
      <c r="V845" s="50" t="e">
        <f t="shared" si="199"/>
        <v>#VALUE!</v>
      </c>
    </row>
    <row r="846" spans="2:22" x14ac:dyDescent="0.25">
      <c r="B846" s="50" t="b">
        <f t="shared" ref="B846:B909" si="200">ISNUMBER(C846)</f>
        <v>0</v>
      </c>
      <c r="C846" s="50" t="e">
        <f t="shared" si="188"/>
        <v>#VALUE!</v>
      </c>
      <c r="E846" s="56">
        <v>842</v>
      </c>
      <c r="G846" s="138"/>
      <c r="H846" s="135">
        <v>1</v>
      </c>
      <c r="I846" s="58" t="e">
        <f t="shared" si="189"/>
        <v>#VALUE!</v>
      </c>
      <c r="J846" s="50" t="e">
        <f t="shared" si="195"/>
        <v>#VALUE!</v>
      </c>
      <c r="K846" s="50" t="e">
        <f t="shared" si="187"/>
        <v>#VALUE!</v>
      </c>
      <c r="L846" s="50" t="e">
        <f t="shared" si="187"/>
        <v>#VALUE!</v>
      </c>
      <c r="M846" s="50" t="e">
        <f t="shared" si="190"/>
        <v>#VALUE!</v>
      </c>
      <c r="N846" s="50" t="e">
        <f t="shared" si="191"/>
        <v>#VALUE!</v>
      </c>
      <c r="O846" s="50">
        <f t="shared" si="192"/>
        <v>0</v>
      </c>
      <c r="Q846" s="55" t="e">
        <f t="shared" si="193"/>
        <v>#VALUE!</v>
      </c>
      <c r="R846" s="55" t="e">
        <f t="shared" si="196"/>
        <v>#VALUE!</v>
      </c>
      <c r="S846" s="55" t="e">
        <f t="shared" si="194"/>
        <v>#VALUE!</v>
      </c>
      <c r="T846" s="50" t="e">
        <f t="shared" si="197"/>
        <v>#VALUE!</v>
      </c>
      <c r="U846" s="50" t="e">
        <f t="shared" si="198"/>
        <v>#VALUE!</v>
      </c>
      <c r="V846" s="50" t="e">
        <f t="shared" si="199"/>
        <v>#VALUE!</v>
      </c>
    </row>
    <row r="847" spans="2:22" x14ac:dyDescent="0.25">
      <c r="B847" s="50" t="b">
        <f t="shared" si="200"/>
        <v>0</v>
      </c>
      <c r="C847" s="50" t="e">
        <f t="shared" si="188"/>
        <v>#VALUE!</v>
      </c>
      <c r="E847" s="56">
        <v>843</v>
      </c>
      <c r="G847" s="138"/>
      <c r="H847" s="135">
        <v>1</v>
      </c>
      <c r="I847" s="58" t="e">
        <f t="shared" si="189"/>
        <v>#VALUE!</v>
      </c>
      <c r="J847" s="50" t="e">
        <f t="shared" si="195"/>
        <v>#VALUE!</v>
      </c>
      <c r="K847" s="50" t="e">
        <f t="shared" si="187"/>
        <v>#VALUE!</v>
      </c>
      <c r="L847" s="50" t="e">
        <f t="shared" si="187"/>
        <v>#VALUE!</v>
      </c>
      <c r="M847" s="50" t="e">
        <f t="shared" si="190"/>
        <v>#VALUE!</v>
      </c>
      <c r="N847" s="50" t="e">
        <f t="shared" si="191"/>
        <v>#VALUE!</v>
      </c>
      <c r="O847" s="50">
        <f t="shared" si="192"/>
        <v>0</v>
      </c>
      <c r="Q847" s="55" t="e">
        <f t="shared" si="193"/>
        <v>#VALUE!</v>
      </c>
      <c r="R847" s="55" t="e">
        <f t="shared" si="196"/>
        <v>#VALUE!</v>
      </c>
      <c r="S847" s="55" t="e">
        <f t="shared" si="194"/>
        <v>#VALUE!</v>
      </c>
      <c r="T847" s="50" t="e">
        <f t="shared" si="197"/>
        <v>#VALUE!</v>
      </c>
      <c r="U847" s="50" t="e">
        <f t="shared" si="198"/>
        <v>#VALUE!</v>
      </c>
      <c r="V847" s="50" t="e">
        <f t="shared" si="199"/>
        <v>#VALUE!</v>
      </c>
    </row>
    <row r="848" spans="2:22" x14ac:dyDescent="0.25">
      <c r="B848" s="50" t="b">
        <f t="shared" si="200"/>
        <v>0</v>
      </c>
      <c r="C848" s="50" t="e">
        <f t="shared" si="188"/>
        <v>#VALUE!</v>
      </c>
      <c r="E848" s="56">
        <v>844</v>
      </c>
      <c r="G848" s="138"/>
      <c r="H848" s="135">
        <v>1</v>
      </c>
      <c r="I848" s="58" t="e">
        <f t="shared" si="189"/>
        <v>#VALUE!</v>
      </c>
      <c r="J848" s="50" t="e">
        <f t="shared" si="195"/>
        <v>#VALUE!</v>
      </c>
      <c r="K848" s="50" t="e">
        <f t="shared" si="187"/>
        <v>#VALUE!</v>
      </c>
      <c r="L848" s="50" t="e">
        <f t="shared" si="187"/>
        <v>#VALUE!</v>
      </c>
      <c r="M848" s="50" t="e">
        <f t="shared" si="190"/>
        <v>#VALUE!</v>
      </c>
      <c r="N848" s="50" t="e">
        <f t="shared" si="191"/>
        <v>#VALUE!</v>
      </c>
      <c r="O848" s="50">
        <f t="shared" si="192"/>
        <v>0</v>
      </c>
      <c r="Q848" s="55" t="e">
        <f t="shared" si="193"/>
        <v>#VALUE!</v>
      </c>
      <c r="R848" s="55" t="e">
        <f t="shared" si="196"/>
        <v>#VALUE!</v>
      </c>
      <c r="S848" s="55" t="e">
        <f t="shared" si="194"/>
        <v>#VALUE!</v>
      </c>
      <c r="T848" s="50" t="e">
        <f t="shared" si="197"/>
        <v>#VALUE!</v>
      </c>
      <c r="U848" s="50" t="e">
        <f t="shared" si="198"/>
        <v>#VALUE!</v>
      </c>
      <c r="V848" s="50" t="e">
        <f t="shared" si="199"/>
        <v>#VALUE!</v>
      </c>
    </row>
    <row r="849" spans="2:22" x14ac:dyDescent="0.25">
      <c r="B849" s="50" t="b">
        <f t="shared" si="200"/>
        <v>0</v>
      </c>
      <c r="C849" s="50" t="e">
        <f t="shared" si="188"/>
        <v>#VALUE!</v>
      </c>
      <c r="E849" s="56">
        <v>845</v>
      </c>
      <c r="G849" s="138"/>
      <c r="H849" s="135">
        <v>1</v>
      </c>
      <c r="I849" s="58" t="e">
        <f t="shared" si="189"/>
        <v>#VALUE!</v>
      </c>
      <c r="J849" s="50" t="e">
        <f t="shared" si="195"/>
        <v>#VALUE!</v>
      </c>
      <c r="K849" s="50" t="e">
        <f t="shared" si="187"/>
        <v>#VALUE!</v>
      </c>
      <c r="L849" s="50" t="e">
        <f t="shared" si="187"/>
        <v>#VALUE!</v>
      </c>
      <c r="M849" s="50" t="e">
        <f t="shared" si="190"/>
        <v>#VALUE!</v>
      </c>
      <c r="N849" s="50" t="e">
        <f t="shared" si="191"/>
        <v>#VALUE!</v>
      </c>
      <c r="O849" s="50">
        <f t="shared" si="192"/>
        <v>0</v>
      </c>
      <c r="Q849" s="55" t="e">
        <f t="shared" si="193"/>
        <v>#VALUE!</v>
      </c>
      <c r="R849" s="55" t="e">
        <f t="shared" si="196"/>
        <v>#VALUE!</v>
      </c>
      <c r="S849" s="55" t="e">
        <f t="shared" si="194"/>
        <v>#VALUE!</v>
      </c>
      <c r="T849" s="50" t="e">
        <f t="shared" si="197"/>
        <v>#VALUE!</v>
      </c>
      <c r="U849" s="50" t="e">
        <f t="shared" si="198"/>
        <v>#VALUE!</v>
      </c>
      <c r="V849" s="50" t="e">
        <f t="shared" si="199"/>
        <v>#VALUE!</v>
      </c>
    </row>
    <row r="850" spans="2:22" x14ac:dyDescent="0.25">
      <c r="B850" s="50" t="b">
        <f t="shared" si="200"/>
        <v>0</v>
      </c>
      <c r="C850" s="50" t="e">
        <f t="shared" si="188"/>
        <v>#VALUE!</v>
      </c>
      <c r="E850" s="56">
        <v>846</v>
      </c>
      <c r="G850" s="138"/>
      <c r="H850" s="135">
        <v>1</v>
      </c>
      <c r="I850" s="58" t="e">
        <f t="shared" si="189"/>
        <v>#VALUE!</v>
      </c>
      <c r="J850" s="50" t="e">
        <f t="shared" si="195"/>
        <v>#VALUE!</v>
      </c>
      <c r="K850" s="50" t="e">
        <f t="shared" si="187"/>
        <v>#VALUE!</v>
      </c>
      <c r="L850" s="50" t="e">
        <f t="shared" si="187"/>
        <v>#VALUE!</v>
      </c>
      <c r="M850" s="50" t="e">
        <f t="shared" si="190"/>
        <v>#VALUE!</v>
      </c>
      <c r="N850" s="50" t="e">
        <f t="shared" si="191"/>
        <v>#VALUE!</v>
      </c>
      <c r="O850" s="50">
        <f t="shared" si="192"/>
        <v>0</v>
      </c>
      <c r="Q850" s="55" t="e">
        <f t="shared" si="193"/>
        <v>#VALUE!</v>
      </c>
      <c r="R850" s="55" t="e">
        <f t="shared" si="196"/>
        <v>#VALUE!</v>
      </c>
      <c r="S850" s="55" t="e">
        <f t="shared" si="194"/>
        <v>#VALUE!</v>
      </c>
      <c r="T850" s="50" t="e">
        <f t="shared" si="197"/>
        <v>#VALUE!</v>
      </c>
      <c r="U850" s="50" t="e">
        <f t="shared" si="198"/>
        <v>#VALUE!</v>
      </c>
      <c r="V850" s="50" t="e">
        <f t="shared" si="199"/>
        <v>#VALUE!</v>
      </c>
    </row>
    <row r="851" spans="2:22" x14ac:dyDescent="0.25">
      <c r="B851" s="50" t="b">
        <f t="shared" si="200"/>
        <v>0</v>
      </c>
      <c r="C851" s="50" t="e">
        <f t="shared" si="188"/>
        <v>#VALUE!</v>
      </c>
      <c r="E851" s="56">
        <v>847</v>
      </c>
      <c r="G851" s="138"/>
      <c r="H851" s="135">
        <v>1</v>
      </c>
      <c r="I851" s="58" t="e">
        <f t="shared" si="189"/>
        <v>#VALUE!</v>
      </c>
      <c r="J851" s="50" t="e">
        <f t="shared" si="195"/>
        <v>#VALUE!</v>
      </c>
      <c r="K851" s="50" t="e">
        <f t="shared" si="187"/>
        <v>#VALUE!</v>
      </c>
      <c r="L851" s="50" t="e">
        <f t="shared" si="187"/>
        <v>#VALUE!</v>
      </c>
      <c r="M851" s="50" t="e">
        <f t="shared" si="190"/>
        <v>#VALUE!</v>
      </c>
      <c r="N851" s="50" t="e">
        <f t="shared" si="191"/>
        <v>#VALUE!</v>
      </c>
      <c r="O851" s="50">
        <f t="shared" si="192"/>
        <v>0</v>
      </c>
      <c r="Q851" s="55" t="e">
        <f t="shared" si="193"/>
        <v>#VALUE!</v>
      </c>
      <c r="R851" s="55" t="e">
        <f t="shared" si="196"/>
        <v>#VALUE!</v>
      </c>
      <c r="S851" s="55" t="e">
        <f t="shared" si="194"/>
        <v>#VALUE!</v>
      </c>
      <c r="T851" s="50" t="e">
        <f t="shared" si="197"/>
        <v>#VALUE!</v>
      </c>
      <c r="U851" s="50" t="e">
        <f t="shared" si="198"/>
        <v>#VALUE!</v>
      </c>
      <c r="V851" s="50" t="e">
        <f t="shared" si="199"/>
        <v>#VALUE!</v>
      </c>
    </row>
    <row r="852" spans="2:22" x14ac:dyDescent="0.25">
      <c r="B852" s="50" t="b">
        <f t="shared" si="200"/>
        <v>0</v>
      </c>
      <c r="C852" s="50" t="e">
        <f t="shared" si="188"/>
        <v>#VALUE!</v>
      </c>
      <c r="E852" s="56">
        <v>848</v>
      </c>
      <c r="G852" s="138"/>
      <c r="H852" s="135">
        <v>1</v>
      </c>
      <c r="I852" s="58" t="e">
        <f t="shared" si="189"/>
        <v>#VALUE!</v>
      </c>
      <c r="J852" s="50" t="e">
        <f t="shared" si="195"/>
        <v>#VALUE!</v>
      </c>
      <c r="K852" s="50" t="e">
        <f t="shared" si="187"/>
        <v>#VALUE!</v>
      </c>
      <c r="L852" s="50" t="e">
        <f t="shared" si="187"/>
        <v>#VALUE!</v>
      </c>
      <c r="M852" s="50" t="e">
        <f t="shared" si="190"/>
        <v>#VALUE!</v>
      </c>
      <c r="N852" s="50" t="e">
        <f t="shared" si="191"/>
        <v>#VALUE!</v>
      </c>
      <c r="O852" s="50">
        <f t="shared" si="192"/>
        <v>0</v>
      </c>
      <c r="Q852" s="55" t="e">
        <f t="shared" si="193"/>
        <v>#VALUE!</v>
      </c>
      <c r="R852" s="55" t="e">
        <f t="shared" si="196"/>
        <v>#VALUE!</v>
      </c>
      <c r="S852" s="55" t="e">
        <f t="shared" si="194"/>
        <v>#VALUE!</v>
      </c>
      <c r="T852" s="50" t="e">
        <f t="shared" si="197"/>
        <v>#VALUE!</v>
      </c>
      <c r="U852" s="50" t="e">
        <f t="shared" si="198"/>
        <v>#VALUE!</v>
      </c>
      <c r="V852" s="50" t="e">
        <f t="shared" si="199"/>
        <v>#VALUE!</v>
      </c>
    </row>
    <row r="853" spans="2:22" x14ac:dyDescent="0.25">
      <c r="B853" s="50" t="b">
        <f t="shared" si="200"/>
        <v>0</v>
      </c>
      <c r="C853" s="50" t="e">
        <f t="shared" si="188"/>
        <v>#VALUE!</v>
      </c>
      <c r="E853" s="56">
        <v>849</v>
      </c>
      <c r="G853" s="138"/>
      <c r="H853" s="135">
        <v>1</v>
      </c>
      <c r="I853" s="58" t="e">
        <f t="shared" si="189"/>
        <v>#VALUE!</v>
      </c>
      <c r="J853" s="50" t="e">
        <f t="shared" si="195"/>
        <v>#VALUE!</v>
      </c>
      <c r="K853" s="50" t="e">
        <f t="shared" si="187"/>
        <v>#VALUE!</v>
      </c>
      <c r="L853" s="50" t="e">
        <f t="shared" si="187"/>
        <v>#VALUE!</v>
      </c>
      <c r="M853" s="50" t="e">
        <f t="shared" si="190"/>
        <v>#VALUE!</v>
      </c>
      <c r="N853" s="50" t="e">
        <f t="shared" si="191"/>
        <v>#VALUE!</v>
      </c>
      <c r="O853" s="50">
        <f t="shared" si="192"/>
        <v>0</v>
      </c>
      <c r="Q853" s="55" t="e">
        <f t="shared" si="193"/>
        <v>#VALUE!</v>
      </c>
      <c r="R853" s="55" t="e">
        <f t="shared" si="196"/>
        <v>#VALUE!</v>
      </c>
      <c r="S853" s="55" t="e">
        <f t="shared" si="194"/>
        <v>#VALUE!</v>
      </c>
      <c r="T853" s="50" t="e">
        <f t="shared" si="197"/>
        <v>#VALUE!</v>
      </c>
      <c r="U853" s="50" t="e">
        <f t="shared" si="198"/>
        <v>#VALUE!</v>
      </c>
      <c r="V853" s="50" t="e">
        <f t="shared" si="199"/>
        <v>#VALUE!</v>
      </c>
    </row>
    <row r="854" spans="2:22" x14ac:dyDescent="0.25">
      <c r="B854" s="50" t="b">
        <f t="shared" si="200"/>
        <v>0</v>
      </c>
      <c r="C854" s="50" t="e">
        <f t="shared" si="188"/>
        <v>#VALUE!</v>
      </c>
      <c r="E854" s="56">
        <v>850</v>
      </c>
      <c r="G854" s="138"/>
      <c r="H854" s="135">
        <v>1</v>
      </c>
      <c r="I854" s="58" t="e">
        <f t="shared" si="189"/>
        <v>#VALUE!</v>
      </c>
      <c r="J854" s="50" t="e">
        <f t="shared" si="195"/>
        <v>#VALUE!</v>
      </c>
      <c r="K854" s="50" t="e">
        <f t="shared" si="187"/>
        <v>#VALUE!</v>
      </c>
      <c r="L854" s="50" t="e">
        <f t="shared" si="187"/>
        <v>#VALUE!</v>
      </c>
      <c r="M854" s="50" t="e">
        <f t="shared" si="190"/>
        <v>#VALUE!</v>
      </c>
      <c r="N854" s="50" t="e">
        <f t="shared" si="191"/>
        <v>#VALUE!</v>
      </c>
      <c r="O854" s="50">
        <f t="shared" si="192"/>
        <v>0</v>
      </c>
      <c r="Q854" s="55" t="e">
        <f t="shared" si="193"/>
        <v>#VALUE!</v>
      </c>
      <c r="R854" s="55" t="e">
        <f t="shared" si="196"/>
        <v>#VALUE!</v>
      </c>
      <c r="S854" s="55" t="e">
        <f t="shared" si="194"/>
        <v>#VALUE!</v>
      </c>
      <c r="T854" s="50" t="e">
        <f t="shared" si="197"/>
        <v>#VALUE!</v>
      </c>
      <c r="U854" s="50" t="e">
        <f t="shared" si="198"/>
        <v>#VALUE!</v>
      </c>
      <c r="V854" s="50" t="e">
        <f t="shared" si="199"/>
        <v>#VALUE!</v>
      </c>
    </row>
    <row r="855" spans="2:22" x14ac:dyDescent="0.25">
      <c r="B855" s="50" t="b">
        <f t="shared" si="200"/>
        <v>0</v>
      </c>
      <c r="C855" s="50" t="e">
        <f t="shared" si="188"/>
        <v>#VALUE!</v>
      </c>
      <c r="E855" s="56">
        <v>851</v>
      </c>
      <c r="G855" s="138"/>
      <c r="H855" s="135">
        <v>1</v>
      </c>
      <c r="I855" s="58" t="e">
        <f t="shared" si="189"/>
        <v>#VALUE!</v>
      </c>
      <c r="J855" s="50" t="e">
        <f t="shared" si="195"/>
        <v>#VALUE!</v>
      </c>
      <c r="K855" s="50" t="e">
        <f t="shared" si="187"/>
        <v>#VALUE!</v>
      </c>
      <c r="L855" s="50" t="e">
        <f t="shared" si="187"/>
        <v>#VALUE!</v>
      </c>
      <c r="M855" s="50" t="e">
        <f t="shared" si="190"/>
        <v>#VALUE!</v>
      </c>
      <c r="N855" s="50" t="e">
        <f t="shared" si="191"/>
        <v>#VALUE!</v>
      </c>
      <c r="O855" s="50">
        <f t="shared" si="192"/>
        <v>0</v>
      </c>
      <c r="Q855" s="55" t="e">
        <f t="shared" si="193"/>
        <v>#VALUE!</v>
      </c>
      <c r="R855" s="55" t="e">
        <f t="shared" si="196"/>
        <v>#VALUE!</v>
      </c>
      <c r="S855" s="55" t="e">
        <f t="shared" si="194"/>
        <v>#VALUE!</v>
      </c>
      <c r="T855" s="50" t="e">
        <f t="shared" si="197"/>
        <v>#VALUE!</v>
      </c>
      <c r="U855" s="50" t="e">
        <f t="shared" si="198"/>
        <v>#VALUE!</v>
      </c>
      <c r="V855" s="50" t="e">
        <f t="shared" si="199"/>
        <v>#VALUE!</v>
      </c>
    </row>
    <row r="856" spans="2:22" x14ac:dyDescent="0.25">
      <c r="B856" s="50" t="b">
        <f t="shared" si="200"/>
        <v>0</v>
      </c>
      <c r="C856" s="50" t="e">
        <f t="shared" si="188"/>
        <v>#VALUE!</v>
      </c>
      <c r="E856" s="56">
        <v>852</v>
      </c>
      <c r="G856" s="138"/>
      <c r="H856" s="135">
        <v>1</v>
      </c>
      <c r="I856" s="58" t="e">
        <f t="shared" si="189"/>
        <v>#VALUE!</v>
      </c>
      <c r="J856" s="50" t="e">
        <f t="shared" si="195"/>
        <v>#VALUE!</v>
      </c>
      <c r="K856" s="50" t="e">
        <f t="shared" si="187"/>
        <v>#VALUE!</v>
      </c>
      <c r="L856" s="50" t="e">
        <f t="shared" si="187"/>
        <v>#VALUE!</v>
      </c>
      <c r="M856" s="50" t="e">
        <f t="shared" si="190"/>
        <v>#VALUE!</v>
      </c>
      <c r="N856" s="50" t="e">
        <f t="shared" si="191"/>
        <v>#VALUE!</v>
      </c>
      <c r="O856" s="50">
        <f t="shared" si="192"/>
        <v>0</v>
      </c>
      <c r="Q856" s="55" t="e">
        <f t="shared" si="193"/>
        <v>#VALUE!</v>
      </c>
      <c r="R856" s="55" t="e">
        <f t="shared" si="196"/>
        <v>#VALUE!</v>
      </c>
      <c r="S856" s="55" t="e">
        <f t="shared" si="194"/>
        <v>#VALUE!</v>
      </c>
      <c r="T856" s="50" t="e">
        <f t="shared" si="197"/>
        <v>#VALUE!</v>
      </c>
      <c r="U856" s="50" t="e">
        <f t="shared" si="198"/>
        <v>#VALUE!</v>
      </c>
      <c r="V856" s="50" t="e">
        <f t="shared" si="199"/>
        <v>#VALUE!</v>
      </c>
    </row>
    <row r="857" spans="2:22" x14ac:dyDescent="0.25">
      <c r="B857" s="50" t="b">
        <f t="shared" si="200"/>
        <v>0</v>
      </c>
      <c r="C857" s="50" t="e">
        <f t="shared" si="188"/>
        <v>#VALUE!</v>
      </c>
      <c r="E857" s="56">
        <v>853</v>
      </c>
      <c r="G857" s="138"/>
      <c r="H857" s="135">
        <v>1</v>
      </c>
      <c r="I857" s="58" t="e">
        <f t="shared" si="189"/>
        <v>#VALUE!</v>
      </c>
      <c r="J857" s="50" t="e">
        <f t="shared" si="195"/>
        <v>#VALUE!</v>
      </c>
      <c r="K857" s="50" t="e">
        <f t="shared" si="187"/>
        <v>#VALUE!</v>
      </c>
      <c r="L857" s="50" t="e">
        <f t="shared" si="187"/>
        <v>#VALUE!</v>
      </c>
      <c r="M857" s="50" t="e">
        <f t="shared" si="190"/>
        <v>#VALUE!</v>
      </c>
      <c r="N857" s="50" t="e">
        <f t="shared" si="191"/>
        <v>#VALUE!</v>
      </c>
      <c r="O857" s="50">
        <f t="shared" si="192"/>
        <v>0</v>
      </c>
      <c r="Q857" s="55" t="e">
        <f t="shared" si="193"/>
        <v>#VALUE!</v>
      </c>
      <c r="R857" s="55" t="e">
        <f t="shared" si="196"/>
        <v>#VALUE!</v>
      </c>
      <c r="S857" s="55" t="e">
        <f t="shared" si="194"/>
        <v>#VALUE!</v>
      </c>
      <c r="T857" s="50" t="e">
        <f t="shared" si="197"/>
        <v>#VALUE!</v>
      </c>
      <c r="U857" s="50" t="e">
        <f t="shared" si="198"/>
        <v>#VALUE!</v>
      </c>
      <c r="V857" s="50" t="e">
        <f t="shared" si="199"/>
        <v>#VALUE!</v>
      </c>
    </row>
    <row r="858" spans="2:22" x14ac:dyDescent="0.25">
      <c r="B858" s="50" t="b">
        <f t="shared" si="200"/>
        <v>0</v>
      </c>
      <c r="C858" s="50" t="e">
        <f t="shared" si="188"/>
        <v>#VALUE!</v>
      </c>
      <c r="E858" s="56">
        <v>854</v>
      </c>
      <c r="G858" s="138"/>
      <c r="H858" s="135">
        <v>1</v>
      </c>
      <c r="I858" s="58" t="e">
        <f t="shared" si="189"/>
        <v>#VALUE!</v>
      </c>
      <c r="J858" s="50" t="e">
        <f t="shared" si="195"/>
        <v>#VALUE!</v>
      </c>
      <c r="K858" s="50" t="e">
        <f t="shared" si="187"/>
        <v>#VALUE!</v>
      </c>
      <c r="L858" s="50" t="e">
        <f t="shared" si="187"/>
        <v>#VALUE!</v>
      </c>
      <c r="M858" s="50" t="e">
        <f t="shared" si="190"/>
        <v>#VALUE!</v>
      </c>
      <c r="N858" s="50" t="e">
        <f t="shared" si="191"/>
        <v>#VALUE!</v>
      </c>
      <c r="O858" s="50">
        <f t="shared" si="192"/>
        <v>0</v>
      </c>
      <c r="Q858" s="55" t="e">
        <f t="shared" si="193"/>
        <v>#VALUE!</v>
      </c>
      <c r="R858" s="55" t="e">
        <f t="shared" si="196"/>
        <v>#VALUE!</v>
      </c>
      <c r="S858" s="55" t="e">
        <f t="shared" si="194"/>
        <v>#VALUE!</v>
      </c>
      <c r="T858" s="50" t="e">
        <f t="shared" si="197"/>
        <v>#VALUE!</v>
      </c>
      <c r="U858" s="50" t="e">
        <f t="shared" si="198"/>
        <v>#VALUE!</v>
      </c>
      <c r="V858" s="50" t="e">
        <f t="shared" si="199"/>
        <v>#VALUE!</v>
      </c>
    </row>
    <row r="859" spans="2:22" x14ac:dyDescent="0.25">
      <c r="B859" s="50" t="b">
        <f t="shared" si="200"/>
        <v>0</v>
      </c>
      <c r="C859" s="50" t="e">
        <f t="shared" si="188"/>
        <v>#VALUE!</v>
      </c>
      <c r="E859" s="56">
        <v>855</v>
      </c>
      <c r="G859" s="138"/>
      <c r="H859" s="135">
        <v>1</v>
      </c>
      <c r="I859" s="58" t="e">
        <f t="shared" si="189"/>
        <v>#VALUE!</v>
      </c>
      <c r="J859" s="50" t="e">
        <f t="shared" si="195"/>
        <v>#VALUE!</v>
      </c>
      <c r="K859" s="50" t="e">
        <f t="shared" si="187"/>
        <v>#VALUE!</v>
      </c>
      <c r="L859" s="50" t="e">
        <f t="shared" si="187"/>
        <v>#VALUE!</v>
      </c>
      <c r="M859" s="50" t="e">
        <f t="shared" si="190"/>
        <v>#VALUE!</v>
      </c>
      <c r="N859" s="50" t="e">
        <f t="shared" si="191"/>
        <v>#VALUE!</v>
      </c>
      <c r="O859" s="50">
        <f t="shared" si="192"/>
        <v>0</v>
      </c>
      <c r="Q859" s="55" t="e">
        <f t="shared" si="193"/>
        <v>#VALUE!</v>
      </c>
      <c r="R859" s="55" t="e">
        <f t="shared" si="196"/>
        <v>#VALUE!</v>
      </c>
      <c r="S859" s="55" t="e">
        <f t="shared" si="194"/>
        <v>#VALUE!</v>
      </c>
      <c r="T859" s="50" t="e">
        <f t="shared" si="197"/>
        <v>#VALUE!</v>
      </c>
      <c r="U859" s="50" t="e">
        <f t="shared" si="198"/>
        <v>#VALUE!</v>
      </c>
      <c r="V859" s="50" t="e">
        <f t="shared" si="199"/>
        <v>#VALUE!</v>
      </c>
    </row>
    <row r="860" spans="2:22" x14ac:dyDescent="0.25">
      <c r="B860" s="50" t="b">
        <f t="shared" si="200"/>
        <v>0</v>
      </c>
      <c r="C860" s="50" t="e">
        <f t="shared" si="188"/>
        <v>#VALUE!</v>
      </c>
      <c r="E860" s="56">
        <v>856</v>
      </c>
      <c r="G860" s="138"/>
      <c r="H860" s="135">
        <v>1</v>
      </c>
      <c r="I860" s="58" t="e">
        <f t="shared" si="189"/>
        <v>#VALUE!</v>
      </c>
      <c r="J860" s="50" t="e">
        <f t="shared" si="195"/>
        <v>#VALUE!</v>
      </c>
      <c r="K860" s="50" t="e">
        <f t="shared" si="187"/>
        <v>#VALUE!</v>
      </c>
      <c r="L860" s="50" t="e">
        <f t="shared" si="187"/>
        <v>#VALUE!</v>
      </c>
      <c r="M860" s="50" t="e">
        <f t="shared" si="190"/>
        <v>#VALUE!</v>
      </c>
      <c r="N860" s="50" t="e">
        <f t="shared" si="191"/>
        <v>#VALUE!</v>
      </c>
      <c r="O860" s="50">
        <f t="shared" si="192"/>
        <v>0</v>
      </c>
      <c r="Q860" s="55" t="e">
        <f t="shared" si="193"/>
        <v>#VALUE!</v>
      </c>
      <c r="R860" s="55" t="e">
        <f t="shared" si="196"/>
        <v>#VALUE!</v>
      </c>
      <c r="S860" s="55" t="e">
        <f t="shared" si="194"/>
        <v>#VALUE!</v>
      </c>
      <c r="T860" s="50" t="e">
        <f t="shared" si="197"/>
        <v>#VALUE!</v>
      </c>
      <c r="U860" s="50" t="e">
        <f t="shared" si="198"/>
        <v>#VALUE!</v>
      </c>
      <c r="V860" s="50" t="e">
        <f t="shared" si="199"/>
        <v>#VALUE!</v>
      </c>
    </row>
    <row r="861" spans="2:22" x14ac:dyDescent="0.25">
      <c r="B861" s="50" t="b">
        <f t="shared" si="200"/>
        <v>0</v>
      </c>
      <c r="C861" s="50" t="e">
        <f t="shared" si="188"/>
        <v>#VALUE!</v>
      </c>
      <c r="E861" s="56">
        <v>857</v>
      </c>
      <c r="G861" s="138"/>
      <c r="H861" s="135">
        <v>1</v>
      </c>
      <c r="I861" s="58" t="e">
        <f t="shared" si="189"/>
        <v>#VALUE!</v>
      </c>
      <c r="J861" s="50" t="e">
        <f t="shared" si="195"/>
        <v>#VALUE!</v>
      </c>
      <c r="K861" s="50" t="e">
        <f t="shared" si="187"/>
        <v>#VALUE!</v>
      </c>
      <c r="L861" s="50" t="e">
        <f t="shared" si="187"/>
        <v>#VALUE!</v>
      </c>
      <c r="M861" s="50" t="e">
        <f t="shared" si="190"/>
        <v>#VALUE!</v>
      </c>
      <c r="N861" s="50" t="e">
        <f t="shared" si="191"/>
        <v>#VALUE!</v>
      </c>
      <c r="O861" s="50">
        <f t="shared" si="192"/>
        <v>0</v>
      </c>
      <c r="Q861" s="55" t="e">
        <f t="shared" si="193"/>
        <v>#VALUE!</v>
      </c>
      <c r="R861" s="55" t="e">
        <f t="shared" si="196"/>
        <v>#VALUE!</v>
      </c>
      <c r="S861" s="55" t="e">
        <f t="shared" si="194"/>
        <v>#VALUE!</v>
      </c>
      <c r="T861" s="50" t="e">
        <f t="shared" si="197"/>
        <v>#VALUE!</v>
      </c>
      <c r="U861" s="50" t="e">
        <f t="shared" si="198"/>
        <v>#VALUE!</v>
      </c>
      <c r="V861" s="50" t="e">
        <f t="shared" si="199"/>
        <v>#VALUE!</v>
      </c>
    </row>
    <row r="862" spans="2:22" x14ac:dyDescent="0.25">
      <c r="B862" s="50" t="b">
        <f t="shared" si="200"/>
        <v>0</v>
      </c>
      <c r="C862" s="50" t="e">
        <f t="shared" si="188"/>
        <v>#VALUE!</v>
      </c>
      <c r="E862" s="56">
        <v>858</v>
      </c>
      <c r="G862" s="138"/>
      <c r="H862" s="135">
        <v>1</v>
      </c>
      <c r="I862" s="58" t="e">
        <f t="shared" si="189"/>
        <v>#VALUE!</v>
      </c>
      <c r="J862" s="50" t="e">
        <f t="shared" si="195"/>
        <v>#VALUE!</v>
      </c>
      <c r="K862" s="50" t="e">
        <f t="shared" si="187"/>
        <v>#VALUE!</v>
      </c>
      <c r="L862" s="50" t="e">
        <f t="shared" si="187"/>
        <v>#VALUE!</v>
      </c>
      <c r="M862" s="50" t="e">
        <f t="shared" si="190"/>
        <v>#VALUE!</v>
      </c>
      <c r="N862" s="50" t="e">
        <f t="shared" si="191"/>
        <v>#VALUE!</v>
      </c>
      <c r="O862" s="50">
        <f t="shared" si="192"/>
        <v>0</v>
      </c>
      <c r="Q862" s="55" t="e">
        <f t="shared" si="193"/>
        <v>#VALUE!</v>
      </c>
      <c r="R862" s="55" t="e">
        <f t="shared" si="196"/>
        <v>#VALUE!</v>
      </c>
      <c r="S862" s="55" t="e">
        <f t="shared" si="194"/>
        <v>#VALUE!</v>
      </c>
      <c r="T862" s="50" t="e">
        <f t="shared" si="197"/>
        <v>#VALUE!</v>
      </c>
      <c r="U862" s="50" t="e">
        <f t="shared" si="198"/>
        <v>#VALUE!</v>
      </c>
      <c r="V862" s="50" t="e">
        <f t="shared" si="199"/>
        <v>#VALUE!</v>
      </c>
    </row>
    <row r="863" spans="2:22" x14ac:dyDescent="0.25">
      <c r="B863" s="50" t="b">
        <f t="shared" si="200"/>
        <v>0</v>
      </c>
      <c r="C863" s="50" t="e">
        <f t="shared" si="188"/>
        <v>#VALUE!</v>
      </c>
      <c r="E863" s="56">
        <v>859</v>
      </c>
      <c r="G863" s="138"/>
      <c r="H863" s="135">
        <v>1</v>
      </c>
      <c r="I863" s="58" t="e">
        <f t="shared" si="189"/>
        <v>#VALUE!</v>
      </c>
      <c r="J863" s="50" t="e">
        <f t="shared" si="195"/>
        <v>#VALUE!</v>
      </c>
      <c r="K863" s="50" t="e">
        <f t="shared" si="187"/>
        <v>#VALUE!</v>
      </c>
      <c r="L863" s="50" t="e">
        <f t="shared" si="187"/>
        <v>#VALUE!</v>
      </c>
      <c r="M863" s="50" t="e">
        <f t="shared" si="190"/>
        <v>#VALUE!</v>
      </c>
      <c r="N863" s="50" t="e">
        <f t="shared" si="191"/>
        <v>#VALUE!</v>
      </c>
      <c r="O863" s="50">
        <f t="shared" si="192"/>
        <v>0</v>
      </c>
      <c r="Q863" s="55" t="e">
        <f t="shared" si="193"/>
        <v>#VALUE!</v>
      </c>
      <c r="R863" s="55" t="e">
        <f t="shared" si="196"/>
        <v>#VALUE!</v>
      </c>
      <c r="S863" s="55" t="e">
        <f t="shared" si="194"/>
        <v>#VALUE!</v>
      </c>
      <c r="T863" s="50" t="e">
        <f t="shared" si="197"/>
        <v>#VALUE!</v>
      </c>
      <c r="U863" s="50" t="e">
        <f t="shared" si="198"/>
        <v>#VALUE!</v>
      </c>
      <c r="V863" s="50" t="e">
        <f t="shared" si="199"/>
        <v>#VALUE!</v>
      </c>
    </row>
    <row r="864" spans="2:22" x14ac:dyDescent="0.25">
      <c r="B864" s="50" t="b">
        <f t="shared" si="200"/>
        <v>0</v>
      </c>
      <c r="C864" s="50" t="e">
        <f t="shared" si="188"/>
        <v>#VALUE!</v>
      </c>
      <c r="E864" s="56">
        <v>860</v>
      </c>
      <c r="G864" s="138"/>
      <c r="H864" s="135">
        <v>1</v>
      </c>
      <c r="I864" s="58" t="e">
        <f t="shared" si="189"/>
        <v>#VALUE!</v>
      </c>
      <c r="J864" s="50" t="e">
        <f t="shared" si="195"/>
        <v>#VALUE!</v>
      </c>
      <c r="K864" s="50" t="e">
        <f t="shared" si="187"/>
        <v>#VALUE!</v>
      </c>
      <c r="L864" s="50" t="e">
        <f t="shared" si="187"/>
        <v>#VALUE!</v>
      </c>
      <c r="M864" s="50" t="e">
        <f t="shared" si="190"/>
        <v>#VALUE!</v>
      </c>
      <c r="N864" s="50" t="e">
        <f t="shared" si="191"/>
        <v>#VALUE!</v>
      </c>
      <c r="O864" s="50">
        <f t="shared" si="192"/>
        <v>0</v>
      </c>
      <c r="Q864" s="55" t="e">
        <f t="shared" si="193"/>
        <v>#VALUE!</v>
      </c>
      <c r="R864" s="55" t="e">
        <f t="shared" si="196"/>
        <v>#VALUE!</v>
      </c>
      <c r="S864" s="55" t="e">
        <f t="shared" si="194"/>
        <v>#VALUE!</v>
      </c>
      <c r="T864" s="50" t="e">
        <f t="shared" si="197"/>
        <v>#VALUE!</v>
      </c>
      <c r="U864" s="50" t="e">
        <f t="shared" si="198"/>
        <v>#VALUE!</v>
      </c>
      <c r="V864" s="50" t="e">
        <f t="shared" si="199"/>
        <v>#VALUE!</v>
      </c>
    </row>
    <row r="865" spans="2:22" x14ac:dyDescent="0.25">
      <c r="B865" s="50" t="b">
        <f t="shared" si="200"/>
        <v>0</v>
      </c>
      <c r="C865" s="50" t="e">
        <f t="shared" si="188"/>
        <v>#VALUE!</v>
      </c>
      <c r="E865" s="56">
        <v>861</v>
      </c>
      <c r="G865" s="138"/>
      <c r="H865" s="135">
        <v>1</v>
      </c>
      <c r="I865" s="58" t="e">
        <f t="shared" si="189"/>
        <v>#VALUE!</v>
      </c>
      <c r="J865" s="50" t="e">
        <f t="shared" si="195"/>
        <v>#VALUE!</v>
      </c>
      <c r="K865" s="50" t="e">
        <f t="shared" si="187"/>
        <v>#VALUE!</v>
      </c>
      <c r="L865" s="50" t="e">
        <f t="shared" si="187"/>
        <v>#VALUE!</v>
      </c>
      <c r="M865" s="50" t="e">
        <f t="shared" si="190"/>
        <v>#VALUE!</v>
      </c>
      <c r="N865" s="50" t="e">
        <f t="shared" si="191"/>
        <v>#VALUE!</v>
      </c>
      <c r="O865" s="50">
        <f t="shared" si="192"/>
        <v>0</v>
      </c>
      <c r="Q865" s="55" t="e">
        <f t="shared" si="193"/>
        <v>#VALUE!</v>
      </c>
      <c r="R865" s="55" t="e">
        <f t="shared" si="196"/>
        <v>#VALUE!</v>
      </c>
      <c r="S865" s="55" t="e">
        <f t="shared" si="194"/>
        <v>#VALUE!</v>
      </c>
      <c r="T865" s="50" t="e">
        <f t="shared" si="197"/>
        <v>#VALUE!</v>
      </c>
      <c r="U865" s="50" t="e">
        <f t="shared" si="198"/>
        <v>#VALUE!</v>
      </c>
      <c r="V865" s="50" t="e">
        <f t="shared" si="199"/>
        <v>#VALUE!</v>
      </c>
    </row>
    <row r="866" spans="2:22" x14ac:dyDescent="0.25">
      <c r="B866" s="50" t="b">
        <f t="shared" si="200"/>
        <v>0</v>
      </c>
      <c r="C866" s="50" t="e">
        <f t="shared" si="188"/>
        <v>#VALUE!</v>
      </c>
      <c r="E866" s="56">
        <v>862</v>
      </c>
      <c r="G866" s="138"/>
      <c r="H866" s="135">
        <v>1</v>
      </c>
      <c r="I866" s="58" t="e">
        <f t="shared" si="189"/>
        <v>#VALUE!</v>
      </c>
      <c r="J866" s="50" t="e">
        <f t="shared" si="195"/>
        <v>#VALUE!</v>
      </c>
      <c r="K866" s="50" t="e">
        <f t="shared" si="187"/>
        <v>#VALUE!</v>
      </c>
      <c r="L866" s="50" t="e">
        <f t="shared" si="187"/>
        <v>#VALUE!</v>
      </c>
      <c r="M866" s="50" t="e">
        <f t="shared" si="190"/>
        <v>#VALUE!</v>
      </c>
      <c r="N866" s="50" t="e">
        <f t="shared" si="191"/>
        <v>#VALUE!</v>
      </c>
      <c r="O866" s="50">
        <f t="shared" si="192"/>
        <v>0</v>
      </c>
      <c r="Q866" s="55" t="e">
        <f t="shared" si="193"/>
        <v>#VALUE!</v>
      </c>
      <c r="R866" s="55" t="e">
        <f t="shared" si="196"/>
        <v>#VALUE!</v>
      </c>
      <c r="S866" s="55" t="e">
        <f t="shared" si="194"/>
        <v>#VALUE!</v>
      </c>
      <c r="T866" s="50" t="e">
        <f t="shared" si="197"/>
        <v>#VALUE!</v>
      </c>
      <c r="U866" s="50" t="e">
        <f t="shared" si="198"/>
        <v>#VALUE!</v>
      </c>
      <c r="V866" s="50" t="e">
        <f t="shared" si="199"/>
        <v>#VALUE!</v>
      </c>
    </row>
    <row r="867" spans="2:22" x14ac:dyDescent="0.25">
      <c r="B867" s="50" t="b">
        <f t="shared" si="200"/>
        <v>0</v>
      </c>
      <c r="C867" s="50" t="e">
        <f t="shared" si="188"/>
        <v>#VALUE!</v>
      </c>
      <c r="E867" s="56">
        <v>863</v>
      </c>
      <c r="G867" s="138"/>
      <c r="H867" s="135">
        <v>1</v>
      </c>
      <c r="I867" s="58" t="e">
        <f t="shared" si="189"/>
        <v>#VALUE!</v>
      </c>
      <c r="J867" s="50" t="e">
        <f t="shared" si="195"/>
        <v>#VALUE!</v>
      </c>
      <c r="K867" s="50" t="e">
        <f t="shared" si="187"/>
        <v>#VALUE!</v>
      </c>
      <c r="L867" s="50" t="e">
        <f t="shared" si="187"/>
        <v>#VALUE!</v>
      </c>
      <c r="M867" s="50" t="e">
        <f t="shared" si="190"/>
        <v>#VALUE!</v>
      </c>
      <c r="N867" s="50" t="e">
        <f t="shared" si="191"/>
        <v>#VALUE!</v>
      </c>
      <c r="O867" s="50">
        <f t="shared" si="192"/>
        <v>0</v>
      </c>
      <c r="Q867" s="55" t="e">
        <f t="shared" si="193"/>
        <v>#VALUE!</v>
      </c>
      <c r="R867" s="55" t="e">
        <f t="shared" si="196"/>
        <v>#VALUE!</v>
      </c>
      <c r="S867" s="55" t="e">
        <f t="shared" si="194"/>
        <v>#VALUE!</v>
      </c>
      <c r="T867" s="50" t="e">
        <f t="shared" si="197"/>
        <v>#VALUE!</v>
      </c>
      <c r="U867" s="50" t="e">
        <f t="shared" si="198"/>
        <v>#VALUE!</v>
      </c>
      <c r="V867" s="50" t="e">
        <f t="shared" si="199"/>
        <v>#VALUE!</v>
      </c>
    </row>
    <row r="868" spans="2:22" x14ac:dyDescent="0.25">
      <c r="B868" s="50" t="b">
        <f t="shared" si="200"/>
        <v>0</v>
      </c>
      <c r="C868" s="50" t="e">
        <f t="shared" si="188"/>
        <v>#VALUE!</v>
      </c>
      <c r="E868" s="56">
        <v>864</v>
      </c>
      <c r="G868" s="138"/>
      <c r="H868" s="135">
        <v>1</v>
      </c>
      <c r="I868" s="58" t="e">
        <f t="shared" si="189"/>
        <v>#VALUE!</v>
      </c>
      <c r="J868" s="50" t="e">
        <f t="shared" si="195"/>
        <v>#VALUE!</v>
      </c>
      <c r="K868" s="50" t="e">
        <f t="shared" si="187"/>
        <v>#VALUE!</v>
      </c>
      <c r="L868" s="50" t="e">
        <f t="shared" si="187"/>
        <v>#VALUE!</v>
      </c>
      <c r="M868" s="50" t="e">
        <f t="shared" si="190"/>
        <v>#VALUE!</v>
      </c>
      <c r="N868" s="50" t="e">
        <f t="shared" si="191"/>
        <v>#VALUE!</v>
      </c>
      <c r="O868" s="50">
        <f t="shared" si="192"/>
        <v>0</v>
      </c>
      <c r="Q868" s="55" t="e">
        <f t="shared" si="193"/>
        <v>#VALUE!</v>
      </c>
      <c r="R868" s="55" t="e">
        <f t="shared" si="196"/>
        <v>#VALUE!</v>
      </c>
      <c r="S868" s="55" t="e">
        <f t="shared" si="194"/>
        <v>#VALUE!</v>
      </c>
      <c r="T868" s="50" t="e">
        <f t="shared" si="197"/>
        <v>#VALUE!</v>
      </c>
      <c r="U868" s="50" t="e">
        <f t="shared" si="198"/>
        <v>#VALUE!</v>
      </c>
      <c r="V868" s="50" t="e">
        <f t="shared" si="199"/>
        <v>#VALUE!</v>
      </c>
    </row>
    <row r="869" spans="2:22" x14ac:dyDescent="0.25">
      <c r="B869" s="50" t="b">
        <f t="shared" si="200"/>
        <v>0</v>
      </c>
      <c r="C869" s="50" t="e">
        <f t="shared" si="188"/>
        <v>#VALUE!</v>
      </c>
      <c r="E869" s="56">
        <v>865</v>
      </c>
      <c r="G869" s="138"/>
      <c r="H869" s="135">
        <v>1</v>
      </c>
      <c r="I869" s="58" t="e">
        <f t="shared" si="189"/>
        <v>#VALUE!</v>
      </c>
      <c r="J869" s="50" t="e">
        <f t="shared" si="195"/>
        <v>#VALUE!</v>
      </c>
      <c r="K869" s="50" t="e">
        <f t="shared" si="187"/>
        <v>#VALUE!</v>
      </c>
      <c r="L869" s="50" t="e">
        <f t="shared" si="187"/>
        <v>#VALUE!</v>
      </c>
      <c r="M869" s="50" t="e">
        <f t="shared" si="190"/>
        <v>#VALUE!</v>
      </c>
      <c r="N869" s="50" t="e">
        <f t="shared" si="191"/>
        <v>#VALUE!</v>
      </c>
      <c r="O869" s="50">
        <f t="shared" si="192"/>
        <v>0</v>
      </c>
      <c r="Q869" s="55" t="e">
        <f t="shared" si="193"/>
        <v>#VALUE!</v>
      </c>
      <c r="R869" s="55" t="e">
        <f t="shared" si="196"/>
        <v>#VALUE!</v>
      </c>
      <c r="S869" s="55" t="e">
        <f t="shared" si="194"/>
        <v>#VALUE!</v>
      </c>
      <c r="T869" s="50" t="e">
        <f t="shared" si="197"/>
        <v>#VALUE!</v>
      </c>
      <c r="U869" s="50" t="e">
        <f t="shared" si="198"/>
        <v>#VALUE!</v>
      </c>
      <c r="V869" s="50" t="e">
        <f t="shared" si="199"/>
        <v>#VALUE!</v>
      </c>
    </row>
    <row r="870" spans="2:22" x14ac:dyDescent="0.25">
      <c r="B870" s="50" t="b">
        <f t="shared" si="200"/>
        <v>0</v>
      </c>
      <c r="C870" s="50" t="e">
        <f t="shared" si="188"/>
        <v>#VALUE!</v>
      </c>
      <c r="E870" s="56">
        <v>866</v>
      </c>
      <c r="G870" s="138"/>
      <c r="H870" s="135">
        <v>1</v>
      </c>
      <c r="I870" s="58" t="e">
        <f t="shared" si="189"/>
        <v>#VALUE!</v>
      </c>
      <c r="J870" s="50" t="e">
        <f t="shared" si="195"/>
        <v>#VALUE!</v>
      </c>
      <c r="K870" s="50" t="e">
        <f t="shared" si="187"/>
        <v>#VALUE!</v>
      </c>
      <c r="L870" s="50" t="e">
        <f t="shared" si="187"/>
        <v>#VALUE!</v>
      </c>
      <c r="M870" s="50" t="e">
        <f t="shared" si="190"/>
        <v>#VALUE!</v>
      </c>
      <c r="N870" s="50" t="e">
        <f t="shared" si="191"/>
        <v>#VALUE!</v>
      </c>
      <c r="O870" s="50">
        <f t="shared" si="192"/>
        <v>0</v>
      </c>
      <c r="Q870" s="55" t="e">
        <f t="shared" si="193"/>
        <v>#VALUE!</v>
      </c>
      <c r="R870" s="55" t="e">
        <f t="shared" si="196"/>
        <v>#VALUE!</v>
      </c>
      <c r="S870" s="55" t="e">
        <f t="shared" si="194"/>
        <v>#VALUE!</v>
      </c>
      <c r="T870" s="50" t="e">
        <f t="shared" si="197"/>
        <v>#VALUE!</v>
      </c>
      <c r="U870" s="50" t="e">
        <f t="shared" si="198"/>
        <v>#VALUE!</v>
      </c>
      <c r="V870" s="50" t="e">
        <f t="shared" si="199"/>
        <v>#VALUE!</v>
      </c>
    </row>
    <row r="871" spans="2:22" x14ac:dyDescent="0.25">
      <c r="B871" s="50" t="b">
        <f t="shared" si="200"/>
        <v>0</v>
      </c>
      <c r="C871" s="50" t="e">
        <f t="shared" si="188"/>
        <v>#VALUE!</v>
      </c>
      <c r="E871" s="56">
        <v>867</v>
      </c>
      <c r="G871" s="138"/>
      <c r="H871" s="135">
        <v>1</v>
      </c>
      <c r="I871" s="58" t="e">
        <f t="shared" si="189"/>
        <v>#VALUE!</v>
      </c>
      <c r="J871" s="50" t="e">
        <f t="shared" si="195"/>
        <v>#VALUE!</v>
      </c>
      <c r="K871" s="50" t="e">
        <f t="shared" si="187"/>
        <v>#VALUE!</v>
      </c>
      <c r="L871" s="50" t="e">
        <f t="shared" si="187"/>
        <v>#VALUE!</v>
      </c>
      <c r="M871" s="50" t="e">
        <f t="shared" si="190"/>
        <v>#VALUE!</v>
      </c>
      <c r="N871" s="50" t="e">
        <f t="shared" si="191"/>
        <v>#VALUE!</v>
      </c>
      <c r="O871" s="50">
        <f t="shared" si="192"/>
        <v>0</v>
      </c>
      <c r="Q871" s="55" t="e">
        <f t="shared" si="193"/>
        <v>#VALUE!</v>
      </c>
      <c r="R871" s="55" t="e">
        <f t="shared" si="196"/>
        <v>#VALUE!</v>
      </c>
      <c r="S871" s="55" t="e">
        <f t="shared" si="194"/>
        <v>#VALUE!</v>
      </c>
      <c r="T871" s="50" t="e">
        <f t="shared" si="197"/>
        <v>#VALUE!</v>
      </c>
      <c r="U871" s="50" t="e">
        <f t="shared" si="198"/>
        <v>#VALUE!</v>
      </c>
      <c r="V871" s="50" t="e">
        <f t="shared" si="199"/>
        <v>#VALUE!</v>
      </c>
    </row>
    <row r="872" spans="2:22" x14ac:dyDescent="0.25">
      <c r="B872" s="50" t="b">
        <f t="shared" si="200"/>
        <v>0</v>
      </c>
      <c r="C872" s="50" t="e">
        <f t="shared" si="188"/>
        <v>#VALUE!</v>
      </c>
      <c r="E872" s="56">
        <v>868</v>
      </c>
      <c r="G872" s="138"/>
      <c r="H872" s="135">
        <v>1</v>
      </c>
      <c r="I872" s="58" t="e">
        <f t="shared" si="189"/>
        <v>#VALUE!</v>
      </c>
      <c r="J872" s="50" t="e">
        <f t="shared" si="195"/>
        <v>#VALUE!</v>
      </c>
      <c r="K872" s="50" t="e">
        <f t="shared" si="187"/>
        <v>#VALUE!</v>
      </c>
      <c r="L872" s="50" t="e">
        <f t="shared" si="187"/>
        <v>#VALUE!</v>
      </c>
      <c r="M872" s="50" t="e">
        <f t="shared" si="190"/>
        <v>#VALUE!</v>
      </c>
      <c r="N872" s="50" t="e">
        <f t="shared" si="191"/>
        <v>#VALUE!</v>
      </c>
      <c r="O872" s="50">
        <f t="shared" si="192"/>
        <v>0</v>
      </c>
      <c r="Q872" s="55" t="e">
        <f t="shared" si="193"/>
        <v>#VALUE!</v>
      </c>
      <c r="R872" s="55" t="e">
        <f t="shared" si="196"/>
        <v>#VALUE!</v>
      </c>
      <c r="S872" s="55" t="e">
        <f t="shared" si="194"/>
        <v>#VALUE!</v>
      </c>
      <c r="T872" s="50" t="e">
        <f t="shared" si="197"/>
        <v>#VALUE!</v>
      </c>
      <c r="U872" s="50" t="e">
        <f t="shared" si="198"/>
        <v>#VALUE!</v>
      </c>
      <c r="V872" s="50" t="e">
        <f t="shared" si="199"/>
        <v>#VALUE!</v>
      </c>
    </row>
    <row r="873" spans="2:22" x14ac:dyDescent="0.25">
      <c r="B873" s="50" t="b">
        <f t="shared" si="200"/>
        <v>0</v>
      </c>
      <c r="C873" s="50" t="e">
        <f t="shared" si="188"/>
        <v>#VALUE!</v>
      </c>
      <c r="E873" s="56">
        <v>869</v>
      </c>
      <c r="G873" s="138"/>
      <c r="H873" s="135">
        <v>1</v>
      </c>
      <c r="I873" s="58" t="e">
        <f t="shared" si="189"/>
        <v>#VALUE!</v>
      </c>
      <c r="J873" s="50" t="e">
        <f t="shared" si="195"/>
        <v>#VALUE!</v>
      </c>
      <c r="K873" s="50" t="e">
        <f t="shared" si="187"/>
        <v>#VALUE!</v>
      </c>
      <c r="L873" s="50" t="e">
        <f t="shared" si="187"/>
        <v>#VALUE!</v>
      </c>
      <c r="M873" s="50" t="e">
        <f t="shared" si="190"/>
        <v>#VALUE!</v>
      </c>
      <c r="N873" s="50" t="e">
        <f t="shared" si="191"/>
        <v>#VALUE!</v>
      </c>
      <c r="O873" s="50">
        <f t="shared" si="192"/>
        <v>0</v>
      </c>
      <c r="Q873" s="55" t="e">
        <f t="shared" si="193"/>
        <v>#VALUE!</v>
      </c>
      <c r="R873" s="55" t="e">
        <f t="shared" si="196"/>
        <v>#VALUE!</v>
      </c>
      <c r="S873" s="55" t="e">
        <f t="shared" si="194"/>
        <v>#VALUE!</v>
      </c>
      <c r="T873" s="50" t="e">
        <f t="shared" si="197"/>
        <v>#VALUE!</v>
      </c>
      <c r="U873" s="50" t="e">
        <f t="shared" si="198"/>
        <v>#VALUE!</v>
      </c>
      <c r="V873" s="50" t="e">
        <f t="shared" si="199"/>
        <v>#VALUE!</v>
      </c>
    </row>
    <row r="874" spans="2:22" x14ac:dyDescent="0.25">
      <c r="B874" s="50" t="b">
        <f t="shared" si="200"/>
        <v>0</v>
      </c>
      <c r="C874" s="50" t="e">
        <f t="shared" si="188"/>
        <v>#VALUE!</v>
      </c>
      <c r="E874" s="56">
        <v>870</v>
      </c>
      <c r="G874" s="138"/>
      <c r="H874" s="135">
        <v>1</v>
      </c>
      <c r="I874" s="58" t="e">
        <f t="shared" si="189"/>
        <v>#VALUE!</v>
      </c>
      <c r="J874" s="50" t="e">
        <f t="shared" si="195"/>
        <v>#VALUE!</v>
      </c>
      <c r="K874" s="50" t="e">
        <f t="shared" si="187"/>
        <v>#VALUE!</v>
      </c>
      <c r="L874" s="50" t="e">
        <f t="shared" si="187"/>
        <v>#VALUE!</v>
      </c>
      <c r="M874" s="50" t="e">
        <f t="shared" si="190"/>
        <v>#VALUE!</v>
      </c>
      <c r="N874" s="50" t="e">
        <f t="shared" si="191"/>
        <v>#VALUE!</v>
      </c>
      <c r="O874" s="50">
        <f t="shared" si="192"/>
        <v>0</v>
      </c>
      <c r="Q874" s="55" t="e">
        <f t="shared" si="193"/>
        <v>#VALUE!</v>
      </c>
      <c r="R874" s="55" t="e">
        <f t="shared" si="196"/>
        <v>#VALUE!</v>
      </c>
      <c r="S874" s="55" t="e">
        <f t="shared" si="194"/>
        <v>#VALUE!</v>
      </c>
      <c r="T874" s="50" t="e">
        <f t="shared" si="197"/>
        <v>#VALUE!</v>
      </c>
      <c r="U874" s="50" t="e">
        <f t="shared" si="198"/>
        <v>#VALUE!</v>
      </c>
      <c r="V874" s="50" t="e">
        <f t="shared" si="199"/>
        <v>#VALUE!</v>
      </c>
    </row>
    <row r="875" spans="2:22" x14ac:dyDescent="0.25">
      <c r="B875" s="50" t="b">
        <f t="shared" si="200"/>
        <v>0</v>
      </c>
      <c r="C875" s="50" t="e">
        <f t="shared" si="188"/>
        <v>#VALUE!</v>
      </c>
      <c r="E875" s="56">
        <v>871</v>
      </c>
      <c r="G875" s="138"/>
      <c r="H875" s="135">
        <v>1</v>
      </c>
      <c r="I875" s="58" t="e">
        <f t="shared" si="189"/>
        <v>#VALUE!</v>
      </c>
      <c r="J875" s="50" t="e">
        <f t="shared" si="195"/>
        <v>#VALUE!</v>
      </c>
      <c r="K875" s="50" t="e">
        <f t="shared" si="187"/>
        <v>#VALUE!</v>
      </c>
      <c r="L875" s="50" t="e">
        <f t="shared" si="187"/>
        <v>#VALUE!</v>
      </c>
      <c r="M875" s="50" t="e">
        <f t="shared" si="190"/>
        <v>#VALUE!</v>
      </c>
      <c r="N875" s="50" t="e">
        <f t="shared" si="191"/>
        <v>#VALUE!</v>
      </c>
      <c r="O875" s="50">
        <f t="shared" si="192"/>
        <v>0</v>
      </c>
      <c r="Q875" s="55" t="e">
        <f t="shared" si="193"/>
        <v>#VALUE!</v>
      </c>
      <c r="R875" s="55" t="e">
        <f t="shared" si="196"/>
        <v>#VALUE!</v>
      </c>
      <c r="S875" s="55" t="e">
        <f t="shared" si="194"/>
        <v>#VALUE!</v>
      </c>
      <c r="T875" s="50" t="e">
        <f t="shared" si="197"/>
        <v>#VALUE!</v>
      </c>
      <c r="U875" s="50" t="e">
        <f t="shared" si="198"/>
        <v>#VALUE!</v>
      </c>
      <c r="V875" s="50" t="e">
        <f t="shared" si="199"/>
        <v>#VALUE!</v>
      </c>
    </row>
    <row r="876" spans="2:22" x14ac:dyDescent="0.25">
      <c r="B876" s="50" t="b">
        <f t="shared" si="200"/>
        <v>0</v>
      </c>
      <c r="C876" s="50" t="e">
        <f t="shared" si="188"/>
        <v>#VALUE!</v>
      </c>
      <c r="E876" s="56">
        <v>872</v>
      </c>
      <c r="G876" s="138"/>
      <c r="H876" s="135">
        <v>1</v>
      </c>
      <c r="I876" s="58" t="e">
        <f t="shared" si="189"/>
        <v>#VALUE!</v>
      </c>
      <c r="J876" s="50" t="e">
        <f t="shared" si="195"/>
        <v>#VALUE!</v>
      </c>
      <c r="K876" s="50" t="e">
        <f t="shared" si="187"/>
        <v>#VALUE!</v>
      </c>
      <c r="L876" s="50" t="e">
        <f t="shared" si="187"/>
        <v>#VALUE!</v>
      </c>
      <c r="M876" s="50" t="e">
        <f t="shared" si="190"/>
        <v>#VALUE!</v>
      </c>
      <c r="N876" s="50" t="e">
        <f t="shared" si="191"/>
        <v>#VALUE!</v>
      </c>
      <c r="O876" s="50">
        <f t="shared" si="192"/>
        <v>0</v>
      </c>
      <c r="Q876" s="55" t="e">
        <f t="shared" si="193"/>
        <v>#VALUE!</v>
      </c>
      <c r="R876" s="55" t="e">
        <f t="shared" si="196"/>
        <v>#VALUE!</v>
      </c>
      <c r="S876" s="55" t="e">
        <f t="shared" si="194"/>
        <v>#VALUE!</v>
      </c>
      <c r="T876" s="50" t="e">
        <f t="shared" si="197"/>
        <v>#VALUE!</v>
      </c>
      <c r="U876" s="50" t="e">
        <f t="shared" si="198"/>
        <v>#VALUE!</v>
      </c>
      <c r="V876" s="50" t="e">
        <f t="shared" si="199"/>
        <v>#VALUE!</v>
      </c>
    </row>
    <row r="877" spans="2:22" x14ac:dyDescent="0.25">
      <c r="B877" s="50" t="b">
        <f t="shared" si="200"/>
        <v>0</v>
      </c>
      <c r="C877" s="50" t="e">
        <f t="shared" si="188"/>
        <v>#VALUE!</v>
      </c>
      <c r="E877" s="56">
        <v>873</v>
      </c>
      <c r="G877" s="138"/>
      <c r="H877" s="135">
        <v>1</v>
      </c>
      <c r="I877" s="58" t="e">
        <f t="shared" si="189"/>
        <v>#VALUE!</v>
      </c>
      <c r="J877" s="50" t="e">
        <f t="shared" si="195"/>
        <v>#VALUE!</v>
      </c>
      <c r="K877" s="50" t="e">
        <f t="shared" si="187"/>
        <v>#VALUE!</v>
      </c>
      <c r="L877" s="50" t="e">
        <f t="shared" si="187"/>
        <v>#VALUE!</v>
      </c>
      <c r="M877" s="50" t="e">
        <f t="shared" si="190"/>
        <v>#VALUE!</v>
      </c>
      <c r="N877" s="50" t="e">
        <f t="shared" si="191"/>
        <v>#VALUE!</v>
      </c>
      <c r="O877" s="50">
        <f t="shared" si="192"/>
        <v>0</v>
      </c>
      <c r="Q877" s="55" t="e">
        <f t="shared" si="193"/>
        <v>#VALUE!</v>
      </c>
      <c r="R877" s="55" t="e">
        <f t="shared" si="196"/>
        <v>#VALUE!</v>
      </c>
      <c r="S877" s="55" t="e">
        <f t="shared" si="194"/>
        <v>#VALUE!</v>
      </c>
      <c r="T877" s="50" t="e">
        <f t="shared" si="197"/>
        <v>#VALUE!</v>
      </c>
      <c r="U877" s="50" t="e">
        <f t="shared" si="198"/>
        <v>#VALUE!</v>
      </c>
      <c r="V877" s="50" t="e">
        <f t="shared" si="199"/>
        <v>#VALUE!</v>
      </c>
    </row>
    <row r="878" spans="2:22" x14ac:dyDescent="0.25">
      <c r="B878" s="50" t="b">
        <f t="shared" si="200"/>
        <v>0</v>
      </c>
      <c r="C878" s="50" t="e">
        <f t="shared" si="188"/>
        <v>#VALUE!</v>
      </c>
      <c r="E878" s="56">
        <v>874</v>
      </c>
      <c r="G878" s="138"/>
      <c r="H878" s="135">
        <v>1</v>
      </c>
      <c r="I878" s="58" t="e">
        <f t="shared" si="189"/>
        <v>#VALUE!</v>
      </c>
      <c r="J878" s="50" t="e">
        <f t="shared" si="195"/>
        <v>#VALUE!</v>
      </c>
      <c r="K878" s="50" t="e">
        <f t="shared" si="187"/>
        <v>#VALUE!</v>
      </c>
      <c r="L878" s="50" t="e">
        <f t="shared" si="187"/>
        <v>#VALUE!</v>
      </c>
      <c r="M878" s="50" t="e">
        <f t="shared" si="190"/>
        <v>#VALUE!</v>
      </c>
      <c r="N878" s="50" t="e">
        <f t="shared" si="191"/>
        <v>#VALUE!</v>
      </c>
      <c r="O878" s="50">
        <f t="shared" si="192"/>
        <v>0</v>
      </c>
      <c r="Q878" s="55" t="e">
        <f t="shared" si="193"/>
        <v>#VALUE!</v>
      </c>
      <c r="R878" s="55" t="e">
        <f t="shared" si="196"/>
        <v>#VALUE!</v>
      </c>
      <c r="S878" s="55" t="e">
        <f t="shared" si="194"/>
        <v>#VALUE!</v>
      </c>
      <c r="T878" s="50" t="e">
        <f t="shared" si="197"/>
        <v>#VALUE!</v>
      </c>
      <c r="U878" s="50" t="e">
        <f t="shared" si="198"/>
        <v>#VALUE!</v>
      </c>
      <c r="V878" s="50" t="e">
        <f t="shared" si="199"/>
        <v>#VALUE!</v>
      </c>
    </row>
    <row r="879" spans="2:22" x14ac:dyDescent="0.25">
      <c r="B879" s="50" t="b">
        <f t="shared" si="200"/>
        <v>0</v>
      </c>
      <c r="C879" s="50" t="e">
        <f t="shared" si="188"/>
        <v>#VALUE!</v>
      </c>
      <c r="E879" s="56">
        <v>875</v>
      </c>
      <c r="G879" s="138"/>
      <c r="H879" s="135">
        <v>1</v>
      </c>
      <c r="I879" s="58" t="e">
        <f t="shared" si="189"/>
        <v>#VALUE!</v>
      </c>
      <c r="J879" s="50" t="e">
        <f t="shared" si="195"/>
        <v>#VALUE!</v>
      </c>
      <c r="K879" s="50" t="e">
        <f t="shared" ref="K879:L942" si="201">N879-M879</f>
        <v>#VALUE!</v>
      </c>
      <c r="L879" s="50" t="e">
        <f t="shared" si="201"/>
        <v>#VALUE!</v>
      </c>
      <c r="M879" s="50" t="e">
        <f t="shared" si="190"/>
        <v>#VALUE!</v>
      </c>
      <c r="N879" s="50" t="e">
        <f t="shared" si="191"/>
        <v>#VALUE!</v>
      </c>
      <c r="O879" s="50">
        <f t="shared" si="192"/>
        <v>0</v>
      </c>
      <c r="Q879" s="55" t="e">
        <f t="shared" si="193"/>
        <v>#VALUE!</v>
      </c>
      <c r="R879" s="55" t="e">
        <f t="shared" si="196"/>
        <v>#VALUE!</v>
      </c>
      <c r="S879" s="55" t="e">
        <f t="shared" si="194"/>
        <v>#VALUE!</v>
      </c>
      <c r="T879" s="50" t="e">
        <f t="shared" si="197"/>
        <v>#VALUE!</v>
      </c>
      <c r="U879" s="50" t="e">
        <f t="shared" si="198"/>
        <v>#VALUE!</v>
      </c>
      <c r="V879" s="50" t="e">
        <f t="shared" si="199"/>
        <v>#VALUE!</v>
      </c>
    </row>
    <row r="880" spans="2:22" x14ac:dyDescent="0.25">
      <c r="B880" s="50" t="b">
        <f t="shared" si="200"/>
        <v>0</v>
      </c>
      <c r="C880" s="50" t="e">
        <f t="shared" si="188"/>
        <v>#VALUE!</v>
      </c>
      <c r="E880" s="56">
        <v>876</v>
      </c>
      <c r="G880" s="138"/>
      <c r="H880" s="135">
        <v>1</v>
      </c>
      <c r="I880" s="58" t="e">
        <f t="shared" si="189"/>
        <v>#VALUE!</v>
      </c>
      <c r="J880" s="50" t="e">
        <f t="shared" si="195"/>
        <v>#VALUE!</v>
      </c>
      <c r="K880" s="50" t="e">
        <f t="shared" si="201"/>
        <v>#VALUE!</v>
      </c>
      <c r="L880" s="50" t="e">
        <f t="shared" si="201"/>
        <v>#VALUE!</v>
      </c>
      <c r="M880" s="50" t="e">
        <f t="shared" si="190"/>
        <v>#VALUE!</v>
      </c>
      <c r="N880" s="50" t="e">
        <f t="shared" si="191"/>
        <v>#VALUE!</v>
      </c>
      <c r="O880" s="50">
        <f t="shared" si="192"/>
        <v>0</v>
      </c>
      <c r="Q880" s="55" t="e">
        <f t="shared" si="193"/>
        <v>#VALUE!</v>
      </c>
      <c r="R880" s="55" t="e">
        <f t="shared" si="196"/>
        <v>#VALUE!</v>
      </c>
      <c r="S880" s="55" t="e">
        <f t="shared" si="194"/>
        <v>#VALUE!</v>
      </c>
      <c r="T880" s="50" t="e">
        <f t="shared" si="197"/>
        <v>#VALUE!</v>
      </c>
      <c r="U880" s="50" t="e">
        <f t="shared" si="198"/>
        <v>#VALUE!</v>
      </c>
      <c r="V880" s="50" t="e">
        <f t="shared" si="199"/>
        <v>#VALUE!</v>
      </c>
    </row>
    <row r="881" spans="2:22" x14ac:dyDescent="0.25">
      <c r="B881" s="50" t="b">
        <f t="shared" si="200"/>
        <v>0</v>
      </c>
      <c r="C881" s="50" t="e">
        <f t="shared" si="188"/>
        <v>#VALUE!</v>
      </c>
      <c r="E881" s="56">
        <v>877</v>
      </c>
      <c r="G881" s="138"/>
      <c r="H881" s="135">
        <v>1</v>
      </c>
      <c r="I881" s="58" t="e">
        <f t="shared" si="189"/>
        <v>#VALUE!</v>
      </c>
      <c r="J881" s="50" t="e">
        <f t="shared" si="195"/>
        <v>#VALUE!</v>
      </c>
      <c r="K881" s="50" t="e">
        <f t="shared" si="201"/>
        <v>#VALUE!</v>
      </c>
      <c r="L881" s="50" t="e">
        <f t="shared" si="201"/>
        <v>#VALUE!</v>
      </c>
      <c r="M881" s="50" t="e">
        <f t="shared" si="190"/>
        <v>#VALUE!</v>
      </c>
      <c r="N881" s="50" t="e">
        <f t="shared" si="191"/>
        <v>#VALUE!</v>
      </c>
      <c r="O881" s="50">
        <f t="shared" si="192"/>
        <v>0</v>
      </c>
      <c r="Q881" s="55" t="e">
        <f t="shared" si="193"/>
        <v>#VALUE!</v>
      </c>
      <c r="R881" s="55" t="e">
        <f t="shared" si="196"/>
        <v>#VALUE!</v>
      </c>
      <c r="S881" s="55" t="e">
        <f t="shared" si="194"/>
        <v>#VALUE!</v>
      </c>
      <c r="T881" s="50" t="e">
        <f t="shared" si="197"/>
        <v>#VALUE!</v>
      </c>
      <c r="U881" s="50" t="e">
        <f t="shared" si="198"/>
        <v>#VALUE!</v>
      </c>
      <c r="V881" s="50" t="e">
        <f t="shared" si="199"/>
        <v>#VALUE!</v>
      </c>
    </row>
    <row r="882" spans="2:22" x14ac:dyDescent="0.25">
      <c r="B882" s="50" t="b">
        <f t="shared" si="200"/>
        <v>0</v>
      </c>
      <c r="C882" s="50" t="e">
        <f t="shared" si="188"/>
        <v>#VALUE!</v>
      </c>
      <c r="E882" s="56">
        <v>878</v>
      </c>
      <c r="G882" s="138"/>
      <c r="H882" s="135">
        <v>1</v>
      </c>
      <c r="I882" s="58" t="e">
        <f t="shared" si="189"/>
        <v>#VALUE!</v>
      </c>
      <c r="J882" s="50" t="e">
        <f t="shared" si="195"/>
        <v>#VALUE!</v>
      </c>
      <c r="K882" s="50" t="e">
        <f t="shared" si="201"/>
        <v>#VALUE!</v>
      </c>
      <c r="L882" s="50" t="e">
        <f t="shared" si="201"/>
        <v>#VALUE!</v>
      </c>
      <c r="M882" s="50" t="e">
        <f t="shared" si="190"/>
        <v>#VALUE!</v>
      </c>
      <c r="N882" s="50" t="e">
        <f t="shared" si="191"/>
        <v>#VALUE!</v>
      </c>
      <c r="O882" s="50">
        <f t="shared" si="192"/>
        <v>0</v>
      </c>
      <c r="Q882" s="55" t="e">
        <f t="shared" si="193"/>
        <v>#VALUE!</v>
      </c>
      <c r="R882" s="55" t="e">
        <f t="shared" si="196"/>
        <v>#VALUE!</v>
      </c>
      <c r="S882" s="55" t="e">
        <f t="shared" si="194"/>
        <v>#VALUE!</v>
      </c>
      <c r="T882" s="50" t="e">
        <f t="shared" si="197"/>
        <v>#VALUE!</v>
      </c>
      <c r="U882" s="50" t="e">
        <f t="shared" si="198"/>
        <v>#VALUE!</v>
      </c>
      <c r="V882" s="50" t="e">
        <f t="shared" si="199"/>
        <v>#VALUE!</v>
      </c>
    </row>
    <row r="883" spans="2:22" x14ac:dyDescent="0.25">
      <c r="B883" s="50" t="b">
        <f t="shared" si="200"/>
        <v>0</v>
      </c>
      <c r="C883" s="50" t="e">
        <f t="shared" si="188"/>
        <v>#VALUE!</v>
      </c>
      <c r="E883" s="56">
        <v>879</v>
      </c>
      <c r="G883" s="138"/>
      <c r="H883" s="135">
        <v>1</v>
      </c>
      <c r="I883" s="58" t="e">
        <f t="shared" si="189"/>
        <v>#VALUE!</v>
      </c>
      <c r="J883" s="50" t="e">
        <f t="shared" si="195"/>
        <v>#VALUE!</v>
      </c>
      <c r="K883" s="50" t="e">
        <f t="shared" si="201"/>
        <v>#VALUE!</v>
      </c>
      <c r="L883" s="50" t="e">
        <f t="shared" si="201"/>
        <v>#VALUE!</v>
      </c>
      <c r="M883" s="50" t="e">
        <f t="shared" si="190"/>
        <v>#VALUE!</v>
      </c>
      <c r="N883" s="50" t="e">
        <f t="shared" si="191"/>
        <v>#VALUE!</v>
      </c>
      <c r="O883" s="50">
        <f t="shared" si="192"/>
        <v>0</v>
      </c>
      <c r="Q883" s="55" t="e">
        <f t="shared" si="193"/>
        <v>#VALUE!</v>
      </c>
      <c r="R883" s="55" t="e">
        <f t="shared" si="196"/>
        <v>#VALUE!</v>
      </c>
      <c r="S883" s="55" t="e">
        <f t="shared" si="194"/>
        <v>#VALUE!</v>
      </c>
      <c r="T883" s="50" t="e">
        <f t="shared" si="197"/>
        <v>#VALUE!</v>
      </c>
      <c r="U883" s="50" t="e">
        <f t="shared" si="198"/>
        <v>#VALUE!</v>
      </c>
      <c r="V883" s="50" t="e">
        <f t="shared" si="199"/>
        <v>#VALUE!</v>
      </c>
    </row>
    <row r="884" spans="2:22" x14ac:dyDescent="0.25">
      <c r="B884" s="50" t="b">
        <f t="shared" si="200"/>
        <v>0</v>
      </c>
      <c r="C884" s="50" t="e">
        <f t="shared" si="188"/>
        <v>#VALUE!</v>
      </c>
      <c r="E884" s="56">
        <v>880</v>
      </c>
      <c r="G884" s="138"/>
      <c r="H884" s="135">
        <v>1</v>
      </c>
      <c r="I884" s="58" t="e">
        <f t="shared" si="189"/>
        <v>#VALUE!</v>
      </c>
      <c r="J884" s="50" t="e">
        <f t="shared" si="195"/>
        <v>#VALUE!</v>
      </c>
      <c r="K884" s="50" t="e">
        <f t="shared" si="201"/>
        <v>#VALUE!</v>
      </c>
      <c r="L884" s="50" t="e">
        <f t="shared" si="201"/>
        <v>#VALUE!</v>
      </c>
      <c r="M884" s="50" t="e">
        <f t="shared" si="190"/>
        <v>#VALUE!</v>
      </c>
      <c r="N884" s="50" t="e">
        <f t="shared" si="191"/>
        <v>#VALUE!</v>
      </c>
      <c r="O884" s="50">
        <f t="shared" si="192"/>
        <v>0</v>
      </c>
      <c r="Q884" s="55" t="e">
        <f t="shared" si="193"/>
        <v>#VALUE!</v>
      </c>
      <c r="R884" s="55" t="e">
        <f t="shared" si="196"/>
        <v>#VALUE!</v>
      </c>
      <c r="S884" s="55" t="e">
        <f t="shared" si="194"/>
        <v>#VALUE!</v>
      </c>
      <c r="T884" s="50" t="e">
        <f t="shared" si="197"/>
        <v>#VALUE!</v>
      </c>
      <c r="U884" s="50" t="e">
        <f t="shared" si="198"/>
        <v>#VALUE!</v>
      </c>
      <c r="V884" s="50" t="e">
        <f t="shared" si="199"/>
        <v>#VALUE!</v>
      </c>
    </row>
    <row r="885" spans="2:22" x14ac:dyDescent="0.25">
      <c r="B885" s="50" t="b">
        <f t="shared" si="200"/>
        <v>0</v>
      </c>
      <c r="C885" s="50" t="e">
        <f t="shared" si="188"/>
        <v>#VALUE!</v>
      </c>
      <c r="E885" s="56">
        <v>881</v>
      </c>
      <c r="G885" s="138"/>
      <c r="H885" s="135">
        <v>1</v>
      </c>
      <c r="I885" s="58" t="e">
        <f t="shared" si="189"/>
        <v>#VALUE!</v>
      </c>
      <c r="J885" s="50" t="e">
        <f t="shared" si="195"/>
        <v>#VALUE!</v>
      </c>
      <c r="K885" s="50" t="e">
        <f t="shared" si="201"/>
        <v>#VALUE!</v>
      </c>
      <c r="L885" s="50" t="e">
        <f t="shared" si="201"/>
        <v>#VALUE!</v>
      </c>
      <c r="M885" s="50" t="e">
        <f t="shared" si="190"/>
        <v>#VALUE!</v>
      </c>
      <c r="N885" s="50" t="e">
        <f t="shared" si="191"/>
        <v>#VALUE!</v>
      </c>
      <c r="O885" s="50">
        <f t="shared" si="192"/>
        <v>0</v>
      </c>
      <c r="Q885" s="55" t="e">
        <f t="shared" si="193"/>
        <v>#VALUE!</v>
      </c>
      <c r="R885" s="55" t="e">
        <f t="shared" si="196"/>
        <v>#VALUE!</v>
      </c>
      <c r="S885" s="55" t="e">
        <f t="shared" si="194"/>
        <v>#VALUE!</v>
      </c>
      <c r="T885" s="50" t="e">
        <f t="shared" si="197"/>
        <v>#VALUE!</v>
      </c>
      <c r="U885" s="50" t="e">
        <f t="shared" si="198"/>
        <v>#VALUE!</v>
      </c>
      <c r="V885" s="50" t="e">
        <f t="shared" si="199"/>
        <v>#VALUE!</v>
      </c>
    </row>
    <row r="886" spans="2:22" x14ac:dyDescent="0.25">
      <c r="B886" s="50" t="b">
        <f t="shared" si="200"/>
        <v>0</v>
      </c>
      <c r="C886" s="50" t="e">
        <f t="shared" ref="C886:C949" si="202">SUM(T886:V886)</f>
        <v>#VALUE!</v>
      </c>
      <c r="E886" s="56">
        <v>882</v>
      </c>
      <c r="G886" s="138"/>
      <c r="H886" s="135">
        <v>1</v>
      </c>
      <c r="I886" s="58" t="e">
        <f t="shared" si="189"/>
        <v>#VALUE!</v>
      </c>
      <c r="J886" s="50" t="e">
        <f t="shared" si="195"/>
        <v>#VALUE!</v>
      </c>
      <c r="K886" s="50" t="e">
        <f t="shared" si="201"/>
        <v>#VALUE!</v>
      </c>
      <c r="L886" s="50" t="e">
        <f t="shared" si="201"/>
        <v>#VALUE!</v>
      </c>
      <c r="M886" s="50" t="e">
        <f t="shared" si="190"/>
        <v>#VALUE!</v>
      </c>
      <c r="N886" s="50" t="e">
        <f t="shared" si="191"/>
        <v>#VALUE!</v>
      </c>
      <c r="O886" s="50">
        <f t="shared" si="192"/>
        <v>0</v>
      </c>
      <c r="Q886" s="55" t="e">
        <f t="shared" si="193"/>
        <v>#VALUE!</v>
      </c>
      <c r="R886" s="55" t="e">
        <f t="shared" si="196"/>
        <v>#VALUE!</v>
      </c>
      <c r="S886" s="55" t="e">
        <f t="shared" si="194"/>
        <v>#VALUE!</v>
      </c>
      <c r="T886" s="50" t="e">
        <f t="shared" si="197"/>
        <v>#VALUE!</v>
      </c>
      <c r="U886" s="50" t="e">
        <f t="shared" si="198"/>
        <v>#VALUE!</v>
      </c>
      <c r="V886" s="50" t="e">
        <f t="shared" si="199"/>
        <v>#VALUE!</v>
      </c>
    </row>
    <row r="887" spans="2:22" x14ac:dyDescent="0.25">
      <c r="B887" s="50" t="b">
        <f t="shared" si="200"/>
        <v>0</v>
      </c>
      <c r="C887" s="50" t="e">
        <f t="shared" si="202"/>
        <v>#VALUE!</v>
      </c>
      <c r="E887" s="56">
        <v>883</v>
      </c>
      <c r="G887" s="138"/>
      <c r="H887" s="135">
        <v>1</v>
      </c>
      <c r="I887" s="58" t="e">
        <f t="shared" si="189"/>
        <v>#VALUE!</v>
      </c>
      <c r="J887" s="50" t="e">
        <f t="shared" si="195"/>
        <v>#VALUE!</v>
      </c>
      <c r="K887" s="50" t="e">
        <f t="shared" si="201"/>
        <v>#VALUE!</v>
      </c>
      <c r="L887" s="50" t="e">
        <f t="shared" si="201"/>
        <v>#VALUE!</v>
      </c>
      <c r="M887" s="50" t="e">
        <f t="shared" si="190"/>
        <v>#VALUE!</v>
      </c>
      <c r="N887" s="50" t="e">
        <f t="shared" si="191"/>
        <v>#VALUE!</v>
      </c>
      <c r="O887" s="50">
        <f t="shared" si="192"/>
        <v>0</v>
      </c>
      <c r="Q887" s="55" t="e">
        <f t="shared" si="193"/>
        <v>#VALUE!</v>
      </c>
      <c r="R887" s="55" t="e">
        <f t="shared" si="196"/>
        <v>#VALUE!</v>
      </c>
      <c r="S887" s="55" t="e">
        <f t="shared" si="194"/>
        <v>#VALUE!</v>
      </c>
      <c r="T887" s="50" t="e">
        <f t="shared" si="197"/>
        <v>#VALUE!</v>
      </c>
      <c r="U887" s="50" t="e">
        <f t="shared" si="198"/>
        <v>#VALUE!</v>
      </c>
      <c r="V887" s="50" t="e">
        <f t="shared" si="199"/>
        <v>#VALUE!</v>
      </c>
    </row>
    <row r="888" spans="2:22" x14ac:dyDescent="0.25">
      <c r="B888" s="50" t="b">
        <f t="shared" si="200"/>
        <v>0</v>
      </c>
      <c r="C888" s="50" t="e">
        <f t="shared" si="202"/>
        <v>#VALUE!</v>
      </c>
      <c r="E888" s="56">
        <v>884</v>
      </c>
      <c r="G888" s="138"/>
      <c r="H888" s="135">
        <v>1</v>
      </c>
      <c r="I888" s="58" t="e">
        <f t="shared" si="189"/>
        <v>#VALUE!</v>
      </c>
      <c r="J888" s="50" t="e">
        <f t="shared" si="195"/>
        <v>#VALUE!</v>
      </c>
      <c r="K888" s="50" t="e">
        <f t="shared" si="201"/>
        <v>#VALUE!</v>
      </c>
      <c r="L888" s="50" t="e">
        <f t="shared" si="201"/>
        <v>#VALUE!</v>
      </c>
      <c r="M888" s="50" t="e">
        <f t="shared" si="190"/>
        <v>#VALUE!</v>
      </c>
      <c r="N888" s="50" t="e">
        <f t="shared" si="191"/>
        <v>#VALUE!</v>
      </c>
      <c r="O888" s="50">
        <f t="shared" si="192"/>
        <v>0</v>
      </c>
      <c r="Q888" s="55" t="e">
        <f t="shared" si="193"/>
        <v>#VALUE!</v>
      </c>
      <c r="R888" s="55" t="e">
        <f t="shared" si="196"/>
        <v>#VALUE!</v>
      </c>
      <c r="S888" s="55" t="e">
        <f t="shared" si="194"/>
        <v>#VALUE!</v>
      </c>
      <c r="T888" s="50" t="e">
        <f t="shared" si="197"/>
        <v>#VALUE!</v>
      </c>
      <c r="U888" s="50" t="e">
        <f t="shared" si="198"/>
        <v>#VALUE!</v>
      </c>
      <c r="V888" s="50" t="e">
        <f t="shared" si="199"/>
        <v>#VALUE!</v>
      </c>
    </row>
    <row r="889" spans="2:22" x14ac:dyDescent="0.25">
      <c r="B889" s="50" t="b">
        <f t="shared" si="200"/>
        <v>0</v>
      </c>
      <c r="C889" s="50" t="e">
        <f t="shared" si="202"/>
        <v>#VALUE!</v>
      </c>
      <c r="E889" s="56">
        <v>885</v>
      </c>
      <c r="G889" s="138"/>
      <c r="H889" s="135">
        <v>1</v>
      </c>
      <c r="I889" s="58" t="e">
        <f t="shared" si="189"/>
        <v>#VALUE!</v>
      </c>
      <c r="J889" s="50" t="e">
        <f t="shared" si="195"/>
        <v>#VALUE!</v>
      </c>
      <c r="K889" s="50" t="e">
        <f t="shared" si="201"/>
        <v>#VALUE!</v>
      </c>
      <c r="L889" s="50" t="e">
        <f t="shared" si="201"/>
        <v>#VALUE!</v>
      </c>
      <c r="M889" s="50" t="e">
        <f t="shared" si="190"/>
        <v>#VALUE!</v>
      </c>
      <c r="N889" s="50" t="e">
        <f t="shared" si="191"/>
        <v>#VALUE!</v>
      </c>
      <c r="O889" s="50">
        <f t="shared" si="192"/>
        <v>0</v>
      </c>
      <c r="Q889" s="55" t="e">
        <f t="shared" si="193"/>
        <v>#VALUE!</v>
      </c>
      <c r="R889" s="55" t="e">
        <f t="shared" si="196"/>
        <v>#VALUE!</v>
      </c>
      <c r="S889" s="55" t="e">
        <f t="shared" si="194"/>
        <v>#VALUE!</v>
      </c>
      <c r="T889" s="50" t="e">
        <f t="shared" si="197"/>
        <v>#VALUE!</v>
      </c>
      <c r="U889" s="50" t="e">
        <f t="shared" si="198"/>
        <v>#VALUE!</v>
      </c>
      <c r="V889" s="50" t="e">
        <f t="shared" si="199"/>
        <v>#VALUE!</v>
      </c>
    </row>
    <row r="890" spans="2:22" x14ac:dyDescent="0.25">
      <c r="B890" s="50" t="b">
        <f t="shared" si="200"/>
        <v>0</v>
      </c>
      <c r="C890" s="50" t="e">
        <f t="shared" si="202"/>
        <v>#VALUE!</v>
      </c>
      <c r="E890" s="56">
        <v>886</v>
      </c>
      <c r="G890" s="138"/>
      <c r="H890" s="135">
        <v>1</v>
      </c>
      <c r="I890" s="58" t="e">
        <f t="shared" si="189"/>
        <v>#VALUE!</v>
      </c>
      <c r="J890" s="50" t="e">
        <f t="shared" si="195"/>
        <v>#VALUE!</v>
      </c>
      <c r="K890" s="50" t="e">
        <f t="shared" si="201"/>
        <v>#VALUE!</v>
      </c>
      <c r="L890" s="50" t="e">
        <f t="shared" si="201"/>
        <v>#VALUE!</v>
      </c>
      <c r="M890" s="50" t="e">
        <f t="shared" si="190"/>
        <v>#VALUE!</v>
      </c>
      <c r="N890" s="50" t="e">
        <f t="shared" si="191"/>
        <v>#VALUE!</v>
      </c>
      <c r="O890" s="50">
        <f t="shared" si="192"/>
        <v>0</v>
      </c>
      <c r="Q890" s="55" t="e">
        <f t="shared" si="193"/>
        <v>#VALUE!</v>
      </c>
      <c r="R890" s="55" t="e">
        <f t="shared" si="196"/>
        <v>#VALUE!</v>
      </c>
      <c r="S890" s="55" t="e">
        <f t="shared" si="194"/>
        <v>#VALUE!</v>
      </c>
      <c r="T890" s="50" t="e">
        <f t="shared" si="197"/>
        <v>#VALUE!</v>
      </c>
      <c r="U890" s="50" t="e">
        <f t="shared" si="198"/>
        <v>#VALUE!</v>
      </c>
      <c r="V890" s="50" t="e">
        <f t="shared" si="199"/>
        <v>#VALUE!</v>
      </c>
    </row>
    <row r="891" spans="2:22" x14ac:dyDescent="0.25">
      <c r="B891" s="50" t="b">
        <f t="shared" si="200"/>
        <v>0</v>
      </c>
      <c r="C891" s="50" t="e">
        <f t="shared" si="202"/>
        <v>#VALUE!</v>
      </c>
      <c r="E891" s="56">
        <v>887</v>
      </c>
      <c r="G891" s="138"/>
      <c r="H891" s="135">
        <v>1</v>
      </c>
      <c r="I891" s="58" t="e">
        <f t="shared" si="189"/>
        <v>#VALUE!</v>
      </c>
      <c r="J891" s="50" t="e">
        <f t="shared" si="195"/>
        <v>#VALUE!</v>
      </c>
      <c r="K891" s="50" t="e">
        <f t="shared" si="201"/>
        <v>#VALUE!</v>
      </c>
      <c r="L891" s="50" t="e">
        <f t="shared" si="201"/>
        <v>#VALUE!</v>
      </c>
      <c r="M891" s="50" t="e">
        <f t="shared" si="190"/>
        <v>#VALUE!</v>
      </c>
      <c r="N891" s="50" t="e">
        <f t="shared" si="191"/>
        <v>#VALUE!</v>
      </c>
      <c r="O891" s="50">
        <f t="shared" si="192"/>
        <v>0</v>
      </c>
      <c r="Q891" s="55" t="e">
        <f t="shared" si="193"/>
        <v>#VALUE!</v>
      </c>
      <c r="R891" s="55" t="e">
        <f t="shared" si="196"/>
        <v>#VALUE!</v>
      </c>
      <c r="S891" s="55" t="e">
        <f t="shared" si="194"/>
        <v>#VALUE!</v>
      </c>
      <c r="T891" s="50" t="e">
        <f t="shared" si="197"/>
        <v>#VALUE!</v>
      </c>
      <c r="U891" s="50" t="e">
        <f t="shared" si="198"/>
        <v>#VALUE!</v>
      </c>
      <c r="V891" s="50" t="e">
        <f t="shared" si="199"/>
        <v>#VALUE!</v>
      </c>
    </row>
    <row r="892" spans="2:22" x14ac:dyDescent="0.25">
      <c r="B892" s="50" t="b">
        <f t="shared" si="200"/>
        <v>0</v>
      </c>
      <c r="C892" s="50" t="e">
        <f t="shared" si="202"/>
        <v>#VALUE!</v>
      </c>
      <c r="E892" s="56">
        <v>888</v>
      </c>
      <c r="G892" s="138"/>
      <c r="H892" s="135">
        <v>1</v>
      </c>
      <c r="I892" s="58" t="e">
        <f t="shared" si="189"/>
        <v>#VALUE!</v>
      </c>
      <c r="J892" s="50" t="e">
        <f t="shared" si="195"/>
        <v>#VALUE!</v>
      </c>
      <c r="K892" s="50" t="e">
        <f t="shared" si="201"/>
        <v>#VALUE!</v>
      </c>
      <c r="L892" s="50" t="e">
        <f t="shared" si="201"/>
        <v>#VALUE!</v>
      </c>
      <c r="M892" s="50" t="e">
        <f t="shared" si="190"/>
        <v>#VALUE!</v>
      </c>
      <c r="N892" s="50" t="e">
        <f t="shared" si="191"/>
        <v>#VALUE!</v>
      </c>
      <c r="O892" s="50">
        <f t="shared" si="192"/>
        <v>0</v>
      </c>
      <c r="Q892" s="55" t="e">
        <f t="shared" si="193"/>
        <v>#VALUE!</v>
      </c>
      <c r="R892" s="55" t="e">
        <f t="shared" si="196"/>
        <v>#VALUE!</v>
      </c>
      <c r="S892" s="55" t="e">
        <f t="shared" si="194"/>
        <v>#VALUE!</v>
      </c>
      <c r="T892" s="50" t="e">
        <f t="shared" si="197"/>
        <v>#VALUE!</v>
      </c>
      <c r="U892" s="50" t="e">
        <f t="shared" si="198"/>
        <v>#VALUE!</v>
      </c>
      <c r="V892" s="50" t="e">
        <f t="shared" si="199"/>
        <v>#VALUE!</v>
      </c>
    </row>
    <row r="893" spans="2:22" x14ac:dyDescent="0.25">
      <c r="B893" s="50" t="b">
        <f t="shared" si="200"/>
        <v>0</v>
      </c>
      <c r="C893" s="50" t="e">
        <f t="shared" si="202"/>
        <v>#VALUE!</v>
      </c>
      <c r="E893" s="56">
        <v>889</v>
      </c>
      <c r="G893" s="138"/>
      <c r="H893" s="135">
        <v>1</v>
      </c>
      <c r="I893" s="58" t="e">
        <f t="shared" si="189"/>
        <v>#VALUE!</v>
      </c>
      <c r="J893" s="50" t="e">
        <f t="shared" si="195"/>
        <v>#VALUE!</v>
      </c>
      <c r="K893" s="50" t="e">
        <f t="shared" si="201"/>
        <v>#VALUE!</v>
      </c>
      <c r="L893" s="50" t="e">
        <f t="shared" si="201"/>
        <v>#VALUE!</v>
      </c>
      <c r="M893" s="50" t="e">
        <f t="shared" si="190"/>
        <v>#VALUE!</v>
      </c>
      <c r="N893" s="50" t="e">
        <f t="shared" si="191"/>
        <v>#VALUE!</v>
      </c>
      <c r="O893" s="50">
        <f t="shared" si="192"/>
        <v>0</v>
      </c>
      <c r="Q893" s="55" t="e">
        <f t="shared" si="193"/>
        <v>#VALUE!</v>
      </c>
      <c r="R893" s="55" t="e">
        <f t="shared" si="196"/>
        <v>#VALUE!</v>
      </c>
      <c r="S893" s="55" t="e">
        <f t="shared" si="194"/>
        <v>#VALUE!</v>
      </c>
      <c r="T893" s="50" t="e">
        <f t="shared" si="197"/>
        <v>#VALUE!</v>
      </c>
      <c r="U893" s="50" t="e">
        <f t="shared" si="198"/>
        <v>#VALUE!</v>
      </c>
      <c r="V893" s="50" t="e">
        <f t="shared" si="199"/>
        <v>#VALUE!</v>
      </c>
    </row>
    <row r="894" spans="2:22" x14ac:dyDescent="0.25">
      <c r="B894" s="50" t="b">
        <f t="shared" si="200"/>
        <v>0</v>
      </c>
      <c r="C894" s="50" t="e">
        <f t="shared" si="202"/>
        <v>#VALUE!</v>
      </c>
      <c r="E894" s="56">
        <v>890</v>
      </c>
      <c r="G894" s="138"/>
      <c r="H894" s="135">
        <v>1</v>
      </c>
      <c r="I894" s="58" t="e">
        <f t="shared" si="189"/>
        <v>#VALUE!</v>
      </c>
      <c r="J894" s="50" t="e">
        <f t="shared" si="195"/>
        <v>#VALUE!</v>
      </c>
      <c r="K894" s="50" t="e">
        <f t="shared" si="201"/>
        <v>#VALUE!</v>
      </c>
      <c r="L894" s="50" t="e">
        <f t="shared" si="201"/>
        <v>#VALUE!</v>
      </c>
      <c r="M894" s="50" t="e">
        <f t="shared" si="190"/>
        <v>#VALUE!</v>
      </c>
      <c r="N894" s="50" t="e">
        <f t="shared" si="191"/>
        <v>#VALUE!</v>
      </c>
      <c r="O894" s="50">
        <f t="shared" si="192"/>
        <v>0</v>
      </c>
      <c r="Q894" s="55" t="e">
        <f t="shared" si="193"/>
        <v>#VALUE!</v>
      </c>
      <c r="R894" s="55" t="e">
        <f t="shared" si="196"/>
        <v>#VALUE!</v>
      </c>
      <c r="S894" s="55" t="e">
        <f t="shared" si="194"/>
        <v>#VALUE!</v>
      </c>
      <c r="T894" s="50" t="e">
        <f t="shared" si="197"/>
        <v>#VALUE!</v>
      </c>
      <c r="U894" s="50" t="e">
        <f t="shared" si="198"/>
        <v>#VALUE!</v>
      </c>
      <c r="V894" s="50" t="e">
        <f t="shared" si="199"/>
        <v>#VALUE!</v>
      </c>
    </row>
    <row r="895" spans="2:22" x14ac:dyDescent="0.25">
      <c r="B895" s="50" t="b">
        <f t="shared" si="200"/>
        <v>0</v>
      </c>
      <c r="C895" s="50" t="e">
        <f t="shared" si="202"/>
        <v>#VALUE!</v>
      </c>
      <c r="E895" s="56">
        <v>891</v>
      </c>
      <c r="G895" s="138"/>
      <c r="H895" s="135">
        <v>1</v>
      </c>
      <c r="I895" s="58" t="e">
        <f t="shared" si="189"/>
        <v>#VALUE!</v>
      </c>
      <c r="J895" s="50" t="e">
        <f t="shared" si="195"/>
        <v>#VALUE!</v>
      </c>
      <c r="K895" s="50" t="e">
        <f t="shared" si="201"/>
        <v>#VALUE!</v>
      </c>
      <c r="L895" s="50" t="e">
        <f t="shared" si="201"/>
        <v>#VALUE!</v>
      </c>
      <c r="M895" s="50" t="e">
        <f t="shared" si="190"/>
        <v>#VALUE!</v>
      </c>
      <c r="N895" s="50" t="e">
        <f t="shared" si="191"/>
        <v>#VALUE!</v>
      </c>
      <c r="O895" s="50">
        <f t="shared" si="192"/>
        <v>0</v>
      </c>
      <c r="Q895" s="55" t="e">
        <f t="shared" si="193"/>
        <v>#VALUE!</v>
      </c>
      <c r="R895" s="55" t="e">
        <f t="shared" si="196"/>
        <v>#VALUE!</v>
      </c>
      <c r="S895" s="55" t="e">
        <f t="shared" si="194"/>
        <v>#VALUE!</v>
      </c>
      <c r="T895" s="50" t="e">
        <f t="shared" si="197"/>
        <v>#VALUE!</v>
      </c>
      <c r="U895" s="50" t="e">
        <f t="shared" si="198"/>
        <v>#VALUE!</v>
      </c>
      <c r="V895" s="50" t="e">
        <f t="shared" si="199"/>
        <v>#VALUE!</v>
      </c>
    </row>
    <row r="896" spans="2:22" x14ac:dyDescent="0.25">
      <c r="B896" s="50" t="b">
        <f t="shared" si="200"/>
        <v>0</v>
      </c>
      <c r="C896" s="50" t="e">
        <f t="shared" si="202"/>
        <v>#VALUE!</v>
      </c>
      <c r="E896" s="56">
        <v>892</v>
      </c>
      <c r="G896" s="138"/>
      <c r="H896" s="135">
        <v>1</v>
      </c>
      <c r="I896" s="58" t="e">
        <f t="shared" si="189"/>
        <v>#VALUE!</v>
      </c>
      <c r="J896" s="50" t="e">
        <f t="shared" si="195"/>
        <v>#VALUE!</v>
      </c>
      <c r="K896" s="50" t="e">
        <f t="shared" si="201"/>
        <v>#VALUE!</v>
      </c>
      <c r="L896" s="50" t="e">
        <f t="shared" si="201"/>
        <v>#VALUE!</v>
      </c>
      <c r="M896" s="50" t="e">
        <f t="shared" si="190"/>
        <v>#VALUE!</v>
      </c>
      <c r="N896" s="50" t="e">
        <f t="shared" si="191"/>
        <v>#VALUE!</v>
      </c>
      <c r="O896" s="50">
        <f t="shared" si="192"/>
        <v>0</v>
      </c>
      <c r="Q896" s="55" t="e">
        <f t="shared" si="193"/>
        <v>#VALUE!</v>
      </c>
      <c r="R896" s="55" t="e">
        <f t="shared" si="196"/>
        <v>#VALUE!</v>
      </c>
      <c r="S896" s="55" t="e">
        <f t="shared" si="194"/>
        <v>#VALUE!</v>
      </c>
      <c r="T896" s="50" t="e">
        <f t="shared" si="197"/>
        <v>#VALUE!</v>
      </c>
      <c r="U896" s="50" t="e">
        <f t="shared" si="198"/>
        <v>#VALUE!</v>
      </c>
      <c r="V896" s="50" t="e">
        <f t="shared" si="199"/>
        <v>#VALUE!</v>
      </c>
    </row>
    <row r="897" spans="2:22" x14ac:dyDescent="0.25">
      <c r="B897" s="50" t="b">
        <f t="shared" si="200"/>
        <v>0</v>
      </c>
      <c r="C897" s="50" t="e">
        <f t="shared" si="202"/>
        <v>#VALUE!</v>
      </c>
      <c r="E897" s="56">
        <v>893</v>
      </c>
      <c r="G897" s="138"/>
      <c r="H897" s="135">
        <v>1</v>
      </c>
      <c r="I897" s="58" t="e">
        <f t="shared" si="189"/>
        <v>#VALUE!</v>
      </c>
      <c r="J897" s="50" t="e">
        <f t="shared" si="195"/>
        <v>#VALUE!</v>
      </c>
      <c r="K897" s="50" t="e">
        <f t="shared" si="201"/>
        <v>#VALUE!</v>
      </c>
      <c r="L897" s="50" t="e">
        <f t="shared" si="201"/>
        <v>#VALUE!</v>
      </c>
      <c r="M897" s="50" t="e">
        <f t="shared" si="190"/>
        <v>#VALUE!</v>
      </c>
      <c r="N897" s="50" t="e">
        <f t="shared" si="191"/>
        <v>#VALUE!</v>
      </c>
      <c r="O897" s="50">
        <f t="shared" si="192"/>
        <v>0</v>
      </c>
      <c r="Q897" s="55" t="e">
        <f t="shared" si="193"/>
        <v>#VALUE!</v>
      </c>
      <c r="R897" s="55" t="e">
        <f t="shared" si="196"/>
        <v>#VALUE!</v>
      </c>
      <c r="S897" s="55" t="e">
        <f t="shared" si="194"/>
        <v>#VALUE!</v>
      </c>
      <c r="T897" s="50" t="e">
        <f t="shared" si="197"/>
        <v>#VALUE!</v>
      </c>
      <c r="U897" s="50" t="e">
        <f t="shared" si="198"/>
        <v>#VALUE!</v>
      </c>
      <c r="V897" s="50" t="e">
        <f t="shared" si="199"/>
        <v>#VALUE!</v>
      </c>
    </row>
    <row r="898" spans="2:22" x14ac:dyDescent="0.25">
      <c r="B898" s="50" t="b">
        <f t="shared" si="200"/>
        <v>0</v>
      </c>
      <c r="C898" s="50" t="e">
        <f t="shared" si="202"/>
        <v>#VALUE!</v>
      </c>
      <c r="E898" s="56">
        <v>894</v>
      </c>
      <c r="G898" s="138"/>
      <c r="H898" s="135">
        <v>1</v>
      </c>
      <c r="I898" s="58" t="e">
        <f t="shared" si="189"/>
        <v>#VALUE!</v>
      </c>
      <c r="J898" s="50" t="e">
        <f t="shared" si="195"/>
        <v>#VALUE!</v>
      </c>
      <c r="K898" s="50" t="e">
        <f t="shared" si="201"/>
        <v>#VALUE!</v>
      </c>
      <c r="L898" s="50" t="e">
        <f t="shared" si="201"/>
        <v>#VALUE!</v>
      </c>
      <c r="M898" s="50" t="e">
        <f t="shared" si="190"/>
        <v>#VALUE!</v>
      </c>
      <c r="N898" s="50" t="e">
        <f t="shared" si="191"/>
        <v>#VALUE!</v>
      </c>
      <c r="O898" s="50">
        <f t="shared" si="192"/>
        <v>0</v>
      </c>
      <c r="Q898" s="55" t="e">
        <f t="shared" si="193"/>
        <v>#VALUE!</v>
      </c>
      <c r="R898" s="55" t="e">
        <f t="shared" si="196"/>
        <v>#VALUE!</v>
      </c>
      <c r="S898" s="55" t="e">
        <f t="shared" si="194"/>
        <v>#VALUE!</v>
      </c>
      <c r="T898" s="50" t="e">
        <f t="shared" si="197"/>
        <v>#VALUE!</v>
      </c>
      <c r="U898" s="50" t="e">
        <f t="shared" si="198"/>
        <v>#VALUE!</v>
      </c>
      <c r="V898" s="50" t="e">
        <f t="shared" si="199"/>
        <v>#VALUE!</v>
      </c>
    </row>
    <row r="899" spans="2:22" x14ac:dyDescent="0.25">
      <c r="B899" s="50" t="b">
        <f t="shared" si="200"/>
        <v>0</v>
      </c>
      <c r="C899" s="50" t="e">
        <f t="shared" si="202"/>
        <v>#VALUE!</v>
      </c>
      <c r="E899" s="56">
        <v>895</v>
      </c>
      <c r="G899" s="138"/>
      <c r="H899" s="135">
        <v>1</v>
      </c>
      <c r="I899" s="58" t="e">
        <f t="shared" si="189"/>
        <v>#VALUE!</v>
      </c>
      <c r="J899" s="50" t="e">
        <f t="shared" si="195"/>
        <v>#VALUE!</v>
      </c>
      <c r="K899" s="50" t="e">
        <f t="shared" si="201"/>
        <v>#VALUE!</v>
      </c>
      <c r="L899" s="50" t="e">
        <f t="shared" si="201"/>
        <v>#VALUE!</v>
      </c>
      <c r="M899" s="50" t="e">
        <f t="shared" si="190"/>
        <v>#VALUE!</v>
      </c>
      <c r="N899" s="50" t="e">
        <f t="shared" si="191"/>
        <v>#VALUE!</v>
      </c>
      <c r="O899" s="50">
        <f t="shared" si="192"/>
        <v>0</v>
      </c>
      <c r="Q899" s="55" t="e">
        <f t="shared" si="193"/>
        <v>#VALUE!</v>
      </c>
      <c r="R899" s="55" t="e">
        <f t="shared" si="196"/>
        <v>#VALUE!</v>
      </c>
      <c r="S899" s="55" t="e">
        <f t="shared" si="194"/>
        <v>#VALUE!</v>
      </c>
      <c r="T899" s="50" t="e">
        <f t="shared" si="197"/>
        <v>#VALUE!</v>
      </c>
      <c r="U899" s="50" t="e">
        <f t="shared" si="198"/>
        <v>#VALUE!</v>
      </c>
      <c r="V899" s="50" t="e">
        <f t="shared" si="199"/>
        <v>#VALUE!</v>
      </c>
    </row>
    <row r="900" spans="2:22" x14ac:dyDescent="0.25">
      <c r="B900" s="50" t="b">
        <f t="shared" si="200"/>
        <v>0</v>
      </c>
      <c r="C900" s="50" t="e">
        <f t="shared" si="202"/>
        <v>#VALUE!</v>
      </c>
      <c r="E900" s="56">
        <v>896</v>
      </c>
      <c r="G900" s="138"/>
      <c r="H900" s="135">
        <v>1</v>
      </c>
      <c r="I900" s="58" t="e">
        <f t="shared" ref="I900:I963" si="203">RIGHT(G900,J900)</f>
        <v>#VALUE!</v>
      </c>
      <c r="J900" s="50" t="e">
        <f t="shared" si="195"/>
        <v>#VALUE!</v>
      </c>
      <c r="K900" s="50" t="e">
        <f t="shared" si="201"/>
        <v>#VALUE!</v>
      </c>
      <c r="L900" s="50" t="e">
        <f t="shared" si="201"/>
        <v>#VALUE!</v>
      </c>
      <c r="M900" s="50" t="e">
        <f t="shared" ref="M900:M963" si="204">SEARCH("-",G900,2)</f>
        <v>#VALUE!</v>
      </c>
      <c r="N900" s="50" t="e">
        <f t="shared" ref="N900:N963" si="205">SEARCH("-",G900,M900+1)</f>
        <v>#VALUE!</v>
      </c>
      <c r="O900" s="50">
        <f t="shared" ref="O900:O963" si="206">LEN(G900)</f>
        <v>0</v>
      </c>
      <c r="Q900" s="55" t="e">
        <f t="shared" ref="Q900:Q963" si="207">LEFT(G900,M900-1)</f>
        <v>#VALUE!</v>
      </c>
      <c r="R900" s="55" t="e">
        <f t="shared" si="196"/>
        <v>#VALUE!</v>
      </c>
      <c r="S900" s="55" t="e">
        <f t="shared" ref="S900:S963" si="208">RIGHT(G900,L900)</f>
        <v>#VALUE!</v>
      </c>
      <c r="T900" s="50" t="e">
        <f t="shared" si="197"/>
        <v>#VALUE!</v>
      </c>
      <c r="U900" s="50" t="e">
        <f t="shared" si="198"/>
        <v>#VALUE!</v>
      </c>
      <c r="V900" s="50" t="e">
        <f t="shared" si="199"/>
        <v>#VALUE!</v>
      </c>
    </row>
    <row r="901" spans="2:22" x14ac:dyDescent="0.25">
      <c r="B901" s="50" t="b">
        <f t="shared" si="200"/>
        <v>0</v>
      </c>
      <c r="C901" s="50" t="e">
        <f t="shared" si="202"/>
        <v>#VALUE!</v>
      </c>
      <c r="E901" s="56">
        <v>897</v>
      </c>
      <c r="G901" s="138"/>
      <c r="H901" s="135">
        <v>1</v>
      </c>
      <c r="I901" s="58" t="e">
        <f t="shared" si="203"/>
        <v>#VALUE!</v>
      </c>
      <c r="J901" s="50" t="e">
        <f t="shared" ref="J901:J964" si="209">O901-M901</f>
        <v>#VALUE!</v>
      </c>
      <c r="K901" s="50" t="e">
        <f t="shared" si="201"/>
        <v>#VALUE!</v>
      </c>
      <c r="L901" s="50" t="e">
        <f t="shared" si="201"/>
        <v>#VALUE!</v>
      </c>
      <c r="M901" s="50" t="e">
        <f t="shared" si="204"/>
        <v>#VALUE!</v>
      </c>
      <c r="N901" s="50" t="e">
        <f t="shared" si="205"/>
        <v>#VALUE!</v>
      </c>
      <c r="O901" s="50">
        <f t="shared" si="206"/>
        <v>0</v>
      </c>
      <c r="Q901" s="55" t="e">
        <f t="shared" si="207"/>
        <v>#VALUE!</v>
      </c>
      <c r="R901" s="55" t="e">
        <f t="shared" ref="R901:R964" si="210">LEFT(I901,K901-1)</f>
        <v>#VALUE!</v>
      </c>
      <c r="S901" s="55" t="e">
        <f t="shared" si="208"/>
        <v>#VALUE!</v>
      </c>
      <c r="T901" s="50" t="e">
        <f t="shared" ref="T901:T964" si="211">Q901*1*$H901</f>
        <v>#VALUE!</v>
      </c>
      <c r="U901" s="50" t="e">
        <f t="shared" ref="U901:U964" si="212">R901*1*$H901</f>
        <v>#VALUE!</v>
      </c>
      <c r="V901" s="50" t="e">
        <f t="shared" ref="V901:V964" si="213">S901*1*$H901</f>
        <v>#VALUE!</v>
      </c>
    </row>
    <row r="902" spans="2:22" x14ac:dyDescent="0.25">
      <c r="B902" s="50" t="b">
        <f t="shared" si="200"/>
        <v>0</v>
      </c>
      <c r="C902" s="50" t="e">
        <f t="shared" si="202"/>
        <v>#VALUE!</v>
      </c>
      <c r="E902" s="56">
        <v>898</v>
      </c>
      <c r="G902" s="138"/>
      <c r="H902" s="135">
        <v>1</v>
      </c>
      <c r="I902" s="58" t="e">
        <f t="shared" si="203"/>
        <v>#VALUE!</v>
      </c>
      <c r="J902" s="50" t="e">
        <f t="shared" si="209"/>
        <v>#VALUE!</v>
      </c>
      <c r="K902" s="50" t="e">
        <f t="shared" si="201"/>
        <v>#VALUE!</v>
      </c>
      <c r="L902" s="50" t="e">
        <f t="shared" si="201"/>
        <v>#VALUE!</v>
      </c>
      <c r="M902" s="50" t="e">
        <f t="shared" si="204"/>
        <v>#VALUE!</v>
      </c>
      <c r="N902" s="50" t="e">
        <f t="shared" si="205"/>
        <v>#VALUE!</v>
      </c>
      <c r="O902" s="50">
        <f t="shared" si="206"/>
        <v>0</v>
      </c>
      <c r="Q902" s="55" t="e">
        <f t="shared" si="207"/>
        <v>#VALUE!</v>
      </c>
      <c r="R902" s="55" t="e">
        <f t="shared" si="210"/>
        <v>#VALUE!</v>
      </c>
      <c r="S902" s="55" t="e">
        <f t="shared" si="208"/>
        <v>#VALUE!</v>
      </c>
      <c r="T902" s="50" t="e">
        <f t="shared" si="211"/>
        <v>#VALUE!</v>
      </c>
      <c r="U902" s="50" t="e">
        <f t="shared" si="212"/>
        <v>#VALUE!</v>
      </c>
      <c r="V902" s="50" t="e">
        <f t="shared" si="213"/>
        <v>#VALUE!</v>
      </c>
    </row>
    <row r="903" spans="2:22" x14ac:dyDescent="0.25">
      <c r="B903" s="50" t="b">
        <f t="shared" si="200"/>
        <v>0</v>
      </c>
      <c r="C903" s="50" t="e">
        <f t="shared" si="202"/>
        <v>#VALUE!</v>
      </c>
      <c r="E903" s="56">
        <v>899</v>
      </c>
      <c r="G903" s="138"/>
      <c r="H903" s="135">
        <v>1</v>
      </c>
      <c r="I903" s="58" t="e">
        <f t="shared" si="203"/>
        <v>#VALUE!</v>
      </c>
      <c r="J903" s="50" t="e">
        <f t="shared" si="209"/>
        <v>#VALUE!</v>
      </c>
      <c r="K903" s="50" t="e">
        <f t="shared" si="201"/>
        <v>#VALUE!</v>
      </c>
      <c r="L903" s="50" t="e">
        <f t="shared" si="201"/>
        <v>#VALUE!</v>
      </c>
      <c r="M903" s="50" t="e">
        <f t="shared" si="204"/>
        <v>#VALUE!</v>
      </c>
      <c r="N903" s="50" t="e">
        <f t="shared" si="205"/>
        <v>#VALUE!</v>
      </c>
      <c r="O903" s="50">
        <f t="shared" si="206"/>
        <v>0</v>
      </c>
      <c r="Q903" s="55" t="e">
        <f t="shared" si="207"/>
        <v>#VALUE!</v>
      </c>
      <c r="R903" s="55" t="e">
        <f t="shared" si="210"/>
        <v>#VALUE!</v>
      </c>
      <c r="S903" s="55" t="e">
        <f t="shared" si="208"/>
        <v>#VALUE!</v>
      </c>
      <c r="T903" s="50" t="e">
        <f t="shared" si="211"/>
        <v>#VALUE!</v>
      </c>
      <c r="U903" s="50" t="e">
        <f t="shared" si="212"/>
        <v>#VALUE!</v>
      </c>
      <c r="V903" s="50" t="e">
        <f t="shared" si="213"/>
        <v>#VALUE!</v>
      </c>
    </row>
    <row r="904" spans="2:22" x14ac:dyDescent="0.25">
      <c r="B904" s="50" t="b">
        <f t="shared" si="200"/>
        <v>0</v>
      </c>
      <c r="C904" s="50" t="e">
        <f t="shared" si="202"/>
        <v>#VALUE!</v>
      </c>
      <c r="E904" s="56">
        <v>900</v>
      </c>
      <c r="G904" s="138"/>
      <c r="H904" s="135">
        <v>1</v>
      </c>
      <c r="I904" s="58" t="e">
        <f t="shared" si="203"/>
        <v>#VALUE!</v>
      </c>
      <c r="J904" s="50" t="e">
        <f t="shared" si="209"/>
        <v>#VALUE!</v>
      </c>
      <c r="K904" s="50" t="e">
        <f t="shared" si="201"/>
        <v>#VALUE!</v>
      </c>
      <c r="L904" s="50" t="e">
        <f t="shared" si="201"/>
        <v>#VALUE!</v>
      </c>
      <c r="M904" s="50" t="e">
        <f t="shared" si="204"/>
        <v>#VALUE!</v>
      </c>
      <c r="N904" s="50" t="e">
        <f t="shared" si="205"/>
        <v>#VALUE!</v>
      </c>
      <c r="O904" s="50">
        <f t="shared" si="206"/>
        <v>0</v>
      </c>
      <c r="Q904" s="55" t="e">
        <f t="shared" si="207"/>
        <v>#VALUE!</v>
      </c>
      <c r="R904" s="55" t="e">
        <f t="shared" si="210"/>
        <v>#VALUE!</v>
      </c>
      <c r="S904" s="55" t="e">
        <f t="shared" si="208"/>
        <v>#VALUE!</v>
      </c>
      <c r="T904" s="50" t="e">
        <f t="shared" si="211"/>
        <v>#VALUE!</v>
      </c>
      <c r="U904" s="50" t="e">
        <f t="shared" si="212"/>
        <v>#VALUE!</v>
      </c>
      <c r="V904" s="50" t="e">
        <f t="shared" si="213"/>
        <v>#VALUE!</v>
      </c>
    </row>
    <row r="905" spans="2:22" x14ac:dyDescent="0.25">
      <c r="B905" s="50" t="b">
        <f t="shared" si="200"/>
        <v>0</v>
      </c>
      <c r="C905" s="50" t="e">
        <f t="shared" si="202"/>
        <v>#VALUE!</v>
      </c>
      <c r="E905" s="56">
        <v>901</v>
      </c>
      <c r="G905" s="138"/>
      <c r="H905" s="135">
        <v>1</v>
      </c>
      <c r="I905" s="58" t="e">
        <f t="shared" si="203"/>
        <v>#VALUE!</v>
      </c>
      <c r="J905" s="50" t="e">
        <f t="shared" si="209"/>
        <v>#VALUE!</v>
      </c>
      <c r="K905" s="50" t="e">
        <f t="shared" si="201"/>
        <v>#VALUE!</v>
      </c>
      <c r="L905" s="50" t="e">
        <f t="shared" si="201"/>
        <v>#VALUE!</v>
      </c>
      <c r="M905" s="50" t="e">
        <f t="shared" si="204"/>
        <v>#VALUE!</v>
      </c>
      <c r="N905" s="50" t="e">
        <f t="shared" si="205"/>
        <v>#VALUE!</v>
      </c>
      <c r="O905" s="50">
        <f t="shared" si="206"/>
        <v>0</v>
      </c>
      <c r="Q905" s="55" t="e">
        <f t="shared" si="207"/>
        <v>#VALUE!</v>
      </c>
      <c r="R905" s="55" t="e">
        <f t="shared" si="210"/>
        <v>#VALUE!</v>
      </c>
      <c r="S905" s="55" t="e">
        <f t="shared" si="208"/>
        <v>#VALUE!</v>
      </c>
      <c r="T905" s="50" t="e">
        <f t="shared" si="211"/>
        <v>#VALUE!</v>
      </c>
      <c r="U905" s="50" t="e">
        <f t="shared" si="212"/>
        <v>#VALUE!</v>
      </c>
      <c r="V905" s="50" t="e">
        <f t="shared" si="213"/>
        <v>#VALUE!</v>
      </c>
    </row>
    <row r="906" spans="2:22" x14ac:dyDescent="0.25">
      <c r="B906" s="50" t="b">
        <f t="shared" si="200"/>
        <v>0</v>
      </c>
      <c r="C906" s="50" t="e">
        <f t="shared" si="202"/>
        <v>#VALUE!</v>
      </c>
      <c r="E906" s="56">
        <v>902</v>
      </c>
      <c r="G906" s="138"/>
      <c r="H906" s="135">
        <v>1</v>
      </c>
      <c r="I906" s="58" t="e">
        <f t="shared" si="203"/>
        <v>#VALUE!</v>
      </c>
      <c r="J906" s="50" t="e">
        <f t="shared" si="209"/>
        <v>#VALUE!</v>
      </c>
      <c r="K906" s="50" t="e">
        <f t="shared" si="201"/>
        <v>#VALUE!</v>
      </c>
      <c r="L906" s="50" t="e">
        <f t="shared" si="201"/>
        <v>#VALUE!</v>
      </c>
      <c r="M906" s="50" t="e">
        <f t="shared" si="204"/>
        <v>#VALUE!</v>
      </c>
      <c r="N906" s="50" t="e">
        <f t="shared" si="205"/>
        <v>#VALUE!</v>
      </c>
      <c r="O906" s="50">
        <f t="shared" si="206"/>
        <v>0</v>
      </c>
      <c r="Q906" s="55" t="e">
        <f t="shared" si="207"/>
        <v>#VALUE!</v>
      </c>
      <c r="R906" s="55" t="e">
        <f t="shared" si="210"/>
        <v>#VALUE!</v>
      </c>
      <c r="S906" s="55" t="e">
        <f t="shared" si="208"/>
        <v>#VALUE!</v>
      </c>
      <c r="T906" s="50" t="e">
        <f t="shared" si="211"/>
        <v>#VALUE!</v>
      </c>
      <c r="U906" s="50" t="e">
        <f t="shared" si="212"/>
        <v>#VALUE!</v>
      </c>
      <c r="V906" s="50" t="e">
        <f t="shared" si="213"/>
        <v>#VALUE!</v>
      </c>
    </row>
    <row r="907" spans="2:22" x14ac:dyDescent="0.25">
      <c r="B907" s="50" t="b">
        <f t="shared" si="200"/>
        <v>0</v>
      </c>
      <c r="C907" s="50" t="e">
        <f t="shared" si="202"/>
        <v>#VALUE!</v>
      </c>
      <c r="E907" s="56">
        <v>903</v>
      </c>
      <c r="G907" s="138"/>
      <c r="H907" s="135">
        <v>1</v>
      </c>
      <c r="I907" s="58" t="e">
        <f t="shared" si="203"/>
        <v>#VALUE!</v>
      </c>
      <c r="J907" s="50" t="e">
        <f t="shared" si="209"/>
        <v>#VALUE!</v>
      </c>
      <c r="K907" s="50" t="e">
        <f t="shared" si="201"/>
        <v>#VALUE!</v>
      </c>
      <c r="L907" s="50" t="e">
        <f t="shared" si="201"/>
        <v>#VALUE!</v>
      </c>
      <c r="M907" s="50" t="e">
        <f t="shared" si="204"/>
        <v>#VALUE!</v>
      </c>
      <c r="N907" s="50" t="e">
        <f t="shared" si="205"/>
        <v>#VALUE!</v>
      </c>
      <c r="O907" s="50">
        <f t="shared" si="206"/>
        <v>0</v>
      </c>
      <c r="Q907" s="55" t="e">
        <f t="shared" si="207"/>
        <v>#VALUE!</v>
      </c>
      <c r="R907" s="55" t="e">
        <f t="shared" si="210"/>
        <v>#VALUE!</v>
      </c>
      <c r="S907" s="55" t="e">
        <f t="shared" si="208"/>
        <v>#VALUE!</v>
      </c>
      <c r="T907" s="50" t="e">
        <f t="shared" si="211"/>
        <v>#VALUE!</v>
      </c>
      <c r="U907" s="50" t="e">
        <f t="shared" si="212"/>
        <v>#VALUE!</v>
      </c>
      <c r="V907" s="50" t="e">
        <f t="shared" si="213"/>
        <v>#VALUE!</v>
      </c>
    </row>
    <row r="908" spans="2:22" x14ac:dyDescent="0.25">
      <c r="B908" s="50" t="b">
        <f t="shared" si="200"/>
        <v>0</v>
      </c>
      <c r="C908" s="50" t="e">
        <f t="shared" si="202"/>
        <v>#VALUE!</v>
      </c>
      <c r="E908" s="56">
        <v>904</v>
      </c>
      <c r="G908" s="138"/>
      <c r="H908" s="135">
        <v>1</v>
      </c>
      <c r="I908" s="58" t="e">
        <f t="shared" si="203"/>
        <v>#VALUE!</v>
      </c>
      <c r="J908" s="50" t="e">
        <f t="shared" si="209"/>
        <v>#VALUE!</v>
      </c>
      <c r="K908" s="50" t="e">
        <f t="shared" si="201"/>
        <v>#VALUE!</v>
      </c>
      <c r="L908" s="50" t="e">
        <f t="shared" si="201"/>
        <v>#VALUE!</v>
      </c>
      <c r="M908" s="50" t="e">
        <f t="shared" si="204"/>
        <v>#VALUE!</v>
      </c>
      <c r="N908" s="50" t="e">
        <f t="shared" si="205"/>
        <v>#VALUE!</v>
      </c>
      <c r="O908" s="50">
        <f t="shared" si="206"/>
        <v>0</v>
      </c>
      <c r="Q908" s="55" t="e">
        <f t="shared" si="207"/>
        <v>#VALUE!</v>
      </c>
      <c r="R908" s="55" t="e">
        <f t="shared" si="210"/>
        <v>#VALUE!</v>
      </c>
      <c r="S908" s="55" t="e">
        <f t="shared" si="208"/>
        <v>#VALUE!</v>
      </c>
      <c r="T908" s="50" t="e">
        <f t="shared" si="211"/>
        <v>#VALUE!</v>
      </c>
      <c r="U908" s="50" t="e">
        <f t="shared" si="212"/>
        <v>#VALUE!</v>
      </c>
      <c r="V908" s="50" t="e">
        <f t="shared" si="213"/>
        <v>#VALUE!</v>
      </c>
    </row>
    <row r="909" spans="2:22" x14ac:dyDescent="0.25">
      <c r="B909" s="50" t="b">
        <f t="shared" si="200"/>
        <v>0</v>
      </c>
      <c r="C909" s="50" t="e">
        <f t="shared" si="202"/>
        <v>#VALUE!</v>
      </c>
      <c r="E909" s="56">
        <v>905</v>
      </c>
      <c r="G909" s="138"/>
      <c r="H909" s="135">
        <v>1</v>
      </c>
      <c r="I909" s="58" t="e">
        <f t="shared" si="203"/>
        <v>#VALUE!</v>
      </c>
      <c r="J909" s="50" t="e">
        <f t="shared" si="209"/>
        <v>#VALUE!</v>
      </c>
      <c r="K909" s="50" t="e">
        <f t="shared" si="201"/>
        <v>#VALUE!</v>
      </c>
      <c r="L909" s="50" t="e">
        <f t="shared" si="201"/>
        <v>#VALUE!</v>
      </c>
      <c r="M909" s="50" t="e">
        <f t="shared" si="204"/>
        <v>#VALUE!</v>
      </c>
      <c r="N909" s="50" t="e">
        <f t="shared" si="205"/>
        <v>#VALUE!</v>
      </c>
      <c r="O909" s="50">
        <f t="shared" si="206"/>
        <v>0</v>
      </c>
      <c r="Q909" s="55" t="e">
        <f t="shared" si="207"/>
        <v>#VALUE!</v>
      </c>
      <c r="R909" s="55" t="e">
        <f t="shared" si="210"/>
        <v>#VALUE!</v>
      </c>
      <c r="S909" s="55" t="e">
        <f t="shared" si="208"/>
        <v>#VALUE!</v>
      </c>
      <c r="T909" s="50" t="e">
        <f t="shared" si="211"/>
        <v>#VALUE!</v>
      </c>
      <c r="U909" s="50" t="e">
        <f t="shared" si="212"/>
        <v>#VALUE!</v>
      </c>
      <c r="V909" s="50" t="e">
        <f t="shared" si="213"/>
        <v>#VALUE!</v>
      </c>
    </row>
    <row r="910" spans="2:22" x14ac:dyDescent="0.25">
      <c r="B910" s="50" t="b">
        <f t="shared" ref="B910:B973" si="214">ISNUMBER(C910)</f>
        <v>0</v>
      </c>
      <c r="C910" s="50" t="e">
        <f t="shared" si="202"/>
        <v>#VALUE!</v>
      </c>
      <c r="E910" s="56">
        <v>906</v>
      </c>
      <c r="G910" s="138"/>
      <c r="H910" s="135">
        <v>1</v>
      </c>
      <c r="I910" s="58" t="e">
        <f t="shared" si="203"/>
        <v>#VALUE!</v>
      </c>
      <c r="J910" s="50" t="e">
        <f t="shared" si="209"/>
        <v>#VALUE!</v>
      </c>
      <c r="K910" s="50" t="e">
        <f t="shared" si="201"/>
        <v>#VALUE!</v>
      </c>
      <c r="L910" s="50" t="e">
        <f t="shared" si="201"/>
        <v>#VALUE!</v>
      </c>
      <c r="M910" s="50" t="e">
        <f t="shared" si="204"/>
        <v>#VALUE!</v>
      </c>
      <c r="N910" s="50" t="e">
        <f t="shared" si="205"/>
        <v>#VALUE!</v>
      </c>
      <c r="O910" s="50">
        <f t="shared" si="206"/>
        <v>0</v>
      </c>
      <c r="Q910" s="55" t="e">
        <f t="shared" si="207"/>
        <v>#VALUE!</v>
      </c>
      <c r="R910" s="55" t="e">
        <f t="shared" si="210"/>
        <v>#VALUE!</v>
      </c>
      <c r="S910" s="55" t="e">
        <f t="shared" si="208"/>
        <v>#VALUE!</v>
      </c>
      <c r="T910" s="50" t="e">
        <f t="shared" si="211"/>
        <v>#VALUE!</v>
      </c>
      <c r="U910" s="50" t="e">
        <f t="shared" si="212"/>
        <v>#VALUE!</v>
      </c>
      <c r="V910" s="50" t="e">
        <f t="shared" si="213"/>
        <v>#VALUE!</v>
      </c>
    </row>
    <row r="911" spans="2:22" x14ac:dyDescent="0.25">
      <c r="B911" s="50" t="b">
        <f t="shared" si="214"/>
        <v>0</v>
      </c>
      <c r="C911" s="50" t="e">
        <f t="shared" si="202"/>
        <v>#VALUE!</v>
      </c>
      <c r="E911" s="56">
        <v>907</v>
      </c>
      <c r="G911" s="138"/>
      <c r="H911" s="135">
        <v>1</v>
      </c>
      <c r="I911" s="58" t="e">
        <f t="shared" si="203"/>
        <v>#VALUE!</v>
      </c>
      <c r="J911" s="50" t="e">
        <f t="shared" si="209"/>
        <v>#VALUE!</v>
      </c>
      <c r="K911" s="50" t="e">
        <f t="shared" si="201"/>
        <v>#VALUE!</v>
      </c>
      <c r="L911" s="50" t="e">
        <f t="shared" si="201"/>
        <v>#VALUE!</v>
      </c>
      <c r="M911" s="50" t="e">
        <f t="shared" si="204"/>
        <v>#VALUE!</v>
      </c>
      <c r="N911" s="50" t="e">
        <f t="shared" si="205"/>
        <v>#VALUE!</v>
      </c>
      <c r="O911" s="50">
        <f t="shared" si="206"/>
        <v>0</v>
      </c>
      <c r="Q911" s="55" t="e">
        <f t="shared" si="207"/>
        <v>#VALUE!</v>
      </c>
      <c r="R911" s="55" t="e">
        <f t="shared" si="210"/>
        <v>#VALUE!</v>
      </c>
      <c r="S911" s="55" t="e">
        <f t="shared" si="208"/>
        <v>#VALUE!</v>
      </c>
      <c r="T911" s="50" t="e">
        <f t="shared" si="211"/>
        <v>#VALUE!</v>
      </c>
      <c r="U911" s="50" t="e">
        <f t="shared" si="212"/>
        <v>#VALUE!</v>
      </c>
      <c r="V911" s="50" t="e">
        <f t="shared" si="213"/>
        <v>#VALUE!</v>
      </c>
    </row>
    <row r="912" spans="2:22" x14ac:dyDescent="0.25">
      <c r="B912" s="50" t="b">
        <f t="shared" si="214"/>
        <v>0</v>
      </c>
      <c r="C912" s="50" t="e">
        <f t="shared" si="202"/>
        <v>#VALUE!</v>
      </c>
      <c r="E912" s="56">
        <v>908</v>
      </c>
      <c r="G912" s="138"/>
      <c r="H912" s="135">
        <v>1</v>
      </c>
      <c r="I912" s="58" t="e">
        <f t="shared" si="203"/>
        <v>#VALUE!</v>
      </c>
      <c r="J912" s="50" t="e">
        <f t="shared" si="209"/>
        <v>#VALUE!</v>
      </c>
      <c r="K912" s="50" t="e">
        <f t="shared" si="201"/>
        <v>#VALUE!</v>
      </c>
      <c r="L912" s="50" t="e">
        <f t="shared" si="201"/>
        <v>#VALUE!</v>
      </c>
      <c r="M912" s="50" t="e">
        <f t="shared" si="204"/>
        <v>#VALUE!</v>
      </c>
      <c r="N912" s="50" t="e">
        <f t="shared" si="205"/>
        <v>#VALUE!</v>
      </c>
      <c r="O912" s="50">
        <f t="shared" si="206"/>
        <v>0</v>
      </c>
      <c r="Q912" s="55" t="e">
        <f t="shared" si="207"/>
        <v>#VALUE!</v>
      </c>
      <c r="R912" s="55" t="e">
        <f t="shared" si="210"/>
        <v>#VALUE!</v>
      </c>
      <c r="S912" s="55" t="e">
        <f t="shared" si="208"/>
        <v>#VALUE!</v>
      </c>
      <c r="T912" s="50" t="e">
        <f t="shared" si="211"/>
        <v>#VALUE!</v>
      </c>
      <c r="U912" s="50" t="e">
        <f t="shared" si="212"/>
        <v>#VALUE!</v>
      </c>
      <c r="V912" s="50" t="e">
        <f t="shared" si="213"/>
        <v>#VALUE!</v>
      </c>
    </row>
    <row r="913" spans="2:22" x14ac:dyDescent="0.25">
      <c r="B913" s="50" t="b">
        <f t="shared" si="214"/>
        <v>0</v>
      </c>
      <c r="C913" s="50" t="e">
        <f t="shared" si="202"/>
        <v>#VALUE!</v>
      </c>
      <c r="E913" s="56">
        <v>909</v>
      </c>
      <c r="G913" s="138"/>
      <c r="H913" s="135">
        <v>1</v>
      </c>
      <c r="I913" s="58" t="e">
        <f t="shared" si="203"/>
        <v>#VALUE!</v>
      </c>
      <c r="J913" s="50" t="e">
        <f t="shared" si="209"/>
        <v>#VALUE!</v>
      </c>
      <c r="K913" s="50" t="e">
        <f t="shared" si="201"/>
        <v>#VALUE!</v>
      </c>
      <c r="L913" s="50" t="e">
        <f t="shared" si="201"/>
        <v>#VALUE!</v>
      </c>
      <c r="M913" s="50" t="e">
        <f t="shared" si="204"/>
        <v>#VALUE!</v>
      </c>
      <c r="N913" s="50" t="e">
        <f t="shared" si="205"/>
        <v>#VALUE!</v>
      </c>
      <c r="O913" s="50">
        <f t="shared" si="206"/>
        <v>0</v>
      </c>
      <c r="Q913" s="55" t="e">
        <f t="shared" si="207"/>
        <v>#VALUE!</v>
      </c>
      <c r="R913" s="55" t="e">
        <f t="shared" si="210"/>
        <v>#VALUE!</v>
      </c>
      <c r="S913" s="55" t="e">
        <f t="shared" si="208"/>
        <v>#VALUE!</v>
      </c>
      <c r="T913" s="50" t="e">
        <f t="shared" si="211"/>
        <v>#VALUE!</v>
      </c>
      <c r="U913" s="50" t="e">
        <f t="shared" si="212"/>
        <v>#VALUE!</v>
      </c>
      <c r="V913" s="50" t="e">
        <f t="shared" si="213"/>
        <v>#VALUE!</v>
      </c>
    </row>
    <row r="914" spans="2:22" x14ac:dyDescent="0.25">
      <c r="B914" s="50" t="b">
        <f t="shared" si="214"/>
        <v>0</v>
      </c>
      <c r="C914" s="50" t="e">
        <f t="shared" si="202"/>
        <v>#VALUE!</v>
      </c>
      <c r="E914" s="56">
        <v>910</v>
      </c>
      <c r="G914" s="138"/>
      <c r="H914" s="135">
        <v>1</v>
      </c>
      <c r="I914" s="58" t="e">
        <f t="shared" si="203"/>
        <v>#VALUE!</v>
      </c>
      <c r="J914" s="50" t="e">
        <f t="shared" si="209"/>
        <v>#VALUE!</v>
      </c>
      <c r="K914" s="50" t="e">
        <f t="shared" si="201"/>
        <v>#VALUE!</v>
      </c>
      <c r="L914" s="50" t="e">
        <f t="shared" si="201"/>
        <v>#VALUE!</v>
      </c>
      <c r="M914" s="50" t="e">
        <f t="shared" si="204"/>
        <v>#VALUE!</v>
      </c>
      <c r="N914" s="50" t="e">
        <f t="shared" si="205"/>
        <v>#VALUE!</v>
      </c>
      <c r="O914" s="50">
        <f t="shared" si="206"/>
        <v>0</v>
      </c>
      <c r="Q914" s="55" t="e">
        <f t="shared" si="207"/>
        <v>#VALUE!</v>
      </c>
      <c r="R914" s="55" t="e">
        <f t="shared" si="210"/>
        <v>#VALUE!</v>
      </c>
      <c r="S914" s="55" t="e">
        <f t="shared" si="208"/>
        <v>#VALUE!</v>
      </c>
      <c r="T914" s="50" t="e">
        <f t="shared" si="211"/>
        <v>#VALUE!</v>
      </c>
      <c r="U914" s="50" t="e">
        <f t="shared" si="212"/>
        <v>#VALUE!</v>
      </c>
      <c r="V914" s="50" t="e">
        <f t="shared" si="213"/>
        <v>#VALUE!</v>
      </c>
    </row>
    <row r="915" spans="2:22" x14ac:dyDescent="0.25">
      <c r="B915" s="50" t="b">
        <f t="shared" si="214"/>
        <v>0</v>
      </c>
      <c r="C915" s="50" t="e">
        <f t="shared" si="202"/>
        <v>#VALUE!</v>
      </c>
      <c r="E915" s="56">
        <v>911</v>
      </c>
      <c r="G915" s="138"/>
      <c r="H915" s="135">
        <v>1</v>
      </c>
      <c r="I915" s="58" t="e">
        <f t="shared" si="203"/>
        <v>#VALUE!</v>
      </c>
      <c r="J915" s="50" t="e">
        <f t="shared" si="209"/>
        <v>#VALUE!</v>
      </c>
      <c r="K915" s="50" t="e">
        <f t="shared" si="201"/>
        <v>#VALUE!</v>
      </c>
      <c r="L915" s="50" t="e">
        <f t="shared" si="201"/>
        <v>#VALUE!</v>
      </c>
      <c r="M915" s="50" t="e">
        <f t="shared" si="204"/>
        <v>#VALUE!</v>
      </c>
      <c r="N915" s="50" t="e">
        <f t="shared" si="205"/>
        <v>#VALUE!</v>
      </c>
      <c r="O915" s="50">
        <f t="shared" si="206"/>
        <v>0</v>
      </c>
      <c r="Q915" s="55" t="e">
        <f t="shared" si="207"/>
        <v>#VALUE!</v>
      </c>
      <c r="R915" s="55" t="e">
        <f t="shared" si="210"/>
        <v>#VALUE!</v>
      </c>
      <c r="S915" s="55" t="e">
        <f t="shared" si="208"/>
        <v>#VALUE!</v>
      </c>
      <c r="T915" s="50" t="e">
        <f t="shared" si="211"/>
        <v>#VALUE!</v>
      </c>
      <c r="U915" s="50" t="e">
        <f t="shared" si="212"/>
        <v>#VALUE!</v>
      </c>
      <c r="V915" s="50" t="e">
        <f t="shared" si="213"/>
        <v>#VALUE!</v>
      </c>
    </row>
    <row r="916" spans="2:22" x14ac:dyDescent="0.25">
      <c r="B916" s="50" t="b">
        <f t="shared" si="214"/>
        <v>0</v>
      </c>
      <c r="C916" s="50" t="e">
        <f t="shared" si="202"/>
        <v>#VALUE!</v>
      </c>
      <c r="E916" s="56">
        <v>912</v>
      </c>
      <c r="G916" s="138"/>
      <c r="H916" s="135">
        <v>1</v>
      </c>
      <c r="I916" s="58" t="e">
        <f t="shared" si="203"/>
        <v>#VALUE!</v>
      </c>
      <c r="J916" s="50" t="e">
        <f t="shared" si="209"/>
        <v>#VALUE!</v>
      </c>
      <c r="K916" s="50" t="e">
        <f t="shared" si="201"/>
        <v>#VALUE!</v>
      </c>
      <c r="L916" s="50" t="e">
        <f t="shared" si="201"/>
        <v>#VALUE!</v>
      </c>
      <c r="M916" s="50" t="e">
        <f t="shared" si="204"/>
        <v>#VALUE!</v>
      </c>
      <c r="N916" s="50" t="e">
        <f t="shared" si="205"/>
        <v>#VALUE!</v>
      </c>
      <c r="O916" s="50">
        <f t="shared" si="206"/>
        <v>0</v>
      </c>
      <c r="Q916" s="55" t="e">
        <f t="shared" si="207"/>
        <v>#VALUE!</v>
      </c>
      <c r="R916" s="55" t="e">
        <f t="shared" si="210"/>
        <v>#VALUE!</v>
      </c>
      <c r="S916" s="55" t="e">
        <f t="shared" si="208"/>
        <v>#VALUE!</v>
      </c>
      <c r="T916" s="50" t="e">
        <f t="shared" si="211"/>
        <v>#VALUE!</v>
      </c>
      <c r="U916" s="50" t="e">
        <f t="shared" si="212"/>
        <v>#VALUE!</v>
      </c>
      <c r="V916" s="50" t="e">
        <f t="shared" si="213"/>
        <v>#VALUE!</v>
      </c>
    </row>
    <row r="917" spans="2:22" x14ac:dyDescent="0.25">
      <c r="B917" s="50" t="b">
        <f t="shared" si="214"/>
        <v>0</v>
      </c>
      <c r="C917" s="50" t="e">
        <f t="shared" si="202"/>
        <v>#VALUE!</v>
      </c>
      <c r="E917" s="56">
        <v>913</v>
      </c>
      <c r="G917" s="138"/>
      <c r="H917" s="135">
        <v>1</v>
      </c>
      <c r="I917" s="58" t="e">
        <f t="shared" si="203"/>
        <v>#VALUE!</v>
      </c>
      <c r="J917" s="50" t="e">
        <f t="shared" si="209"/>
        <v>#VALUE!</v>
      </c>
      <c r="K917" s="50" t="e">
        <f t="shared" si="201"/>
        <v>#VALUE!</v>
      </c>
      <c r="L917" s="50" t="e">
        <f t="shared" si="201"/>
        <v>#VALUE!</v>
      </c>
      <c r="M917" s="50" t="e">
        <f t="shared" si="204"/>
        <v>#VALUE!</v>
      </c>
      <c r="N917" s="50" t="e">
        <f t="shared" si="205"/>
        <v>#VALUE!</v>
      </c>
      <c r="O917" s="50">
        <f t="shared" si="206"/>
        <v>0</v>
      </c>
      <c r="Q917" s="55" t="e">
        <f t="shared" si="207"/>
        <v>#VALUE!</v>
      </c>
      <c r="R917" s="55" t="e">
        <f t="shared" si="210"/>
        <v>#VALUE!</v>
      </c>
      <c r="S917" s="55" t="e">
        <f t="shared" si="208"/>
        <v>#VALUE!</v>
      </c>
      <c r="T917" s="50" t="e">
        <f t="shared" si="211"/>
        <v>#VALUE!</v>
      </c>
      <c r="U917" s="50" t="e">
        <f t="shared" si="212"/>
        <v>#VALUE!</v>
      </c>
      <c r="V917" s="50" t="e">
        <f t="shared" si="213"/>
        <v>#VALUE!</v>
      </c>
    </row>
    <row r="918" spans="2:22" x14ac:dyDescent="0.25">
      <c r="B918" s="50" t="b">
        <f t="shared" si="214"/>
        <v>0</v>
      </c>
      <c r="C918" s="50" t="e">
        <f t="shared" si="202"/>
        <v>#VALUE!</v>
      </c>
      <c r="E918" s="56">
        <v>914</v>
      </c>
      <c r="G918" s="138"/>
      <c r="H918" s="135">
        <v>1</v>
      </c>
      <c r="I918" s="58" t="e">
        <f t="shared" si="203"/>
        <v>#VALUE!</v>
      </c>
      <c r="J918" s="50" t="e">
        <f t="shared" si="209"/>
        <v>#VALUE!</v>
      </c>
      <c r="K918" s="50" t="e">
        <f t="shared" si="201"/>
        <v>#VALUE!</v>
      </c>
      <c r="L918" s="50" t="e">
        <f t="shared" si="201"/>
        <v>#VALUE!</v>
      </c>
      <c r="M918" s="50" t="e">
        <f t="shared" si="204"/>
        <v>#VALUE!</v>
      </c>
      <c r="N918" s="50" t="e">
        <f t="shared" si="205"/>
        <v>#VALUE!</v>
      </c>
      <c r="O918" s="50">
        <f t="shared" si="206"/>
        <v>0</v>
      </c>
      <c r="Q918" s="55" t="e">
        <f t="shared" si="207"/>
        <v>#VALUE!</v>
      </c>
      <c r="R918" s="55" t="e">
        <f t="shared" si="210"/>
        <v>#VALUE!</v>
      </c>
      <c r="S918" s="55" t="e">
        <f t="shared" si="208"/>
        <v>#VALUE!</v>
      </c>
      <c r="T918" s="50" t="e">
        <f t="shared" si="211"/>
        <v>#VALUE!</v>
      </c>
      <c r="U918" s="50" t="e">
        <f t="shared" si="212"/>
        <v>#VALUE!</v>
      </c>
      <c r="V918" s="50" t="e">
        <f t="shared" si="213"/>
        <v>#VALUE!</v>
      </c>
    </row>
    <row r="919" spans="2:22" x14ac:dyDescent="0.25">
      <c r="B919" s="50" t="b">
        <f t="shared" si="214"/>
        <v>0</v>
      </c>
      <c r="C919" s="50" t="e">
        <f t="shared" si="202"/>
        <v>#VALUE!</v>
      </c>
      <c r="E919" s="56">
        <v>915</v>
      </c>
      <c r="G919" s="138"/>
      <c r="H919" s="135">
        <v>1</v>
      </c>
      <c r="I919" s="58" t="e">
        <f t="shared" si="203"/>
        <v>#VALUE!</v>
      </c>
      <c r="J919" s="50" t="e">
        <f t="shared" si="209"/>
        <v>#VALUE!</v>
      </c>
      <c r="K919" s="50" t="e">
        <f t="shared" si="201"/>
        <v>#VALUE!</v>
      </c>
      <c r="L919" s="50" t="e">
        <f t="shared" si="201"/>
        <v>#VALUE!</v>
      </c>
      <c r="M919" s="50" t="e">
        <f t="shared" si="204"/>
        <v>#VALUE!</v>
      </c>
      <c r="N919" s="50" t="e">
        <f t="shared" si="205"/>
        <v>#VALUE!</v>
      </c>
      <c r="O919" s="50">
        <f t="shared" si="206"/>
        <v>0</v>
      </c>
      <c r="Q919" s="55" t="e">
        <f t="shared" si="207"/>
        <v>#VALUE!</v>
      </c>
      <c r="R919" s="55" t="e">
        <f t="shared" si="210"/>
        <v>#VALUE!</v>
      </c>
      <c r="S919" s="55" t="e">
        <f t="shared" si="208"/>
        <v>#VALUE!</v>
      </c>
      <c r="T919" s="50" t="e">
        <f t="shared" si="211"/>
        <v>#VALUE!</v>
      </c>
      <c r="U919" s="50" t="e">
        <f t="shared" si="212"/>
        <v>#VALUE!</v>
      </c>
      <c r="V919" s="50" t="e">
        <f t="shared" si="213"/>
        <v>#VALUE!</v>
      </c>
    </row>
    <row r="920" spans="2:22" x14ac:dyDescent="0.25">
      <c r="B920" s="50" t="b">
        <f t="shared" si="214"/>
        <v>0</v>
      </c>
      <c r="C920" s="50" t="e">
        <f t="shared" si="202"/>
        <v>#VALUE!</v>
      </c>
      <c r="E920" s="56">
        <v>916</v>
      </c>
      <c r="G920" s="138"/>
      <c r="H920" s="135">
        <v>1</v>
      </c>
      <c r="I920" s="58" t="e">
        <f t="shared" si="203"/>
        <v>#VALUE!</v>
      </c>
      <c r="J920" s="50" t="e">
        <f t="shared" si="209"/>
        <v>#VALUE!</v>
      </c>
      <c r="K920" s="50" t="e">
        <f t="shared" si="201"/>
        <v>#VALUE!</v>
      </c>
      <c r="L920" s="50" t="e">
        <f t="shared" si="201"/>
        <v>#VALUE!</v>
      </c>
      <c r="M920" s="50" t="e">
        <f t="shared" si="204"/>
        <v>#VALUE!</v>
      </c>
      <c r="N920" s="50" t="e">
        <f t="shared" si="205"/>
        <v>#VALUE!</v>
      </c>
      <c r="O920" s="50">
        <f t="shared" si="206"/>
        <v>0</v>
      </c>
      <c r="Q920" s="55" t="e">
        <f t="shared" si="207"/>
        <v>#VALUE!</v>
      </c>
      <c r="R920" s="55" t="e">
        <f t="shared" si="210"/>
        <v>#VALUE!</v>
      </c>
      <c r="S920" s="55" t="e">
        <f t="shared" si="208"/>
        <v>#VALUE!</v>
      </c>
      <c r="T920" s="50" t="e">
        <f t="shared" si="211"/>
        <v>#VALUE!</v>
      </c>
      <c r="U920" s="50" t="e">
        <f t="shared" si="212"/>
        <v>#VALUE!</v>
      </c>
      <c r="V920" s="50" t="e">
        <f t="shared" si="213"/>
        <v>#VALUE!</v>
      </c>
    </row>
    <row r="921" spans="2:22" x14ac:dyDescent="0.25">
      <c r="B921" s="50" t="b">
        <f t="shared" si="214"/>
        <v>0</v>
      </c>
      <c r="C921" s="50" t="e">
        <f t="shared" si="202"/>
        <v>#VALUE!</v>
      </c>
      <c r="E921" s="56">
        <v>917</v>
      </c>
      <c r="G921" s="138"/>
      <c r="H921" s="135">
        <v>1</v>
      </c>
      <c r="I921" s="58" t="e">
        <f t="shared" si="203"/>
        <v>#VALUE!</v>
      </c>
      <c r="J921" s="50" t="e">
        <f t="shared" si="209"/>
        <v>#VALUE!</v>
      </c>
      <c r="K921" s="50" t="e">
        <f t="shared" si="201"/>
        <v>#VALUE!</v>
      </c>
      <c r="L921" s="50" t="e">
        <f t="shared" si="201"/>
        <v>#VALUE!</v>
      </c>
      <c r="M921" s="50" t="e">
        <f t="shared" si="204"/>
        <v>#VALUE!</v>
      </c>
      <c r="N921" s="50" t="e">
        <f t="shared" si="205"/>
        <v>#VALUE!</v>
      </c>
      <c r="O921" s="50">
        <f t="shared" si="206"/>
        <v>0</v>
      </c>
      <c r="Q921" s="55" t="e">
        <f t="shared" si="207"/>
        <v>#VALUE!</v>
      </c>
      <c r="R921" s="55" t="e">
        <f t="shared" si="210"/>
        <v>#VALUE!</v>
      </c>
      <c r="S921" s="55" t="e">
        <f t="shared" si="208"/>
        <v>#VALUE!</v>
      </c>
      <c r="T921" s="50" t="e">
        <f t="shared" si="211"/>
        <v>#VALUE!</v>
      </c>
      <c r="U921" s="50" t="e">
        <f t="shared" si="212"/>
        <v>#VALUE!</v>
      </c>
      <c r="V921" s="50" t="e">
        <f t="shared" si="213"/>
        <v>#VALUE!</v>
      </c>
    </row>
    <row r="922" spans="2:22" x14ac:dyDescent="0.25">
      <c r="B922" s="50" t="b">
        <f t="shared" si="214"/>
        <v>0</v>
      </c>
      <c r="C922" s="50" t="e">
        <f t="shared" si="202"/>
        <v>#VALUE!</v>
      </c>
      <c r="E922" s="56">
        <v>918</v>
      </c>
      <c r="G922" s="138"/>
      <c r="H922" s="135">
        <v>1</v>
      </c>
      <c r="I922" s="58" t="e">
        <f t="shared" si="203"/>
        <v>#VALUE!</v>
      </c>
      <c r="J922" s="50" t="e">
        <f t="shared" si="209"/>
        <v>#VALUE!</v>
      </c>
      <c r="K922" s="50" t="e">
        <f t="shared" si="201"/>
        <v>#VALUE!</v>
      </c>
      <c r="L922" s="50" t="e">
        <f t="shared" si="201"/>
        <v>#VALUE!</v>
      </c>
      <c r="M922" s="50" t="e">
        <f t="shared" si="204"/>
        <v>#VALUE!</v>
      </c>
      <c r="N922" s="50" t="e">
        <f t="shared" si="205"/>
        <v>#VALUE!</v>
      </c>
      <c r="O922" s="50">
        <f t="shared" si="206"/>
        <v>0</v>
      </c>
      <c r="Q922" s="55" t="e">
        <f t="shared" si="207"/>
        <v>#VALUE!</v>
      </c>
      <c r="R922" s="55" t="e">
        <f t="shared" si="210"/>
        <v>#VALUE!</v>
      </c>
      <c r="S922" s="55" t="e">
        <f t="shared" si="208"/>
        <v>#VALUE!</v>
      </c>
      <c r="T922" s="50" t="e">
        <f t="shared" si="211"/>
        <v>#VALUE!</v>
      </c>
      <c r="U922" s="50" t="e">
        <f t="shared" si="212"/>
        <v>#VALUE!</v>
      </c>
      <c r="V922" s="50" t="e">
        <f t="shared" si="213"/>
        <v>#VALUE!</v>
      </c>
    </row>
    <row r="923" spans="2:22" x14ac:dyDescent="0.25">
      <c r="B923" s="50" t="b">
        <f t="shared" si="214"/>
        <v>0</v>
      </c>
      <c r="C923" s="50" t="e">
        <f t="shared" si="202"/>
        <v>#VALUE!</v>
      </c>
      <c r="E923" s="56">
        <v>919</v>
      </c>
      <c r="G923" s="138"/>
      <c r="H923" s="135">
        <v>1</v>
      </c>
      <c r="I923" s="58" t="e">
        <f t="shared" si="203"/>
        <v>#VALUE!</v>
      </c>
      <c r="J923" s="50" t="e">
        <f t="shared" si="209"/>
        <v>#VALUE!</v>
      </c>
      <c r="K923" s="50" t="e">
        <f t="shared" si="201"/>
        <v>#VALUE!</v>
      </c>
      <c r="L923" s="50" t="e">
        <f t="shared" si="201"/>
        <v>#VALUE!</v>
      </c>
      <c r="M923" s="50" t="e">
        <f t="shared" si="204"/>
        <v>#VALUE!</v>
      </c>
      <c r="N923" s="50" t="e">
        <f t="shared" si="205"/>
        <v>#VALUE!</v>
      </c>
      <c r="O923" s="50">
        <f t="shared" si="206"/>
        <v>0</v>
      </c>
      <c r="Q923" s="55" t="e">
        <f t="shared" si="207"/>
        <v>#VALUE!</v>
      </c>
      <c r="R923" s="55" t="e">
        <f t="shared" si="210"/>
        <v>#VALUE!</v>
      </c>
      <c r="S923" s="55" t="e">
        <f t="shared" si="208"/>
        <v>#VALUE!</v>
      </c>
      <c r="T923" s="50" t="e">
        <f t="shared" si="211"/>
        <v>#VALUE!</v>
      </c>
      <c r="U923" s="50" t="e">
        <f t="shared" si="212"/>
        <v>#VALUE!</v>
      </c>
      <c r="V923" s="50" t="e">
        <f t="shared" si="213"/>
        <v>#VALUE!</v>
      </c>
    </row>
    <row r="924" spans="2:22" x14ac:dyDescent="0.25">
      <c r="B924" s="50" t="b">
        <f t="shared" si="214"/>
        <v>0</v>
      </c>
      <c r="C924" s="50" t="e">
        <f t="shared" si="202"/>
        <v>#VALUE!</v>
      </c>
      <c r="E924" s="56">
        <v>920</v>
      </c>
      <c r="G924" s="138"/>
      <c r="H924" s="135">
        <v>1</v>
      </c>
      <c r="I924" s="58" t="e">
        <f t="shared" si="203"/>
        <v>#VALUE!</v>
      </c>
      <c r="J924" s="50" t="e">
        <f t="shared" si="209"/>
        <v>#VALUE!</v>
      </c>
      <c r="K924" s="50" t="e">
        <f t="shared" si="201"/>
        <v>#VALUE!</v>
      </c>
      <c r="L924" s="50" t="e">
        <f t="shared" si="201"/>
        <v>#VALUE!</v>
      </c>
      <c r="M924" s="50" t="e">
        <f t="shared" si="204"/>
        <v>#VALUE!</v>
      </c>
      <c r="N924" s="50" t="e">
        <f t="shared" si="205"/>
        <v>#VALUE!</v>
      </c>
      <c r="O924" s="50">
        <f t="shared" si="206"/>
        <v>0</v>
      </c>
      <c r="Q924" s="55" t="e">
        <f t="shared" si="207"/>
        <v>#VALUE!</v>
      </c>
      <c r="R924" s="55" t="e">
        <f t="shared" si="210"/>
        <v>#VALUE!</v>
      </c>
      <c r="S924" s="55" t="e">
        <f t="shared" si="208"/>
        <v>#VALUE!</v>
      </c>
      <c r="T924" s="50" t="e">
        <f t="shared" si="211"/>
        <v>#VALUE!</v>
      </c>
      <c r="U924" s="50" t="e">
        <f t="shared" si="212"/>
        <v>#VALUE!</v>
      </c>
      <c r="V924" s="50" t="e">
        <f t="shared" si="213"/>
        <v>#VALUE!</v>
      </c>
    </row>
    <row r="925" spans="2:22" x14ac:dyDescent="0.25">
      <c r="B925" s="50" t="b">
        <f t="shared" si="214"/>
        <v>0</v>
      </c>
      <c r="C925" s="50" t="e">
        <f t="shared" si="202"/>
        <v>#VALUE!</v>
      </c>
      <c r="E925" s="56">
        <v>921</v>
      </c>
      <c r="G925" s="138"/>
      <c r="H925" s="135">
        <v>1</v>
      </c>
      <c r="I925" s="58" t="e">
        <f t="shared" si="203"/>
        <v>#VALUE!</v>
      </c>
      <c r="J925" s="50" t="e">
        <f t="shared" si="209"/>
        <v>#VALUE!</v>
      </c>
      <c r="K925" s="50" t="e">
        <f t="shared" si="201"/>
        <v>#VALUE!</v>
      </c>
      <c r="L925" s="50" t="e">
        <f t="shared" si="201"/>
        <v>#VALUE!</v>
      </c>
      <c r="M925" s="50" t="e">
        <f t="shared" si="204"/>
        <v>#VALUE!</v>
      </c>
      <c r="N925" s="50" t="e">
        <f t="shared" si="205"/>
        <v>#VALUE!</v>
      </c>
      <c r="O925" s="50">
        <f t="shared" si="206"/>
        <v>0</v>
      </c>
      <c r="Q925" s="55" t="e">
        <f t="shared" si="207"/>
        <v>#VALUE!</v>
      </c>
      <c r="R925" s="55" t="e">
        <f t="shared" si="210"/>
        <v>#VALUE!</v>
      </c>
      <c r="S925" s="55" t="e">
        <f t="shared" si="208"/>
        <v>#VALUE!</v>
      </c>
      <c r="T925" s="50" t="e">
        <f t="shared" si="211"/>
        <v>#VALUE!</v>
      </c>
      <c r="U925" s="50" t="e">
        <f t="shared" si="212"/>
        <v>#VALUE!</v>
      </c>
      <c r="V925" s="50" t="e">
        <f t="shared" si="213"/>
        <v>#VALUE!</v>
      </c>
    </row>
    <row r="926" spans="2:22" x14ac:dyDescent="0.25">
      <c r="B926" s="50" t="b">
        <f t="shared" si="214"/>
        <v>0</v>
      </c>
      <c r="C926" s="50" t="e">
        <f t="shared" si="202"/>
        <v>#VALUE!</v>
      </c>
      <c r="E926" s="56">
        <v>922</v>
      </c>
      <c r="G926" s="138"/>
      <c r="H926" s="135">
        <v>1</v>
      </c>
      <c r="I926" s="58" t="e">
        <f t="shared" si="203"/>
        <v>#VALUE!</v>
      </c>
      <c r="J926" s="50" t="e">
        <f t="shared" si="209"/>
        <v>#VALUE!</v>
      </c>
      <c r="K926" s="50" t="e">
        <f t="shared" si="201"/>
        <v>#VALUE!</v>
      </c>
      <c r="L926" s="50" t="e">
        <f t="shared" si="201"/>
        <v>#VALUE!</v>
      </c>
      <c r="M926" s="50" t="e">
        <f t="shared" si="204"/>
        <v>#VALUE!</v>
      </c>
      <c r="N926" s="50" t="e">
        <f t="shared" si="205"/>
        <v>#VALUE!</v>
      </c>
      <c r="O926" s="50">
        <f t="shared" si="206"/>
        <v>0</v>
      </c>
      <c r="Q926" s="55" t="e">
        <f t="shared" si="207"/>
        <v>#VALUE!</v>
      </c>
      <c r="R926" s="55" t="e">
        <f t="shared" si="210"/>
        <v>#VALUE!</v>
      </c>
      <c r="S926" s="55" t="e">
        <f t="shared" si="208"/>
        <v>#VALUE!</v>
      </c>
      <c r="T926" s="50" t="e">
        <f t="shared" si="211"/>
        <v>#VALUE!</v>
      </c>
      <c r="U926" s="50" t="e">
        <f t="shared" si="212"/>
        <v>#VALUE!</v>
      </c>
      <c r="V926" s="50" t="e">
        <f t="shared" si="213"/>
        <v>#VALUE!</v>
      </c>
    </row>
    <row r="927" spans="2:22" x14ac:dyDescent="0.25">
      <c r="B927" s="50" t="b">
        <f t="shared" si="214"/>
        <v>0</v>
      </c>
      <c r="C927" s="50" t="e">
        <f t="shared" si="202"/>
        <v>#VALUE!</v>
      </c>
      <c r="E927" s="56">
        <v>923</v>
      </c>
      <c r="G927" s="138"/>
      <c r="H927" s="135">
        <v>1</v>
      </c>
      <c r="I927" s="58" t="e">
        <f t="shared" si="203"/>
        <v>#VALUE!</v>
      </c>
      <c r="J927" s="50" t="e">
        <f t="shared" si="209"/>
        <v>#VALUE!</v>
      </c>
      <c r="K927" s="50" t="e">
        <f t="shared" si="201"/>
        <v>#VALUE!</v>
      </c>
      <c r="L927" s="50" t="e">
        <f t="shared" si="201"/>
        <v>#VALUE!</v>
      </c>
      <c r="M927" s="50" t="e">
        <f t="shared" si="204"/>
        <v>#VALUE!</v>
      </c>
      <c r="N927" s="50" t="e">
        <f t="shared" si="205"/>
        <v>#VALUE!</v>
      </c>
      <c r="O927" s="50">
        <f t="shared" si="206"/>
        <v>0</v>
      </c>
      <c r="Q927" s="55" t="e">
        <f t="shared" si="207"/>
        <v>#VALUE!</v>
      </c>
      <c r="R927" s="55" t="e">
        <f t="shared" si="210"/>
        <v>#VALUE!</v>
      </c>
      <c r="S927" s="55" t="e">
        <f t="shared" si="208"/>
        <v>#VALUE!</v>
      </c>
      <c r="T927" s="50" t="e">
        <f t="shared" si="211"/>
        <v>#VALUE!</v>
      </c>
      <c r="U927" s="50" t="e">
        <f t="shared" si="212"/>
        <v>#VALUE!</v>
      </c>
      <c r="V927" s="50" t="e">
        <f t="shared" si="213"/>
        <v>#VALUE!</v>
      </c>
    </row>
    <row r="928" spans="2:22" x14ac:dyDescent="0.25">
      <c r="B928" s="50" t="b">
        <f t="shared" si="214"/>
        <v>0</v>
      </c>
      <c r="C928" s="50" t="e">
        <f t="shared" si="202"/>
        <v>#VALUE!</v>
      </c>
      <c r="E928" s="56">
        <v>924</v>
      </c>
      <c r="G928" s="138"/>
      <c r="H928" s="135">
        <v>1</v>
      </c>
      <c r="I928" s="58" t="e">
        <f t="shared" si="203"/>
        <v>#VALUE!</v>
      </c>
      <c r="J928" s="50" t="e">
        <f t="shared" si="209"/>
        <v>#VALUE!</v>
      </c>
      <c r="K928" s="50" t="e">
        <f t="shared" si="201"/>
        <v>#VALUE!</v>
      </c>
      <c r="L928" s="50" t="e">
        <f t="shared" si="201"/>
        <v>#VALUE!</v>
      </c>
      <c r="M928" s="50" t="e">
        <f t="shared" si="204"/>
        <v>#VALUE!</v>
      </c>
      <c r="N928" s="50" t="e">
        <f t="shared" si="205"/>
        <v>#VALUE!</v>
      </c>
      <c r="O928" s="50">
        <f t="shared" si="206"/>
        <v>0</v>
      </c>
      <c r="Q928" s="55" t="e">
        <f t="shared" si="207"/>
        <v>#VALUE!</v>
      </c>
      <c r="R928" s="55" t="e">
        <f t="shared" si="210"/>
        <v>#VALUE!</v>
      </c>
      <c r="S928" s="55" t="e">
        <f t="shared" si="208"/>
        <v>#VALUE!</v>
      </c>
      <c r="T928" s="50" t="e">
        <f t="shared" si="211"/>
        <v>#VALUE!</v>
      </c>
      <c r="U928" s="50" t="e">
        <f t="shared" si="212"/>
        <v>#VALUE!</v>
      </c>
      <c r="V928" s="50" t="e">
        <f t="shared" si="213"/>
        <v>#VALUE!</v>
      </c>
    </row>
    <row r="929" spans="2:22" x14ac:dyDescent="0.25">
      <c r="B929" s="50" t="b">
        <f t="shared" si="214"/>
        <v>0</v>
      </c>
      <c r="C929" s="50" t="e">
        <f t="shared" si="202"/>
        <v>#VALUE!</v>
      </c>
      <c r="E929" s="56">
        <v>925</v>
      </c>
      <c r="G929" s="138"/>
      <c r="H929" s="135">
        <v>1</v>
      </c>
      <c r="I929" s="58" t="e">
        <f t="shared" si="203"/>
        <v>#VALUE!</v>
      </c>
      <c r="J929" s="50" t="e">
        <f t="shared" si="209"/>
        <v>#VALUE!</v>
      </c>
      <c r="K929" s="50" t="e">
        <f t="shared" si="201"/>
        <v>#VALUE!</v>
      </c>
      <c r="L929" s="50" t="e">
        <f t="shared" si="201"/>
        <v>#VALUE!</v>
      </c>
      <c r="M929" s="50" t="e">
        <f t="shared" si="204"/>
        <v>#VALUE!</v>
      </c>
      <c r="N929" s="50" t="e">
        <f t="shared" si="205"/>
        <v>#VALUE!</v>
      </c>
      <c r="O929" s="50">
        <f t="shared" si="206"/>
        <v>0</v>
      </c>
      <c r="Q929" s="55" t="e">
        <f t="shared" si="207"/>
        <v>#VALUE!</v>
      </c>
      <c r="R929" s="55" t="e">
        <f t="shared" si="210"/>
        <v>#VALUE!</v>
      </c>
      <c r="S929" s="55" t="e">
        <f t="shared" si="208"/>
        <v>#VALUE!</v>
      </c>
      <c r="T929" s="50" t="e">
        <f t="shared" si="211"/>
        <v>#VALUE!</v>
      </c>
      <c r="U929" s="50" t="e">
        <f t="shared" si="212"/>
        <v>#VALUE!</v>
      </c>
      <c r="V929" s="50" t="e">
        <f t="shared" si="213"/>
        <v>#VALUE!</v>
      </c>
    </row>
    <row r="930" spans="2:22" x14ac:dyDescent="0.25">
      <c r="B930" s="50" t="b">
        <f t="shared" si="214"/>
        <v>0</v>
      </c>
      <c r="C930" s="50" t="e">
        <f t="shared" si="202"/>
        <v>#VALUE!</v>
      </c>
      <c r="E930" s="56">
        <v>926</v>
      </c>
      <c r="G930" s="138"/>
      <c r="H930" s="135">
        <v>1</v>
      </c>
      <c r="I930" s="58" t="e">
        <f t="shared" si="203"/>
        <v>#VALUE!</v>
      </c>
      <c r="J930" s="50" t="e">
        <f t="shared" si="209"/>
        <v>#VALUE!</v>
      </c>
      <c r="K930" s="50" t="e">
        <f t="shared" si="201"/>
        <v>#VALUE!</v>
      </c>
      <c r="L930" s="50" t="e">
        <f t="shared" si="201"/>
        <v>#VALUE!</v>
      </c>
      <c r="M930" s="50" t="e">
        <f t="shared" si="204"/>
        <v>#VALUE!</v>
      </c>
      <c r="N930" s="50" t="e">
        <f t="shared" si="205"/>
        <v>#VALUE!</v>
      </c>
      <c r="O930" s="50">
        <f t="shared" si="206"/>
        <v>0</v>
      </c>
      <c r="Q930" s="55" t="e">
        <f t="shared" si="207"/>
        <v>#VALUE!</v>
      </c>
      <c r="R930" s="55" t="e">
        <f t="shared" si="210"/>
        <v>#VALUE!</v>
      </c>
      <c r="S930" s="55" t="e">
        <f t="shared" si="208"/>
        <v>#VALUE!</v>
      </c>
      <c r="T930" s="50" t="e">
        <f t="shared" si="211"/>
        <v>#VALUE!</v>
      </c>
      <c r="U930" s="50" t="e">
        <f t="shared" si="212"/>
        <v>#VALUE!</v>
      </c>
      <c r="V930" s="50" t="e">
        <f t="shared" si="213"/>
        <v>#VALUE!</v>
      </c>
    </row>
    <row r="931" spans="2:22" x14ac:dyDescent="0.25">
      <c r="B931" s="50" t="b">
        <f t="shared" si="214"/>
        <v>0</v>
      </c>
      <c r="C931" s="50" t="e">
        <f t="shared" si="202"/>
        <v>#VALUE!</v>
      </c>
      <c r="E931" s="56">
        <v>927</v>
      </c>
      <c r="G931" s="138"/>
      <c r="H931" s="135">
        <v>1</v>
      </c>
      <c r="I931" s="58" t="e">
        <f t="shared" si="203"/>
        <v>#VALUE!</v>
      </c>
      <c r="J931" s="50" t="e">
        <f t="shared" si="209"/>
        <v>#VALUE!</v>
      </c>
      <c r="K931" s="50" t="e">
        <f t="shared" si="201"/>
        <v>#VALUE!</v>
      </c>
      <c r="L931" s="50" t="e">
        <f t="shared" si="201"/>
        <v>#VALUE!</v>
      </c>
      <c r="M931" s="50" t="e">
        <f t="shared" si="204"/>
        <v>#VALUE!</v>
      </c>
      <c r="N931" s="50" t="e">
        <f t="shared" si="205"/>
        <v>#VALUE!</v>
      </c>
      <c r="O931" s="50">
        <f t="shared" si="206"/>
        <v>0</v>
      </c>
      <c r="Q931" s="55" t="e">
        <f t="shared" si="207"/>
        <v>#VALUE!</v>
      </c>
      <c r="R931" s="55" t="e">
        <f t="shared" si="210"/>
        <v>#VALUE!</v>
      </c>
      <c r="S931" s="55" t="e">
        <f t="shared" si="208"/>
        <v>#VALUE!</v>
      </c>
      <c r="T931" s="50" t="e">
        <f t="shared" si="211"/>
        <v>#VALUE!</v>
      </c>
      <c r="U931" s="50" t="e">
        <f t="shared" si="212"/>
        <v>#VALUE!</v>
      </c>
      <c r="V931" s="50" t="e">
        <f t="shared" si="213"/>
        <v>#VALUE!</v>
      </c>
    </row>
    <row r="932" spans="2:22" x14ac:dyDescent="0.25">
      <c r="B932" s="50" t="b">
        <f t="shared" si="214"/>
        <v>0</v>
      </c>
      <c r="C932" s="50" t="e">
        <f t="shared" si="202"/>
        <v>#VALUE!</v>
      </c>
      <c r="E932" s="56">
        <v>928</v>
      </c>
      <c r="G932" s="138"/>
      <c r="H932" s="135">
        <v>1</v>
      </c>
      <c r="I932" s="58" t="e">
        <f t="shared" si="203"/>
        <v>#VALUE!</v>
      </c>
      <c r="J932" s="50" t="e">
        <f t="shared" si="209"/>
        <v>#VALUE!</v>
      </c>
      <c r="K932" s="50" t="e">
        <f t="shared" si="201"/>
        <v>#VALUE!</v>
      </c>
      <c r="L932" s="50" t="e">
        <f t="shared" si="201"/>
        <v>#VALUE!</v>
      </c>
      <c r="M932" s="50" t="e">
        <f t="shared" si="204"/>
        <v>#VALUE!</v>
      </c>
      <c r="N932" s="50" t="e">
        <f t="shared" si="205"/>
        <v>#VALUE!</v>
      </c>
      <c r="O932" s="50">
        <f t="shared" si="206"/>
        <v>0</v>
      </c>
      <c r="Q932" s="55" t="e">
        <f t="shared" si="207"/>
        <v>#VALUE!</v>
      </c>
      <c r="R932" s="55" t="e">
        <f t="shared" si="210"/>
        <v>#VALUE!</v>
      </c>
      <c r="S932" s="55" t="e">
        <f t="shared" si="208"/>
        <v>#VALUE!</v>
      </c>
      <c r="T932" s="50" t="e">
        <f t="shared" si="211"/>
        <v>#VALUE!</v>
      </c>
      <c r="U932" s="50" t="e">
        <f t="shared" si="212"/>
        <v>#VALUE!</v>
      </c>
      <c r="V932" s="50" t="e">
        <f t="shared" si="213"/>
        <v>#VALUE!</v>
      </c>
    </row>
    <row r="933" spans="2:22" x14ac:dyDescent="0.25">
      <c r="B933" s="50" t="b">
        <f t="shared" si="214"/>
        <v>0</v>
      </c>
      <c r="C933" s="50" t="e">
        <f t="shared" si="202"/>
        <v>#VALUE!</v>
      </c>
      <c r="E933" s="56">
        <v>929</v>
      </c>
      <c r="G933" s="138"/>
      <c r="H933" s="135">
        <v>1</v>
      </c>
      <c r="I933" s="58" t="e">
        <f t="shared" si="203"/>
        <v>#VALUE!</v>
      </c>
      <c r="J933" s="50" t="e">
        <f t="shared" si="209"/>
        <v>#VALUE!</v>
      </c>
      <c r="K933" s="50" t="e">
        <f t="shared" si="201"/>
        <v>#VALUE!</v>
      </c>
      <c r="L933" s="50" t="e">
        <f t="shared" si="201"/>
        <v>#VALUE!</v>
      </c>
      <c r="M933" s="50" t="e">
        <f t="shared" si="204"/>
        <v>#VALUE!</v>
      </c>
      <c r="N933" s="50" t="e">
        <f t="shared" si="205"/>
        <v>#VALUE!</v>
      </c>
      <c r="O933" s="50">
        <f t="shared" si="206"/>
        <v>0</v>
      </c>
      <c r="Q933" s="55" t="e">
        <f t="shared" si="207"/>
        <v>#VALUE!</v>
      </c>
      <c r="R933" s="55" t="e">
        <f t="shared" si="210"/>
        <v>#VALUE!</v>
      </c>
      <c r="S933" s="55" t="e">
        <f t="shared" si="208"/>
        <v>#VALUE!</v>
      </c>
      <c r="T933" s="50" t="e">
        <f t="shared" si="211"/>
        <v>#VALUE!</v>
      </c>
      <c r="U933" s="50" t="e">
        <f t="shared" si="212"/>
        <v>#VALUE!</v>
      </c>
      <c r="V933" s="50" t="e">
        <f t="shared" si="213"/>
        <v>#VALUE!</v>
      </c>
    </row>
    <row r="934" spans="2:22" x14ac:dyDescent="0.25">
      <c r="B934" s="50" t="b">
        <f t="shared" si="214"/>
        <v>0</v>
      </c>
      <c r="C934" s="50" t="e">
        <f t="shared" si="202"/>
        <v>#VALUE!</v>
      </c>
      <c r="E934" s="56">
        <v>930</v>
      </c>
      <c r="G934" s="138"/>
      <c r="H934" s="135">
        <v>1</v>
      </c>
      <c r="I934" s="58" t="e">
        <f t="shared" si="203"/>
        <v>#VALUE!</v>
      </c>
      <c r="J934" s="50" t="e">
        <f t="shared" si="209"/>
        <v>#VALUE!</v>
      </c>
      <c r="K934" s="50" t="e">
        <f t="shared" si="201"/>
        <v>#VALUE!</v>
      </c>
      <c r="L934" s="50" t="e">
        <f t="shared" si="201"/>
        <v>#VALUE!</v>
      </c>
      <c r="M934" s="50" t="e">
        <f t="shared" si="204"/>
        <v>#VALUE!</v>
      </c>
      <c r="N934" s="50" t="e">
        <f t="shared" si="205"/>
        <v>#VALUE!</v>
      </c>
      <c r="O934" s="50">
        <f t="shared" si="206"/>
        <v>0</v>
      </c>
      <c r="Q934" s="55" t="e">
        <f t="shared" si="207"/>
        <v>#VALUE!</v>
      </c>
      <c r="R934" s="55" t="e">
        <f t="shared" si="210"/>
        <v>#VALUE!</v>
      </c>
      <c r="S934" s="55" t="e">
        <f t="shared" si="208"/>
        <v>#VALUE!</v>
      </c>
      <c r="T934" s="50" t="e">
        <f t="shared" si="211"/>
        <v>#VALUE!</v>
      </c>
      <c r="U934" s="50" t="e">
        <f t="shared" si="212"/>
        <v>#VALUE!</v>
      </c>
      <c r="V934" s="50" t="e">
        <f t="shared" si="213"/>
        <v>#VALUE!</v>
      </c>
    </row>
    <row r="935" spans="2:22" x14ac:dyDescent="0.25">
      <c r="B935" s="50" t="b">
        <f t="shared" si="214"/>
        <v>0</v>
      </c>
      <c r="C935" s="50" t="e">
        <f t="shared" si="202"/>
        <v>#VALUE!</v>
      </c>
      <c r="E935" s="56">
        <v>931</v>
      </c>
      <c r="G935" s="138"/>
      <c r="H935" s="135">
        <v>1</v>
      </c>
      <c r="I935" s="58" t="e">
        <f t="shared" si="203"/>
        <v>#VALUE!</v>
      </c>
      <c r="J935" s="50" t="e">
        <f t="shared" si="209"/>
        <v>#VALUE!</v>
      </c>
      <c r="K935" s="50" t="e">
        <f t="shared" si="201"/>
        <v>#VALUE!</v>
      </c>
      <c r="L935" s="50" t="e">
        <f t="shared" si="201"/>
        <v>#VALUE!</v>
      </c>
      <c r="M935" s="50" t="e">
        <f t="shared" si="204"/>
        <v>#VALUE!</v>
      </c>
      <c r="N935" s="50" t="e">
        <f t="shared" si="205"/>
        <v>#VALUE!</v>
      </c>
      <c r="O935" s="50">
        <f t="shared" si="206"/>
        <v>0</v>
      </c>
      <c r="Q935" s="55" t="e">
        <f t="shared" si="207"/>
        <v>#VALUE!</v>
      </c>
      <c r="R935" s="55" t="e">
        <f t="shared" si="210"/>
        <v>#VALUE!</v>
      </c>
      <c r="S935" s="55" t="e">
        <f t="shared" si="208"/>
        <v>#VALUE!</v>
      </c>
      <c r="T935" s="50" t="e">
        <f t="shared" si="211"/>
        <v>#VALUE!</v>
      </c>
      <c r="U935" s="50" t="e">
        <f t="shared" si="212"/>
        <v>#VALUE!</v>
      </c>
      <c r="V935" s="50" t="e">
        <f t="shared" si="213"/>
        <v>#VALUE!</v>
      </c>
    </row>
    <row r="936" spans="2:22" x14ac:dyDescent="0.25">
      <c r="B936" s="50" t="b">
        <f t="shared" si="214"/>
        <v>0</v>
      </c>
      <c r="C936" s="50" t="e">
        <f t="shared" si="202"/>
        <v>#VALUE!</v>
      </c>
      <c r="E936" s="56">
        <v>932</v>
      </c>
      <c r="G936" s="138"/>
      <c r="H936" s="135">
        <v>1</v>
      </c>
      <c r="I936" s="58" t="e">
        <f t="shared" si="203"/>
        <v>#VALUE!</v>
      </c>
      <c r="J936" s="50" t="e">
        <f t="shared" si="209"/>
        <v>#VALUE!</v>
      </c>
      <c r="K936" s="50" t="e">
        <f t="shared" si="201"/>
        <v>#VALUE!</v>
      </c>
      <c r="L936" s="50" t="e">
        <f t="shared" si="201"/>
        <v>#VALUE!</v>
      </c>
      <c r="M936" s="50" t="e">
        <f t="shared" si="204"/>
        <v>#VALUE!</v>
      </c>
      <c r="N936" s="50" t="e">
        <f t="shared" si="205"/>
        <v>#VALUE!</v>
      </c>
      <c r="O936" s="50">
        <f t="shared" si="206"/>
        <v>0</v>
      </c>
      <c r="Q936" s="55" t="e">
        <f t="shared" si="207"/>
        <v>#VALUE!</v>
      </c>
      <c r="R936" s="55" t="e">
        <f t="shared" si="210"/>
        <v>#VALUE!</v>
      </c>
      <c r="S936" s="55" t="e">
        <f t="shared" si="208"/>
        <v>#VALUE!</v>
      </c>
      <c r="T936" s="50" t="e">
        <f t="shared" si="211"/>
        <v>#VALUE!</v>
      </c>
      <c r="U936" s="50" t="e">
        <f t="shared" si="212"/>
        <v>#VALUE!</v>
      </c>
      <c r="V936" s="50" t="e">
        <f t="shared" si="213"/>
        <v>#VALUE!</v>
      </c>
    </row>
    <row r="937" spans="2:22" x14ac:dyDescent="0.25">
      <c r="B937" s="50" t="b">
        <f t="shared" si="214"/>
        <v>0</v>
      </c>
      <c r="C937" s="50" t="e">
        <f t="shared" si="202"/>
        <v>#VALUE!</v>
      </c>
      <c r="E937" s="56">
        <v>933</v>
      </c>
      <c r="G937" s="138"/>
      <c r="H937" s="135">
        <v>1</v>
      </c>
      <c r="I937" s="58" t="e">
        <f t="shared" si="203"/>
        <v>#VALUE!</v>
      </c>
      <c r="J937" s="50" t="e">
        <f t="shared" si="209"/>
        <v>#VALUE!</v>
      </c>
      <c r="K937" s="50" t="e">
        <f t="shared" si="201"/>
        <v>#VALUE!</v>
      </c>
      <c r="L937" s="50" t="e">
        <f t="shared" si="201"/>
        <v>#VALUE!</v>
      </c>
      <c r="M937" s="50" t="e">
        <f t="shared" si="204"/>
        <v>#VALUE!</v>
      </c>
      <c r="N937" s="50" t="e">
        <f t="shared" si="205"/>
        <v>#VALUE!</v>
      </c>
      <c r="O937" s="50">
        <f t="shared" si="206"/>
        <v>0</v>
      </c>
      <c r="Q937" s="55" t="e">
        <f t="shared" si="207"/>
        <v>#VALUE!</v>
      </c>
      <c r="R937" s="55" t="e">
        <f t="shared" si="210"/>
        <v>#VALUE!</v>
      </c>
      <c r="S937" s="55" t="e">
        <f t="shared" si="208"/>
        <v>#VALUE!</v>
      </c>
      <c r="T937" s="50" t="e">
        <f t="shared" si="211"/>
        <v>#VALUE!</v>
      </c>
      <c r="U937" s="50" t="e">
        <f t="shared" si="212"/>
        <v>#VALUE!</v>
      </c>
      <c r="V937" s="50" t="e">
        <f t="shared" si="213"/>
        <v>#VALUE!</v>
      </c>
    </row>
    <row r="938" spans="2:22" x14ac:dyDescent="0.25">
      <c r="B938" s="50" t="b">
        <f t="shared" si="214"/>
        <v>0</v>
      </c>
      <c r="C938" s="50" t="e">
        <f t="shared" si="202"/>
        <v>#VALUE!</v>
      </c>
      <c r="E938" s="56">
        <v>934</v>
      </c>
      <c r="G938" s="138"/>
      <c r="H938" s="135">
        <v>1</v>
      </c>
      <c r="I938" s="58" t="e">
        <f t="shared" si="203"/>
        <v>#VALUE!</v>
      </c>
      <c r="J938" s="50" t="e">
        <f t="shared" si="209"/>
        <v>#VALUE!</v>
      </c>
      <c r="K938" s="50" t="e">
        <f t="shared" si="201"/>
        <v>#VALUE!</v>
      </c>
      <c r="L938" s="50" t="e">
        <f t="shared" si="201"/>
        <v>#VALUE!</v>
      </c>
      <c r="M938" s="50" t="e">
        <f t="shared" si="204"/>
        <v>#VALUE!</v>
      </c>
      <c r="N938" s="50" t="e">
        <f t="shared" si="205"/>
        <v>#VALUE!</v>
      </c>
      <c r="O938" s="50">
        <f t="shared" si="206"/>
        <v>0</v>
      </c>
      <c r="Q938" s="55" t="e">
        <f t="shared" si="207"/>
        <v>#VALUE!</v>
      </c>
      <c r="R938" s="55" t="e">
        <f t="shared" si="210"/>
        <v>#VALUE!</v>
      </c>
      <c r="S938" s="55" t="e">
        <f t="shared" si="208"/>
        <v>#VALUE!</v>
      </c>
      <c r="T938" s="50" t="e">
        <f t="shared" si="211"/>
        <v>#VALUE!</v>
      </c>
      <c r="U938" s="50" t="e">
        <f t="shared" si="212"/>
        <v>#VALUE!</v>
      </c>
      <c r="V938" s="50" t="e">
        <f t="shared" si="213"/>
        <v>#VALUE!</v>
      </c>
    </row>
    <row r="939" spans="2:22" x14ac:dyDescent="0.25">
      <c r="B939" s="50" t="b">
        <f t="shared" si="214"/>
        <v>0</v>
      </c>
      <c r="C939" s="50" t="e">
        <f t="shared" si="202"/>
        <v>#VALUE!</v>
      </c>
      <c r="E939" s="56">
        <v>935</v>
      </c>
      <c r="G939" s="138"/>
      <c r="H939" s="135">
        <v>1</v>
      </c>
      <c r="I939" s="58" t="e">
        <f t="shared" si="203"/>
        <v>#VALUE!</v>
      </c>
      <c r="J939" s="50" t="e">
        <f t="shared" si="209"/>
        <v>#VALUE!</v>
      </c>
      <c r="K939" s="50" t="e">
        <f t="shared" si="201"/>
        <v>#VALUE!</v>
      </c>
      <c r="L939" s="50" t="e">
        <f t="shared" si="201"/>
        <v>#VALUE!</v>
      </c>
      <c r="M939" s="50" t="e">
        <f t="shared" si="204"/>
        <v>#VALUE!</v>
      </c>
      <c r="N939" s="50" t="e">
        <f t="shared" si="205"/>
        <v>#VALUE!</v>
      </c>
      <c r="O939" s="50">
        <f t="shared" si="206"/>
        <v>0</v>
      </c>
      <c r="Q939" s="55" t="e">
        <f t="shared" si="207"/>
        <v>#VALUE!</v>
      </c>
      <c r="R939" s="55" t="e">
        <f t="shared" si="210"/>
        <v>#VALUE!</v>
      </c>
      <c r="S939" s="55" t="e">
        <f t="shared" si="208"/>
        <v>#VALUE!</v>
      </c>
      <c r="T939" s="50" t="e">
        <f t="shared" si="211"/>
        <v>#VALUE!</v>
      </c>
      <c r="U939" s="50" t="e">
        <f t="shared" si="212"/>
        <v>#VALUE!</v>
      </c>
      <c r="V939" s="50" t="e">
        <f t="shared" si="213"/>
        <v>#VALUE!</v>
      </c>
    </row>
    <row r="940" spans="2:22" x14ac:dyDescent="0.25">
      <c r="B940" s="50" t="b">
        <f t="shared" si="214"/>
        <v>0</v>
      </c>
      <c r="C940" s="50" t="e">
        <f t="shared" si="202"/>
        <v>#VALUE!</v>
      </c>
      <c r="E940" s="56">
        <v>936</v>
      </c>
      <c r="G940" s="138"/>
      <c r="H940" s="135">
        <v>1</v>
      </c>
      <c r="I940" s="58" t="e">
        <f t="shared" si="203"/>
        <v>#VALUE!</v>
      </c>
      <c r="J940" s="50" t="e">
        <f t="shared" si="209"/>
        <v>#VALUE!</v>
      </c>
      <c r="K940" s="50" t="e">
        <f t="shared" si="201"/>
        <v>#VALUE!</v>
      </c>
      <c r="L940" s="50" t="e">
        <f t="shared" si="201"/>
        <v>#VALUE!</v>
      </c>
      <c r="M940" s="50" t="e">
        <f t="shared" si="204"/>
        <v>#VALUE!</v>
      </c>
      <c r="N940" s="50" t="e">
        <f t="shared" si="205"/>
        <v>#VALUE!</v>
      </c>
      <c r="O940" s="50">
        <f t="shared" si="206"/>
        <v>0</v>
      </c>
      <c r="Q940" s="55" t="e">
        <f t="shared" si="207"/>
        <v>#VALUE!</v>
      </c>
      <c r="R940" s="55" t="e">
        <f t="shared" si="210"/>
        <v>#VALUE!</v>
      </c>
      <c r="S940" s="55" t="e">
        <f t="shared" si="208"/>
        <v>#VALUE!</v>
      </c>
      <c r="T940" s="50" t="e">
        <f t="shared" si="211"/>
        <v>#VALUE!</v>
      </c>
      <c r="U940" s="50" t="e">
        <f t="shared" si="212"/>
        <v>#VALUE!</v>
      </c>
      <c r="V940" s="50" t="e">
        <f t="shared" si="213"/>
        <v>#VALUE!</v>
      </c>
    </row>
    <row r="941" spans="2:22" x14ac:dyDescent="0.25">
      <c r="B941" s="50" t="b">
        <f t="shared" si="214"/>
        <v>0</v>
      </c>
      <c r="C941" s="50" t="e">
        <f t="shared" si="202"/>
        <v>#VALUE!</v>
      </c>
      <c r="E941" s="56">
        <v>937</v>
      </c>
      <c r="G941" s="138"/>
      <c r="H941" s="135">
        <v>1</v>
      </c>
      <c r="I941" s="58" t="e">
        <f t="shared" si="203"/>
        <v>#VALUE!</v>
      </c>
      <c r="J941" s="50" t="e">
        <f t="shared" si="209"/>
        <v>#VALUE!</v>
      </c>
      <c r="K941" s="50" t="e">
        <f t="shared" si="201"/>
        <v>#VALUE!</v>
      </c>
      <c r="L941" s="50" t="e">
        <f t="shared" si="201"/>
        <v>#VALUE!</v>
      </c>
      <c r="M941" s="50" t="e">
        <f t="shared" si="204"/>
        <v>#VALUE!</v>
      </c>
      <c r="N941" s="50" t="e">
        <f t="shared" si="205"/>
        <v>#VALUE!</v>
      </c>
      <c r="O941" s="50">
        <f t="shared" si="206"/>
        <v>0</v>
      </c>
      <c r="Q941" s="55" t="e">
        <f t="shared" si="207"/>
        <v>#VALUE!</v>
      </c>
      <c r="R941" s="55" t="e">
        <f t="shared" si="210"/>
        <v>#VALUE!</v>
      </c>
      <c r="S941" s="55" t="e">
        <f t="shared" si="208"/>
        <v>#VALUE!</v>
      </c>
      <c r="T941" s="50" t="e">
        <f t="shared" si="211"/>
        <v>#VALUE!</v>
      </c>
      <c r="U941" s="50" t="e">
        <f t="shared" si="212"/>
        <v>#VALUE!</v>
      </c>
      <c r="V941" s="50" t="e">
        <f t="shared" si="213"/>
        <v>#VALUE!</v>
      </c>
    </row>
    <row r="942" spans="2:22" x14ac:dyDescent="0.25">
      <c r="B942" s="50" t="b">
        <f t="shared" si="214"/>
        <v>0</v>
      </c>
      <c r="C942" s="50" t="e">
        <f t="shared" si="202"/>
        <v>#VALUE!</v>
      </c>
      <c r="E942" s="56">
        <v>938</v>
      </c>
      <c r="G942" s="138"/>
      <c r="H942" s="135">
        <v>1</v>
      </c>
      <c r="I942" s="58" t="e">
        <f t="shared" si="203"/>
        <v>#VALUE!</v>
      </c>
      <c r="J942" s="50" t="e">
        <f t="shared" si="209"/>
        <v>#VALUE!</v>
      </c>
      <c r="K942" s="50" t="e">
        <f t="shared" si="201"/>
        <v>#VALUE!</v>
      </c>
      <c r="L942" s="50" t="e">
        <f t="shared" si="201"/>
        <v>#VALUE!</v>
      </c>
      <c r="M942" s="50" t="e">
        <f t="shared" si="204"/>
        <v>#VALUE!</v>
      </c>
      <c r="N942" s="50" t="e">
        <f t="shared" si="205"/>
        <v>#VALUE!</v>
      </c>
      <c r="O942" s="50">
        <f t="shared" si="206"/>
        <v>0</v>
      </c>
      <c r="Q942" s="55" t="e">
        <f t="shared" si="207"/>
        <v>#VALUE!</v>
      </c>
      <c r="R942" s="55" t="e">
        <f t="shared" si="210"/>
        <v>#VALUE!</v>
      </c>
      <c r="S942" s="55" t="e">
        <f t="shared" si="208"/>
        <v>#VALUE!</v>
      </c>
      <c r="T942" s="50" t="e">
        <f t="shared" si="211"/>
        <v>#VALUE!</v>
      </c>
      <c r="U942" s="50" t="e">
        <f t="shared" si="212"/>
        <v>#VALUE!</v>
      </c>
      <c r="V942" s="50" t="e">
        <f t="shared" si="213"/>
        <v>#VALUE!</v>
      </c>
    </row>
    <row r="943" spans="2:22" x14ac:dyDescent="0.25">
      <c r="B943" s="50" t="b">
        <f t="shared" si="214"/>
        <v>0</v>
      </c>
      <c r="C943" s="50" t="e">
        <f t="shared" si="202"/>
        <v>#VALUE!</v>
      </c>
      <c r="E943" s="56">
        <v>939</v>
      </c>
      <c r="G943" s="138"/>
      <c r="H943" s="135">
        <v>1</v>
      </c>
      <c r="I943" s="58" t="e">
        <f t="shared" si="203"/>
        <v>#VALUE!</v>
      </c>
      <c r="J943" s="50" t="e">
        <f t="shared" si="209"/>
        <v>#VALUE!</v>
      </c>
      <c r="K943" s="50" t="e">
        <f t="shared" ref="K943:L1004" si="215">N943-M943</f>
        <v>#VALUE!</v>
      </c>
      <c r="L943" s="50" t="e">
        <f t="shared" si="215"/>
        <v>#VALUE!</v>
      </c>
      <c r="M943" s="50" t="e">
        <f t="shared" si="204"/>
        <v>#VALUE!</v>
      </c>
      <c r="N943" s="50" t="e">
        <f t="shared" si="205"/>
        <v>#VALUE!</v>
      </c>
      <c r="O943" s="50">
        <f t="shared" si="206"/>
        <v>0</v>
      </c>
      <c r="Q943" s="55" t="e">
        <f t="shared" si="207"/>
        <v>#VALUE!</v>
      </c>
      <c r="R943" s="55" t="e">
        <f t="shared" si="210"/>
        <v>#VALUE!</v>
      </c>
      <c r="S943" s="55" t="e">
        <f t="shared" si="208"/>
        <v>#VALUE!</v>
      </c>
      <c r="T943" s="50" t="e">
        <f t="shared" si="211"/>
        <v>#VALUE!</v>
      </c>
      <c r="U943" s="50" t="e">
        <f t="shared" si="212"/>
        <v>#VALUE!</v>
      </c>
      <c r="V943" s="50" t="e">
        <f t="shared" si="213"/>
        <v>#VALUE!</v>
      </c>
    </row>
    <row r="944" spans="2:22" x14ac:dyDescent="0.25">
      <c r="B944" s="50" t="b">
        <f t="shared" si="214"/>
        <v>0</v>
      </c>
      <c r="C944" s="50" t="e">
        <f t="shared" si="202"/>
        <v>#VALUE!</v>
      </c>
      <c r="E944" s="56">
        <v>940</v>
      </c>
      <c r="G944" s="138"/>
      <c r="H944" s="135">
        <v>1</v>
      </c>
      <c r="I944" s="58" t="e">
        <f t="shared" si="203"/>
        <v>#VALUE!</v>
      </c>
      <c r="J944" s="50" t="e">
        <f t="shared" si="209"/>
        <v>#VALUE!</v>
      </c>
      <c r="K944" s="50" t="e">
        <f t="shared" si="215"/>
        <v>#VALUE!</v>
      </c>
      <c r="L944" s="50" t="e">
        <f t="shared" si="215"/>
        <v>#VALUE!</v>
      </c>
      <c r="M944" s="50" t="e">
        <f t="shared" si="204"/>
        <v>#VALUE!</v>
      </c>
      <c r="N944" s="50" t="e">
        <f t="shared" si="205"/>
        <v>#VALUE!</v>
      </c>
      <c r="O944" s="50">
        <f t="shared" si="206"/>
        <v>0</v>
      </c>
      <c r="Q944" s="55" t="e">
        <f t="shared" si="207"/>
        <v>#VALUE!</v>
      </c>
      <c r="R944" s="55" t="e">
        <f t="shared" si="210"/>
        <v>#VALUE!</v>
      </c>
      <c r="S944" s="55" t="e">
        <f t="shared" si="208"/>
        <v>#VALUE!</v>
      </c>
      <c r="T944" s="50" t="e">
        <f t="shared" si="211"/>
        <v>#VALUE!</v>
      </c>
      <c r="U944" s="50" t="e">
        <f t="shared" si="212"/>
        <v>#VALUE!</v>
      </c>
      <c r="V944" s="50" t="e">
        <f t="shared" si="213"/>
        <v>#VALUE!</v>
      </c>
    </row>
    <row r="945" spans="2:22" x14ac:dyDescent="0.25">
      <c r="B945" s="50" t="b">
        <f t="shared" si="214"/>
        <v>0</v>
      </c>
      <c r="C945" s="50" t="e">
        <f t="shared" si="202"/>
        <v>#VALUE!</v>
      </c>
      <c r="E945" s="56">
        <v>941</v>
      </c>
      <c r="G945" s="138"/>
      <c r="H945" s="135">
        <v>1</v>
      </c>
      <c r="I945" s="58" t="e">
        <f t="shared" si="203"/>
        <v>#VALUE!</v>
      </c>
      <c r="J945" s="50" t="e">
        <f t="shared" si="209"/>
        <v>#VALUE!</v>
      </c>
      <c r="K945" s="50" t="e">
        <f t="shared" si="215"/>
        <v>#VALUE!</v>
      </c>
      <c r="L945" s="50" t="e">
        <f t="shared" si="215"/>
        <v>#VALUE!</v>
      </c>
      <c r="M945" s="50" t="e">
        <f t="shared" si="204"/>
        <v>#VALUE!</v>
      </c>
      <c r="N945" s="50" t="e">
        <f t="shared" si="205"/>
        <v>#VALUE!</v>
      </c>
      <c r="O945" s="50">
        <f t="shared" si="206"/>
        <v>0</v>
      </c>
      <c r="Q945" s="55" t="e">
        <f t="shared" si="207"/>
        <v>#VALUE!</v>
      </c>
      <c r="R945" s="55" t="e">
        <f t="shared" si="210"/>
        <v>#VALUE!</v>
      </c>
      <c r="S945" s="55" t="e">
        <f t="shared" si="208"/>
        <v>#VALUE!</v>
      </c>
      <c r="T945" s="50" t="e">
        <f t="shared" si="211"/>
        <v>#VALUE!</v>
      </c>
      <c r="U945" s="50" t="e">
        <f t="shared" si="212"/>
        <v>#VALUE!</v>
      </c>
      <c r="V945" s="50" t="e">
        <f t="shared" si="213"/>
        <v>#VALUE!</v>
      </c>
    </row>
    <row r="946" spans="2:22" x14ac:dyDescent="0.25">
      <c r="B946" s="50" t="b">
        <f t="shared" si="214"/>
        <v>0</v>
      </c>
      <c r="C946" s="50" t="e">
        <f t="shared" si="202"/>
        <v>#VALUE!</v>
      </c>
      <c r="E946" s="56">
        <v>942</v>
      </c>
      <c r="G946" s="138"/>
      <c r="H946" s="135">
        <v>1</v>
      </c>
      <c r="I946" s="58" t="e">
        <f t="shared" si="203"/>
        <v>#VALUE!</v>
      </c>
      <c r="J946" s="50" t="e">
        <f t="shared" si="209"/>
        <v>#VALUE!</v>
      </c>
      <c r="K946" s="50" t="e">
        <f t="shared" si="215"/>
        <v>#VALUE!</v>
      </c>
      <c r="L946" s="50" t="e">
        <f t="shared" si="215"/>
        <v>#VALUE!</v>
      </c>
      <c r="M946" s="50" t="e">
        <f t="shared" si="204"/>
        <v>#VALUE!</v>
      </c>
      <c r="N946" s="50" t="e">
        <f t="shared" si="205"/>
        <v>#VALUE!</v>
      </c>
      <c r="O946" s="50">
        <f t="shared" si="206"/>
        <v>0</v>
      </c>
      <c r="Q946" s="55" t="e">
        <f t="shared" si="207"/>
        <v>#VALUE!</v>
      </c>
      <c r="R946" s="55" t="e">
        <f t="shared" si="210"/>
        <v>#VALUE!</v>
      </c>
      <c r="S946" s="55" t="e">
        <f t="shared" si="208"/>
        <v>#VALUE!</v>
      </c>
      <c r="T946" s="50" t="e">
        <f t="shared" si="211"/>
        <v>#VALUE!</v>
      </c>
      <c r="U946" s="50" t="e">
        <f t="shared" si="212"/>
        <v>#VALUE!</v>
      </c>
      <c r="V946" s="50" t="e">
        <f t="shared" si="213"/>
        <v>#VALUE!</v>
      </c>
    </row>
    <row r="947" spans="2:22" x14ac:dyDescent="0.25">
      <c r="B947" s="50" t="b">
        <f t="shared" si="214"/>
        <v>0</v>
      </c>
      <c r="C947" s="50" t="e">
        <f t="shared" si="202"/>
        <v>#VALUE!</v>
      </c>
      <c r="E947" s="56">
        <v>943</v>
      </c>
      <c r="G947" s="138"/>
      <c r="H947" s="135">
        <v>1</v>
      </c>
      <c r="I947" s="58" t="e">
        <f t="shared" si="203"/>
        <v>#VALUE!</v>
      </c>
      <c r="J947" s="50" t="e">
        <f t="shared" si="209"/>
        <v>#VALUE!</v>
      </c>
      <c r="K947" s="50" t="e">
        <f t="shared" si="215"/>
        <v>#VALUE!</v>
      </c>
      <c r="L947" s="50" t="e">
        <f t="shared" si="215"/>
        <v>#VALUE!</v>
      </c>
      <c r="M947" s="50" t="e">
        <f t="shared" si="204"/>
        <v>#VALUE!</v>
      </c>
      <c r="N947" s="50" t="e">
        <f t="shared" si="205"/>
        <v>#VALUE!</v>
      </c>
      <c r="O947" s="50">
        <f t="shared" si="206"/>
        <v>0</v>
      </c>
      <c r="Q947" s="55" t="e">
        <f t="shared" si="207"/>
        <v>#VALUE!</v>
      </c>
      <c r="R947" s="55" t="e">
        <f t="shared" si="210"/>
        <v>#VALUE!</v>
      </c>
      <c r="S947" s="55" t="e">
        <f t="shared" si="208"/>
        <v>#VALUE!</v>
      </c>
      <c r="T947" s="50" t="e">
        <f t="shared" si="211"/>
        <v>#VALUE!</v>
      </c>
      <c r="U947" s="50" t="e">
        <f t="shared" si="212"/>
        <v>#VALUE!</v>
      </c>
      <c r="V947" s="50" t="e">
        <f t="shared" si="213"/>
        <v>#VALUE!</v>
      </c>
    </row>
    <row r="948" spans="2:22" x14ac:dyDescent="0.25">
      <c r="B948" s="50" t="b">
        <f t="shared" si="214"/>
        <v>0</v>
      </c>
      <c r="C948" s="50" t="e">
        <f t="shared" si="202"/>
        <v>#VALUE!</v>
      </c>
      <c r="E948" s="56">
        <v>944</v>
      </c>
      <c r="G948" s="138"/>
      <c r="H948" s="135">
        <v>1</v>
      </c>
      <c r="I948" s="58" t="e">
        <f t="shared" si="203"/>
        <v>#VALUE!</v>
      </c>
      <c r="J948" s="50" t="e">
        <f t="shared" si="209"/>
        <v>#VALUE!</v>
      </c>
      <c r="K948" s="50" t="e">
        <f t="shared" si="215"/>
        <v>#VALUE!</v>
      </c>
      <c r="L948" s="50" t="e">
        <f t="shared" si="215"/>
        <v>#VALUE!</v>
      </c>
      <c r="M948" s="50" t="e">
        <f t="shared" si="204"/>
        <v>#VALUE!</v>
      </c>
      <c r="N948" s="50" t="e">
        <f t="shared" si="205"/>
        <v>#VALUE!</v>
      </c>
      <c r="O948" s="50">
        <f t="shared" si="206"/>
        <v>0</v>
      </c>
      <c r="Q948" s="55" t="e">
        <f t="shared" si="207"/>
        <v>#VALUE!</v>
      </c>
      <c r="R948" s="55" t="e">
        <f t="shared" si="210"/>
        <v>#VALUE!</v>
      </c>
      <c r="S948" s="55" t="e">
        <f t="shared" si="208"/>
        <v>#VALUE!</v>
      </c>
      <c r="T948" s="50" t="e">
        <f t="shared" si="211"/>
        <v>#VALUE!</v>
      </c>
      <c r="U948" s="50" t="e">
        <f t="shared" si="212"/>
        <v>#VALUE!</v>
      </c>
      <c r="V948" s="50" t="e">
        <f t="shared" si="213"/>
        <v>#VALUE!</v>
      </c>
    </row>
    <row r="949" spans="2:22" x14ac:dyDescent="0.25">
      <c r="B949" s="50" t="b">
        <f t="shared" si="214"/>
        <v>0</v>
      </c>
      <c r="C949" s="50" t="e">
        <f t="shared" si="202"/>
        <v>#VALUE!</v>
      </c>
      <c r="E949" s="56">
        <v>945</v>
      </c>
      <c r="G949" s="138"/>
      <c r="H949" s="135">
        <v>1</v>
      </c>
      <c r="I949" s="58" t="e">
        <f t="shared" si="203"/>
        <v>#VALUE!</v>
      </c>
      <c r="J949" s="50" t="e">
        <f t="shared" si="209"/>
        <v>#VALUE!</v>
      </c>
      <c r="K949" s="50" t="e">
        <f t="shared" si="215"/>
        <v>#VALUE!</v>
      </c>
      <c r="L949" s="50" t="e">
        <f t="shared" si="215"/>
        <v>#VALUE!</v>
      </c>
      <c r="M949" s="50" t="e">
        <f t="shared" si="204"/>
        <v>#VALUE!</v>
      </c>
      <c r="N949" s="50" t="e">
        <f t="shared" si="205"/>
        <v>#VALUE!</v>
      </c>
      <c r="O949" s="50">
        <f t="shared" si="206"/>
        <v>0</v>
      </c>
      <c r="Q949" s="55" t="e">
        <f t="shared" si="207"/>
        <v>#VALUE!</v>
      </c>
      <c r="R949" s="55" t="e">
        <f t="shared" si="210"/>
        <v>#VALUE!</v>
      </c>
      <c r="S949" s="55" t="e">
        <f t="shared" si="208"/>
        <v>#VALUE!</v>
      </c>
      <c r="T949" s="50" t="e">
        <f t="shared" si="211"/>
        <v>#VALUE!</v>
      </c>
      <c r="U949" s="50" t="e">
        <f t="shared" si="212"/>
        <v>#VALUE!</v>
      </c>
      <c r="V949" s="50" t="e">
        <f t="shared" si="213"/>
        <v>#VALUE!</v>
      </c>
    </row>
    <row r="950" spans="2:22" x14ac:dyDescent="0.25">
      <c r="B950" s="50" t="b">
        <f t="shared" si="214"/>
        <v>0</v>
      </c>
      <c r="C950" s="50" t="e">
        <f t="shared" ref="C950:C1004" si="216">SUM(T950:V950)</f>
        <v>#VALUE!</v>
      </c>
      <c r="E950" s="56">
        <v>946</v>
      </c>
      <c r="G950" s="138"/>
      <c r="H950" s="135">
        <v>1</v>
      </c>
      <c r="I950" s="58" t="e">
        <f t="shared" si="203"/>
        <v>#VALUE!</v>
      </c>
      <c r="J950" s="50" t="e">
        <f t="shared" si="209"/>
        <v>#VALUE!</v>
      </c>
      <c r="K950" s="50" t="e">
        <f t="shared" si="215"/>
        <v>#VALUE!</v>
      </c>
      <c r="L950" s="50" t="e">
        <f t="shared" si="215"/>
        <v>#VALUE!</v>
      </c>
      <c r="M950" s="50" t="e">
        <f t="shared" si="204"/>
        <v>#VALUE!</v>
      </c>
      <c r="N950" s="50" t="e">
        <f t="shared" si="205"/>
        <v>#VALUE!</v>
      </c>
      <c r="O950" s="50">
        <f t="shared" si="206"/>
        <v>0</v>
      </c>
      <c r="Q950" s="55" t="e">
        <f t="shared" si="207"/>
        <v>#VALUE!</v>
      </c>
      <c r="R950" s="55" t="e">
        <f t="shared" si="210"/>
        <v>#VALUE!</v>
      </c>
      <c r="S950" s="55" t="e">
        <f t="shared" si="208"/>
        <v>#VALUE!</v>
      </c>
      <c r="T950" s="50" t="e">
        <f t="shared" si="211"/>
        <v>#VALUE!</v>
      </c>
      <c r="U950" s="50" t="e">
        <f t="shared" si="212"/>
        <v>#VALUE!</v>
      </c>
      <c r="V950" s="50" t="e">
        <f t="shared" si="213"/>
        <v>#VALUE!</v>
      </c>
    </row>
    <row r="951" spans="2:22" x14ac:dyDescent="0.25">
      <c r="B951" s="50" t="b">
        <f t="shared" si="214"/>
        <v>0</v>
      </c>
      <c r="C951" s="50" t="e">
        <f t="shared" si="216"/>
        <v>#VALUE!</v>
      </c>
      <c r="E951" s="56">
        <v>947</v>
      </c>
      <c r="G951" s="138"/>
      <c r="H951" s="135">
        <v>1</v>
      </c>
      <c r="I951" s="58" t="e">
        <f t="shared" si="203"/>
        <v>#VALUE!</v>
      </c>
      <c r="J951" s="50" t="e">
        <f t="shared" si="209"/>
        <v>#VALUE!</v>
      </c>
      <c r="K951" s="50" t="e">
        <f t="shared" si="215"/>
        <v>#VALUE!</v>
      </c>
      <c r="L951" s="50" t="e">
        <f t="shared" si="215"/>
        <v>#VALUE!</v>
      </c>
      <c r="M951" s="50" t="e">
        <f t="shared" si="204"/>
        <v>#VALUE!</v>
      </c>
      <c r="N951" s="50" t="e">
        <f t="shared" si="205"/>
        <v>#VALUE!</v>
      </c>
      <c r="O951" s="50">
        <f t="shared" si="206"/>
        <v>0</v>
      </c>
      <c r="Q951" s="55" t="e">
        <f t="shared" si="207"/>
        <v>#VALUE!</v>
      </c>
      <c r="R951" s="55" t="e">
        <f t="shared" si="210"/>
        <v>#VALUE!</v>
      </c>
      <c r="S951" s="55" t="e">
        <f t="shared" si="208"/>
        <v>#VALUE!</v>
      </c>
      <c r="T951" s="50" t="e">
        <f t="shared" si="211"/>
        <v>#VALUE!</v>
      </c>
      <c r="U951" s="50" t="e">
        <f t="shared" si="212"/>
        <v>#VALUE!</v>
      </c>
      <c r="V951" s="50" t="e">
        <f t="shared" si="213"/>
        <v>#VALUE!</v>
      </c>
    </row>
    <row r="952" spans="2:22" x14ac:dyDescent="0.25">
      <c r="B952" s="50" t="b">
        <f t="shared" si="214"/>
        <v>0</v>
      </c>
      <c r="C952" s="50" t="e">
        <f t="shared" si="216"/>
        <v>#VALUE!</v>
      </c>
      <c r="E952" s="56">
        <v>948</v>
      </c>
      <c r="G952" s="138"/>
      <c r="H952" s="135">
        <v>1</v>
      </c>
      <c r="I952" s="58" t="e">
        <f t="shared" si="203"/>
        <v>#VALUE!</v>
      </c>
      <c r="J952" s="50" t="e">
        <f t="shared" si="209"/>
        <v>#VALUE!</v>
      </c>
      <c r="K952" s="50" t="e">
        <f t="shared" si="215"/>
        <v>#VALUE!</v>
      </c>
      <c r="L952" s="50" t="e">
        <f t="shared" si="215"/>
        <v>#VALUE!</v>
      </c>
      <c r="M952" s="50" t="e">
        <f t="shared" si="204"/>
        <v>#VALUE!</v>
      </c>
      <c r="N952" s="50" t="e">
        <f t="shared" si="205"/>
        <v>#VALUE!</v>
      </c>
      <c r="O952" s="50">
        <f t="shared" si="206"/>
        <v>0</v>
      </c>
      <c r="Q952" s="55" t="e">
        <f t="shared" si="207"/>
        <v>#VALUE!</v>
      </c>
      <c r="R952" s="55" t="e">
        <f t="shared" si="210"/>
        <v>#VALUE!</v>
      </c>
      <c r="S952" s="55" t="e">
        <f t="shared" si="208"/>
        <v>#VALUE!</v>
      </c>
      <c r="T952" s="50" t="e">
        <f t="shared" si="211"/>
        <v>#VALUE!</v>
      </c>
      <c r="U952" s="50" t="e">
        <f t="shared" si="212"/>
        <v>#VALUE!</v>
      </c>
      <c r="V952" s="50" t="e">
        <f t="shared" si="213"/>
        <v>#VALUE!</v>
      </c>
    </row>
    <row r="953" spans="2:22" x14ac:dyDescent="0.25">
      <c r="B953" s="50" t="b">
        <f t="shared" si="214"/>
        <v>0</v>
      </c>
      <c r="C953" s="50" t="e">
        <f t="shared" si="216"/>
        <v>#VALUE!</v>
      </c>
      <c r="E953" s="56">
        <v>949</v>
      </c>
      <c r="G953" s="138"/>
      <c r="H953" s="135">
        <v>1</v>
      </c>
      <c r="I953" s="58" t="e">
        <f t="shared" si="203"/>
        <v>#VALUE!</v>
      </c>
      <c r="J953" s="50" t="e">
        <f t="shared" si="209"/>
        <v>#VALUE!</v>
      </c>
      <c r="K953" s="50" t="e">
        <f t="shared" si="215"/>
        <v>#VALUE!</v>
      </c>
      <c r="L953" s="50" t="e">
        <f t="shared" si="215"/>
        <v>#VALUE!</v>
      </c>
      <c r="M953" s="50" t="e">
        <f t="shared" si="204"/>
        <v>#VALUE!</v>
      </c>
      <c r="N953" s="50" t="e">
        <f t="shared" si="205"/>
        <v>#VALUE!</v>
      </c>
      <c r="O953" s="50">
        <f t="shared" si="206"/>
        <v>0</v>
      </c>
      <c r="Q953" s="55" t="e">
        <f t="shared" si="207"/>
        <v>#VALUE!</v>
      </c>
      <c r="R953" s="55" t="e">
        <f t="shared" si="210"/>
        <v>#VALUE!</v>
      </c>
      <c r="S953" s="55" t="e">
        <f t="shared" si="208"/>
        <v>#VALUE!</v>
      </c>
      <c r="T953" s="50" t="e">
        <f t="shared" si="211"/>
        <v>#VALUE!</v>
      </c>
      <c r="U953" s="50" t="e">
        <f t="shared" si="212"/>
        <v>#VALUE!</v>
      </c>
      <c r="V953" s="50" t="e">
        <f t="shared" si="213"/>
        <v>#VALUE!</v>
      </c>
    </row>
    <row r="954" spans="2:22" x14ac:dyDescent="0.25">
      <c r="B954" s="50" t="b">
        <f t="shared" si="214"/>
        <v>0</v>
      </c>
      <c r="C954" s="50" t="e">
        <f t="shared" si="216"/>
        <v>#VALUE!</v>
      </c>
      <c r="E954" s="56">
        <v>950</v>
      </c>
      <c r="G954" s="138"/>
      <c r="H954" s="135">
        <v>1</v>
      </c>
      <c r="I954" s="58" t="e">
        <f t="shared" si="203"/>
        <v>#VALUE!</v>
      </c>
      <c r="J954" s="50" t="e">
        <f t="shared" si="209"/>
        <v>#VALUE!</v>
      </c>
      <c r="K954" s="50" t="e">
        <f t="shared" si="215"/>
        <v>#VALUE!</v>
      </c>
      <c r="L954" s="50" t="e">
        <f t="shared" si="215"/>
        <v>#VALUE!</v>
      </c>
      <c r="M954" s="50" t="e">
        <f t="shared" si="204"/>
        <v>#VALUE!</v>
      </c>
      <c r="N954" s="50" t="e">
        <f t="shared" si="205"/>
        <v>#VALUE!</v>
      </c>
      <c r="O954" s="50">
        <f t="shared" si="206"/>
        <v>0</v>
      </c>
      <c r="Q954" s="55" t="e">
        <f t="shared" si="207"/>
        <v>#VALUE!</v>
      </c>
      <c r="R954" s="55" t="e">
        <f t="shared" si="210"/>
        <v>#VALUE!</v>
      </c>
      <c r="S954" s="55" t="e">
        <f t="shared" si="208"/>
        <v>#VALUE!</v>
      </c>
      <c r="T954" s="50" t="e">
        <f t="shared" si="211"/>
        <v>#VALUE!</v>
      </c>
      <c r="U954" s="50" t="e">
        <f t="shared" si="212"/>
        <v>#VALUE!</v>
      </c>
      <c r="V954" s="50" t="e">
        <f t="shared" si="213"/>
        <v>#VALUE!</v>
      </c>
    </row>
    <row r="955" spans="2:22" x14ac:dyDescent="0.25">
      <c r="B955" s="50" t="b">
        <f t="shared" si="214"/>
        <v>0</v>
      </c>
      <c r="C955" s="50" t="e">
        <f t="shared" si="216"/>
        <v>#VALUE!</v>
      </c>
      <c r="E955" s="56">
        <v>951</v>
      </c>
      <c r="G955" s="138"/>
      <c r="H955" s="135">
        <v>1</v>
      </c>
      <c r="I955" s="58" t="e">
        <f t="shared" si="203"/>
        <v>#VALUE!</v>
      </c>
      <c r="J955" s="50" t="e">
        <f t="shared" si="209"/>
        <v>#VALUE!</v>
      </c>
      <c r="K955" s="50" t="e">
        <f t="shared" si="215"/>
        <v>#VALUE!</v>
      </c>
      <c r="L955" s="50" t="e">
        <f t="shared" si="215"/>
        <v>#VALUE!</v>
      </c>
      <c r="M955" s="50" t="e">
        <f t="shared" si="204"/>
        <v>#VALUE!</v>
      </c>
      <c r="N955" s="50" t="e">
        <f t="shared" si="205"/>
        <v>#VALUE!</v>
      </c>
      <c r="O955" s="50">
        <f t="shared" si="206"/>
        <v>0</v>
      </c>
      <c r="Q955" s="55" t="e">
        <f t="shared" si="207"/>
        <v>#VALUE!</v>
      </c>
      <c r="R955" s="55" t="e">
        <f t="shared" si="210"/>
        <v>#VALUE!</v>
      </c>
      <c r="S955" s="55" t="e">
        <f t="shared" si="208"/>
        <v>#VALUE!</v>
      </c>
      <c r="T955" s="50" t="e">
        <f t="shared" si="211"/>
        <v>#VALUE!</v>
      </c>
      <c r="U955" s="50" t="e">
        <f t="shared" si="212"/>
        <v>#VALUE!</v>
      </c>
      <c r="V955" s="50" t="e">
        <f t="shared" si="213"/>
        <v>#VALUE!</v>
      </c>
    </row>
    <row r="956" spans="2:22" x14ac:dyDescent="0.25">
      <c r="B956" s="50" t="b">
        <f t="shared" si="214"/>
        <v>0</v>
      </c>
      <c r="C956" s="50" t="e">
        <f t="shared" si="216"/>
        <v>#VALUE!</v>
      </c>
      <c r="E956" s="56">
        <v>952</v>
      </c>
      <c r="G956" s="138"/>
      <c r="H956" s="135">
        <v>1</v>
      </c>
      <c r="I956" s="58" t="e">
        <f t="shared" si="203"/>
        <v>#VALUE!</v>
      </c>
      <c r="J956" s="50" t="e">
        <f t="shared" si="209"/>
        <v>#VALUE!</v>
      </c>
      <c r="K956" s="50" t="e">
        <f t="shared" si="215"/>
        <v>#VALUE!</v>
      </c>
      <c r="L956" s="50" t="e">
        <f t="shared" si="215"/>
        <v>#VALUE!</v>
      </c>
      <c r="M956" s="50" t="e">
        <f t="shared" si="204"/>
        <v>#VALUE!</v>
      </c>
      <c r="N956" s="50" t="e">
        <f t="shared" si="205"/>
        <v>#VALUE!</v>
      </c>
      <c r="O956" s="50">
        <f t="shared" si="206"/>
        <v>0</v>
      </c>
      <c r="Q956" s="55" t="e">
        <f t="shared" si="207"/>
        <v>#VALUE!</v>
      </c>
      <c r="R956" s="55" t="e">
        <f t="shared" si="210"/>
        <v>#VALUE!</v>
      </c>
      <c r="S956" s="55" t="e">
        <f t="shared" si="208"/>
        <v>#VALUE!</v>
      </c>
      <c r="T956" s="50" t="e">
        <f t="shared" si="211"/>
        <v>#VALUE!</v>
      </c>
      <c r="U956" s="50" t="e">
        <f t="shared" si="212"/>
        <v>#VALUE!</v>
      </c>
      <c r="V956" s="50" t="e">
        <f t="shared" si="213"/>
        <v>#VALUE!</v>
      </c>
    </row>
    <row r="957" spans="2:22" x14ac:dyDescent="0.25">
      <c r="B957" s="50" t="b">
        <f t="shared" si="214"/>
        <v>0</v>
      </c>
      <c r="C957" s="50" t="e">
        <f t="shared" si="216"/>
        <v>#VALUE!</v>
      </c>
      <c r="E957" s="56">
        <v>953</v>
      </c>
      <c r="G957" s="138"/>
      <c r="H957" s="135">
        <v>1</v>
      </c>
      <c r="I957" s="58" t="e">
        <f t="shared" si="203"/>
        <v>#VALUE!</v>
      </c>
      <c r="J957" s="50" t="e">
        <f t="shared" si="209"/>
        <v>#VALUE!</v>
      </c>
      <c r="K957" s="50" t="e">
        <f t="shared" si="215"/>
        <v>#VALUE!</v>
      </c>
      <c r="L957" s="50" t="e">
        <f t="shared" si="215"/>
        <v>#VALUE!</v>
      </c>
      <c r="M957" s="50" t="e">
        <f t="shared" si="204"/>
        <v>#VALUE!</v>
      </c>
      <c r="N957" s="50" t="e">
        <f t="shared" si="205"/>
        <v>#VALUE!</v>
      </c>
      <c r="O957" s="50">
        <f t="shared" si="206"/>
        <v>0</v>
      </c>
      <c r="Q957" s="55" t="e">
        <f t="shared" si="207"/>
        <v>#VALUE!</v>
      </c>
      <c r="R957" s="55" t="e">
        <f t="shared" si="210"/>
        <v>#VALUE!</v>
      </c>
      <c r="S957" s="55" t="e">
        <f t="shared" si="208"/>
        <v>#VALUE!</v>
      </c>
      <c r="T957" s="50" t="e">
        <f t="shared" si="211"/>
        <v>#VALUE!</v>
      </c>
      <c r="U957" s="50" t="e">
        <f t="shared" si="212"/>
        <v>#VALUE!</v>
      </c>
      <c r="V957" s="50" t="e">
        <f t="shared" si="213"/>
        <v>#VALUE!</v>
      </c>
    </row>
    <row r="958" spans="2:22" x14ac:dyDescent="0.25">
      <c r="B958" s="50" t="b">
        <f t="shared" si="214"/>
        <v>0</v>
      </c>
      <c r="C958" s="50" t="e">
        <f t="shared" si="216"/>
        <v>#VALUE!</v>
      </c>
      <c r="E958" s="56">
        <v>954</v>
      </c>
      <c r="G958" s="138"/>
      <c r="H958" s="135">
        <v>1</v>
      </c>
      <c r="I958" s="58" t="e">
        <f t="shared" si="203"/>
        <v>#VALUE!</v>
      </c>
      <c r="J958" s="50" t="e">
        <f t="shared" si="209"/>
        <v>#VALUE!</v>
      </c>
      <c r="K958" s="50" t="e">
        <f t="shared" si="215"/>
        <v>#VALUE!</v>
      </c>
      <c r="L958" s="50" t="e">
        <f t="shared" si="215"/>
        <v>#VALUE!</v>
      </c>
      <c r="M958" s="50" t="e">
        <f t="shared" si="204"/>
        <v>#VALUE!</v>
      </c>
      <c r="N958" s="50" t="e">
        <f t="shared" si="205"/>
        <v>#VALUE!</v>
      </c>
      <c r="O958" s="50">
        <f t="shared" si="206"/>
        <v>0</v>
      </c>
      <c r="Q958" s="55" t="e">
        <f t="shared" si="207"/>
        <v>#VALUE!</v>
      </c>
      <c r="R958" s="55" t="e">
        <f t="shared" si="210"/>
        <v>#VALUE!</v>
      </c>
      <c r="S958" s="55" t="e">
        <f t="shared" si="208"/>
        <v>#VALUE!</v>
      </c>
      <c r="T958" s="50" t="e">
        <f t="shared" si="211"/>
        <v>#VALUE!</v>
      </c>
      <c r="U958" s="50" t="e">
        <f t="shared" si="212"/>
        <v>#VALUE!</v>
      </c>
      <c r="V958" s="50" t="e">
        <f t="shared" si="213"/>
        <v>#VALUE!</v>
      </c>
    </row>
    <row r="959" spans="2:22" x14ac:dyDescent="0.25">
      <c r="B959" s="50" t="b">
        <f t="shared" si="214"/>
        <v>0</v>
      </c>
      <c r="C959" s="50" t="e">
        <f t="shared" si="216"/>
        <v>#VALUE!</v>
      </c>
      <c r="E959" s="56">
        <v>955</v>
      </c>
      <c r="G959" s="138"/>
      <c r="H959" s="135">
        <v>1</v>
      </c>
      <c r="I959" s="58" t="e">
        <f t="shared" si="203"/>
        <v>#VALUE!</v>
      </c>
      <c r="J959" s="50" t="e">
        <f t="shared" si="209"/>
        <v>#VALUE!</v>
      </c>
      <c r="K959" s="50" t="e">
        <f t="shared" si="215"/>
        <v>#VALUE!</v>
      </c>
      <c r="L959" s="50" t="e">
        <f t="shared" si="215"/>
        <v>#VALUE!</v>
      </c>
      <c r="M959" s="50" t="e">
        <f t="shared" si="204"/>
        <v>#VALUE!</v>
      </c>
      <c r="N959" s="50" t="e">
        <f t="shared" si="205"/>
        <v>#VALUE!</v>
      </c>
      <c r="O959" s="50">
        <f t="shared" si="206"/>
        <v>0</v>
      </c>
      <c r="Q959" s="55" t="e">
        <f t="shared" si="207"/>
        <v>#VALUE!</v>
      </c>
      <c r="R959" s="55" t="e">
        <f t="shared" si="210"/>
        <v>#VALUE!</v>
      </c>
      <c r="S959" s="55" t="e">
        <f t="shared" si="208"/>
        <v>#VALUE!</v>
      </c>
      <c r="T959" s="50" t="e">
        <f t="shared" si="211"/>
        <v>#VALUE!</v>
      </c>
      <c r="U959" s="50" t="e">
        <f t="shared" si="212"/>
        <v>#VALUE!</v>
      </c>
      <c r="V959" s="50" t="e">
        <f t="shared" si="213"/>
        <v>#VALUE!</v>
      </c>
    </row>
    <row r="960" spans="2:22" x14ac:dyDescent="0.25">
      <c r="B960" s="50" t="b">
        <f t="shared" si="214"/>
        <v>0</v>
      </c>
      <c r="C960" s="50" t="e">
        <f t="shared" si="216"/>
        <v>#VALUE!</v>
      </c>
      <c r="E960" s="56">
        <v>956</v>
      </c>
      <c r="G960" s="138"/>
      <c r="H960" s="135">
        <v>1</v>
      </c>
      <c r="I960" s="58" t="e">
        <f t="shared" si="203"/>
        <v>#VALUE!</v>
      </c>
      <c r="J960" s="50" t="e">
        <f t="shared" si="209"/>
        <v>#VALUE!</v>
      </c>
      <c r="K960" s="50" t="e">
        <f t="shared" si="215"/>
        <v>#VALUE!</v>
      </c>
      <c r="L960" s="50" t="e">
        <f t="shared" si="215"/>
        <v>#VALUE!</v>
      </c>
      <c r="M960" s="50" t="e">
        <f t="shared" si="204"/>
        <v>#VALUE!</v>
      </c>
      <c r="N960" s="50" t="e">
        <f t="shared" si="205"/>
        <v>#VALUE!</v>
      </c>
      <c r="O960" s="50">
        <f t="shared" si="206"/>
        <v>0</v>
      </c>
      <c r="Q960" s="55" t="e">
        <f t="shared" si="207"/>
        <v>#VALUE!</v>
      </c>
      <c r="R960" s="55" t="e">
        <f t="shared" si="210"/>
        <v>#VALUE!</v>
      </c>
      <c r="S960" s="55" t="e">
        <f t="shared" si="208"/>
        <v>#VALUE!</v>
      </c>
      <c r="T960" s="50" t="e">
        <f t="shared" si="211"/>
        <v>#VALUE!</v>
      </c>
      <c r="U960" s="50" t="e">
        <f t="shared" si="212"/>
        <v>#VALUE!</v>
      </c>
      <c r="V960" s="50" t="e">
        <f t="shared" si="213"/>
        <v>#VALUE!</v>
      </c>
    </row>
    <row r="961" spans="2:22" x14ac:dyDescent="0.25">
      <c r="B961" s="50" t="b">
        <f t="shared" si="214"/>
        <v>0</v>
      </c>
      <c r="C961" s="50" t="e">
        <f t="shared" si="216"/>
        <v>#VALUE!</v>
      </c>
      <c r="E961" s="56">
        <v>957</v>
      </c>
      <c r="G961" s="138"/>
      <c r="H961" s="135">
        <v>1</v>
      </c>
      <c r="I961" s="58" t="e">
        <f t="shared" si="203"/>
        <v>#VALUE!</v>
      </c>
      <c r="J961" s="50" t="e">
        <f t="shared" si="209"/>
        <v>#VALUE!</v>
      </c>
      <c r="K961" s="50" t="e">
        <f t="shared" si="215"/>
        <v>#VALUE!</v>
      </c>
      <c r="L961" s="50" t="e">
        <f t="shared" si="215"/>
        <v>#VALUE!</v>
      </c>
      <c r="M961" s="50" t="e">
        <f t="shared" si="204"/>
        <v>#VALUE!</v>
      </c>
      <c r="N961" s="50" t="e">
        <f t="shared" si="205"/>
        <v>#VALUE!</v>
      </c>
      <c r="O961" s="50">
        <f t="shared" si="206"/>
        <v>0</v>
      </c>
      <c r="Q961" s="55" t="e">
        <f t="shared" si="207"/>
        <v>#VALUE!</v>
      </c>
      <c r="R961" s="55" t="e">
        <f t="shared" si="210"/>
        <v>#VALUE!</v>
      </c>
      <c r="S961" s="55" t="e">
        <f t="shared" si="208"/>
        <v>#VALUE!</v>
      </c>
      <c r="T961" s="50" t="e">
        <f t="shared" si="211"/>
        <v>#VALUE!</v>
      </c>
      <c r="U961" s="50" t="e">
        <f t="shared" si="212"/>
        <v>#VALUE!</v>
      </c>
      <c r="V961" s="50" t="e">
        <f t="shared" si="213"/>
        <v>#VALUE!</v>
      </c>
    </row>
    <row r="962" spans="2:22" x14ac:dyDescent="0.25">
      <c r="B962" s="50" t="b">
        <f t="shared" si="214"/>
        <v>0</v>
      </c>
      <c r="C962" s="50" t="e">
        <f t="shared" si="216"/>
        <v>#VALUE!</v>
      </c>
      <c r="E962" s="56">
        <v>958</v>
      </c>
      <c r="G962" s="138"/>
      <c r="H962" s="135">
        <v>1</v>
      </c>
      <c r="I962" s="58" t="e">
        <f t="shared" si="203"/>
        <v>#VALUE!</v>
      </c>
      <c r="J962" s="50" t="e">
        <f t="shared" si="209"/>
        <v>#VALUE!</v>
      </c>
      <c r="K962" s="50" t="e">
        <f t="shared" si="215"/>
        <v>#VALUE!</v>
      </c>
      <c r="L962" s="50" t="e">
        <f t="shared" si="215"/>
        <v>#VALUE!</v>
      </c>
      <c r="M962" s="50" t="e">
        <f t="shared" si="204"/>
        <v>#VALUE!</v>
      </c>
      <c r="N962" s="50" t="e">
        <f t="shared" si="205"/>
        <v>#VALUE!</v>
      </c>
      <c r="O962" s="50">
        <f t="shared" si="206"/>
        <v>0</v>
      </c>
      <c r="Q962" s="55" t="e">
        <f t="shared" si="207"/>
        <v>#VALUE!</v>
      </c>
      <c r="R962" s="55" t="e">
        <f t="shared" si="210"/>
        <v>#VALUE!</v>
      </c>
      <c r="S962" s="55" t="e">
        <f t="shared" si="208"/>
        <v>#VALUE!</v>
      </c>
      <c r="T962" s="50" t="e">
        <f t="shared" si="211"/>
        <v>#VALUE!</v>
      </c>
      <c r="U962" s="50" t="e">
        <f t="shared" si="212"/>
        <v>#VALUE!</v>
      </c>
      <c r="V962" s="50" t="e">
        <f t="shared" si="213"/>
        <v>#VALUE!</v>
      </c>
    </row>
    <row r="963" spans="2:22" x14ac:dyDescent="0.25">
      <c r="B963" s="50" t="b">
        <f t="shared" si="214"/>
        <v>0</v>
      </c>
      <c r="C963" s="50" t="e">
        <f t="shared" si="216"/>
        <v>#VALUE!</v>
      </c>
      <c r="E963" s="56">
        <v>959</v>
      </c>
      <c r="G963" s="138"/>
      <c r="H963" s="135">
        <v>1</v>
      </c>
      <c r="I963" s="58" t="e">
        <f t="shared" si="203"/>
        <v>#VALUE!</v>
      </c>
      <c r="J963" s="50" t="e">
        <f t="shared" si="209"/>
        <v>#VALUE!</v>
      </c>
      <c r="K963" s="50" t="e">
        <f t="shared" si="215"/>
        <v>#VALUE!</v>
      </c>
      <c r="L963" s="50" t="e">
        <f t="shared" si="215"/>
        <v>#VALUE!</v>
      </c>
      <c r="M963" s="50" t="e">
        <f t="shared" si="204"/>
        <v>#VALUE!</v>
      </c>
      <c r="N963" s="50" t="e">
        <f t="shared" si="205"/>
        <v>#VALUE!</v>
      </c>
      <c r="O963" s="50">
        <f t="shared" si="206"/>
        <v>0</v>
      </c>
      <c r="Q963" s="55" t="e">
        <f t="shared" si="207"/>
        <v>#VALUE!</v>
      </c>
      <c r="R963" s="55" t="e">
        <f t="shared" si="210"/>
        <v>#VALUE!</v>
      </c>
      <c r="S963" s="55" t="e">
        <f t="shared" si="208"/>
        <v>#VALUE!</v>
      </c>
      <c r="T963" s="50" t="e">
        <f t="shared" si="211"/>
        <v>#VALUE!</v>
      </c>
      <c r="U963" s="50" t="e">
        <f t="shared" si="212"/>
        <v>#VALUE!</v>
      </c>
      <c r="V963" s="50" t="e">
        <f t="shared" si="213"/>
        <v>#VALUE!</v>
      </c>
    </row>
    <row r="964" spans="2:22" x14ac:dyDescent="0.25">
      <c r="B964" s="50" t="b">
        <f t="shared" si="214"/>
        <v>0</v>
      </c>
      <c r="C964" s="50" t="e">
        <f t="shared" si="216"/>
        <v>#VALUE!</v>
      </c>
      <c r="E964" s="56">
        <v>960</v>
      </c>
      <c r="G964" s="138"/>
      <c r="H964" s="135">
        <v>1</v>
      </c>
      <c r="I964" s="58" t="e">
        <f t="shared" ref="I964:I1004" si="217">RIGHT(G964,J964)</f>
        <v>#VALUE!</v>
      </c>
      <c r="J964" s="50" t="e">
        <f t="shared" si="209"/>
        <v>#VALUE!</v>
      </c>
      <c r="K964" s="50" t="e">
        <f t="shared" si="215"/>
        <v>#VALUE!</v>
      </c>
      <c r="L964" s="50" t="e">
        <f t="shared" si="215"/>
        <v>#VALUE!</v>
      </c>
      <c r="M964" s="50" t="e">
        <f t="shared" ref="M964:M1004" si="218">SEARCH("-",G964,2)</f>
        <v>#VALUE!</v>
      </c>
      <c r="N964" s="50" t="e">
        <f t="shared" ref="N964:N1004" si="219">SEARCH("-",G964,M964+1)</f>
        <v>#VALUE!</v>
      </c>
      <c r="O964" s="50">
        <f t="shared" ref="O964:O1004" si="220">LEN(G964)</f>
        <v>0</v>
      </c>
      <c r="Q964" s="55" t="e">
        <f t="shared" ref="Q964:Q1004" si="221">LEFT(G964,M964-1)</f>
        <v>#VALUE!</v>
      </c>
      <c r="R964" s="55" t="e">
        <f t="shared" si="210"/>
        <v>#VALUE!</v>
      </c>
      <c r="S964" s="55" t="e">
        <f t="shared" ref="S964:S1004" si="222">RIGHT(G964,L964)</f>
        <v>#VALUE!</v>
      </c>
      <c r="T964" s="50" t="e">
        <f t="shared" si="211"/>
        <v>#VALUE!</v>
      </c>
      <c r="U964" s="50" t="e">
        <f t="shared" si="212"/>
        <v>#VALUE!</v>
      </c>
      <c r="V964" s="50" t="e">
        <f t="shared" si="213"/>
        <v>#VALUE!</v>
      </c>
    </row>
    <row r="965" spans="2:22" x14ac:dyDescent="0.25">
      <c r="B965" s="50" t="b">
        <f t="shared" si="214"/>
        <v>0</v>
      </c>
      <c r="C965" s="50" t="e">
        <f t="shared" si="216"/>
        <v>#VALUE!</v>
      </c>
      <c r="E965" s="56">
        <v>961</v>
      </c>
      <c r="G965" s="138"/>
      <c r="H965" s="135">
        <v>1</v>
      </c>
      <c r="I965" s="58" t="e">
        <f t="shared" si="217"/>
        <v>#VALUE!</v>
      </c>
      <c r="J965" s="50" t="e">
        <f t="shared" ref="J965:J1004" si="223">O965-M965</f>
        <v>#VALUE!</v>
      </c>
      <c r="K965" s="50" t="e">
        <f t="shared" si="215"/>
        <v>#VALUE!</v>
      </c>
      <c r="L965" s="50" t="e">
        <f t="shared" si="215"/>
        <v>#VALUE!</v>
      </c>
      <c r="M965" s="50" t="e">
        <f t="shared" si="218"/>
        <v>#VALUE!</v>
      </c>
      <c r="N965" s="50" t="e">
        <f t="shared" si="219"/>
        <v>#VALUE!</v>
      </c>
      <c r="O965" s="50">
        <f t="shared" si="220"/>
        <v>0</v>
      </c>
      <c r="Q965" s="55" t="e">
        <f t="shared" si="221"/>
        <v>#VALUE!</v>
      </c>
      <c r="R965" s="55" t="e">
        <f t="shared" ref="R965:R1004" si="224">LEFT(I965,K965-1)</f>
        <v>#VALUE!</v>
      </c>
      <c r="S965" s="55" t="e">
        <f t="shared" si="222"/>
        <v>#VALUE!</v>
      </c>
      <c r="T965" s="50" t="e">
        <f t="shared" ref="T965:T1004" si="225">Q965*1*$H965</f>
        <v>#VALUE!</v>
      </c>
      <c r="U965" s="50" t="e">
        <f t="shared" ref="U965:U1004" si="226">R965*1*$H965</f>
        <v>#VALUE!</v>
      </c>
      <c r="V965" s="50" t="e">
        <f t="shared" ref="V965:V1004" si="227">S965*1*$H965</f>
        <v>#VALUE!</v>
      </c>
    </row>
    <row r="966" spans="2:22" x14ac:dyDescent="0.25">
      <c r="B966" s="50" t="b">
        <f t="shared" si="214"/>
        <v>0</v>
      </c>
      <c r="C966" s="50" t="e">
        <f t="shared" si="216"/>
        <v>#VALUE!</v>
      </c>
      <c r="E966" s="56">
        <v>962</v>
      </c>
      <c r="G966" s="138"/>
      <c r="H966" s="135">
        <v>1</v>
      </c>
      <c r="I966" s="58" t="e">
        <f t="shared" si="217"/>
        <v>#VALUE!</v>
      </c>
      <c r="J966" s="50" t="e">
        <f t="shared" si="223"/>
        <v>#VALUE!</v>
      </c>
      <c r="K966" s="50" t="e">
        <f t="shared" si="215"/>
        <v>#VALUE!</v>
      </c>
      <c r="L966" s="50" t="e">
        <f t="shared" si="215"/>
        <v>#VALUE!</v>
      </c>
      <c r="M966" s="50" t="e">
        <f t="shared" si="218"/>
        <v>#VALUE!</v>
      </c>
      <c r="N966" s="50" t="e">
        <f t="shared" si="219"/>
        <v>#VALUE!</v>
      </c>
      <c r="O966" s="50">
        <f t="shared" si="220"/>
        <v>0</v>
      </c>
      <c r="Q966" s="55" t="e">
        <f t="shared" si="221"/>
        <v>#VALUE!</v>
      </c>
      <c r="R966" s="55" t="e">
        <f t="shared" si="224"/>
        <v>#VALUE!</v>
      </c>
      <c r="S966" s="55" t="e">
        <f t="shared" si="222"/>
        <v>#VALUE!</v>
      </c>
      <c r="T966" s="50" t="e">
        <f t="shared" si="225"/>
        <v>#VALUE!</v>
      </c>
      <c r="U966" s="50" t="e">
        <f t="shared" si="226"/>
        <v>#VALUE!</v>
      </c>
      <c r="V966" s="50" t="e">
        <f t="shared" si="227"/>
        <v>#VALUE!</v>
      </c>
    </row>
    <row r="967" spans="2:22" x14ac:dyDescent="0.25">
      <c r="B967" s="50" t="b">
        <f t="shared" si="214"/>
        <v>0</v>
      </c>
      <c r="C967" s="50" t="e">
        <f t="shared" si="216"/>
        <v>#VALUE!</v>
      </c>
      <c r="E967" s="56">
        <v>963</v>
      </c>
      <c r="G967" s="138"/>
      <c r="H967" s="135">
        <v>1</v>
      </c>
      <c r="I967" s="58" t="e">
        <f t="shared" si="217"/>
        <v>#VALUE!</v>
      </c>
      <c r="J967" s="50" t="e">
        <f t="shared" si="223"/>
        <v>#VALUE!</v>
      </c>
      <c r="K967" s="50" t="e">
        <f t="shared" si="215"/>
        <v>#VALUE!</v>
      </c>
      <c r="L967" s="50" t="e">
        <f t="shared" si="215"/>
        <v>#VALUE!</v>
      </c>
      <c r="M967" s="50" t="e">
        <f t="shared" si="218"/>
        <v>#VALUE!</v>
      </c>
      <c r="N967" s="50" t="e">
        <f t="shared" si="219"/>
        <v>#VALUE!</v>
      </c>
      <c r="O967" s="50">
        <f t="shared" si="220"/>
        <v>0</v>
      </c>
      <c r="Q967" s="55" t="e">
        <f t="shared" si="221"/>
        <v>#VALUE!</v>
      </c>
      <c r="R967" s="55" t="e">
        <f t="shared" si="224"/>
        <v>#VALUE!</v>
      </c>
      <c r="S967" s="55" t="e">
        <f t="shared" si="222"/>
        <v>#VALUE!</v>
      </c>
      <c r="T967" s="50" t="e">
        <f t="shared" si="225"/>
        <v>#VALUE!</v>
      </c>
      <c r="U967" s="50" t="e">
        <f t="shared" si="226"/>
        <v>#VALUE!</v>
      </c>
      <c r="V967" s="50" t="e">
        <f t="shared" si="227"/>
        <v>#VALUE!</v>
      </c>
    </row>
    <row r="968" spans="2:22" x14ac:dyDescent="0.25">
      <c r="B968" s="50" t="b">
        <f t="shared" si="214"/>
        <v>0</v>
      </c>
      <c r="C968" s="50" t="e">
        <f t="shared" si="216"/>
        <v>#VALUE!</v>
      </c>
      <c r="E968" s="56">
        <v>964</v>
      </c>
      <c r="G968" s="138"/>
      <c r="H968" s="135">
        <v>1</v>
      </c>
      <c r="I968" s="58" t="e">
        <f t="shared" si="217"/>
        <v>#VALUE!</v>
      </c>
      <c r="J968" s="50" t="e">
        <f t="shared" si="223"/>
        <v>#VALUE!</v>
      </c>
      <c r="K968" s="50" t="e">
        <f t="shared" si="215"/>
        <v>#VALUE!</v>
      </c>
      <c r="L968" s="50" t="e">
        <f t="shared" si="215"/>
        <v>#VALUE!</v>
      </c>
      <c r="M968" s="50" t="e">
        <f t="shared" si="218"/>
        <v>#VALUE!</v>
      </c>
      <c r="N968" s="50" t="e">
        <f t="shared" si="219"/>
        <v>#VALUE!</v>
      </c>
      <c r="O968" s="50">
        <f t="shared" si="220"/>
        <v>0</v>
      </c>
      <c r="Q968" s="55" t="e">
        <f t="shared" si="221"/>
        <v>#VALUE!</v>
      </c>
      <c r="R968" s="55" t="e">
        <f t="shared" si="224"/>
        <v>#VALUE!</v>
      </c>
      <c r="S968" s="55" t="e">
        <f t="shared" si="222"/>
        <v>#VALUE!</v>
      </c>
      <c r="T968" s="50" t="e">
        <f t="shared" si="225"/>
        <v>#VALUE!</v>
      </c>
      <c r="U968" s="50" t="e">
        <f t="shared" si="226"/>
        <v>#VALUE!</v>
      </c>
      <c r="V968" s="50" t="e">
        <f t="shared" si="227"/>
        <v>#VALUE!</v>
      </c>
    </row>
    <row r="969" spans="2:22" x14ac:dyDescent="0.25">
      <c r="B969" s="50" t="b">
        <f t="shared" si="214"/>
        <v>0</v>
      </c>
      <c r="C969" s="50" t="e">
        <f t="shared" si="216"/>
        <v>#VALUE!</v>
      </c>
      <c r="E969" s="56">
        <v>965</v>
      </c>
      <c r="G969" s="138"/>
      <c r="H969" s="135">
        <v>1</v>
      </c>
      <c r="I969" s="58" t="e">
        <f t="shared" si="217"/>
        <v>#VALUE!</v>
      </c>
      <c r="J969" s="50" t="e">
        <f t="shared" si="223"/>
        <v>#VALUE!</v>
      </c>
      <c r="K969" s="50" t="e">
        <f t="shared" si="215"/>
        <v>#VALUE!</v>
      </c>
      <c r="L969" s="50" t="e">
        <f t="shared" si="215"/>
        <v>#VALUE!</v>
      </c>
      <c r="M969" s="50" t="e">
        <f t="shared" si="218"/>
        <v>#VALUE!</v>
      </c>
      <c r="N969" s="50" t="e">
        <f t="shared" si="219"/>
        <v>#VALUE!</v>
      </c>
      <c r="O969" s="50">
        <f t="shared" si="220"/>
        <v>0</v>
      </c>
      <c r="Q969" s="55" t="e">
        <f t="shared" si="221"/>
        <v>#VALUE!</v>
      </c>
      <c r="R969" s="55" t="e">
        <f t="shared" si="224"/>
        <v>#VALUE!</v>
      </c>
      <c r="S969" s="55" t="e">
        <f t="shared" si="222"/>
        <v>#VALUE!</v>
      </c>
      <c r="T969" s="50" t="e">
        <f t="shared" si="225"/>
        <v>#VALUE!</v>
      </c>
      <c r="U969" s="50" t="e">
        <f t="shared" si="226"/>
        <v>#VALUE!</v>
      </c>
      <c r="V969" s="50" t="e">
        <f t="shared" si="227"/>
        <v>#VALUE!</v>
      </c>
    </row>
    <row r="970" spans="2:22" x14ac:dyDescent="0.25">
      <c r="B970" s="50" t="b">
        <f t="shared" si="214"/>
        <v>0</v>
      </c>
      <c r="C970" s="50" t="e">
        <f t="shared" si="216"/>
        <v>#VALUE!</v>
      </c>
      <c r="E970" s="56">
        <v>966</v>
      </c>
      <c r="G970" s="138"/>
      <c r="H970" s="135">
        <v>1</v>
      </c>
      <c r="I970" s="58" t="e">
        <f t="shared" si="217"/>
        <v>#VALUE!</v>
      </c>
      <c r="J970" s="50" t="e">
        <f t="shared" si="223"/>
        <v>#VALUE!</v>
      </c>
      <c r="K970" s="50" t="e">
        <f t="shared" si="215"/>
        <v>#VALUE!</v>
      </c>
      <c r="L970" s="50" t="e">
        <f t="shared" si="215"/>
        <v>#VALUE!</v>
      </c>
      <c r="M970" s="50" t="e">
        <f t="shared" si="218"/>
        <v>#VALUE!</v>
      </c>
      <c r="N970" s="50" t="e">
        <f t="shared" si="219"/>
        <v>#VALUE!</v>
      </c>
      <c r="O970" s="50">
        <f t="shared" si="220"/>
        <v>0</v>
      </c>
      <c r="Q970" s="55" t="e">
        <f t="shared" si="221"/>
        <v>#VALUE!</v>
      </c>
      <c r="R970" s="55" t="e">
        <f t="shared" si="224"/>
        <v>#VALUE!</v>
      </c>
      <c r="S970" s="55" t="e">
        <f t="shared" si="222"/>
        <v>#VALUE!</v>
      </c>
      <c r="T970" s="50" t="e">
        <f t="shared" si="225"/>
        <v>#VALUE!</v>
      </c>
      <c r="U970" s="50" t="e">
        <f t="shared" si="226"/>
        <v>#VALUE!</v>
      </c>
      <c r="V970" s="50" t="e">
        <f t="shared" si="227"/>
        <v>#VALUE!</v>
      </c>
    </row>
    <row r="971" spans="2:22" x14ac:dyDescent="0.25">
      <c r="B971" s="50" t="b">
        <f t="shared" si="214"/>
        <v>0</v>
      </c>
      <c r="C971" s="50" t="e">
        <f t="shared" si="216"/>
        <v>#VALUE!</v>
      </c>
      <c r="E971" s="56">
        <v>967</v>
      </c>
      <c r="G971" s="138"/>
      <c r="H971" s="135">
        <v>1</v>
      </c>
      <c r="I971" s="58" t="e">
        <f t="shared" si="217"/>
        <v>#VALUE!</v>
      </c>
      <c r="J971" s="50" t="e">
        <f t="shared" si="223"/>
        <v>#VALUE!</v>
      </c>
      <c r="K971" s="50" t="e">
        <f t="shared" si="215"/>
        <v>#VALUE!</v>
      </c>
      <c r="L971" s="50" t="e">
        <f t="shared" si="215"/>
        <v>#VALUE!</v>
      </c>
      <c r="M971" s="50" t="e">
        <f t="shared" si="218"/>
        <v>#VALUE!</v>
      </c>
      <c r="N971" s="50" t="e">
        <f t="shared" si="219"/>
        <v>#VALUE!</v>
      </c>
      <c r="O971" s="50">
        <f t="shared" si="220"/>
        <v>0</v>
      </c>
      <c r="Q971" s="55" t="e">
        <f t="shared" si="221"/>
        <v>#VALUE!</v>
      </c>
      <c r="R971" s="55" t="e">
        <f t="shared" si="224"/>
        <v>#VALUE!</v>
      </c>
      <c r="S971" s="55" t="e">
        <f t="shared" si="222"/>
        <v>#VALUE!</v>
      </c>
      <c r="T971" s="50" t="e">
        <f t="shared" si="225"/>
        <v>#VALUE!</v>
      </c>
      <c r="U971" s="50" t="e">
        <f t="shared" si="226"/>
        <v>#VALUE!</v>
      </c>
      <c r="V971" s="50" t="e">
        <f t="shared" si="227"/>
        <v>#VALUE!</v>
      </c>
    </row>
    <row r="972" spans="2:22" x14ac:dyDescent="0.25">
      <c r="B972" s="50" t="b">
        <f t="shared" si="214"/>
        <v>0</v>
      </c>
      <c r="C972" s="50" t="e">
        <f t="shared" si="216"/>
        <v>#VALUE!</v>
      </c>
      <c r="E972" s="56">
        <v>968</v>
      </c>
      <c r="G972" s="138"/>
      <c r="H972" s="135">
        <v>1</v>
      </c>
      <c r="I972" s="58" t="e">
        <f t="shared" si="217"/>
        <v>#VALUE!</v>
      </c>
      <c r="J972" s="50" t="e">
        <f t="shared" si="223"/>
        <v>#VALUE!</v>
      </c>
      <c r="K972" s="50" t="e">
        <f t="shared" si="215"/>
        <v>#VALUE!</v>
      </c>
      <c r="L972" s="50" t="e">
        <f t="shared" si="215"/>
        <v>#VALUE!</v>
      </c>
      <c r="M972" s="50" t="e">
        <f t="shared" si="218"/>
        <v>#VALUE!</v>
      </c>
      <c r="N972" s="50" t="e">
        <f t="shared" si="219"/>
        <v>#VALUE!</v>
      </c>
      <c r="O972" s="50">
        <f t="shared" si="220"/>
        <v>0</v>
      </c>
      <c r="Q972" s="55" t="e">
        <f t="shared" si="221"/>
        <v>#VALUE!</v>
      </c>
      <c r="R972" s="55" t="e">
        <f t="shared" si="224"/>
        <v>#VALUE!</v>
      </c>
      <c r="S972" s="55" t="e">
        <f t="shared" si="222"/>
        <v>#VALUE!</v>
      </c>
      <c r="T972" s="50" t="e">
        <f t="shared" si="225"/>
        <v>#VALUE!</v>
      </c>
      <c r="U972" s="50" t="e">
        <f t="shared" si="226"/>
        <v>#VALUE!</v>
      </c>
      <c r="V972" s="50" t="e">
        <f t="shared" si="227"/>
        <v>#VALUE!</v>
      </c>
    </row>
    <row r="973" spans="2:22" x14ac:dyDescent="0.25">
      <c r="B973" s="50" t="b">
        <f t="shared" si="214"/>
        <v>0</v>
      </c>
      <c r="C973" s="50" t="e">
        <f t="shared" si="216"/>
        <v>#VALUE!</v>
      </c>
      <c r="E973" s="56">
        <v>969</v>
      </c>
      <c r="G973" s="138"/>
      <c r="H973" s="135">
        <v>1</v>
      </c>
      <c r="I973" s="58" t="e">
        <f t="shared" si="217"/>
        <v>#VALUE!</v>
      </c>
      <c r="J973" s="50" t="e">
        <f t="shared" si="223"/>
        <v>#VALUE!</v>
      </c>
      <c r="K973" s="50" t="e">
        <f t="shared" si="215"/>
        <v>#VALUE!</v>
      </c>
      <c r="L973" s="50" t="e">
        <f t="shared" si="215"/>
        <v>#VALUE!</v>
      </c>
      <c r="M973" s="50" t="e">
        <f t="shared" si="218"/>
        <v>#VALUE!</v>
      </c>
      <c r="N973" s="50" t="e">
        <f t="shared" si="219"/>
        <v>#VALUE!</v>
      </c>
      <c r="O973" s="50">
        <f t="shared" si="220"/>
        <v>0</v>
      </c>
      <c r="Q973" s="55" t="e">
        <f t="shared" si="221"/>
        <v>#VALUE!</v>
      </c>
      <c r="R973" s="55" t="e">
        <f t="shared" si="224"/>
        <v>#VALUE!</v>
      </c>
      <c r="S973" s="55" t="e">
        <f t="shared" si="222"/>
        <v>#VALUE!</v>
      </c>
      <c r="T973" s="50" t="e">
        <f t="shared" si="225"/>
        <v>#VALUE!</v>
      </c>
      <c r="U973" s="50" t="e">
        <f t="shared" si="226"/>
        <v>#VALUE!</v>
      </c>
      <c r="V973" s="50" t="e">
        <f t="shared" si="227"/>
        <v>#VALUE!</v>
      </c>
    </row>
    <row r="974" spans="2:22" x14ac:dyDescent="0.25">
      <c r="B974" s="50" t="b">
        <f t="shared" ref="B974:B1004" si="228">ISNUMBER(C974)</f>
        <v>0</v>
      </c>
      <c r="C974" s="50" t="e">
        <f t="shared" si="216"/>
        <v>#VALUE!</v>
      </c>
      <c r="E974" s="56">
        <v>970</v>
      </c>
      <c r="G974" s="138"/>
      <c r="H974" s="135">
        <v>1</v>
      </c>
      <c r="I974" s="58" t="e">
        <f t="shared" si="217"/>
        <v>#VALUE!</v>
      </c>
      <c r="J974" s="50" t="e">
        <f t="shared" si="223"/>
        <v>#VALUE!</v>
      </c>
      <c r="K974" s="50" t="e">
        <f t="shared" si="215"/>
        <v>#VALUE!</v>
      </c>
      <c r="L974" s="50" t="e">
        <f t="shared" si="215"/>
        <v>#VALUE!</v>
      </c>
      <c r="M974" s="50" t="e">
        <f t="shared" si="218"/>
        <v>#VALUE!</v>
      </c>
      <c r="N974" s="50" t="e">
        <f t="shared" si="219"/>
        <v>#VALUE!</v>
      </c>
      <c r="O974" s="50">
        <f t="shared" si="220"/>
        <v>0</v>
      </c>
      <c r="Q974" s="55" t="e">
        <f t="shared" si="221"/>
        <v>#VALUE!</v>
      </c>
      <c r="R974" s="55" t="e">
        <f t="shared" si="224"/>
        <v>#VALUE!</v>
      </c>
      <c r="S974" s="55" t="e">
        <f t="shared" si="222"/>
        <v>#VALUE!</v>
      </c>
      <c r="T974" s="50" t="e">
        <f t="shared" si="225"/>
        <v>#VALUE!</v>
      </c>
      <c r="U974" s="50" t="e">
        <f t="shared" si="226"/>
        <v>#VALUE!</v>
      </c>
      <c r="V974" s="50" t="e">
        <f t="shared" si="227"/>
        <v>#VALUE!</v>
      </c>
    </row>
    <row r="975" spans="2:22" x14ac:dyDescent="0.25">
      <c r="B975" s="50" t="b">
        <f t="shared" si="228"/>
        <v>0</v>
      </c>
      <c r="C975" s="50" t="e">
        <f t="shared" si="216"/>
        <v>#VALUE!</v>
      </c>
      <c r="E975" s="56">
        <v>971</v>
      </c>
      <c r="G975" s="138"/>
      <c r="H975" s="135">
        <v>1</v>
      </c>
      <c r="I975" s="58" t="e">
        <f t="shared" si="217"/>
        <v>#VALUE!</v>
      </c>
      <c r="J975" s="50" t="e">
        <f t="shared" si="223"/>
        <v>#VALUE!</v>
      </c>
      <c r="K975" s="50" t="e">
        <f t="shared" si="215"/>
        <v>#VALUE!</v>
      </c>
      <c r="L975" s="50" t="e">
        <f t="shared" si="215"/>
        <v>#VALUE!</v>
      </c>
      <c r="M975" s="50" t="e">
        <f t="shared" si="218"/>
        <v>#VALUE!</v>
      </c>
      <c r="N975" s="50" t="e">
        <f t="shared" si="219"/>
        <v>#VALUE!</v>
      </c>
      <c r="O975" s="50">
        <f t="shared" si="220"/>
        <v>0</v>
      </c>
      <c r="Q975" s="55" t="e">
        <f t="shared" si="221"/>
        <v>#VALUE!</v>
      </c>
      <c r="R975" s="55" t="e">
        <f t="shared" si="224"/>
        <v>#VALUE!</v>
      </c>
      <c r="S975" s="55" t="e">
        <f t="shared" si="222"/>
        <v>#VALUE!</v>
      </c>
      <c r="T975" s="50" t="e">
        <f t="shared" si="225"/>
        <v>#VALUE!</v>
      </c>
      <c r="U975" s="50" t="e">
        <f t="shared" si="226"/>
        <v>#VALUE!</v>
      </c>
      <c r="V975" s="50" t="e">
        <f t="shared" si="227"/>
        <v>#VALUE!</v>
      </c>
    </row>
    <row r="976" spans="2:22" x14ac:dyDescent="0.25">
      <c r="B976" s="50" t="b">
        <f t="shared" si="228"/>
        <v>0</v>
      </c>
      <c r="C976" s="50" t="e">
        <f t="shared" si="216"/>
        <v>#VALUE!</v>
      </c>
      <c r="E976" s="56">
        <v>972</v>
      </c>
      <c r="G976" s="138"/>
      <c r="H976" s="135">
        <v>1</v>
      </c>
      <c r="I976" s="58" t="e">
        <f t="shared" si="217"/>
        <v>#VALUE!</v>
      </c>
      <c r="J976" s="50" t="e">
        <f t="shared" si="223"/>
        <v>#VALUE!</v>
      </c>
      <c r="K976" s="50" t="e">
        <f t="shared" si="215"/>
        <v>#VALUE!</v>
      </c>
      <c r="L976" s="50" t="e">
        <f t="shared" si="215"/>
        <v>#VALUE!</v>
      </c>
      <c r="M976" s="50" t="e">
        <f t="shared" si="218"/>
        <v>#VALUE!</v>
      </c>
      <c r="N976" s="50" t="e">
        <f t="shared" si="219"/>
        <v>#VALUE!</v>
      </c>
      <c r="O976" s="50">
        <f t="shared" si="220"/>
        <v>0</v>
      </c>
      <c r="Q976" s="55" t="e">
        <f t="shared" si="221"/>
        <v>#VALUE!</v>
      </c>
      <c r="R976" s="55" t="e">
        <f t="shared" si="224"/>
        <v>#VALUE!</v>
      </c>
      <c r="S976" s="55" t="e">
        <f t="shared" si="222"/>
        <v>#VALUE!</v>
      </c>
      <c r="T976" s="50" t="e">
        <f t="shared" si="225"/>
        <v>#VALUE!</v>
      </c>
      <c r="U976" s="50" t="e">
        <f t="shared" si="226"/>
        <v>#VALUE!</v>
      </c>
      <c r="V976" s="50" t="e">
        <f t="shared" si="227"/>
        <v>#VALUE!</v>
      </c>
    </row>
    <row r="977" spans="2:22" x14ac:dyDescent="0.25">
      <c r="B977" s="50" t="b">
        <f t="shared" si="228"/>
        <v>0</v>
      </c>
      <c r="C977" s="50" t="e">
        <f t="shared" si="216"/>
        <v>#VALUE!</v>
      </c>
      <c r="E977" s="56">
        <v>973</v>
      </c>
      <c r="G977" s="138"/>
      <c r="H977" s="135">
        <v>1</v>
      </c>
      <c r="I977" s="58" t="e">
        <f t="shared" si="217"/>
        <v>#VALUE!</v>
      </c>
      <c r="J977" s="50" t="e">
        <f t="shared" si="223"/>
        <v>#VALUE!</v>
      </c>
      <c r="K977" s="50" t="e">
        <f t="shared" si="215"/>
        <v>#VALUE!</v>
      </c>
      <c r="L977" s="50" t="e">
        <f t="shared" si="215"/>
        <v>#VALUE!</v>
      </c>
      <c r="M977" s="50" t="e">
        <f t="shared" si="218"/>
        <v>#VALUE!</v>
      </c>
      <c r="N977" s="50" t="e">
        <f t="shared" si="219"/>
        <v>#VALUE!</v>
      </c>
      <c r="O977" s="50">
        <f t="shared" si="220"/>
        <v>0</v>
      </c>
      <c r="Q977" s="55" t="e">
        <f t="shared" si="221"/>
        <v>#VALUE!</v>
      </c>
      <c r="R977" s="55" t="e">
        <f t="shared" si="224"/>
        <v>#VALUE!</v>
      </c>
      <c r="S977" s="55" t="e">
        <f t="shared" si="222"/>
        <v>#VALUE!</v>
      </c>
      <c r="T977" s="50" t="e">
        <f t="shared" si="225"/>
        <v>#VALUE!</v>
      </c>
      <c r="U977" s="50" t="e">
        <f t="shared" si="226"/>
        <v>#VALUE!</v>
      </c>
      <c r="V977" s="50" t="e">
        <f t="shared" si="227"/>
        <v>#VALUE!</v>
      </c>
    </row>
    <row r="978" spans="2:22" x14ac:dyDescent="0.25">
      <c r="B978" s="50" t="b">
        <f t="shared" si="228"/>
        <v>0</v>
      </c>
      <c r="C978" s="50" t="e">
        <f t="shared" si="216"/>
        <v>#VALUE!</v>
      </c>
      <c r="E978" s="56">
        <v>974</v>
      </c>
      <c r="G978" s="138"/>
      <c r="H978" s="135">
        <v>1</v>
      </c>
      <c r="I978" s="58" t="e">
        <f t="shared" si="217"/>
        <v>#VALUE!</v>
      </c>
      <c r="J978" s="50" t="e">
        <f t="shared" si="223"/>
        <v>#VALUE!</v>
      </c>
      <c r="K978" s="50" t="e">
        <f t="shared" si="215"/>
        <v>#VALUE!</v>
      </c>
      <c r="L978" s="50" t="e">
        <f t="shared" si="215"/>
        <v>#VALUE!</v>
      </c>
      <c r="M978" s="50" t="e">
        <f t="shared" si="218"/>
        <v>#VALUE!</v>
      </c>
      <c r="N978" s="50" t="e">
        <f t="shared" si="219"/>
        <v>#VALUE!</v>
      </c>
      <c r="O978" s="50">
        <f t="shared" si="220"/>
        <v>0</v>
      </c>
      <c r="Q978" s="55" t="e">
        <f t="shared" si="221"/>
        <v>#VALUE!</v>
      </c>
      <c r="R978" s="55" t="e">
        <f t="shared" si="224"/>
        <v>#VALUE!</v>
      </c>
      <c r="S978" s="55" t="e">
        <f t="shared" si="222"/>
        <v>#VALUE!</v>
      </c>
      <c r="T978" s="50" t="e">
        <f t="shared" si="225"/>
        <v>#VALUE!</v>
      </c>
      <c r="U978" s="50" t="e">
        <f t="shared" si="226"/>
        <v>#VALUE!</v>
      </c>
      <c r="V978" s="50" t="e">
        <f t="shared" si="227"/>
        <v>#VALUE!</v>
      </c>
    </row>
    <row r="979" spans="2:22" x14ac:dyDescent="0.25">
      <c r="B979" s="50" t="b">
        <f t="shared" si="228"/>
        <v>0</v>
      </c>
      <c r="C979" s="50" t="e">
        <f t="shared" si="216"/>
        <v>#VALUE!</v>
      </c>
      <c r="E979" s="56">
        <v>975</v>
      </c>
      <c r="G979" s="138"/>
      <c r="H979" s="135">
        <v>1</v>
      </c>
      <c r="I979" s="58" t="e">
        <f t="shared" si="217"/>
        <v>#VALUE!</v>
      </c>
      <c r="J979" s="50" t="e">
        <f t="shared" si="223"/>
        <v>#VALUE!</v>
      </c>
      <c r="K979" s="50" t="e">
        <f t="shared" si="215"/>
        <v>#VALUE!</v>
      </c>
      <c r="L979" s="50" t="e">
        <f t="shared" si="215"/>
        <v>#VALUE!</v>
      </c>
      <c r="M979" s="50" t="e">
        <f t="shared" si="218"/>
        <v>#VALUE!</v>
      </c>
      <c r="N979" s="50" t="e">
        <f t="shared" si="219"/>
        <v>#VALUE!</v>
      </c>
      <c r="O979" s="50">
        <f t="shared" si="220"/>
        <v>0</v>
      </c>
      <c r="Q979" s="55" t="e">
        <f t="shared" si="221"/>
        <v>#VALUE!</v>
      </c>
      <c r="R979" s="55" t="e">
        <f t="shared" si="224"/>
        <v>#VALUE!</v>
      </c>
      <c r="S979" s="55" t="e">
        <f t="shared" si="222"/>
        <v>#VALUE!</v>
      </c>
      <c r="T979" s="50" t="e">
        <f t="shared" si="225"/>
        <v>#VALUE!</v>
      </c>
      <c r="U979" s="50" t="e">
        <f t="shared" si="226"/>
        <v>#VALUE!</v>
      </c>
      <c r="V979" s="50" t="e">
        <f t="shared" si="227"/>
        <v>#VALUE!</v>
      </c>
    </row>
    <row r="980" spans="2:22" x14ac:dyDescent="0.25">
      <c r="B980" s="50" t="b">
        <f t="shared" si="228"/>
        <v>0</v>
      </c>
      <c r="C980" s="50" t="e">
        <f t="shared" si="216"/>
        <v>#VALUE!</v>
      </c>
      <c r="E980" s="56">
        <v>976</v>
      </c>
      <c r="G980" s="138"/>
      <c r="H980" s="135">
        <v>1</v>
      </c>
      <c r="I980" s="58" t="e">
        <f t="shared" si="217"/>
        <v>#VALUE!</v>
      </c>
      <c r="J980" s="50" t="e">
        <f t="shared" si="223"/>
        <v>#VALUE!</v>
      </c>
      <c r="K980" s="50" t="e">
        <f t="shared" si="215"/>
        <v>#VALUE!</v>
      </c>
      <c r="L980" s="50" t="e">
        <f t="shared" si="215"/>
        <v>#VALUE!</v>
      </c>
      <c r="M980" s="50" t="e">
        <f t="shared" si="218"/>
        <v>#VALUE!</v>
      </c>
      <c r="N980" s="50" t="e">
        <f t="shared" si="219"/>
        <v>#VALUE!</v>
      </c>
      <c r="O980" s="50">
        <f t="shared" si="220"/>
        <v>0</v>
      </c>
      <c r="Q980" s="55" t="e">
        <f t="shared" si="221"/>
        <v>#VALUE!</v>
      </c>
      <c r="R980" s="55" t="e">
        <f t="shared" si="224"/>
        <v>#VALUE!</v>
      </c>
      <c r="S980" s="55" t="e">
        <f t="shared" si="222"/>
        <v>#VALUE!</v>
      </c>
      <c r="T980" s="50" t="e">
        <f t="shared" si="225"/>
        <v>#VALUE!</v>
      </c>
      <c r="U980" s="50" t="e">
        <f t="shared" si="226"/>
        <v>#VALUE!</v>
      </c>
      <c r="V980" s="50" t="e">
        <f t="shared" si="227"/>
        <v>#VALUE!</v>
      </c>
    </row>
    <row r="981" spans="2:22" x14ac:dyDescent="0.25">
      <c r="B981" s="50" t="b">
        <f t="shared" si="228"/>
        <v>0</v>
      </c>
      <c r="C981" s="50" t="e">
        <f t="shared" si="216"/>
        <v>#VALUE!</v>
      </c>
      <c r="E981" s="56">
        <v>977</v>
      </c>
      <c r="G981" s="138"/>
      <c r="H981" s="135">
        <v>1</v>
      </c>
      <c r="I981" s="58" t="e">
        <f t="shared" si="217"/>
        <v>#VALUE!</v>
      </c>
      <c r="J981" s="50" t="e">
        <f t="shared" si="223"/>
        <v>#VALUE!</v>
      </c>
      <c r="K981" s="50" t="e">
        <f t="shared" si="215"/>
        <v>#VALUE!</v>
      </c>
      <c r="L981" s="50" t="e">
        <f t="shared" si="215"/>
        <v>#VALUE!</v>
      </c>
      <c r="M981" s="50" t="e">
        <f t="shared" si="218"/>
        <v>#VALUE!</v>
      </c>
      <c r="N981" s="50" t="e">
        <f t="shared" si="219"/>
        <v>#VALUE!</v>
      </c>
      <c r="O981" s="50">
        <f t="shared" si="220"/>
        <v>0</v>
      </c>
      <c r="Q981" s="55" t="e">
        <f t="shared" si="221"/>
        <v>#VALUE!</v>
      </c>
      <c r="R981" s="55" t="e">
        <f t="shared" si="224"/>
        <v>#VALUE!</v>
      </c>
      <c r="S981" s="55" t="e">
        <f t="shared" si="222"/>
        <v>#VALUE!</v>
      </c>
      <c r="T981" s="50" t="e">
        <f t="shared" si="225"/>
        <v>#VALUE!</v>
      </c>
      <c r="U981" s="50" t="e">
        <f t="shared" si="226"/>
        <v>#VALUE!</v>
      </c>
      <c r="V981" s="50" t="e">
        <f t="shared" si="227"/>
        <v>#VALUE!</v>
      </c>
    </row>
    <row r="982" spans="2:22" x14ac:dyDescent="0.25">
      <c r="B982" s="50" t="b">
        <f t="shared" si="228"/>
        <v>0</v>
      </c>
      <c r="C982" s="50" t="e">
        <f t="shared" si="216"/>
        <v>#VALUE!</v>
      </c>
      <c r="E982" s="56">
        <v>978</v>
      </c>
      <c r="G982" s="138"/>
      <c r="H982" s="135">
        <v>1</v>
      </c>
      <c r="I982" s="58" t="e">
        <f t="shared" si="217"/>
        <v>#VALUE!</v>
      </c>
      <c r="J982" s="50" t="e">
        <f t="shared" si="223"/>
        <v>#VALUE!</v>
      </c>
      <c r="K982" s="50" t="e">
        <f t="shared" si="215"/>
        <v>#VALUE!</v>
      </c>
      <c r="L982" s="50" t="e">
        <f t="shared" si="215"/>
        <v>#VALUE!</v>
      </c>
      <c r="M982" s="50" t="e">
        <f t="shared" si="218"/>
        <v>#VALUE!</v>
      </c>
      <c r="N982" s="50" t="e">
        <f t="shared" si="219"/>
        <v>#VALUE!</v>
      </c>
      <c r="O982" s="50">
        <f t="shared" si="220"/>
        <v>0</v>
      </c>
      <c r="Q982" s="55" t="e">
        <f t="shared" si="221"/>
        <v>#VALUE!</v>
      </c>
      <c r="R982" s="55" t="e">
        <f t="shared" si="224"/>
        <v>#VALUE!</v>
      </c>
      <c r="S982" s="55" t="e">
        <f t="shared" si="222"/>
        <v>#VALUE!</v>
      </c>
      <c r="T982" s="50" t="e">
        <f t="shared" si="225"/>
        <v>#VALUE!</v>
      </c>
      <c r="U982" s="50" t="e">
        <f t="shared" si="226"/>
        <v>#VALUE!</v>
      </c>
      <c r="V982" s="50" t="e">
        <f t="shared" si="227"/>
        <v>#VALUE!</v>
      </c>
    </row>
    <row r="983" spans="2:22" x14ac:dyDescent="0.25">
      <c r="B983" s="50" t="b">
        <f t="shared" si="228"/>
        <v>0</v>
      </c>
      <c r="C983" s="50" t="e">
        <f t="shared" si="216"/>
        <v>#VALUE!</v>
      </c>
      <c r="E983" s="56">
        <v>979</v>
      </c>
      <c r="G983" s="138"/>
      <c r="H983" s="135">
        <v>1</v>
      </c>
      <c r="I983" s="58" t="e">
        <f t="shared" si="217"/>
        <v>#VALUE!</v>
      </c>
      <c r="J983" s="50" t="e">
        <f t="shared" si="223"/>
        <v>#VALUE!</v>
      </c>
      <c r="K983" s="50" t="e">
        <f t="shared" si="215"/>
        <v>#VALUE!</v>
      </c>
      <c r="L983" s="50" t="e">
        <f t="shared" si="215"/>
        <v>#VALUE!</v>
      </c>
      <c r="M983" s="50" t="e">
        <f t="shared" si="218"/>
        <v>#VALUE!</v>
      </c>
      <c r="N983" s="50" t="e">
        <f t="shared" si="219"/>
        <v>#VALUE!</v>
      </c>
      <c r="O983" s="50">
        <f t="shared" si="220"/>
        <v>0</v>
      </c>
      <c r="Q983" s="55" t="e">
        <f t="shared" si="221"/>
        <v>#VALUE!</v>
      </c>
      <c r="R983" s="55" t="e">
        <f t="shared" si="224"/>
        <v>#VALUE!</v>
      </c>
      <c r="S983" s="55" t="e">
        <f t="shared" si="222"/>
        <v>#VALUE!</v>
      </c>
      <c r="T983" s="50" t="e">
        <f t="shared" si="225"/>
        <v>#VALUE!</v>
      </c>
      <c r="U983" s="50" t="e">
        <f t="shared" si="226"/>
        <v>#VALUE!</v>
      </c>
      <c r="V983" s="50" t="e">
        <f t="shared" si="227"/>
        <v>#VALUE!</v>
      </c>
    </row>
    <row r="984" spans="2:22" x14ac:dyDescent="0.25">
      <c r="B984" s="50" t="b">
        <f t="shared" si="228"/>
        <v>0</v>
      </c>
      <c r="C984" s="50" t="e">
        <f t="shared" si="216"/>
        <v>#VALUE!</v>
      </c>
      <c r="E984" s="56">
        <v>980</v>
      </c>
      <c r="G984" s="138"/>
      <c r="H984" s="135">
        <v>1</v>
      </c>
      <c r="I984" s="58" t="e">
        <f t="shared" si="217"/>
        <v>#VALUE!</v>
      </c>
      <c r="J984" s="50" t="e">
        <f t="shared" si="223"/>
        <v>#VALUE!</v>
      </c>
      <c r="K984" s="50" t="e">
        <f t="shared" si="215"/>
        <v>#VALUE!</v>
      </c>
      <c r="L984" s="50" t="e">
        <f t="shared" si="215"/>
        <v>#VALUE!</v>
      </c>
      <c r="M984" s="50" t="e">
        <f t="shared" si="218"/>
        <v>#VALUE!</v>
      </c>
      <c r="N984" s="50" t="e">
        <f t="shared" si="219"/>
        <v>#VALUE!</v>
      </c>
      <c r="O984" s="50">
        <f t="shared" si="220"/>
        <v>0</v>
      </c>
      <c r="Q984" s="55" t="e">
        <f t="shared" si="221"/>
        <v>#VALUE!</v>
      </c>
      <c r="R984" s="55" t="e">
        <f t="shared" si="224"/>
        <v>#VALUE!</v>
      </c>
      <c r="S984" s="55" t="e">
        <f t="shared" si="222"/>
        <v>#VALUE!</v>
      </c>
      <c r="T984" s="50" t="e">
        <f t="shared" si="225"/>
        <v>#VALUE!</v>
      </c>
      <c r="U984" s="50" t="e">
        <f t="shared" si="226"/>
        <v>#VALUE!</v>
      </c>
      <c r="V984" s="50" t="e">
        <f t="shared" si="227"/>
        <v>#VALUE!</v>
      </c>
    </row>
    <row r="985" spans="2:22" x14ac:dyDescent="0.25">
      <c r="B985" s="50" t="b">
        <f t="shared" si="228"/>
        <v>0</v>
      </c>
      <c r="C985" s="50" t="e">
        <f t="shared" si="216"/>
        <v>#VALUE!</v>
      </c>
      <c r="E985" s="56">
        <v>981</v>
      </c>
      <c r="G985" s="138"/>
      <c r="H985" s="135">
        <v>1</v>
      </c>
      <c r="I985" s="58" t="e">
        <f t="shared" si="217"/>
        <v>#VALUE!</v>
      </c>
      <c r="J985" s="50" t="e">
        <f t="shared" si="223"/>
        <v>#VALUE!</v>
      </c>
      <c r="K985" s="50" t="e">
        <f t="shared" si="215"/>
        <v>#VALUE!</v>
      </c>
      <c r="L985" s="50" t="e">
        <f t="shared" si="215"/>
        <v>#VALUE!</v>
      </c>
      <c r="M985" s="50" t="e">
        <f t="shared" si="218"/>
        <v>#VALUE!</v>
      </c>
      <c r="N985" s="50" t="e">
        <f t="shared" si="219"/>
        <v>#VALUE!</v>
      </c>
      <c r="O985" s="50">
        <f t="shared" si="220"/>
        <v>0</v>
      </c>
      <c r="Q985" s="55" t="e">
        <f t="shared" si="221"/>
        <v>#VALUE!</v>
      </c>
      <c r="R985" s="55" t="e">
        <f t="shared" si="224"/>
        <v>#VALUE!</v>
      </c>
      <c r="S985" s="55" t="e">
        <f t="shared" si="222"/>
        <v>#VALUE!</v>
      </c>
      <c r="T985" s="50" t="e">
        <f t="shared" si="225"/>
        <v>#VALUE!</v>
      </c>
      <c r="U985" s="50" t="e">
        <f t="shared" si="226"/>
        <v>#VALUE!</v>
      </c>
      <c r="V985" s="50" t="e">
        <f t="shared" si="227"/>
        <v>#VALUE!</v>
      </c>
    </row>
    <row r="986" spans="2:22" x14ac:dyDescent="0.25">
      <c r="B986" s="50" t="b">
        <f t="shared" si="228"/>
        <v>0</v>
      </c>
      <c r="C986" s="50" t="e">
        <f t="shared" si="216"/>
        <v>#VALUE!</v>
      </c>
      <c r="E986" s="56">
        <v>982</v>
      </c>
      <c r="G986" s="138"/>
      <c r="H986" s="135">
        <v>1</v>
      </c>
      <c r="I986" s="58" t="e">
        <f t="shared" si="217"/>
        <v>#VALUE!</v>
      </c>
      <c r="J986" s="50" t="e">
        <f t="shared" si="223"/>
        <v>#VALUE!</v>
      </c>
      <c r="K986" s="50" t="e">
        <f t="shared" si="215"/>
        <v>#VALUE!</v>
      </c>
      <c r="L986" s="50" t="e">
        <f t="shared" si="215"/>
        <v>#VALUE!</v>
      </c>
      <c r="M986" s="50" t="e">
        <f t="shared" si="218"/>
        <v>#VALUE!</v>
      </c>
      <c r="N986" s="50" t="e">
        <f t="shared" si="219"/>
        <v>#VALUE!</v>
      </c>
      <c r="O986" s="50">
        <f t="shared" si="220"/>
        <v>0</v>
      </c>
      <c r="Q986" s="55" t="e">
        <f t="shared" si="221"/>
        <v>#VALUE!</v>
      </c>
      <c r="R986" s="55" t="e">
        <f t="shared" si="224"/>
        <v>#VALUE!</v>
      </c>
      <c r="S986" s="55" t="e">
        <f t="shared" si="222"/>
        <v>#VALUE!</v>
      </c>
      <c r="T986" s="50" t="e">
        <f t="shared" si="225"/>
        <v>#VALUE!</v>
      </c>
      <c r="U986" s="50" t="e">
        <f t="shared" si="226"/>
        <v>#VALUE!</v>
      </c>
      <c r="V986" s="50" t="e">
        <f t="shared" si="227"/>
        <v>#VALUE!</v>
      </c>
    </row>
    <row r="987" spans="2:22" x14ac:dyDescent="0.25">
      <c r="B987" s="50" t="b">
        <f t="shared" si="228"/>
        <v>0</v>
      </c>
      <c r="C987" s="50" t="e">
        <f t="shared" si="216"/>
        <v>#VALUE!</v>
      </c>
      <c r="E987" s="56">
        <v>983</v>
      </c>
      <c r="G987" s="138"/>
      <c r="H987" s="135">
        <v>1</v>
      </c>
      <c r="I987" s="58" t="e">
        <f t="shared" si="217"/>
        <v>#VALUE!</v>
      </c>
      <c r="J987" s="50" t="e">
        <f t="shared" si="223"/>
        <v>#VALUE!</v>
      </c>
      <c r="K987" s="50" t="e">
        <f t="shared" si="215"/>
        <v>#VALUE!</v>
      </c>
      <c r="L987" s="50" t="e">
        <f t="shared" si="215"/>
        <v>#VALUE!</v>
      </c>
      <c r="M987" s="50" t="e">
        <f t="shared" si="218"/>
        <v>#VALUE!</v>
      </c>
      <c r="N987" s="50" t="e">
        <f t="shared" si="219"/>
        <v>#VALUE!</v>
      </c>
      <c r="O987" s="50">
        <f t="shared" si="220"/>
        <v>0</v>
      </c>
      <c r="Q987" s="55" t="e">
        <f t="shared" si="221"/>
        <v>#VALUE!</v>
      </c>
      <c r="R987" s="55" t="e">
        <f t="shared" si="224"/>
        <v>#VALUE!</v>
      </c>
      <c r="S987" s="55" t="e">
        <f t="shared" si="222"/>
        <v>#VALUE!</v>
      </c>
      <c r="T987" s="50" t="e">
        <f t="shared" si="225"/>
        <v>#VALUE!</v>
      </c>
      <c r="U987" s="50" t="e">
        <f t="shared" si="226"/>
        <v>#VALUE!</v>
      </c>
      <c r="V987" s="50" t="e">
        <f t="shared" si="227"/>
        <v>#VALUE!</v>
      </c>
    </row>
    <row r="988" spans="2:22" x14ac:dyDescent="0.25">
      <c r="B988" s="50" t="b">
        <f t="shared" si="228"/>
        <v>0</v>
      </c>
      <c r="C988" s="50" t="e">
        <f t="shared" si="216"/>
        <v>#VALUE!</v>
      </c>
      <c r="E988" s="56">
        <v>984</v>
      </c>
      <c r="G988" s="138"/>
      <c r="H988" s="135">
        <v>1</v>
      </c>
      <c r="I988" s="58" t="e">
        <f t="shared" si="217"/>
        <v>#VALUE!</v>
      </c>
      <c r="J988" s="50" t="e">
        <f t="shared" si="223"/>
        <v>#VALUE!</v>
      </c>
      <c r="K988" s="50" t="e">
        <f t="shared" si="215"/>
        <v>#VALUE!</v>
      </c>
      <c r="L988" s="50" t="e">
        <f t="shared" si="215"/>
        <v>#VALUE!</v>
      </c>
      <c r="M988" s="50" t="e">
        <f t="shared" si="218"/>
        <v>#VALUE!</v>
      </c>
      <c r="N988" s="50" t="e">
        <f t="shared" si="219"/>
        <v>#VALUE!</v>
      </c>
      <c r="O988" s="50">
        <f t="shared" si="220"/>
        <v>0</v>
      </c>
      <c r="Q988" s="55" t="e">
        <f t="shared" si="221"/>
        <v>#VALUE!</v>
      </c>
      <c r="R988" s="55" t="e">
        <f t="shared" si="224"/>
        <v>#VALUE!</v>
      </c>
      <c r="S988" s="55" t="e">
        <f t="shared" si="222"/>
        <v>#VALUE!</v>
      </c>
      <c r="T988" s="50" t="e">
        <f t="shared" si="225"/>
        <v>#VALUE!</v>
      </c>
      <c r="U988" s="50" t="e">
        <f t="shared" si="226"/>
        <v>#VALUE!</v>
      </c>
      <c r="V988" s="50" t="e">
        <f t="shared" si="227"/>
        <v>#VALUE!</v>
      </c>
    </row>
    <row r="989" spans="2:22" x14ac:dyDescent="0.25">
      <c r="B989" s="50" t="b">
        <f t="shared" si="228"/>
        <v>0</v>
      </c>
      <c r="C989" s="50" t="e">
        <f t="shared" si="216"/>
        <v>#VALUE!</v>
      </c>
      <c r="E989" s="56">
        <v>985</v>
      </c>
      <c r="G989" s="138"/>
      <c r="H989" s="135">
        <v>1</v>
      </c>
      <c r="I989" s="58" t="e">
        <f t="shared" si="217"/>
        <v>#VALUE!</v>
      </c>
      <c r="J989" s="50" t="e">
        <f t="shared" si="223"/>
        <v>#VALUE!</v>
      </c>
      <c r="K989" s="50" t="e">
        <f t="shared" si="215"/>
        <v>#VALUE!</v>
      </c>
      <c r="L989" s="50" t="e">
        <f t="shared" si="215"/>
        <v>#VALUE!</v>
      </c>
      <c r="M989" s="50" t="e">
        <f t="shared" si="218"/>
        <v>#VALUE!</v>
      </c>
      <c r="N989" s="50" t="e">
        <f t="shared" si="219"/>
        <v>#VALUE!</v>
      </c>
      <c r="O989" s="50">
        <f t="shared" si="220"/>
        <v>0</v>
      </c>
      <c r="Q989" s="55" t="e">
        <f t="shared" si="221"/>
        <v>#VALUE!</v>
      </c>
      <c r="R989" s="55" t="e">
        <f t="shared" si="224"/>
        <v>#VALUE!</v>
      </c>
      <c r="S989" s="55" t="e">
        <f t="shared" si="222"/>
        <v>#VALUE!</v>
      </c>
      <c r="T989" s="50" t="e">
        <f t="shared" si="225"/>
        <v>#VALUE!</v>
      </c>
      <c r="U989" s="50" t="e">
        <f t="shared" si="226"/>
        <v>#VALUE!</v>
      </c>
      <c r="V989" s="50" t="e">
        <f t="shared" si="227"/>
        <v>#VALUE!</v>
      </c>
    </row>
    <row r="990" spans="2:22" x14ac:dyDescent="0.25">
      <c r="B990" s="50" t="b">
        <f t="shared" si="228"/>
        <v>0</v>
      </c>
      <c r="C990" s="50" t="e">
        <f t="shared" si="216"/>
        <v>#VALUE!</v>
      </c>
      <c r="E990" s="56">
        <v>986</v>
      </c>
      <c r="G990" s="138"/>
      <c r="H990" s="135">
        <v>1</v>
      </c>
      <c r="I990" s="58" t="e">
        <f t="shared" si="217"/>
        <v>#VALUE!</v>
      </c>
      <c r="J990" s="50" t="e">
        <f t="shared" si="223"/>
        <v>#VALUE!</v>
      </c>
      <c r="K990" s="50" t="e">
        <f t="shared" si="215"/>
        <v>#VALUE!</v>
      </c>
      <c r="L990" s="50" t="e">
        <f t="shared" si="215"/>
        <v>#VALUE!</v>
      </c>
      <c r="M990" s="50" t="e">
        <f t="shared" si="218"/>
        <v>#VALUE!</v>
      </c>
      <c r="N990" s="50" t="e">
        <f t="shared" si="219"/>
        <v>#VALUE!</v>
      </c>
      <c r="O990" s="50">
        <f t="shared" si="220"/>
        <v>0</v>
      </c>
      <c r="Q990" s="55" t="e">
        <f t="shared" si="221"/>
        <v>#VALUE!</v>
      </c>
      <c r="R990" s="55" t="e">
        <f t="shared" si="224"/>
        <v>#VALUE!</v>
      </c>
      <c r="S990" s="55" t="e">
        <f t="shared" si="222"/>
        <v>#VALUE!</v>
      </c>
      <c r="T990" s="50" t="e">
        <f t="shared" si="225"/>
        <v>#VALUE!</v>
      </c>
      <c r="U990" s="50" t="e">
        <f t="shared" si="226"/>
        <v>#VALUE!</v>
      </c>
      <c r="V990" s="50" t="e">
        <f t="shared" si="227"/>
        <v>#VALUE!</v>
      </c>
    </row>
    <row r="991" spans="2:22" x14ac:dyDescent="0.25">
      <c r="B991" s="50" t="b">
        <f t="shared" si="228"/>
        <v>0</v>
      </c>
      <c r="C991" s="50" t="e">
        <f t="shared" si="216"/>
        <v>#VALUE!</v>
      </c>
      <c r="E991" s="56">
        <v>987</v>
      </c>
      <c r="G991" s="138"/>
      <c r="H991" s="135">
        <v>1</v>
      </c>
      <c r="I991" s="58" t="e">
        <f t="shared" si="217"/>
        <v>#VALUE!</v>
      </c>
      <c r="J991" s="50" t="e">
        <f t="shared" si="223"/>
        <v>#VALUE!</v>
      </c>
      <c r="K991" s="50" t="e">
        <f t="shared" si="215"/>
        <v>#VALUE!</v>
      </c>
      <c r="L991" s="50" t="e">
        <f t="shared" si="215"/>
        <v>#VALUE!</v>
      </c>
      <c r="M991" s="50" t="e">
        <f t="shared" si="218"/>
        <v>#VALUE!</v>
      </c>
      <c r="N991" s="50" t="e">
        <f t="shared" si="219"/>
        <v>#VALUE!</v>
      </c>
      <c r="O991" s="50">
        <f t="shared" si="220"/>
        <v>0</v>
      </c>
      <c r="Q991" s="55" t="e">
        <f t="shared" si="221"/>
        <v>#VALUE!</v>
      </c>
      <c r="R991" s="55" t="e">
        <f t="shared" si="224"/>
        <v>#VALUE!</v>
      </c>
      <c r="S991" s="55" t="e">
        <f t="shared" si="222"/>
        <v>#VALUE!</v>
      </c>
      <c r="T991" s="50" t="e">
        <f t="shared" si="225"/>
        <v>#VALUE!</v>
      </c>
      <c r="U991" s="50" t="e">
        <f t="shared" si="226"/>
        <v>#VALUE!</v>
      </c>
      <c r="V991" s="50" t="e">
        <f t="shared" si="227"/>
        <v>#VALUE!</v>
      </c>
    </row>
    <row r="992" spans="2:22" x14ac:dyDescent="0.25">
      <c r="B992" s="50" t="b">
        <f t="shared" si="228"/>
        <v>0</v>
      </c>
      <c r="C992" s="50" t="e">
        <f t="shared" si="216"/>
        <v>#VALUE!</v>
      </c>
      <c r="E992" s="56">
        <v>988</v>
      </c>
      <c r="G992" s="138"/>
      <c r="H992" s="135">
        <v>1</v>
      </c>
      <c r="I992" s="58" t="e">
        <f t="shared" si="217"/>
        <v>#VALUE!</v>
      </c>
      <c r="J992" s="50" t="e">
        <f t="shared" si="223"/>
        <v>#VALUE!</v>
      </c>
      <c r="K992" s="50" t="e">
        <f t="shared" si="215"/>
        <v>#VALUE!</v>
      </c>
      <c r="L992" s="50" t="e">
        <f t="shared" si="215"/>
        <v>#VALUE!</v>
      </c>
      <c r="M992" s="50" t="e">
        <f t="shared" si="218"/>
        <v>#VALUE!</v>
      </c>
      <c r="N992" s="50" t="e">
        <f t="shared" si="219"/>
        <v>#VALUE!</v>
      </c>
      <c r="O992" s="50">
        <f t="shared" si="220"/>
        <v>0</v>
      </c>
      <c r="Q992" s="55" t="e">
        <f t="shared" si="221"/>
        <v>#VALUE!</v>
      </c>
      <c r="R992" s="55" t="e">
        <f t="shared" si="224"/>
        <v>#VALUE!</v>
      </c>
      <c r="S992" s="55" t="e">
        <f t="shared" si="222"/>
        <v>#VALUE!</v>
      </c>
      <c r="T992" s="50" t="e">
        <f t="shared" si="225"/>
        <v>#VALUE!</v>
      </c>
      <c r="U992" s="50" t="e">
        <f t="shared" si="226"/>
        <v>#VALUE!</v>
      </c>
      <c r="V992" s="50" t="e">
        <f t="shared" si="227"/>
        <v>#VALUE!</v>
      </c>
    </row>
    <row r="993" spans="2:22" x14ac:dyDescent="0.25">
      <c r="B993" s="50" t="b">
        <f t="shared" si="228"/>
        <v>0</v>
      </c>
      <c r="C993" s="50" t="e">
        <f t="shared" si="216"/>
        <v>#VALUE!</v>
      </c>
      <c r="E993" s="56">
        <v>989</v>
      </c>
      <c r="G993" s="138"/>
      <c r="H993" s="135">
        <v>1</v>
      </c>
      <c r="I993" s="58" t="e">
        <f t="shared" si="217"/>
        <v>#VALUE!</v>
      </c>
      <c r="J993" s="50" t="e">
        <f t="shared" si="223"/>
        <v>#VALUE!</v>
      </c>
      <c r="K993" s="50" t="e">
        <f t="shared" si="215"/>
        <v>#VALUE!</v>
      </c>
      <c r="L993" s="50" t="e">
        <f t="shared" si="215"/>
        <v>#VALUE!</v>
      </c>
      <c r="M993" s="50" t="e">
        <f t="shared" si="218"/>
        <v>#VALUE!</v>
      </c>
      <c r="N993" s="50" t="e">
        <f t="shared" si="219"/>
        <v>#VALUE!</v>
      </c>
      <c r="O993" s="50">
        <f t="shared" si="220"/>
        <v>0</v>
      </c>
      <c r="Q993" s="55" t="e">
        <f t="shared" si="221"/>
        <v>#VALUE!</v>
      </c>
      <c r="R993" s="55" t="e">
        <f t="shared" si="224"/>
        <v>#VALUE!</v>
      </c>
      <c r="S993" s="55" t="e">
        <f t="shared" si="222"/>
        <v>#VALUE!</v>
      </c>
      <c r="T993" s="50" t="e">
        <f t="shared" si="225"/>
        <v>#VALUE!</v>
      </c>
      <c r="U993" s="50" t="e">
        <f t="shared" si="226"/>
        <v>#VALUE!</v>
      </c>
      <c r="V993" s="50" t="e">
        <f t="shared" si="227"/>
        <v>#VALUE!</v>
      </c>
    </row>
    <row r="994" spans="2:22" x14ac:dyDescent="0.25">
      <c r="B994" s="50" t="b">
        <f t="shared" si="228"/>
        <v>0</v>
      </c>
      <c r="C994" s="50" t="e">
        <f t="shared" si="216"/>
        <v>#VALUE!</v>
      </c>
      <c r="E994" s="56">
        <v>990</v>
      </c>
      <c r="G994" s="138"/>
      <c r="H994" s="135">
        <v>1</v>
      </c>
      <c r="I994" s="58" t="e">
        <f t="shared" si="217"/>
        <v>#VALUE!</v>
      </c>
      <c r="J994" s="50" t="e">
        <f t="shared" si="223"/>
        <v>#VALUE!</v>
      </c>
      <c r="K994" s="50" t="e">
        <f t="shared" si="215"/>
        <v>#VALUE!</v>
      </c>
      <c r="L994" s="50" t="e">
        <f t="shared" si="215"/>
        <v>#VALUE!</v>
      </c>
      <c r="M994" s="50" t="e">
        <f t="shared" si="218"/>
        <v>#VALUE!</v>
      </c>
      <c r="N994" s="50" t="e">
        <f t="shared" si="219"/>
        <v>#VALUE!</v>
      </c>
      <c r="O994" s="50">
        <f t="shared" si="220"/>
        <v>0</v>
      </c>
      <c r="Q994" s="55" t="e">
        <f t="shared" si="221"/>
        <v>#VALUE!</v>
      </c>
      <c r="R994" s="55" t="e">
        <f t="shared" si="224"/>
        <v>#VALUE!</v>
      </c>
      <c r="S994" s="55" t="e">
        <f t="shared" si="222"/>
        <v>#VALUE!</v>
      </c>
      <c r="T994" s="50" t="e">
        <f t="shared" si="225"/>
        <v>#VALUE!</v>
      </c>
      <c r="U994" s="50" t="e">
        <f t="shared" si="226"/>
        <v>#VALUE!</v>
      </c>
      <c r="V994" s="50" t="e">
        <f t="shared" si="227"/>
        <v>#VALUE!</v>
      </c>
    </row>
    <row r="995" spans="2:22" x14ac:dyDescent="0.25">
      <c r="B995" s="50" t="b">
        <f t="shared" si="228"/>
        <v>0</v>
      </c>
      <c r="C995" s="50" t="e">
        <f t="shared" si="216"/>
        <v>#VALUE!</v>
      </c>
      <c r="E995" s="56">
        <v>991</v>
      </c>
      <c r="G995" s="138"/>
      <c r="H995" s="135">
        <v>1</v>
      </c>
      <c r="I995" s="58" t="e">
        <f t="shared" si="217"/>
        <v>#VALUE!</v>
      </c>
      <c r="J995" s="50" t="e">
        <f t="shared" si="223"/>
        <v>#VALUE!</v>
      </c>
      <c r="K995" s="50" t="e">
        <f t="shared" si="215"/>
        <v>#VALUE!</v>
      </c>
      <c r="L995" s="50" t="e">
        <f t="shared" si="215"/>
        <v>#VALUE!</v>
      </c>
      <c r="M995" s="50" t="e">
        <f t="shared" si="218"/>
        <v>#VALUE!</v>
      </c>
      <c r="N995" s="50" t="e">
        <f t="shared" si="219"/>
        <v>#VALUE!</v>
      </c>
      <c r="O995" s="50">
        <f t="shared" si="220"/>
        <v>0</v>
      </c>
      <c r="Q995" s="55" t="e">
        <f t="shared" si="221"/>
        <v>#VALUE!</v>
      </c>
      <c r="R995" s="55" t="e">
        <f t="shared" si="224"/>
        <v>#VALUE!</v>
      </c>
      <c r="S995" s="55" t="e">
        <f t="shared" si="222"/>
        <v>#VALUE!</v>
      </c>
      <c r="T995" s="50" t="e">
        <f t="shared" si="225"/>
        <v>#VALUE!</v>
      </c>
      <c r="U995" s="50" t="e">
        <f t="shared" si="226"/>
        <v>#VALUE!</v>
      </c>
      <c r="V995" s="50" t="e">
        <f t="shared" si="227"/>
        <v>#VALUE!</v>
      </c>
    </row>
    <row r="996" spans="2:22" x14ac:dyDescent="0.25">
      <c r="B996" s="50" t="b">
        <f t="shared" si="228"/>
        <v>0</v>
      </c>
      <c r="C996" s="50" t="e">
        <f t="shared" si="216"/>
        <v>#VALUE!</v>
      </c>
      <c r="E996" s="56">
        <v>992</v>
      </c>
      <c r="G996" s="138"/>
      <c r="H996" s="135">
        <v>1</v>
      </c>
      <c r="I996" s="58" t="e">
        <f t="shared" si="217"/>
        <v>#VALUE!</v>
      </c>
      <c r="J996" s="50" t="e">
        <f t="shared" si="223"/>
        <v>#VALUE!</v>
      </c>
      <c r="K996" s="50" t="e">
        <f t="shared" si="215"/>
        <v>#VALUE!</v>
      </c>
      <c r="L996" s="50" t="e">
        <f t="shared" si="215"/>
        <v>#VALUE!</v>
      </c>
      <c r="M996" s="50" t="e">
        <f t="shared" si="218"/>
        <v>#VALUE!</v>
      </c>
      <c r="N996" s="50" t="e">
        <f t="shared" si="219"/>
        <v>#VALUE!</v>
      </c>
      <c r="O996" s="50">
        <f t="shared" si="220"/>
        <v>0</v>
      </c>
      <c r="Q996" s="55" t="e">
        <f t="shared" si="221"/>
        <v>#VALUE!</v>
      </c>
      <c r="R996" s="55" t="e">
        <f t="shared" si="224"/>
        <v>#VALUE!</v>
      </c>
      <c r="S996" s="55" t="e">
        <f t="shared" si="222"/>
        <v>#VALUE!</v>
      </c>
      <c r="T996" s="50" t="e">
        <f t="shared" si="225"/>
        <v>#VALUE!</v>
      </c>
      <c r="U996" s="50" t="e">
        <f t="shared" si="226"/>
        <v>#VALUE!</v>
      </c>
      <c r="V996" s="50" t="e">
        <f t="shared" si="227"/>
        <v>#VALUE!</v>
      </c>
    </row>
    <row r="997" spans="2:22" x14ac:dyDescent="0.25">
      <c r="B997" s="50" t="b">
        <f t="shared" si="228"/>
        <v>0</v>
      </c>
      <c r="C997" s="50" t="e">
        <f t="shared" si="216"/>
        <v>#VALUE!</v>
      </c>
      <c r="E997" s="56">
        <v>993</v>
      </c>
      <c r="G997" s="138"/>
      <c r="H997" s="135">
        <v>1</v>
      </c>
      <c r="I997" s="58" t="e">
        <f t="shared" si="217"/>
        <v>#VALUE!</v>
      </c>
      <c r="J997" s="50" t="e">
        <f t="shared" si="223"/>
        <v>#VALUE!</v>
      </c>
      <c r="K997" s="50" t="e">
        <f t="shared" si="215"/>
        <v>#VALUE!</v>
      </c>
      <c r="L997" s="50" t="e">
        <f t="shared" si="215"/>
        <v>#VALUE!</v>
      </c>
      <c r="M997" s="50" t="e">
        <f t="shared" si="218"/>
        <v>#VALUE!</v>
      </c>
      <c r="N997" s="50" t="e">
        <f t="shared" si="219"/>
        <v>#VALUE!</v>
      </c>
      <c r="O997" s="50">
        <f t="shared" si="220"/>
        <v>0</v>
      </c>
      <c r="Q997" s="55" t="e">
        <f t="shared" si="221"/>
        <v>#VALUE!</v>
      </c>
      <c r="R997" s="55" t="e">
        <f t="shared" si="224"/>
        <v>#VALUE!</v>
      </c>
      <c r="S997" s="55" t="e">
        <f t="shared" si="222"/>
        <v>#VALUE!</v>
      </c>
      <c r="T997" s="50" t="e">
        <f t="shared" si="225"/>
        <v>#VALUE!</v>
      </c>
      <c r="U997" s="50" t="e">
        <f t="shared" si="226"/>
        <v>#VALUE!</v>
      </c>
      <c r="V997" s="50" t="e">
        <f t="shared" si="227"/>
        <v>#VALUE!</v>
      </c>
    </row>
    <row r="998" spans="2:22" x14ac:dyDescent="0.25">
      <c r="B998" s="50" t="b">
        <f t="shared" si="228"/>
        <v>0</v>
      </c>
      <c r="C998" s="50" t="e">
        <f t="shared" si="216"/>
        <v>#VALUE!</v>
      </c>
      <c r="E998" s="56">
        <v>994</v>
      </c>
      <c r="G998" s="138"/>
      <c r="H998" s="135">
        <v>1</v>
      </c>
      <c r="I998" s="58" t="e">
        <f t="shared" si="217"/>
        <v>#VALUE!</v>
      </c>
      <c r="J998" s="50" t="e">
        <f t="shared" si="223"/>
        <v>#VALUE!</v>
      </c>
      <c r="K998" s="50" t="e">
        <f t="shared" si="215"/>
        <v>#VALUE!</v>
      </c>
      <c r="L998" s="50" t="e">
        <f t="shared" si="215"/>
        <v>#VALUE!</v>
      </c>
      <c r="M998" s="50" t="e">
        <f t="shared" si="218"/>
        <v>#VALUE!</v>
      </c>
      <c r="N998" s="50" t="e">
        <f t="shared" si="219"/>
        <v>#VALUE!</v>
      </c>
      <c r="O998" s="50">
        <f t="shared" si="220"/>
        <v>0</v>
      </c>
      <c r="Q998" s="55" t="e">
        <f t="shared" si="221"/>
        <v>#VALUE!</v>
      </c>
      <c r="R998" s="55" t="e">
        <f t="shared" si="224"/>
        <v>#VALUE!</v>
      </c>
      <c r="S998" s="55" t="e">
        <f t="shared" si="222"/>
        <v>#VALUE!</v>
      </c>
      <c r="T998" s="50" t="e">
        <f t="shared" si="225"/>
        <v>#VALUE!</v>
      </c>
      <c r="U998" s="50" t="e">
        <f t="shared" si="226"/>
        <v>#VALUE!</v>
      </c>
      <c r="V998" s="50" t="e">
        <f t="shared" si="227"/>
        <v>#VALUE!</v>
      </c>
    </row>
    <row r="999" spans="2:22" x14ac:dyDescent="0.25">
      <c r="B999" s="50" t="b">
        <f t="shared" si="228"/>
        <v>0</v>
      </c>
      <c r="C999" s="50" t="e">
        <f t="shared" si="216"/>
        <v>#VALUE!</v>
      </c>
      <c r="E999" s="56">
        <v>995</v>
      </c>
      <c r="G999" s="138"/>
      <c r="H999" s="135">
        <v>1</v>
      </c>
      <c r="I999" s="58" t="e">
        <f t="shared" si="217"/>
        <v>#VALUE!</v>
      </c>
      <c r="J999" s="50" t="e">
        <f t="shared" si="223"/>
        <v>#VALUE!</v>
      </c>
      <c r="K999" s="50" t="e">
        <f t="shared" si="215"/>
        <v>#VALUE!</v>
      </c>
      <c r="L999" s="50" t="e">
        <f t="shared" si="215"/>
        <v>#VALUE!</v>
      </c>
      <c r="M999" s="50" t="e">
        <f t="shared" si="218"/>
        <v>#VALUE!</v>
      </c>
      <c r="N999" s="50" t="e">
        <f t="shared" si="219"/>
        <v>#VALUE!</v>
      </c>
      <c r="O999" s="50">
        <f t="shared" si="220"/>
        <v>0</v>
      </c>
      <c r="Q999" s="55" t="e">
        <f t="shared" si="221"/>
        <v>#VALUE!</v>
      </c>
      <c r="R999" s="55" t="e">
        <f t="shared" si="224"/>
        <v>#VALUE!</v>
      </c>
      <c r="S999" s="55" t="e">
        <f t="shared" si="222"/>
        <v>#VALUE!</v>
      </c>
      <c r="T999" s="50" t="e">
        <f t="shared" si="225"/>
        <v>#VALUE!</v>
      </c>
      <c r="U999" s="50" t="e">
        <f t="shared" si="226"/>
        <v>#VALUE!</v>
      </c>
      <c r="V999" s="50" t="e">
        <f t="shared" si="227"/>
        <v>#VALUE!</v>
      </c>
    </row>
    <row r="1000" spans="2:22" x14ac:dyDescent="0.25">
      <c r="B1000" s="50" t="b">
        <f t="shared" si="228"/>
        <v>0</v>
      </c>
      <c r="C1000" s="50" t="e">
        <f t="shared" si="216"/>
        <v>#VALUE!</v>
      </c>
      <c r="E1000" s="56">
        <v>996</v>
      </c>
      <c r="G1000" s="138"/>
      <c r="H1000" s="135">
        <v>1</v>
      </c>
      <c r="I1000" s="58" t="e">
        <f t="shared" si="217"/>
        <v>#VALUE!</v>
      </c>
      <c r="J1000" s="50" t="e">
        <f t="shared" si="223"/>
        <v>#VALUE!</v>
      </c>
      <c r="K1000" s="50" t="e">
        <f t="shared" si="215"/>
        <v>#VALUE!</v>
      </c>
      <c r="L1000" s="50" t="e">
        <f t="shared" si="215"/>
        <v>#VALUE!</v>
      </c>
      <c r="M1000" s="50" t="e">
        <f t="shared" si="218"/>
        <v>#VALUE!</v>
      </c>
      <c r="N1000" s="50" t="e">
        <f t="shared" si="219"/>
        <v>#VALUE!</v>
      </c>
      <c r="O1000" s="50">
        <f t="shared" si="220"/>
        <v>0</v>
      </c>
      <c r="Q1000" s="55" t="e">
        <f t="shared" si="221"/>
        <v>#VALUE!</v>
      </c>
      <c r="R1000" s="55" t="e">
        <f t="shared" si="224"/>
        <v>#VALUE!</v>
      </c>
      <c r="S1000" s="55" t="e">
        <f t="shared" si="222"/>
        <v>#VALUE!</v>
      </c>
      <c r="T1000" s="50" t="e">
        <f t="shared" si="225"/>
        <v>#VALUE!</v>
      </c>
      <c r="U1000" s="50" t="e">
        <f t="shared" si="226"/>
        <v>#VALUE!</v>
      </c>
      <c r="V1000" s="50" t="e">
        <f t="shared" si="227"/>
        <v>#VALUE!</v>
      </c>
    </row>
    <row r="1001" spans="2:22" x14ac:dyDescent="0.25">
      <c r="B1001" s="50" t="b">
        <f t="shared" si="228"/>
        <v>0</v>
      </c>
      <c r="C1001" s="50" t="e">
        <f t="shared" si="216"/>
        <v>#VALUE!</v>
      </c>
      <c r="E1001" s="56">
        <v>997</v>
      </c>
      <c r="G1001" s="138"/>
      <c r="H1001" s="135">
        <v>1</v>
      </c>
      <c r="I1001" s="58" t="e">
        <f t="shared" si="217"/>
        <v>#VALUE!</v>
      </c>
      <c r="J1001" s="50" t="e">
        <f t="shared" si="223"/>
        <v>#VALUE!</v>
      </c>
      <c r="K1001" s="50" t="e">
        <f t="shared" si="215"/>
        <v>#VALUE!</v>
      </c>
      <c r="L1001" s="50" t="e">
        <f t="shared" si="215"/>
        <v>#VALUE!</v>
      </c>
      <c r="M1001" s="50" t="e">
        <f t="shared" si="218"/>
        <v>#VALUE!</v>
      </c>
      <c r="N1001" s="50" t="e">
        <f t="shared" si="219"/>
        <v>#VALUE!</v>
      </c>
      <c r="O1001" s="50">
        <f t="shared" si="220"/>
        <v>0</v>
      </c>
      <c r="Q1001" s="55" t="e">
        <f t="shared" si="221"/>
        <v>#VALUE!</v>
      </c>
      <c r="R1001" s="55" t="e">
        <f t="shared" si="224"/>
        <v>#VALUE!</v>
      </c>
      <c r="S1001" s="55" t="e">
        <f t="shared" si="222"/>
        <v>#VALUE!</v>
      </c>
      <c r="T1001" s="50" t="e">
        <f t="shared" si="225"/>
        <v>#VALUE!</v>
      </c>
      <c r="U1001" s="50" t="e">
        <f t="shared" si="226"/>
        <v>#VALUE!</v>
      </c>
      <c r="V1001" s="50" t="e">
        <f t="shared" si="227"/>
        <v>#VALUE!</v>
      </c>
    </row>
    <row r="1002" spans="2:22" x14ac:dyDescent="0.25">
      <c r="B1002" s="50" t="b">
        <f t="shared" si="228"/>
        <v>0</v>
      </c>
      <c r="C1002" s="50" t="e">
        <f t="shared" si="216"/>
        <v>#VALUE!</v>
      </c>
      <c r="E1002" s="56">
        <v>998</v>
      </c>
      <c r="G1002" s="138"/>
      <c r="H1002" s="135">
        <v>1</v>
      </c>
      <c r="I1002" s="58" t="e">
        <f t="shared" si="217"/>
        <v>#VALUE!</v>
      </c>
      <c r="J1002" s="50" t="e">
        <f t="shared" si="223"/>
        <v>#VALUE!</v>
      </c>
      <c r="K1002" s="50" t="e">
        <f t="shared" si="215"/>
        <v>#VALUE!</v>
      </c>
      <c r="L1002" s="50" t="e">
        <f t="shared" si="215"/>
        <v>#VALUE!</v>
      </c>
      <c r="M1002" s="50" t="e">
        <f t="shared" si="218"/>
        <v>#VALUE!</v>
      </c>
      <c r="N1002" s="50" t="e">
        <f t="shared" si="219"/>
        <v>#VALUE!</v>
      </c>
      <c r="O1002" s="50">
        <f t="shared" si="220"/>
        <v>0</v>
      </c>
      <c r="Q1002" s="55" t="e">
        <f t="shared" si="221"/>
        <v>#VALUE!</v>
      </c>
      <c r="R1002" s="55" t="e">
        <f t="shared" si="224"/>
        <v>#VALUE!</v>
      </c>
      <c r="S1002" s="55" t="e">
        <f t="shared" si="222"/>
        <v>#VALUE!</v>
      </c>
      <c r="T1002" s="50" t="e">
        <f t="shared" si="225"/>
        <v>#VALUE!</v>
      </c>
      <c r="U1002" s="50" t="e">
        <f t="shared" si="226"/>
        <v>#VALUE!</v>
      </c>
      <c r="V1002" s="50" t="e">
        <f t="shared" si="227"/>
        <v>#VALUE!</v>
      </c>
    </row>
    <row r="1003" spans="2:22" x14ac:dyDescent="0.25">
      <c r="B1003" s="50" t="b">
        <f t="shared" si="228"/>
        <v>0</v>
      </c>
      <c r="C1003" s="50" t="e">
        <f t="shared" si="216"/>
        <v>#VALUE!</v>
      </c>
      <c r="E1003" s="56">
        <v>999</v>
      </c>
      <c r="G1003" s="138"/>
      <c r="H1003" s="135">
        <v>1</v>
      </c>
      <c r="I1003" s="58" t="e">
        <f t="shared" si="217"/>
        <v>#VALUE!</v>
      </c>
      <c r="J1003" s="50" t="e">
        <f t="shared" si="223"/>
        <v>#VALUE!</v>
      </c>
      <c r="K1003" s="50" t="e">
        <f t="shared" si="215"/>
        <v>#VALUE!</v>
      </c>
      <c r="L1003" s="50" t="e">
        <f t="shared" si="215"/>
        <v>#VALUE!</v>
      </c>
      <c r="M1003" s="50" t="e">
        <f t="shared" si="218"/>
        <v>#VALUE!</v>
      </c>
      <c r="N1003" s="50" t="e">
        <f t="shared" si="219"/>
        <v>#VALUE!</v>
      </c>
      <c r="O1003" s="50">
        <f t="shared" si="220"/>
        <v>0</v>
      </c>
      <c r="Q1003" s="55" t="e">
        <f t="shared" si="221"/>
        <v>#VALUE!</v>
      </c>
      <c r="R1003" s="55" t="e">
        <f t="shared" si="224"/>
        <v>#VALUE!</v>
      </c>
      <c r="S1003" s="55" t="e">
        <f t="shared" si="222"/>
        <v>#VALUE!</v>
      </c>
      <c r="T1003" s="50" t="e">
        <f t="shared" si="225"/>
        <v>#VALUE!</v>
      </c>
      <c r="U1003" s="50" t="e">
        <f t="shared" si="226"/>
        <v>#VALUE!</v>
      </c>
      <c r="V1003" s="50" t="e">
        <f t="shared" si="227"/>
        <v>#VALUE!</v>
      </c>
    </row>
    <row r="1004" spans="2:22" ht="15.75" thickBot="1" x14ac:dyDescent="0.3">
      <c r="B1004" s="50" t="b">
        <f t="shared" si="228"/>
        <v>0</v>
      </c>
      <c r="C1004" s="50" t="e">
        <f t="shared" si="216"/>
        <v>#VALUE!</v>
      </c>
      <c r="E1004" s="56">
        <v>1000</v>
      </c>
      <c r="G1004" s="139"/>
      <c r="H1004" s="135">
        <v>1</v>
      </c>
      <c r="I1004" s="58" t="e">
        <f t="shared" si="217"/>
        <v>#VALUE!</v>
      </c>
      <c r="J1004" s="50" t="e">
        <f t="shared" si="223"/>
        <v>#VALUE!</v>
      </c>
      <c r="K1004" s="50" t="e">
        <f t="shared" si="215"/>
        <v>#VALUE!</v>
      </c>
      <c r="L1004" s="50" t="e">
        <f t="shared" si="215"/>
        <v>#VALUE!</v>
      </c>
      <c r="M1004" s="50" t="e">
        <f t="shared" si="218"/>
        <v>#VALUE!</v>
      </c>
      <c r="N1004" s="50" t="e">
        <f t="shared" si="219"/>
        <v>#VALUE!</v>
      </c>
      <c r="O1004" s="50">
        <f t="shared" si="220"/>
        <v>0</v>
      </c>
      <c r="Q1004" s="55" t="e">
        <f t="shared" si="221"/>
        <v>#VALUE!</v>
      </c>
      <c r="R1004" s="55" t="e">
        <f t="shared" si="224"/>
        <v>#VALUE!</v>
      </c>
      <c r="S1004" s="55" t="e">
        <f t="shared" si="222"/>
        <v>#VALUE!</v>
      </c>
      <c r="T1004" s="50" t="e">
        <f t="shared" si="225"/>
        <v>#VALUE!</v>
      </c>
      <c r="U1004" s="50" t="e">
        <f t="shared" si="226"/>
        <v>#VALUE!</v>
      </c>
      <c r="V1004" s="50" t="e">
        <f t="shared" si="227"/>
        <v>#VALUE!</v>
      </c>
    </row>
  </sheetData>
  <sheetProtection password="E8B5" sheet="1" objects="1" scenarios="1"/>
  <mergeCells count="2">
    <mergeCell ref="F2:G2"/>
    <mergeCell ref="H1:H2"/>
  </mergeCells>
  <conditionalFormatting sqref="AC4">
    <cfRule type="dataBar" priority="10">
      <dataBar>
        <cfvo type="min"/>
        <cfvo type="max"/>
        <color rgb="FF008AEF"/>
      </dataBar>
    </cfRule>
    <cfRule type="notContainsBlanks" dxfId="17" priority="11">
      <formula>LEN(TRIM(AC4))&gt;0</formula>
    </cfRule>
    <cfRule type="notContainsBlanks" priority="12">
      <formula>LEN(TRIM(AC4))&gt;0</formula>
    </cfRule>
  </conditionalFormatting>
  <conditionalFormatting sqref="AC5">
    <cfRule type="dataBar" priority="7">
      <dataBar>
        <cfvo type="min"/>
        <cfvo type="max"/>
        <color rgb="FF008AEF"/>
      </dataBar>
    </cfRule>
    <cfRule type="notContainsBlanks" dxfId="16" priority="8">
      <formula>LEN(TRIM(AC5))&gt;0</formula>
    </cfRule>
    <cfRule type="notContainsBlanks" priority="9">
      <formula>LEN(TRIM(AC5))&gt;0</formula>
    </cfRule>
  </conditionalFormatting>
  <conditionalFormatting sqref="AC5:AC130">
    <cfRule type="dataBar" priority="4">
      <dataBar>
        <cfvo type="min"/>
        <cfvo type="max"/>
        <color rgb="FF008AEF"/>
      </dataBar>
    </cfRule>
    <cfRule type="notContainsBlanks" dxfId="15" priority="5">
      <formula>LEN(TRIM(AC5))&gt;0</formula>
    </cfRule>
    <cfRule type="notContainsBlanks" priority="6">
      <formula>LEN(TRIM(AC5))&gt;0</formula>
    </cfRule>
  </conditionalFormatting>
  <conditionalFormatting sqref="G4:G1004">
    <cfRule type="dataBar" priority="16">
      <dataBar>
        <cfvo type="min"/>
        <cfvo type="max"/>
        <color rgb="FF008AEF"/>
      </dataBar>
    </cfRule>
    <cfRule type="notContainsBlanks" dxfId="14" priority="17">
      <formula>LEN(TRIM(G4))&gt;0</formula>
    </cfRule>
    <cfRule type="notContainsBlanks" priority="18">
      <formula>LEN(TRIM(G4))&gt;0</formula>
    </cfRule>
  </conditionalFormatting>
  <conditionalFormatting sqref="H3">
    <cfRule type="cellIs" dxfId="13" priority="3" stopIfTrue="1" operator="equal">
      <formula>"Negative"</formula>
    </cfRule>
  </conditionalFormatting>
  <conditionalFormatting sqref="H4:H1004">
    <cfRule type="cellIs" dxfId="12" priority="2" stopIfTrue="1" operator="equal">
      <formula>-1</formula>
    </cfRule>
  </conditionalFormatting>
  <dataValidations count="3">
    <dataValidation type="custom" allowBlank="1" showInputMessage="1" showErrorMessage="1" sqref="AC4:AC130" xr:uid="{00000000-0002-0000-0300-000000000000}">
      <formula1>IF(Z4="TRUE",Y4,AA4)</formula1>
    </dataValidation>
    <dataValidation type="custom" allowBlank="1" showInputMessage="1" showErrorMessage="1" errorTitle="Invlalid Entry" error="Please Enter in That Formate. &quot;K-M-S&quot;" sqref="G4:G1004" xr:uid="{00000000-0002-0000-0300-000001000000}">
      <formula1>IF(B4="TRUE",A4,C4)</formula1>
    </dataValidation>
    <dataValidation type="list" allowBlank="1" showInputMessage="1" showErrorMessage="1" sqref="H4:H1004" xr:uid="{00000000-0002-0000-0300-000002000000}">
      <formula1>"1,-1"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C00000"/>
  </sheetPr>
  <dimension ref="A1:JC474"/>
  <sheetViews>
    <sheetView showGridLines="0" showRowColHeaders="0" showZeros="0" defaultGridColor="0" colorId="48" workbookViewId="0">
      <pane xSplit="4" ySplit="18" topLeftCell="E19" activePane="bottomRight" state="frozen"/>
      <selection pane="topRight" activeCell="E1" sqref="E1"/>
      <selection pane="bottomLeft" activeCell="A19" sqref="A19"/>
      <selection pane="bottomRight" activeCell="C19" sqref="C19"/>
    </sheetView>
  </sheetViews>
  <sheetFormatPr defaultColWidth="0" defaultRowHeight="15" zeroHeight="1" x14ac:dyDescent="0.25"/>
  <cols>
    <col min="1" max="1" width="12.5703125" style="50" customWidth="1"/>
    <col min="2" max="2" width="14.28515625" style="50" customWidth="1"/>
    <col min="3" max="3" width="12.85546875" style="50" customWidth="1"/>
    <col min="4" max="4" width="12.7109375" style="50" customWidth="1"/>
    <col min="5" max="9" width="9.140625" style="154" customWidth="1"/>
    <col min="10" max="10" width="10.140625" style="154" customWidth="1"/>
    <col min="11" max="11" width="11.5703125" style="154" bestFit="1" customWidth="1"/>
    <col min="12" max="17" width="9.140625" style="154" customWidth="1"/>
    <col min="18" max="18" width="9.85546875" style="154" customWidth="1"/>
    <col min="19" max="127" width="9.140625" style="154" customWidth="1"/>
    <col min="128" max="128" width="12" style="154" bestFit="1" customWidth="1"/>
    <col min="129" max="218" width="9.140625" style="154" customWidth="1"/>
    <col min="219" max="219" width="12" style="154" bestFit="1" customWidth="1"/>
    <col min="220" max="244" width="9.140625" style="154" customWidth="1"/>
    <col min="245" max="262" width="9.140625" style="154" hidden="1" customWidth="1"/>
    <col min="263" max="263" width="12" style="154" hidden="1" customWidth="1"/>
    <col min="264" max="16384" width="9.140625" style="154" hidden="1"/>
  </cols>
  <sheetData>
    <row r="1" spans="1:262" s="50" customFormat="1" ht="30.75" thickBot="1" x14ac:dyDescent="0.3">
      <c r="A1" s="92" t="s">
        <v>23</v>
      </c>
      <c r="B1" s="196" t="s">
        <v>31</v>
      </c>
      <c r="C1" s="197"/>
      <c r="D1" s="155" t="s">
        <v>201</v>
      </c>
      <c r="G1" s="198" t="e">
        <f ca="1">IF(C6=C7,"Khewat is Equal","Khewat is not Equal")</f>
        <v>#N/A</v>
      </c>
      <c r="H1" s="198"/>
      <c r="I1" s="198"/>
      <c r="J1" s="198"/>
      <c r="K1" s="198"/>
      <c r="N1" s="199" t="s">
        <v>32</v>
      </c>
      <c r="O1" s="200"/>
      <c r="P1" s="200"/>
      <c r="Q1" s="201"/>
      <c r="BB1" s="61"/>
    </row>
    <row r="2" spans="1:262" s="50" customFormat="1" ht="18.75" customHeight="1" thickBot="1" x14ac:dyDescent="0.3">
      <c r="A2" s="62">
        <v>272</v>
      </c>
      <c r="B2" s="208" t="s">
        <v>444</v>
      </c>
      <c r="C2" s="209"/>
      <c r="D2" s="161" t="s">
        <v>440</v>
      </c>
      <c r="N2" s="202"/>
      <c r="O2" s="203"/>
      <c r="P2" s="203"/>
      <c r="Q2" s="204"/>
      <c r="IL2" s="59" t="str">
        <f>B2</f>
        <v>2-2-0</v>
      </c>
      <c r="IM2" s="58" t="str">
        <f>RIGHT(IL2,IN2)</f>
        <v>2-0</v>
      </c>
      <c r="IN2" s="50">
        <f>IS2-IQ2</f>
        <v>3</v>
      </c>
      <c r="IO2" s="50">
        <f>IR2-IQ2</f>
        <v>2</v>
      </c>
      <c r="IP2" s="50">
        <f>IS2-IR2</f>
        <v>1</v>
      </c>
      <c r="IQ2" s="50">
        <f>SEARCH("-",IL2,2)</f>
        <v>2</v>
      </c>
      <c r="IR2" s="50">
        <f>SEARCH("-",IL2,IQ2+1)</f>
        <v>4</v>
      </c>
      <c r="IS2" s="50">
        <f>LEN(IL2)</f>
        <v>5</v>
      </c>
      <c r="IU2" s="55" t="str">
        <f>LEFT(IL2,IQ2-1)</f>
        <v>2</v>
      </c>
      <c r="IV2" s="55" t="str">
        <f>LEFT(IM2,IO2-1)</f>
        <v>2</v>
      </c>
      <c r="IW2" s="55" t="str">
        <f>RIGHT(IL2,IP2)</f>
        <v>0</v>
      </c>
      <c r="IX2" s="50">
        <f>IU2*1</f>
        <v>2</v>
      </c>
      <c r="IY2" s="50">
        <f>IF((IV2*1)&gt;20,IV2*p,IV2*1)</f>
        <v>2</v>
      </c>
      <c r="IZ2" s="50">
        <f>IF(D2="Sarsahi",IF((IW2*1)&gt;9,IW2*p,IW2*1),IF((IW2*1)&gt;A2,IW2*p,IW2*1))</f>
        <v>0</v>
      </c>
      <c r="JA2" s="50">
        <f>SUM(IX2:IZ2)</f>
        <v>4</v>
      </c>
      <c r="JB2" s="50" t="b">
        <f>ISNUMBER(SUM(IX2:IZ2))</f>
        <v>1</v>
      </c>
    </row>
    <row r="3" spans="1:262" s="50" customFormat="1" ht="15.75" thickBot="1" x14ac:dyDescent="0.3">
      <c r="B3" s="188" t="s">
        <v>33</v>
      </c>
      <c r="G3" s="211" t="s">
        <v>12</v>
      </c>
      <c r="H3" s="212"/>
      <c r="I3" s="63" t="s">
        <v>34</v>
      </c>
      <c r="J3" s="64" t="s">
        <v>35</v>
      </c>
      <c r="K3" s="65" t="str">
        <f>D2</f>
        <v>Square Foot</v>
      </c>
      <c r="L3" s="50" t="str">
        <f>CONCATENATE("Total"," ", D2)</f>
        <v>Total Square Foot</v>
      </c>
      <c r="N3" s="205"/>
      <c r="O3" s="206"/>
      <c r="P3" s="206"/>
      <c r="Q3" s="207"/>
      <c r="IL3" s="59" t="s">
        <v>37</v>
      </c>
      <c r="IQ3" s="50">
        <f>SEARCH("/",IL3,2)</f>
        <v>4</v>
      </c>
      <c r="IR3" s="50">
        <f>IQ3-1</f>
        <v>3</v>
      </c>
      <c r="IS3" s="50">
        <f>LEN(IL3)</f>
        <v>7</v>
      </c>
      <c r="IT3" s="50">
        <f>IS3-IQ3</f>
        <v>3</v>
      </c>
      <c r="IX3" s="50">
        <f>IX2*20*9</f>
        <v>360</v>
      </c>
      <c r="IY3" s="50">
        <f>IY2*9</f>
        <v>18</v>
      </c>
      <c r="IZ3" s="50">
        <f>IZ2</f>
        <v>0</v>
      </c>
      <c r="JA3" s="50">
        <f>SUM(IX3:IZ3)</f>
        <v>378</v>
      </c>
    </row>
    <row r="4" spans="1:262" s="50" customFormat="1" ht="15.75" customHeight="1" x14ac:dyDescent="0.25">
      <c r="A4" s="188" t="s">
        <v>38</v>
      </c>
      <c r="B4" s="210"/>
      <c r="C4" s="188" t="s">
        <v>39</v>
      </c>
      <c r="G4" s="190" t="s">
        <v>40</v>
      </c>
      <c r="H4" s="191"/>
      <c r="I4" s="66">
        <f>ROUND(IU2,0)</f>
        <v>2</v>
      </c>
      <c r="J4" s="67">
        <f t="shared" ref="J4:K4" si="0">ROUND(IV2,0)</f>
        <v>2</v>
      </c>
      <c r="K4" s="67">
        <f t="shared" si="0"/>
        <v>0</v>
      </c>
      <c r="L4" s="57">
        <f>IF(D2="Square Foot",(I4*20)*A2+(J4*A2)+K4,(I4*20)*9+(J4*9)+K4)</f>
        <v>11424</v>
      </c>
      <c r="IS4" s="59">
        <f>LEFT(IL3,IR3)*1</f>
        <v>855</v>
      </c>
      <c r="IT4" s="59">
        <f>RIGHT(IL3,IT3)*1</f>
        <v>549</v>
      </c>
      <c r="JA4" s="50">
        <f>JA3/20/9</f>
        <v>2.0999999999999996</v>
      </c>
    </row>
    <row r="5" spans="1:262" s="50" customFormat="1" ht="15.75" thickBot="1" x14ac:dyDescent="0.3">
      <c r="A5" s="189"/>
      <c r="B5" s="189"/>
      <c r="C5" s="189"/>
      <c r="G5" s="190" t="s">
        <v>41</v>
      </c>
      <c r="H5" s="191"/>
      <c r="I5" s="69">
        <f>ROUND(G25,0)</f>
        <v>0</v>
      </c>
      <c r="J5" s="70">
        <f>ROUND(J25,0)</f>
        <v>0</v>
      </c>
      <c r="K5" s="70">
        <f>ROUND(L25,0)</f>
        <v>0</v>
      </c>
      <c r="IZ5" s="50" t="s">
        <v>19</v>
      </c>
      <c r="JA5" s="50">
        <f>INT(JA4)</f>
        <v>2</v>
      </c>
    </row>
    <row r="6" spans="1:262" s="50" customFormat="1" ht="15.75" thickBot="1" x14ac:dyDescent="0.3">
      <c r="A6" s="71" t="e">
        <f ca="1">SUM(INDIRECT(F41))</f>
        <v>#N/A</v>
      </c>
      <c r="B6" s="71" t="e">
        <f ca="1">A6/E42</f>
        <v>#N/A</v>
      </c>
      <c r="C6" s="71" t="e">
        <f ca="1">B7-B6</f>
        <v>#N/A</v>
      </c>
      <c r="D6" s="60" t="e">
        <f ca="1">A7-A6</f>
        <v>#N/A</v>
      </c>
      <c r="G6" s="192" t="s">
        <v>42</v>
      </c>
      <c r="H6" s="193"/>
      <c r="I6" s="72">
        <f>M43</f>
        <v>63</v>
      </c>
      <c r="J6" s="72">
        <f>M45</f>
        <v>9</v>
      </c>
      <c r="K6" s="72">
        <f>M47</f>
        <v>3</v>
      </c>
      <c r="JA6" s="50">
        <f>(JA4-JA5)*20</f>
        <v>1.9999999999999929</v>
      </c>
    </row>
    <row r="7" spans="1:262" s="50" customFormat="1" x14ac:dyDescent="0.25">
      <c r="A7" s="71" t="e">
        <f ca="1">F39</f>
        <v>#N/A</v>
      </c>
      <c r="B7" s="71" t="e">
        <f ca="1">A7/E42</f>
        <v>#N/A</v>
      </c>
      <c r="C7" s="71" t="e">
        <f ca="1">IF(C6=0,0,B7)</f>
        <v>#N/A</v>
      </c>
      <c r="D7" s="60" t="e">
        <f ca="1">A7</f>
        <v>#N/A</v>
      </c>
      <c r="IZ7" s="50" t="s">
        <v>20</v>
      </c>
      <c r="JA7" s="50">
        <f>INT(JA6)</f>
        <v>1</v>
      </c>
    </row>
    <row r="8" spans="1:262" s="50" customFormat="1" ht="9" customHeight="1" x14ac:dyDescent="0.25">
      <c r="JA8" s="50">
        <f>JA6-JA7</f>
        <v>0.99999999999999289</v>
      </c>
    </row>
    <row r="9" spans="1:262" s="50" customFormat="1" ht="9" customHeight="1" thickBot="1" x14ac:dyDescent="0.3">
      <c r="IZ9" s="50" t="s">
        <v>21</v>
      </c>
      <c r="JA9" s="50">
        <f>INT(JA8)</f>
        <v>0</v>
      </c>
    </row>
    <row r="10" spans="1:262" s="50" customFormat="1" x14ac:dyDescent="0.25">
      <c r="A10" s="194" t="str">
        <f>CONCATENATE("Different in"," ",D2)</f>
        <v>Different in Square Foot</v>
      </c>
      <c r="B10" s="195"/>
      <c r="D10" s="167" t="s">
        <v>43</v>
      </c>
      <c r="E10" s="168">
        <v>1</v>
      </c>
      <c r="F10" s="168">
        <f>E10+1</f>
        <v>2</v>
      </c>
      <c r="G10" s="168">
        <f t="shared" ref="G10:BR10" si="1">F10+1</f>
        <v>3</v>
      </c>
      <c r="H10" s="168">
        <f t="shared" si="1"/>
        <v>4</v>
      </c>
      <c r="I10" s="168">
        <f t="shared" si="1"/>
        <v>5</v>
      </c>
      <c r="J10" s="168">
        <f t="shared" si="1"/>
        <v>6</v>
      </c>
      <c r="K10" s="168">
        <f t="shared" si="1"/>
        <v>7</v>
      </c>
      <c r="L10" s="168">
        <f t="shared" si="1"/>
        <v>8</v>
      </c>
      <c r="M10" s="168">
        <f t="shared" si="1"/>
        <v>9</v>
      </c>
      <c r="N10" s="168">
        <f t="shared" si="1"/>
        <v>10</v>
      </c>
      <c r="O10" s="168">
        <f t="shared" si="1"/>
        <v>11</v>
      </c>
      <c r="P10" s="168">
        <f t="shared" si="1"/>
        <v>12</v>
      </c>
      <c r="Q10" s="168">
        <f t="shared" si="1"/>
        <v>13</v>
      </c>
      <c r="R10" s="168">
        <f t="shared" si="1"/>
        <v>14</v>
      </c>
      <c r="S10" s="168">
        <f t="shared" si="1"/>
        <v>15</v>
      </c>
      <c r="T10" s="168">
        <f t="shared" si="1"/>
        <v>16</v>
      </c>
      <c r="U10" s="168">
        <f t="shared" si="1"/>
        <v>17</v>
      </c>
      <c r="V10" s="168">
        <f t="shared" si="1"/>
        <v>18</v>
      </c>
      <c r="W10" s="168">
        <f t="shared" si="1"/>
        <v>19</v>
      </c>
      <c r="X10" s="168">
        <f t="shared" si="1"/>
        <v>20</v>
      </c>
      <c r="Y10" s="168">
        <f t="shared" si="1"/>
        <v>21</v>
      </c>
      <c r="Z10" s="168">
        <f t="shared" si="1"/>
        <v>22</v>
      </c>
      <c r="AA10" s="168">
        <f t="shared" si="1"/>
        <v>23</v>
      </c>
      <c r="AB10" s="168">
        <f t="shared" si="1"/>
        <v>24</v>
      </c>
      <c r="AC10" s="168">
        <f t="shared" si="1"/>
        <v>25</v>
      </c>
      <c r="AD10" s="168">
        <f t="shared" si="1"/>
        <v>26</v>
      </c>
      <c r="AE10" s="168">
        <f t="shared" si="1"/>
        <v>27</v>
      </c>
      <c r="AF10" s="168">
        <f t="shared" si="1"/>
        <v>28</v>
      </c>
      <c r="AG10" s="168">
        <f t="shared" si="1"/>
        <v>29</v>
      </c>
      <c r="AH10" s="168">
        <f t="shared" si="1"/>
        <v>30</v>
      </c>
      <c r="AI10" s="168">
        <f t="shared" si="1"/>
        <v>31</v>
      </c>
      <c r="AJ10" s="168">
        <f t="shared" si="1"/>
        <v>32</v>
      </c>
      <c r="AK10" s="168">
        <f t="shared" si="1"/>
        <v>33</v>
      </c>
      <c r="AL10" s="168">
        <f t="shared" si="1"/>
        <v>34</v>
      </c>
      <c r="AM10" s="168">
        <f t="shared" si="1"/>
        <v>35</v>
      </c>
      <c r="AN10" s="168">
        <f t="shared" si="1"/>
        <v>36</v>
      </c>
      <c r="AO10" s="168">
        <f t="shared" si="1"/>
        <v>37</v>
      </c>
      <c r="AP10" s="168">
        <f t="shared" si="1"/>
        <v>38</v>
      </c>
      <c r="AQ10" s="168">
        <f t="shared" si="1"/>
        <v>39</v>
      </c>
      <c r="AR10" s="168">
        <f t="shared" si="1"/>
        <v>40</v>
      </c>
      <c r="AS10" s="168">
        <f t="shared" si="1"/>
        <v>41</v>
      </c>
      <c r="AT10" s="168">
        <f t="shared" si="1"/>
        <v>42</v>
      </c>
      <c r="AU10" s="168">
        <f t="shared" si="1"/>
        <v>43</v>
      </c>
      <c r="AV10" s="168">
        <f t="shared" si="1"/>
        <v>44</v>
      </c>
      <c r="AW10" s="168">
        <f t="shared" si="1"/>
        <v>45</v>
      </c>
      <c r="AX10" s="168">
        <f t="shared" si="1"/>
        <v>46</v>
      </c>
      <c r="AY10" s="168">
        <f t="shared" si="1"/>
        <v>47</v>
      </c>
      <c r="AZ10" s="168">
        <f t="shared" si="1"/>
        <v>48</v>
      </c>
      <c r="BA10" s="168">
        <f t="shared" si="1"/>
        <v>49</v>
      </c>
      <c r="BB10" s="168">
        <f t="shared" si="1"/>
        <v>50</v>
      </c>
      <c r="BC10" s="168">
        <f t="shared" si="1"/>
        <v>51</v>
      </c>
      <c r="BD10" s="168">
        <f t="shared" si="1"/>
        <v>52</v>
      </c>
      <c r="BE10" s="168">
        <f t="shared" si="1"/>
        <v>53</v>
      </c>
      <c r="BF10" s="168">
        <f t="shared" si="1"/>
        <v>54</v>
      </c>
      <c r="BG10" s="168">
        <f t="shared" si="1"/>
        <v>55</v>
      </c>
      <c r="BH10" s="168">
        <f t="shared" si="1"/>
        <v>56</v>
      </c>
      <c r="BI10" s="168">
        <f t="shared" si="1"/>
        <v>57</v>
      </c>
      <c r="BJ10" s="168">
        <f t="shared" si="1"/>
        <v>58</v>
      </c>
      <c r="BK10" s="168">
        <f t="shared" si="1"/>
        <v>59</v>
      </c>
      <c r="BL10" s="168">
        <f t="shared" si="1"/>
        <v>60</v>
      </c>
      <c r="BM10" s="168">
        <f t="shared" si="1"/>
        <v>61</v>
      </c>
      <c r="BN10" s="168">
        <f t="shared" si="1"/>
        <v>62</v>
      </c>
      <c r="BO10" s="168">
        <f t="shared" si="1"/>
        <v>63</v>
      </c>
      <c r="BP10" s="168">
        <f t="shared" si="1"/>
        <v>64</v>
      </c>
      <c r="BQ10" s="168">
        <f t="shared" si="1"/>
        <v>65</v>
      </c>
      <c r="BR10" s="168">
        <f t="shared" si="1"/>
        <v>66</v>
      </c>
      <c r="BS10" s="168">
        <f t="shared" ref="BS10:ED10" si="2">BR10+1</f>
        <v>67</v>
      </c>
      <c r="BT10" s="168">
        <f t="shared" si="2"/>
        <v>68</v>
      </c>
      <c r="BU10" s="168">
        <f t="shared" si="2"/>
        <v>69</v>
      </c>
      <c r="BV10" s="168">
        <f t="shared" si="2"/>
        <v>70</v>
      </c>
      <c r="BW10" s="168">
        <f t="shared" si="2"/>
        <v>71</v>
      </c>
      <c r="BX10" s="168">
        <f t="shared" si="2"/>
        <v>72</v>
      </c>
      <c r="BY10" s="168">
        <f t="shared" si="2"/>
        <v>73</v>
      </c>
      <c r="BZ10" s="168">
        <f t="shared" si="2"/>
        <v>74</v>
      </c>
      <c r="CA10" s="168">
        <f t="shared" si="2"/>
        <v>75</v>
      </c>
      <c r="CB10" s="168">
        <f t="shared" si="2"/>
        <v>76</v>
      </c>
      <c r="CC10" s="168">
        <f t="shared" si="2"/>
        <v>77</v>
      </c>
      <c r="CD10" s="168">
        <f t="shared" si="2"/>
        <v>78</v>
      </c>
      <c r="CE10" s="168">
        <f t="shared" si="2"/>
        <v>79</v>
      </c>
      <c r="CF10" s="168">
        <f t="shared" si="2"/>
        <v>80</v>
      </c>
      <c r="CG10" s="168">
        <f t="shared" si="2"/>
        <v>81</v>
      </c>
      <c r="CH10" s="168">
        <f t="shared" si="2"/>
        <v>82</v>
      </c>
      <c r="CI10" s="168">
        <f t="shared" si="2"/>
        <v>83</v>
      </c>
      <c r="CJ10" s="168">
        <f t="shared" si="2"/>
        <v>84</v>
      </c>
      <c r="CK10" s="168">
        <f t="shared" si="2"/>
        <v>85</v>
      </c>
      <c r="CL10" s="168">
        <f t="shared" si="2"/>
        <v>86</v>
      </c>
      <c r="CM10" s="168">
        <f t="shared" si="2"/>
        <v>87</v>
      </c>
      <c r="CN10" s="168">
        <f t="shared" si="2"/>
        <v>88</v>
      </c>
      <c r="CO10" s="168">
        <f t="shared" si="2"/>
        <v>89</v>
      </c>
      <c r="CP10" s="168">
        <f t="shared" si="2"/>
        <v>90</v>
      </c>
      <c r="CQ10" s="168">
        <f t="shared" si="2"/>
        <v>91</v>
      </c>
      <c r="CR10" s="168">
        <f t="shared" si="2"/>
        <v>92</v>
      </c>
      <c r="CS10" s="168">
        <f t="shared" si="2"/>
        <v>93</v>
      </c>
      <c r="CT10" s="168">
        <f t="shared" si="2"/>
        <v>94</v>
      </c>
      <c r="CU10" s="168">
        <f t="shared" si="2"/>
        <v>95</v>
      </c>
      <c r="CV10" s="168">
        <f t="shared" si="2"/>
        <v>96</v>
      </c>
      <c r="CW10" s="168">
        <f t="shared" si="2"/>
        <v>97</v>
      </c>
      <c r="CX10" s="168">
        <f t="shared" si="2"/>
        <v>98</v>
      </c>
      <c r="CY10" s="168">
        <f t="shared" si="2"/>
        <v>99</v>
      </c>
      <c r="CZ10" s="168">
        <f t="shared" si="2"/>
        <v>100</v>
      </c>
      <c r="DA10" s="168">
        <f t="shared" si="2"/>
        <v>101</v>
      </c>
      <c r="DB10" s="168">
        <f t="shared" si="2"/>
        <v>102</v>
      </c>
      <c r="DC10" s="168">
        <f t="shared" si="2"/>
        <v>103</v>
      </c>
      <c r="DD10" s="168">
        <f t="shared" si="2"/>
        <v>104</v>
      </c>
      <c r="DE10" s="168">
        <f t="shared" si="2"/>
        <v>105</v>
      </c>
      <c r="DF10" s="168">
        <f t="shared" si="2"/>
        <v>106</v>
      </c>
      <c r="DG10" s="168">
        <f t="shared" si="2"/>
        <v>107</v>
      </c>
      <c r="DH10" s="168">
        <f t="shared" si="2"/>
        <v>108</v>
      </c>
      <c r="DI10" s="168">
        <f t="shared" si="2"/>
        <v>109</v>
      </c>
      <c r="DJ10" s="168">
        <f t="shared" si="2"/>
        <v>110</v>
      </c>
      <c r="DK10" s="168">
        <f t="shared" si="2"/>
        <v>111</v>
      </c>
      <c r="DL10" s="168">
        <f t="shared" si="2"/>
        <v>112</v>
      </c>
      <c r="DM10" s="168">
        <f t="shared" si="2"/>
        <v>113</v>
      </c>
      <c r="DN10" s="168">
        <f t="shared" si="2"/>
        <v>114</v>
      </c>
      <c r="DO10" s="168">
        <f t="shared" si="2"/>
        <v>115</v>
      </c>
      <c r="DP10" s="168">
        <f t="shared" si="2"/>
        <v>116</v>
      </c>
      <c r="DQ10" s="168">
        <f t="shared" si="2"/>
        <v>117</v>
      </c>
      <c r="DR10" s="168">
        <f t="shared" si="2"/>
        <v>118</v>
      </c>
      <c r="DS10" s="168">
        <f t="shared" si="2"/>
        <v>119</v>
      </c>
      <c r="DT10" s="168">
        <f t="shared" si="2"/>
        <v>120</v>
      </c>
      <c r="DU10" s="168">
        <f t="shared" si="2"/>
        <v>121</v>
      </c>
      <c r="DV10" s="168">
        <f t="shared" si="2"/>
        <v>122</v>
      </c>
      <c r="DW10" s="168">
        <f t="shared" si="2"/>
        <v>123</v>
      </c>
      <c r="DX10" s="168">
        <f t="shared" si="2"/>
        <v>124</v>
      </c>
      <c r="DY10" s="168">
        <f t="shared" si="2"/>
        <v>125</v>
      </c>
      <c r="DZ10" s="168">
        <f t="shared" si="2"/>
        <v>126</v>
      </c>
      <c r="EA10" s="168">
        <f t="shared" si="2"/>
        <v>127</v>
      </c>
      <c r="EB10" s="168">
        <f t="shared" si="2"/>
        <v>128</v>
      </c>
      <c r="EC10" s="168">
        <f t="shared" si="2"/>
        <v>129</v>
      </c>
      <c r="ED10" s="168">
        <f t="shared" si="2"/>
        <v>130</v>
      </c>
      <c r="EE10" s="168">
        <f t="shared" ref="EE10:GP10" si="3">ED10+1</f>
        <v>131</v>
      </c>
      <c r="EF10" s="168">
        <f t="shared" si="3"/>
        <v>132</v>
      </c>
      <c r="EG10" s="168">
        <f t="shared" si="3"/>
        <v>133</v>
      </c>
      <c r="EH10" s="168">
        <f t="shared" si="3"/>
        <v>134</v>
      </c>
      <c r="EI10" s="168">
        <f t="shared" si="3"/>
        <v>135</v>
      </c>
      <c r="EJ10" s="168">
        <f t="shared" si="3"/>
        <v>136</v>
      </c>
      <c r="EK10" s="168">
        <f t="shared" si="3"/>
        <v>137</v>
      </c>
      <c r="EL10" s="168">
        <f t="shared" si="3"/>
        <v>138</v>
      </c>
      <c r="EM10" s="168">
        <f t="shared" si="3"/>
        <v>139</v>
      </c>
      <c r="EN10" s="168">
        <f t="shared" si="3"/>
        <v>140</v>
      </c>
      <c r="EO10" s="168">
        <f t="shared" si="3"/>
        <v>141</v>
      </c>
      <c r="EP10" s="168">
        <f t="shared" si="3"/>
        <v>142</v>
      </c>
      <c r="EQ10" s="168">
        <f t="shared" si="3"/>
        <v>143</v>
      </c>
      <c r="ER10" s="168">
        <f t="shared" si="3"/>
        <v>144</v>
      </c>
      <c r="ES10" s="168">
        <f t="shared" si="3"/>
        <v>145</v>
      </c>
      <c r="ET10" s="168">
        <f t="shared" si="3"/>
        <v>146</v>
      </c>
      <c r="EU10" s="168">
        <f t="shared" si="3"/>
        <v>147</v>
      </c>
      <c r="EV10" s="168">
        <f t="shared" si="3"/>
        <v>148</v>
      </c>
      <c r="EW10" s="168">
        <f t="shared" si="3"/>
        <v>149</v>
      </c>
      <c r="EX10" s="168">
        <f t="shared" si="3"/>
        <v>150</v>
      </c>
      <c r="EY10" s="168">
        <f t="shared" si="3"/>
        <v>151</v>
      </c>
      <c r="EZ10" s="168">
        <f t="shared" si="3"/>
        <v>152</v>
      </c>
      <c r="FA10" s="168">
        <f t="shared" si="3"/>
        <v>153</v>
      </c>
      <c r="FB10" s="168">
        <f t="shared" si="3"/>
        <v>154</v>
      </c>
      <c r="FC10" s="168">
        <f t="shared" si="3"/>
        <v>155</v>
      </c>
      <c r="FD10" s="168">
        <f t="shared" si="3"/>
        <v>156</v>
      </c>
      <c r="FE10" s="168">
        <f t="shared" si="3"/>
        <v>157</v>
      </c>
      <c r="FF10" s="168">
        <f t="shared" si="3"/>
        <v>158</v>
      </c>
      <c r="FG10" s="168">
        <f t="shared" si="3"/>
        <v>159</v>
      </c>
      <c r="FH10" s="168">
        <f t="shared" si="3"/>
        <v>160</v>
      </c>
      <c r="FI10" s="168">
        <f t="shared" si="3"/>
        <v>161</v>
      </c>
      <c r="FJ10" s="168">
        <f t="shared" si="3"/>
        <v>162</v>
      </c>
      <c r="FK10" s="168">
        <f t="shared" si="3"/>
        <v>163</v>
      </c>
      <c r="FL10" s="168">
        <f t="shared" si="3"/>
        <v>164</v>
      </c>
      <c r="FM10" s="168">
        <f t="shared" si="3"/>
        <v>165</v>
      </c>
      <c r="FN10" s="168">
        <f t="shared" si="3"/>
        <v>166</v>
      </c>
      <c r="FO10" s="168">
        <f t="shared" si="3"/>
        <v>167</v>
      </c>
      <c r="FP10" s="168">
        <f t="shared" si="3"/>
        <v>168</v>
      </c>
      <c r="FQ10" s="168">
        <f t="shared" si="3"/>
        <v>169</v>
      </c>
      <c r="FR10" s="168">
        <f t="shared" si="3"/>
        <v>170</v>
      </c>
      <c r="FS10" s="168">
        <f t="shared" si="3"/>
        <v>171</v>
      </c>
      <c r="FT10" s="168">
        <f t="shared" si="3"/>
        <v>172</v>
      </c>
      <c r="FU10" s="168">
        <f t="shared" si="3"/>
        <v>173</v>
      </c>
      <c r="FV10" s="168">
        <f t="shared" si="3"/>
        <v>174</v>
      </c>
      <c r="FW10" s="168">
        <f t="shared" si="3"/>
        <v>175</v>
      </c>
      <c r="FX10" s="168">
        <f t="shared" si="3"/>
        <v>176</v>
      </c>
      <c r="FY10" s="168">
        <f t="shared" si="3"/>
        <v>177</v>
      </c>
      <c r="FZ10" s="168">
        <f t="shared" si="3"/>
        <v>178</v>
      </c>
      <c r="GA10" s="168">
        <f t="shared" si="3"/>
        <v>179</v>
      </c>
      <c r="GB10" s="168">
        <f t="shared" si="3"/>
        <v>180</v>
      </c>
      <c r="GC10" s="168">
        <f t="shared" si="3"/>
        <v>181</v>
      </c>
      <c r="GD10" s="168">
        <f t="shared" si="3"/>
        <v>182</v>
      </c>
      <c r="GE10" s="168">
        <f t="shared" si="3"/>
        <v>183</v>
      </c>
      <c r="GF10" s="168">
        <f t="shared" si="3"/>
        <v>184</v>
      </c>
      <c r="GG10" s="168">
        <f t="shared" si="3"/>
        <v>185</v>
      </c>
      <c r="GH10" s="168">
        <f t="shared" si="3"/>
        <v>186</v>
      </c>
      <c r="GI10" s="168">
        <f t="shared" si="3"/>
        <v>187</v>
      </c>
      <c r="GJ10" s="168">
        <f t="shared" si="3"/>
        <v>188</v>
      </c>
      <c r="GK10" s="168">
        <f t="shared" si="3"/>
        <v>189</v>
      </c>
      <c r="GL10" s="168">
        <f t="shared" si="3"/>
        <v>190</v>
      </c>
      <c r="GM10" s="168">
        <f t="shared" si="3"/>
        <v>191</v>
      </c>
      <c r="GN10" s="168">
        <f t="shared" si="3"/>
        <v>192</v>
      </c>
      <c r="GO10" s="168">
        <f t="shared" si="3"/>
        <v>193</v>
      </c>
      <c r="GP10" s="168">
        <f t="shared" si="3"/>
        <v>194</v>
      </c>
      <c r="GQ10" s="168">
        <f t="shared" ref="GQ10:IH10" si="4">GP10+1</f>
        <v>195</v>
      </c>
      <c r="GR10" s="168">
        <f t="shared" si="4"/>
        <v>196</v>
      </c>
      <c r="GS10" s="168">
        <f t="shared" si="4"/>
        <v>197</v>
      </c>
      <c r="GT10" s="168">
        <f t="shared" si="4"/>
        <v>198</v>
      </c>
      <c r="GU10" s="168">
        <f t="shared" si="4"/>
        <v>199</v>
      </c>
      <c r="GV10" s="168">
        <f t="shared" si="4"/>
        <v>200</v>
      </c>
      <c r="GW10" s="168">
        <f t="shared" si="4"/>
        <v>201</v>
      </c>
      <c r="GX10" s="168">
        <f t="shared" si="4"/>
        <v>202</v>
      </c>
      <c r="GY10" s="168">
        <f t="shared" si="4"/>
        <v>203</v>
      </c>
      <c r="GZ10" s="168">
        <f t="shared" si="4"/>
        <v>204</v>
      </c>
      <c r="HA10" s="168">
        <f t="shared" si="4"/>
        <v>205</v>
      </c>
      <c r="HB10" s="168">
        <f t="shared" si="4"/>
        <v>206</v>
      </c>
      <c r="HC10" s="168">
        <f t="shared" si="4"/>
        <v>207</v>
      </c>
      <c r="HD10" s="168">
        <f t="shared" si="4"/>
        <v>208</v>
      </c>
      <c r="HE10" s="168">
        <f t="shared" si="4"/>
        <v>209</v>
      </c>
      <c r="HF10" s="168">
        <f t="shared" si="4"/>
        <v>210</v>
      </c>
      <c r="HG10" s="168">
        <f t="shared" si="4"/>
        <v>211</v>
      </c>
      <c r="HH10" s="168">
        <f t="shared" si="4"/>
        <v>212</v>
      </c>
      <c r="HI10" s="168">
        <f t="shared" si="4"/>
        <v>213</v>
      </c>
      <c r="HJ10" s="168">
        <f t="shared" si="4"/>
        <v>214</v>
      </c>
      <c r="HK10" s="168">
        <f t="shared" si="4"/>
        <v>215</v>
      </c>
      <c r="HL10" s="168">
        <f t="shared" si="4"/>
        <v>216</v>
      </c>
      <c r="HM10" s="168">
        <f t="shared" si="4"/>
        <v>217</v>
      </c>
      <c r="HN10" s="168">
        <f t="shared" si="4"/>
        <v>218</v>
      </c>
      <c r="HO10" s="168">
        <f t="shared" si="4"/>
        <v>219</v>
      </c>
      <c r="HP10" s="168">
        <f t="shared" si="4"/>
        <v>220</v>
      </c>
      <c r="HQ10" s="168">
        <f t="shared" si="4"/>
        <v>221</v>
      </c>
      <c r="HR10" s="168">
        <f t="shared" si="4"/>
        <v>222</v>
      </c>
      <c r="HS10" s="168">
        <f t="shared" si="4"/>
        <v>223</v>
      </c>
      <c r="HT10" s="168">
        <f t="shared" si="4"/>
        <v>224</v>
      </c>
      <c r="HU10" s="168">
        <f t="shared" si="4"/>
        <v>225</v>
      </c>
      <c r="HV10" s="168">
        <f t="shared" si="4"/>
        <v>226</v>
      </c>
      <c r="HW10" s="168">
        <f t="shared" si="4"/>
        <v>227</v>
      </c>
      <c r="HX10" s="168">
        <f t="shared" si="4"/>
        <v>228</v>
      </c>
      <c r="HY10" s="168">
        <f t="shared" si="4"/>
        <v>229</v>
      </c>
      <c r="HZ10" s="168">
        <f t="shared" si="4"/>
        <v>230</v>
      </c>
      <c r="IA10" s="168">
        <f t="shared" si="4"/>
        <v>231</v>
      </c>
      <c r="IB10" s="168">
        <f t="shared" si="4"/>
        <v>232</v>
      </c>
      <c r="IC10" s="168">
        <f t="shared" si="4"/>
        <v>233</v>
      </c>
      <c r="ID10" s="168">
        <f t="shared" si="4"/>
        <v>234</v>
      </c>
      <c r="IE10" s="168">
        <f t="shared" si="4"/>
        <v>235</v>
      </c>
      <c r="IF10" s="168">
        <f t="shared" si="4"/>
        <v>236</v>
      </c>
      <c r="IG10" s="168">
        <f t="shared" si="4"/>
        <v>237</v>
      </c>
      <c r="IH10" s="168">
        <f t="shared" si="4"/>
        <v>238</v>
      </c>
    </row>
    <row r="11" spans="1:262" s="50" customFormat="1" ht="15.75" thickBot="1" x14ac:dyDescent="0.3">
      <c r="A11" s="186">
        <f>A13-B13</f>
        <v>11424</v>
      </c>
      <c r="B11" s="187"/>
      <c r="D11" s="73" t="s">
        <v>34</v>
      </c>
      <c r="E11" s="74">
        <f>IF(($D$2="Square Foot"),INT(E15/$A$2/20),INT(E15/9/20))</f>
        <v>0</v>
      </c>
      <c r="F11" s="74">
        <f t="shared" ref="F11:BQ11" si="5">IF(($D$2="Square Foot"),INT(F15/$A$2/20),INT(F15/9/20))</f>
        <v>0</v>
      </c>
      <c r="G11" s="74">
        <f t="shared" si="5"/>
        <v>0</v>
      </c>
      <c r="H11" s="74">
        <f t="shared" si="5"/>
        <v>0</v>
      </c>
      <c r="I11" s="74">
        <f t="shared" si="5"/>
        <v>0</v>
      </c>
      <c r="J11" s="74">
        <f t="shared" si="5"/>
        <v>0</v>
      </c>
      <c r="K11" s="74">
        <f t="shared" si="5"/>
        <v>0</v>
      </c>
      <c r="L11" s="74">
        <f t="shared" si="5"/>
        <v>0</v>
      </c>
      <c r="M11" s="74">
        <f t="shared" si="5"/>
        <v>0</v>
      </c>
      <c r="N11" s="74">
        <f t="shared" si="5"/>
        <v>0</v>
      </c>
      <c r="O11" s="74">
        <f t="shared" si="5"/>
        <v>0</v>
      </c>
      <c r="P11" s="74">
        <f t="shared" si="5"/>
        <v>0</v>
      </c>
      <c r="Q11" s="74">
        <f t="shared" si="5"/>
        <v>0</v>
      </c>
      <c r="R11" s="74">
        <f t="shared" si="5"/>
        <v>0</v>
      </c>
      <c r="S11" s="74">
        <f t="shared" si="5"/>
        <v>0</v>
      </c>
      <c r="T11" s="74">
        <f t="shared" si="5"/>
        <v>0</v>
      </c>
      <c r="U11" s="74">
        <f t="shared" si="5"/>
        <v>0</v>
      </c>
      <c r="V11" s="74">
        <f t="shared" si="5"/>
        <v>0</v>
      </c>
      <c r="W11" s="74">
        <f t="shared" si="5"/>
        <v>0</v>
      </c>
      <c r="X11" s="74">
        <f t="shared" si="5"/>
        <v>0</v>
      </c>
      <c r="Y11" s="74">
        <f t="shared" si="5"/>
        <v>0</v>
      </c>
      <c r="Z11" s="74">
        <f t="shared" si="5"/>
        <v>0</v>
      </c>
      <c r="AA11" s="74">
        <f t="shared" si="5"/>
        <v>0</v>
      </c>
      <c r="AB11" s="74">
        <f t="shared" si="5"/>
        <v>0</v>
      </c>
      <c r="AC11" s="74">
        <f t="shared" si="5"/>
        <v>0</v>
      </c>
      <c r="AD11" s="74">
        <f t="shared" si="5"/>
        <v>0</v>
      </c>
      <c r="AE11" s="74">
        <f t="shared" si="5"/>
        <v>0</v>
      </c>
      <c r="AF11" s="74">
        <f t="shared" si="5"/>
        <v>0</v>
      </c>
      <c r="AG11" s="74">
        <f t="shared" si="5"/>
        <v>0</v>
      </c>
      <c r="AH11" s="74">
        <f t="shared" si="5"/>
        <v>0</v>
      </c>
      <c r="AI11" s="74">
        <f t="shared" si="5"/>
        <v>0</v>
      </c>
      <c r="AJ11" s="74">
        <f t="shared" si="5"/>
        <v>0</v>
      </c>
      <c r="AK11" s="74">
        <f t="shared" si="5"/>
        <v>0</v>
      </c>
      <c r="AL11" s="74">
        <f t="shared" si="5"/>
        <v>0</v>
      </c>
      <c r="AM11" s="74">
        <f t="shared" si="5"/>
        <v>0</v>
      </c>
      <c r="AN11" s="74">
        <f t="shared" si="5"/>
        <v>0</v>
      </c>
      <c r="AO11" s="74">
        <f t="shared" si="5"/>
        <v>0</v>
      </c>
      <c r="AP11" s="74">
        <f t="shared" si="5"/>
        <v>0</v>
      </c>
      <c r="AQ11" s="74">
        <f t="shared" si="5"/>
        <v>0</v>
      </c>
      <c r="AR11" s="74">
        <f t="shared" si="5"/>
        <v>0</v>
      </c>
      <c r="AS11" s="74">
        <f t="shared" si="5"/>
        <v>0</v>
      </c>
      <c r="AT11" s="74">
        <f t="shared" si="5"/>
        <v>0</v>
      </c>
      <c r="AU11" s="74">
        <f t="shared" si="5"/>
        <v>0</v>
      </c>
      <c r="AV11" s="74">
        <f t="shared" si="5"/>
        <v>0</v>
      </c>
      <c r="AW11" s="74">
        <f t="shared" si="5"/>
        <v>0</v>
      </c>
      <c r="AX11" s="74">
        <f t="shared" si="5"/>
        <v>0</v>
      </c>
      <c r="AY11" s="74">
        <f t="shared" si="5"/>
        <v>0</v>
      </c>
      <c r="AZ11" s="74">
        <f t="shared" si="5"/>
        <v>0</v>
      </c>
      <c r="BA11" s="74">
        <f t="shared" si="5"/>
        <v>0</v>
      </c>
      <c r="BB11" s="74">
        <f t="shared" si="5"/>
        <v>0</v>
      </c>
      <c r="BC11" s="74">
        <f t="shared" si="5"/>
        <v>0</v>
      </c>
      <c r="BD11" s="74">
        <f t="shared" si="5"/>
        <v>0</v>
      </c>
      <c r="BE11" s="74">
        <f t="shared" si="5"/>
        <v>0</v>
      </c>
      <c r="BF11" s="74">
        <f t="shared" si="5"/>
        <v>0</v>
      </c>
      <c r="BG11" s="74">
        <f t="shared" si="5"/>
        <v>0</v>
      </c>
      <c r="BH11" s="74">
        <f t="shared" si="5"/>
        <v>0</v>
      </c>
      <c r="BI11" s="74">
        <f t="shared" si="5"/>
        <v>0</v>
      </c>
      <c r="BJ11" s="74">
        <f t="shared" si="5"/>
        <v>0</v>
      </c>
      <c r="BK11" s="74">
        <f t="shared" si="5"/>
        <v>0</v>
      </c>
      <c r="BL11" s="74">
        <f t="shared" si="5"/>
        <v>0</v>
      </c>
      <c r="BM11" s="74">
        <f t="shared" si="5"/>
        <v>0</v>
      </c>
      <c r="BN11" s="74">
        <f t="shared" si="5"/>
        <v>0</v>
      </c>
      <c r="BO11" s="74">
        <f t="shared" si="5"/>
        <v>0</v>
      </c>
      <c r="BP11" s="74">
        <f t="shared" si="5"/>
        <v>0</v>
      </c>
      <c r="BQ11" s="74">
        <f t="shared" si="5"/>
        <v>0</v>
      </c>
      <c r="BR11" s="74">
        <f t="shared" ref="BR11:EC11" si="6">IF(($D$2="Square Foot"),INT(BR15/$A$2/20),INT(BR15/9/20))</f>
        <v>0</v>
      </c>
      <c r="BS11" s="74">
        <f t="shared" si="6"/>
        <v>0</v>
      </c>
      <c r="BT11" s="74">
        <f t="shared" si="6"/>
        <v>0</v>
      </c>
      <c r="BU11" s="74">
        <f t="shared" si="6"/>
        <v>0</v>
      </c>
      <c r="BV11" s="74">
        <f t="shared" si="6"/>
        <v>0</v>
      </c>
      <c r="BW11" s="74">
        <f t="shared" si="6"/>
        <v>0</v>
      </c>
      <c r="BX11" s="74">
        <f t="shared" si="6"/>
        <v>0</v>
      </c>
      <c r="BY11" s="74">
        <f t="shared" si="6"/>
        <v>0</v>
      </c>
      <c r="BZ11" s="74">
        <f t="shared" si="6"/>
        <v>0</v>
      </c>
      <c r="CA11" s="74">
        <f t="shared" si="6"/>
        <v>0</v>
      </c>
      <c r="CB11" s="74">
        <f t="shared" si="6"/>
        <v>0</v>
      </c>
      <c r="CC11" s="74">
        <f t="shared" si="6"/>
        <v>0</v>
      </c>
      <c r="CD11" s="74">
        <f t="shared" si="6"/>
        <v>0</v>
      </c>
      <c r="CE11" s="74">
        <f t="shared" si="6"/>
        <v>0</v>
      </c>
      <c r="CF11" s="74">
        <f t="shared" si="6"/>
        <v>0</v>
      </c>
      <c r="CG11" s="74">
        <f t="shared" si="6"/>
        <v>0</v>
      </c>
      <c r="CH11" s="74">
        <f t="shared" si="6"/>
        <v>0</v>
      </c>
      <c r="CI11" s="74">
        <f t="shared" si="6"/>
        <v>0</v>
      </c>
      <c r="CJ11" s="74">
        <f t="shared" si="6"/>
        <v>0</v>
      </c>
      <c r="CK11" s="74">
        <f t="shared" si="6"/>
        <v>0</v>
      </c>
      <c r="CL11" s="74">
        <f t="shared" si="6"/>
        <v>0</v>
      </c>
      <c r="CM11" s="74">
        <f t="shared" si="6"/>
        <v>0</v>
      </c>
      <c r="CN11" s="74">
        <f t="shared" si="6"/>
        <v>0</v>
      </c>
      <c r="CO11" s="74">
        <f t="shared" si="6"/>
        <v>0</v>
      </c>
      <c r="CP11" s="74">
        <f t="shared" si="6"/>
        <v>0</v>
      </c>
      <c r="CQ11" s="74">
        <f t="shared" si="6"/>
        <v>0</v>
      </c>
      <c r="CR11" s="74">
        <f t="shared" si="6"/>
        <v>0</v>
      </c>
      <c r="CS11" s="74">
        <f t="shared" si="6"/>
        <v>0</v>
      </c>
      <c r="CT11" s="74">
        <f t="shared" si="6"/>
        <v>0</v>
      </c>
      <c r="CU11" s="74">
        <f t="shared" si="6"/>
        <v>0</v>
      </c>
      <c r="CV11" s="74">
        <f t="shared" si="6"/>
        <v>0</v>
      </c>
      <c r="CW11" s="74">
        <f t="shared" si="6"/>
        <v>0</v>
      </c>
      <c r="CX11" s="74">
        <f t="shared" si="6"/>
        <v>0</v>
      </c>
      <c r="CY11" s="74">
        <f t="shared" si="6"/>
        <v>0</v>
      </c>
      <c r="CZ11" s="74">
        <f t="shared" si="6"/>
        <v>0</v>
      </c>
      <c r="DA11" s="74">
        <f t="shared" si="6"/>
        <v>0</v>
      </c>
      <c r="DB11" s="74">
        <f t="shared" si="6"/>
        <v>0</v>
      </c>
      <c r="DC11" s="74">
        <f t="shared" si="6"/>
        <v>0</v>
      </c>
      <c r="DD11" s="74">
        <f t="shared" si="6"/>
        <v>0</v>
      </c>
      <c r="DE11" s="74">
        <f t="shared" si="6"/>
        <v>0</v>
      </c>
      <c r="DF11" s="74">
        <f t="shared" si="6"/>
        <v>0</v>
      </c>
      <c r="DG11" s="74">
        <f t="shared" si="6"/>
        <v>0</v>
      </c>
      <c r="DH11" s="74">
        <f t="shared" si="6"/>
        <v>0</v>
      </c>
      <c r="DI11" s="74">
        <f t="shared" si="6"/>
        <v>0</v>
      </c>
      <c r="DJ11" s="74">
        <f t="shared" si="6"/>
        <v>0</v>
      </c>
      <c r="DK11" s="74">
        <f t="shared" si="6"/>
        <v>0</v>
      </c>
      <c r="DL11" s="74">
        <f t="shared" si="6"/>
        <v>0</v>
      </c>
      <c r="DM11" s="74">
        <f t="shared" si="6"/>
        <v>0</v>
      </c>
      <c r="DN11" s="74">
        <f t="shared" si="6"/>
        <v>0</v>
      </c>
      <c r="DO11" s="74">
        <f t="shared" si="6"/>
        <v>0</v>
      </c>
      <c r="DP11" s="74">
        <f t="shared" si="6"/>
        <v>0</v>
      </c>
      <c r="DQ11" s="74">
        <f t="shared" si="6"/>
        <v>0</v>
      </c>
      <c r="DR11" s="74">
        <f t="shared" si="6"/>
        <v>0</v>
      </c>
      <c r="DS11" s="74">
        <f t="shared" si="6"/>
        <v>0</v>
      </c>
      <c r="DT11" s="74">
        <f t="shared" si="6"/>
        <v>0</v>
      </c>
      <c r="DU11" s="74">
        <f t="shared" si="6"/>
        <v>0</v>
      </c>
      <c r="DV11" s="74">
        <f t="shared" si="6"/>
        <v>0</v>
      </c>
      <c r="DW11" s="74">
        <f t="shared" si="6"/>
        <v>0</v>
      </c>
      <c r="DX11" s="74">
        <f t="shared" si="6"/>
        <v>0</v>
      </c>
      <c r="DY11" s="74">
        <f t="shared" si="6"/>
        <v>0</v>
      </c>
      <c r="DZ11" s="74">
        <f t="shared" si="6"/>
        <v>0</v>
      </c>
      <c r="EA11" s="74">
        <f t="shared" si="6"/>
        <v>0</v>
      </c>
      <c r="EB11" s="74">
        <f t="shared" si="6"/>
        <v>0</v>
      </c>
      <c r="EC11" s="74">
        <f t="shared" si="6"/>
        <v>0</v>
      </c>
      <c r="ED11" s="74">
        <f t="shared" ref="ED11:GO11" si="7">IF(($D$2="Square Foot"),INT(ED15/$A$2/20),INT(ED15/9/20))</f>
        <v>0</v>
      </c>
      <c r="EE11" s="74">
        <f t="shared" si="7"/>
        <v>0</v>
      </c>
      <c r="EF11" s="74">
        <f t="shared" si="7"/>
        <v>0</v>
      </c>
      <c r="EG11" s="74">
        <f t="shared" si="7"/>
        <v>0</v>
      </c>
      <c r="EH11" s="74">
        <f t="shared" si="7"/>
        <v>0</v>
      </c>
      <c r="EI11" s="74">
        <f t="shared" si="7"/>
        <v>0</v>
      </c>
      <c r="EJ11" s="74">
        <f t="shared" si="7"/>
        <v>0</v>
      </c>
      <c r="EK11" s="74">
        <f t="shared" si="7"/>
        <v>0</v>
      </c>
      <c r="EL11" s="74">
        <f t="shared" si="7"/>
        <v>0</v>
      </c>
      <c r="EM11" s="74">
        <f t="shared" si="7"/>
        <v>0</v>
      </c>
      <c r="EN11" s="74">
        <f t="shared" si="7"/>
        <v>0</v>
      </c>
      <c r="EO11" s="74">
        <f t="shared" si="7"/>
        <v>0</v>
      </c>
      <c r="EP11" s="74">
        <f t="shared" si="7"/>
        <v>0</v>
      </c>
      <c r="EQ11" s="74">
        <f t="shared" si="7"/>
        <v>0</v>
      </c>
      <c r="ER11" s="74">
        <f t="shared" si="7"/>
        <v>0</v>
      </c>
      <c r="ES11" s="74">
        <f t="shared" si="7"/>
        <v>0</v>
      </c>
      <c r="ET11" s="74">
        <f t="shared" si="7"/>
        <v>0</v>
      </c>
      <c r="EU11" s="74">
        <f t="shared" si="7"/>
        <v>0</v>
      </c>
      <c r="EV11" s="74">
        <f t="shared" si="7"/>
        <v>0</v>
      </c>
      <c r="EW11" s="74">
        <f t="shared" si="7"/>
        <v>0</v>
      </c>
      <c r="EX11" s="74">
        <f t="shared" si="7"/>
        <v>0</v>
      </c>
      <c r="EY11" s="74">
        <f t="shared" si="7"/>
        <v>0</v>
      </c>
      <c r="EZ11" s="74">
        <f t="shared" si="7"/>
        <v>0</v>
      </c>
      <c r="FA11" s="74">
        <f t="shared" si="7"/>
        <v>0</v>
      </c>
      <c r="FB11" s="74">
        <f t="shared" si="7"/>
        <v>0</v>
      </c>
      <c r="FC11" s="74">
        <f t="shared" si="7"/>
        <v>0</v>
      </c>
      <c r="FD11" s="74">
        <f t="shared" si="7"/>
        <v>0</v>
      </c>
      <c r="FE11" s="74">
        <f t="shared" si="7"/>
        <v>0</v>
      </c>
      <c r="FF11" s="74">
        <f t="shared" si="7"/>
        <v>0</v>
      </c>
      <c r="FG11" s="74">
        <f t="shared" si="7"/>
        <v>0</v>
      </c>
      <c r="FH11" s="74">
        <f t="shared" si="7"/>
        <v>0</v>
      </c>
      <c r="FI11" s="74">
        <f t="shared" si="7"/>
        <v>0</v>
      </c>
      <c r="FJ11" s="74">
        <f t="shared" si="7"/>
        <v>0</v>
      </c>
      <c r="FK11" s="74">
        <f t="shared" si="7"/>
        <v>0</v>
      </c>
      <c r="FL11" s="74">
        <f t="shared" si="7"/>
        <v>0</v>
      </c>
      <c r="FM11" s="74">
        <f t="shared" si="7"/>
        <v>0</v>
      </c>
      <c r="FN11" s="74">
        <f t="shared" si="7"/>
        <v>0</v>
      </c>
      <c r="FO11" s="74">
        <f t="shared" si="7"/>
        <v>0</v>
      </c>
      <c r="FP11" s="74">
        <f t="shared" si="7"/>
        <v>0</v>
      </c>
      <c r="FQ11" s="74">
        <f t="shared" si="7"/>
        <v>0</v>
      </c>
      <c r="FR11" s="74">
        <f t="shared" si="7"/>
        <v>0</v>
      </c>
      <c r="FS11" s="74">
        <f t="shared" si="7"/>
        <v>0</v>
      </c>
      <c r="FT11" s="74">
        <f t="shared" si="7"/>
        <v>0</v>
      </c>
      <c r="FU11" s="74">
        <f t="shared" si="7"/>
        <v>0</v>
      </c>
      <c r="FV11" s="74">
        <f t="shared" si="7"/>
        <v>0</v>
      </c>
      <c r="FW11" s="74">
        <f t="shared" si="7"/>
        <v>0</v>
      </c>
      <c r="FX11" s="74">
        <f t="shared" si="7"/>
        <v>0</v>
      </c>
      <c r="FY11" s="74">
        <f t="shared" si="7"/>
        <v>0</v>
      </c>
      <c r="FZ11" s="74">
        <f t="shared" si="7"/>
        <v>0</v>
      </c>
      <c r="GA11" s="74">
        <f t="shared" si="7"/>
        <v>0</v>
      </c>
      <c r="GB11" s="74">
        <f t="shared" si="7"/>
        <v>0</v>
      </c>
      <c r="GC11" s="74">
        <f t="shared" si="7"/>
        <v>0</v>
      </c>
      <c r="GD11" s="74">
        <f t="shared" si="7"/>
        <v>0</v>
      </c>
      <c r="GE11" s="74">
        <f t="shared" si="7"/>
        <v>0</v>
      </c>
      <c r="GF11" s="74">
        <f t="shared" si="7"/>
        <v>0</v>
      </c>
      <c r="GG11" s="74">
        <f t="shared" si="7"/>
        <v>0</v>
      </c>
      <c r="GH11" s="74">
        <f t="shared" si="7"/>
        <v>0</v>
      </c>
      <c r="GI11" s="74">
        <f t="shared" si="7"/>
        <v>0</v>
      </c>
      <c r="GJ11" s="74">
        <f t="shared" si="7"/>
        <v>0</v>
      </c>
      <c r="GK11" s="74">
        <f t="shared" si="7"/>
        <v>0</v>
      </c>
      <c r="GL11" s="74">
        <f t="shared" si="7"/>
        <v>0</v>
      </c>
      <c r="GM11" s="74">
        <f t="shared" si="7"/>
        <v>0</v>
      </c>
      <c r="GN11" s="74">
        <f t="shared" si="7"/>
        <v>0</v>
      </c>
      <c r="GO11" s="74">
        <f t="shared" si="7"/>
        <v>0</v>
      </c>
      <c r="GP11" s="74">
        <f t="shared" ref="GP11:IH11" si="8">IF(($D$2="Square Foot"),INT(GP15/$A$2/20),INT(GP15/9/20))</f>
        <v>0</v>
      </c>
      <c r="GQ11" s="74">
        <f t="shared" si="8"/>
        <v>0</v>
      </c>
      <c r="GR11" s="74">
        <f t="shared" si="8"/>
        <v>0</v>
      </c>
      <c r="GS11" s="74">
        <f t="shared" si="8"/>
        <v>0</v>
      </c>
      <c r="GT11" s="74">
        <f t="shared" si="8"/>
        <v>0</v>
      </c>
      <c r="GU11" s="74">
        <f t="shared" si="8"/>
        <v>0</v>
      </c>
      <c r="GV11" s="74">
        <f t="shared" si="8"/>
        <v>0</v>
      </c>
      <c r="GW11" s="74">
        <f t="shared" si="8"/>
        <v>0</v>
      </c>
      <c r="GX11" s="74">
        <f t="shared" si="8"/>
        <v>0</v>
      </c>
      <c r="GY11" s="74">
        <f t="shared" si="8"/>
        <v>0</v>
      </c>
      <c r="GZ11" s="74">
        <f t="shared" si="8"/>
        <v>0</v>
      </c>
      <c r="HA11" s="74">
        <f t="shared" si="8"/>
        <v>0</v>
      </c>
      <c r="HB11" s="74">
        <f t="shared" si="8"/>
        <v>0</v>
      </c>
      <c r="HC11" s="74">
        <f t="shared" si="8"/>
        <v>0</v>
      </c>
      <c r="HD11" s="74">
        <f t="shared" si="8"/>
        <v>0</v>
      </c>
      <c r="HE11" s="74">
        <f t="shared" si="8"/>
        <v>0</v>
      </c>
      <c r="HF11" s="74">
        <f t="shared" si="8"/>
        <v>0</v>
      </c>
      <c r="HG11" s="74">
        <f t="shared" si="8"/>
        <v>0</v>
      </c>
      <c r="HH11" s="74">
        <f t="shared" si="8"/>
        <v>0</v>
      </c>
      <c r="HI11" s="74">
        <f t="shared" si="8"/>
        <v>0</v>
      </c>
      <c r="HJ11" s="74">
        <f t="shared" si="8"/>
        <v>0</v>
      </c>
      <c r="HK11" s="74">
        <f t="shared" si="8"/>
        <v>0</v>
      </c>
      <c r="HL11" s="74">
        <f t="shared" si="8"/>
        <v>0</v>
      </c>
      <c r="HM11" s="74">
        <f t="shared" si="8"/>
        <v>0</v>
      </c>
      <c r="HN11" s="74">
        <f t="shared" si="8"/>
        <v>0</v>
      </c>
      <c r="HO11" s="74">
        <f t="shared" si="8"/>
        <v>0</v>
      </c>
      <c r="HP11" s="74">
        <f t="shared" si="8"/>
        <v>0</v>
      </c>
      <c r="HQ11" s="74">
        <f t="shared" si="8"/>
        <v>0</v>
      </c>
      <c r="HR11" s="74">
        <f t="shared" si="8"/>
        <v>0</v>
      </c>
      <c r="HS11" s="74">
        <f t="shared" si="8"/>
        <v>0</v>
      </c>
      <c r="HT11" s="74">
        <f t="shared" si="8"/>
        <v>0</v>
      </c>
      <c r="HU11" s="74">
        <f t="shared" si="8"/>
        <v>0</v>
      </c>
      <c r="HV11" s="74">
        <f t="shared" si="8"/>
        <v>0</v>
      </c>
      <c r="HW11" s="74">
        <f t="shared" si="8"/>
        <v>0</v>
      </c>
      <c r="HX11" s="74">
        <f t="shared" si="8"/>
        <v>0</v>
      </c>
      <c r="HY11" s="74">
        <f t="shared" si="8"/>
        <v>0</v>
      </c>
      <c r="HZ11" s="74">
        <f t="shared" si="8"/>
        <v>0</v>
      </c>
      <c r="IA11" s="74">
        <f t="shared" si="8"/>
        <v>0</v>
      </c>
      <c r="IB11" s="74">
        <f t="shared" si="8"/>
        <v>0</v>
      </c>
      <c r="IC11" s="74">
        <f t="shared" si="8"/>
        <v>0</v>
      </c>
      <c r="ID11" s="74">
        <f t="shared" si="8"/>
        <v>0</v>
      </c>
      <c r="IE11" s="74">
        <f t="shared" si="8"/>
        <v>0</v>
      </c>
      <c r="IF11" s="74">
        <f t="shared" si="8"/>
        <v>0</v>
      </c>
      <c r="IG11" s="74">
        <f t="shared" si="8"/>
        <v>0</v>
      </c>
      <c r="IH11" s="74">
        <f t="shared" si="8"/>
        <v>0</v>
      </c>
    </row>
    <row r="12" spans="1:262" s="50" customFormat="1" ht="15.75" thickBot="1" x14ac:dyDescent="0.3">
      <c r="A12" s="75" t="s">
        <v>44</v>
      </c>
      <c r="B12" s="76" t="s">
        <v>45</v>
      </c>
      <c r="D12" s="77" t="s">
        <v>46</v>
      </c>
      <c r="E12" s="78">
        <f>(INT(E14-E11*20))</f>
        <v>0</v>
      </c>
      <c r="F12" s="78">
        <f t="shared" ref="F12:BQ12" si="9">(INT(F14-F11*20))</f>
        <v>0</v>
      </c>
      <c r="G12" s="78">
        <f t="shared" si="9"/>
        <v>0</v>
      </c>
      <c r="H12" s="78">
        <f t="shared" si="9"/>
        <v>0</v>
      </c>
      <c r="I12" s="78">
        <f t="shared" si="9"/>
        <v>0</v>
      </c>
      <c r="J12" s="78">
        <f t="shared" si="9"/>
        <v>0</v>
      </c>
      <c r="K12" s="78">
        <f t="shared" si="9"/>
        <v>0</v>
      </c>
      <c r="L12" s="78">
        <f t="shared" si="9"/>
        <v>0</v>
      </c>
      <c r="M12" s="78">
        <f t="shared" si="9"/>
        <v>0</v>
      </c>
      <c r="N12" s="78">
        <f t="shared" si="9"/>
        <v>0</v>
      </c>
      <c r="O12" s="78">
        <f t="shared" si="9"/>
        <v>0</v>
      </c>
      <c r="P12" s="78">
        <f t="shared" si="9"/>
        <v>0</v>
      </c>
      <c r="Q12" s="78">
        <f t="shared" si="9"/>
        <v>0</v>
      </c>
      <c r="R12" s="78">
        <f t="shared" si="9"/>
        <v>0</v>
      </c>
      <c r="S12" s="78">
        <f t="shared" si="9"/>
        <v>0</v>
      </c>
      <c r="T12" s="78">
        <f t="shared" si="9"/>
        <v>0</v>
      </c>
      <c r="U12" s="78">
        <f t="shared" si="9"/>
        <v>0</v>
      </c>
      <c r="V12" s="78">
        <f t="shared" si="9"/>
        <v>0</v>
      </c>
      <c r="W12" s="78">
        <f t="shared" si="9"/>
        <v>0</v>
      </c>
      <c r="X12" s="78">
        <f t="shared" si="9"/>
        <v>0</v>
      </c>
      <c r="Y12" s="78">
        <f t="shared" si="9"/>
        <v>0</v>
      </c>
      <c r="Z12" s="78">
        <f t="shared" si="9"/>
        <v>0</v>
      </c>
      <c r="AA12" s="78">
        <f t="shared" si="9"/>
        <v>0</v>
      </c>
      <c r="AB12" s="78">
        <f t="shared" si="9"/>
        <v>0</v>
      </c>
      <c r="AC12" s="78">
        <f t="shared" si="9"/>
        <v>0</v>
      </c>
      <c r="AD12" s="78">
        <f t="shared" si="9"/>
        <v>0</v>
      </c>
      <c r="AE12" s="78">
        <f t="shared" si="9"/>
        <v>0</v>
      </c>
      <c r="AF12" s="78">
        <f t="shared" si="9"/>
        <v>0</v>
      </c>
      <c r="AG12" s="78">
        <f t="shared" si="9"/>
        <v>0</v>
      </c>
      <c r="AH12" s="78">
        <f t="shared" si="9"/>
        <v>0</v>
      </c>
      <c r="AI12" s="78">
        <f t="shared" si="9"/>
        <v>0</v>
      </c>
      <c r="AJ12" s="78">
        <f t="shared" si="9"/>
        <v>0</v>
      </c>
      <c r="AK12" s="78">
        <f t="shared" si="9"/>
        <v>0</v>
      </c>
      <c r="AL12" s="78">
        <f t="shared" si="9"/>
        <v>0</v>
      </c>
      <c r="AM12" s="78">
        <f t="shared" si="9"/>
        <v>0</v>
      </c>
      <c r="AN12" s="78">
        <f t="shared" si="9"/>
        <v>0</v>
      </c>
      <c r="AO12" s="78">
        <f t="shared" si="9"/>
        <v>0</v>
      </c>
      <c r="AP12" s="78">
        <f t="shared" si="9"/>
        <v>0</v>
      </c>
      <c r="AQ12" s="78">
        <f t="shared" si="9"/>
        <v>0</v>
      </c>
      <c r="AR12" s="78">
        <f t="shared" si="9"/>
        <v>0</v>
      </c>
      <c r="AS12" s="78">
        <f t="shared" si="9"/>
        <v>0</v>
      </c>
      <c r="AT12" s="78">
        <f t="shared" si="9"/>
        <v>0</v>
      </c>
      <c r="AU12" s="78">
        <f t="shared" si="9"/>
        <v>0</v>
      </c>
      <c r="AV12" s="78">
        <f t="shared" si="9"/>
        <v>0</v>
      </c>
      <c r="AW12" s="78">
        <f t="shared" si="9"/>
        <v>0</v>
      </c>
      <c r="AX12" s="78">
        <f t="shared" si="9"/>
        <v>0</v>
      </c>
      <c r="AY12" s="78">
        <f t="shared" si="9"/>
        <v>0</v>
      </c>
      <c r="AZ12" s="78">
        <f t="shared" si="9"/>
        <v>0</v>
      </c>
      <c r="BA12" s="78">
        <f t="shared" si="9"/>
        <v>0</v>
      </c>
      <c r="BB12" s="78">
        <f t="shared" si="9"/>
        <v>0</v>
      </c>
      <c r="BC12" s="78">
        <f t="shared" si="9"/>
        <v>0</v>
      </c>
      <c r="BD12" s="78">
        <f t="shared" si="9"/>
        <v>0</v>
      </c>
      <c r="BE12" s="78">
        <f t="shared" si="9"/>
        <v>0</v>
      </c>
      <c r="BF12" s="78">
        <f t="shared" si="9"/>
        <v>0</v>
      </c>
      <c r="BG12" s="78">
        <f t="shared" si="9"/>
        <v>0</v>
      </c>
      <c r="BH12" s="78">
        <f t="shared" si="9"/>
        <v>0</v>
      </c>
      <c r="BI12" s="78">
        <f t="shared" si="9"/>
        <v>0</v>
      </c>
      <c r="BJ12" s="78">
        <f t="shared" si="9"/>
        <v>0</v>
      </c>
      <c r="BK12" s="78">
        <f t="shared" si="9"/>
        <v>0</v>
      </c>
      <c r="BL12" s="78">
        <f t="shared" si="9"/>
        <v>0</v>
      </c>
      <c r="BM12" s="78">
        <f t="shared" si="9"/>
        <v>0</v>
      </c>
      <c r="BN12" s="78">
        <f t="shared" si="9"/>
        <v>0</v>
      </c>
      <c r="BO12" s="78">
        <f t="shared" si="9"/>
        <v>0</v>
      </c>
      <c r="BP12" s="78">
        <f t="shared" si="9"/>
        <v>0</v>
      </c>
      <c r="BQ12" s="78">
        <f t="shared" si="9"/>
        <v>0</v>
      </c>
      <c r="BR12" s="78">
        <f t="shared" ref="BR12:EC12" si="10">(INT(BR14-BR11*20))</f>
        <v>0</v>
      </c>
      <c r="BS12" s="78">
        <f t="shared" si="10"/>
        <v>0</v>
      </c>
      <c r="BT12" s="78">
        <f t="shared" si="10"/>
        <v>0</v>
      </c>
      <c r="BU12" s="78">
        <f t="shared" si="10"/>
        <v>0</v>
      </c>
      <c r="BV12" s="78">
        <f t="shared" si="10"/>
        <v>0</v>
      </c>
      <c r="BW12" s="78">
        <f t="shared" si="10"/>
        <v>0</v>
      </c>
      <c r="BX12" s="78">
        <f t="shared" si="10"/>
        <v>0</v>
      </c>
      <c r="BY12" s="78">
        <f t="shared" si="10"/>
        <v>0</v>
      </c>
      <c r="BZ12" s="78">
        <f t="shared" si="10"/>
        <v>0</v>
      </c>
      <c r="CA12" s="78">
        <f t="shared" si="10"/>
        <v>0</v>
      </c>
      <c r="CB12" s="78">
        <f t="shared" si="10"/>
        <v>0</v>
      </c>
      <c r="CC12" s="78">
        <f t="shared" si="10"/>
        <v>0</v>
      </c>
      <c r="CD12" s="78">
        <f t="shared" si="10"/>
        <v>0</v>
      </c>
      <c r="CE12" s="78">
        <f t="shared" si="10"/>
        <v>0</v>
      </c>
      <c r="CF12" s="78">
        <f t="shared" si="10"/>
        <v>0</v>
      </c>
      <c r="CG12" s="78">
        <f t="shared" si="10"/>
        <v>0</v>
      </c>
      <c r="CH12" s="78">
        <f t="shared" si="10"/>
        <v>0</v>
      </c>
      <c r="CI12" s="78">
        <f t="shared" si="10"/>
        <v>0</v>
      </c>
      <c r="CJ12" s="78">
        <f t="shared" si="10"/>
        <v>0</v>
      </c>
      <c r="CK12" s="78">
        <f t="shared" si="10"/>
        <v>0</v>
      </c>
      <c r="CL12" s="78">
        <f t="shared" si="10"/>
        <v>0</v>
      </c>
      <c r="CM12" s="78">
        <f t="shared" si="10"/>
        <v>0</v>
      </c>
      <c r="CN12" s="78">
        <f t="shared" si="10"/>
        <v>0</v>
      </c>
      <c r="CO12" s="78">
        <f t="shared" si="10"/>
        <v>0</v>
      </c>
      <c r="CP12" s="78">
        <f t="shared" si="10"/>
        <v>0</v>
      </c>
      <c r="CQ12" s="78">
        <f t="shared" si="10"/>
        <v>0</v>
      </c>
      <c r="CR12" s="78">
        <f t="shared" si="10"/>
        <v>0</v>
      </c>
      <c r="CS12" s="78">
        <f t="shared" si="10"/>
        <v>0</v>
      </c>
      <c r="CT12" s="78">
        <f t="shared" si="10"/>
        <v>0</v>
      </c>
      <c r="CU12" s="78">
        <f t="shared" si="10"/>
        <v>0</v>
      </c>
      <c r="CV12" s="78">
        <f t="shared" si="10"/>
        <v>0</v>
      </c>
      <c r="CW12" s="78">
        <f t="shared" si="10"/>
        <v>0</v>
      </c>
      <c r="CX12" s="78">
        <f t="shared" si="10"/>
        <v>0</v>
      </c>
      <c r="CY12" s="78">
        <f t="shared" si="10"/>
        <v>0</v>
      </c>
      <c r="CZ12" s="78">
        <f t="shared" si="10"/>
        <v>0</v>
      </c>
      <c r="DA12" s="78">
        <f t="shared" si="10"/>
        <v>0</v>
      </c>
      <c r="DB12" s="78">
        <f t="shared" si="10"/>
        <v>0</v>
      </c>
      <c r="DC12" s="78">
        <f t="shared" si="10"/>
        <v>0</v>
      </c>
      <c r="DD12" s="78">
        <f t="shared" si="10"/>
        <v>0</v>
      </c>
      <c r="DE12" s="78">
        <f t="shared" si="10"/>
        <v>0</v>
      </c>
      <c r="DF12" s="78">
        <f t="shared" si="10"/>
        <v>0</v>
      </c>
      <c r="DG12" s="78">
        <f t="shared" si="10"/>
        <v>0</v>
      </c>
      <c r="DH12" s="78">
        <f t="shared" si="10"/>
        <v>0</v>
      </c>
      <c r="DI12" s="78">
        <f t="shared" si="10"/>
        <v>0</v>
      </c>
      <c r="DJ12" s="78">
        <f t="shared" si="10"/>
        <v>0</v>
      </c>
      <c r="DK12" s="78">
        <f t="shared" si="10"/>
        <v>0</v>
      </c>
      <c r="DL12" s="78">
        <f t="shared" si="10"/>
        <v>0</v>
      </c>
      <c r="DM12" s="78">
        <f t="shared" si="10"/>
        <v>0</v>
      </c>
      <c r="DN12" s="78">
        <f t="shared" si="10"/>
        <v>0</v>
      </c>
      <c r="DO12" s="78">
        <f t="shared" si="10"/>
        <v>0</v>
      </c>
      <c r="DP12" s="78">
        <f t="shared" si="10"/>
        <v>0</v>
      </c>
      <c r="DQ12" s="78">
        <f t="shared" si="10"/>
        <v>0</v>
      </c>
      <c r="DR12" s="78">
        <f t="shared" si="10"/>
        <v>0</v>
      </c>
      <c r="DS12" s="78">
        <f t="shared" si="10"/>
        <v>0</v>
      </c>
      <c r="DT12" s="78">
        <f t="shared" si="10"/>
        <v>0</v>
      </c>
      <c r="DU12" s="78">
        <f t="shared" si="10"/>
        <v>0</v>
      </c>
      <c r="DV12" s="78">
        <f t="shared" si="10"/>
        <v>0</v>
      </c>
      <c r="DW12" s="78">
        <f t="shared" si="10"/>
        <v>0</v>
      </c>
      <c r="DX12" s="78">
        <f t="shared" si="10"/>
        <v>0</v>
      </c>
      <c r="DY12" s="78">
        <f t="shared" si="10"/>
        <v>0</v>
      </c>
      <c r="DZ12" s="78">
        <f t="shared" si="10"/>
        <v>0</v>
      </c>
      <c r="EA12" s="78">
        <f t="shared" si="10"/>
        <v>0</v>
      </c>
      <c r="EB12" s="78">
        <f t="shared" si="10"/>
        <v>0</v>
      </c>
      <c r="EC12" s="78">
        <f t="shared" si="10"/>
        <v>0</v>
      </c>
      <c r="ED12" s="78">
        <f t="shared" ref="ED12:GO12" si="11">(INT(ED14-ED11*20))</f>
        <v>0</v>
      </c>
      <c r="EE12" s="78">
        <f t="shared" si="11"/>
        <v>0</v>
      </c>
      <c r="EF12" s="78">
        <f t="shared" si="11"/>
        <v>0</v>
      </c>
      <c r="EG12" s="78">
        <f t="shared" si="11"/>
        <v>0</v>
      </c>
      <c r="EH12" s="78">
        <f t="shared" si="11"/>
        <v>0</v>
      </c>
      <c r="EI12" s="78">
        <f t="shared" si="11"/>
        <v>0</v>
      </c>
      <c r="EJ12" s="78">
        <f t="shared" si="11"/>
        <v>0</v>
      </c>
      <c r="EK12" s="78">
        <f t="shared" si="11"/>
        <v>0</v>
      </c>
      <c r="EL12" s="78">
        <f t="shared" si="11"/>
        <v>0</v>
      </c>
      <c r="EM12" s="78">
        <f t="shared" si="11"/>
        <v>0</v>
      </c>
      <c r="EN12" s="78">
        <f t="shared" si="11"/>
        <v>0</v>
      </c>
      <c r="EO12" s="78">
        <f t="shared" si="11"/>
        <v>0</v>
      </c>
      <c r="EP12" s="78">
        <f t="shared" si="11"/>
        <v>0</v>
      </c>
      <c r="EQ12" s="78">
        <f t="shared" si="11"/>
        <v>0</v>
      </c>
      <c r="ER12" s="78">
        <f t="shared" si="11"/>
        <v>0</v>
      </c>
      <c r="ES12" s="78">
        <f t="shared" si="11"/>
        <v>0</v>
      </c>
      <c r="ET12" s="78">
        <f t="shared" si="11"/>
        <v>0</v>
      </c>
      <c r="EU12" s="78">
        <f t="shared" si="11"/>
        <v>0</v>
      </c>
      <c r="EV12" s="78">
        <f t="shared" si="11"/>
        <v>0</v>
      </c>
      <c r="EW12" s="78">
        <f t="shared" si="11"/>
        <v>0</v>
      </c>
      <c r="EX12" s="78">
        <f t="shared" si="11"/>
        <v>0</v>
      </c>
      <c r="EY12" s="78">
        <f t="shared" si="11"/>
        <v>0</v>
      </c>
      <c r="EZ12" s="78">
        <f t="shared" si="11"/>
        <v>0</v>
      </c>
      <c r="FA12" s="78">
        <f t="shared" si="11"/>
        <v>0</v>
      </c>
      <c r="FB12" s="78">
        <f t="shared" si="11"/>
        <v>0</v>
      </c>
      <c r="FC12" s="78">
        <f t="shared" si="11"/>
        <v>0</v>
      </c>
      <c r="FD12" s="78">
        <f t="shared" si="11"/>
        <v>0</v>
      </c>
      <c r="FE12" s="78">
        <f t="shared" si="11"/>
        <v>0</v>
      </c>
      <c r="FF12" s="78">
        <f t="shared" si="11"/>
        <v>0</v>
      </c>
      <c r="FG12" s="78">
        <f t="shared" si="11"/>
        <v>0</v>
      </c>
      <c r="FH12" s="78">
        <f t="shared" si="11"/>
        <v>0</v>
      </c>
      <c r="FI12" s="78">
        <f t="shared" si="11"/>
        <v>0</v>
      </c>
      <c r="FJ12" s="78">
        <f t="shared" si="11"/>
        <v>0</v>
      </c>
      <c r="FK12" s="78">
        <f t="shared" si="11"/>
        <v>0</v>
      </c>
      <c r="FL12" s="78">
        <f t="shared" si="11"/>
        <v>0</v>
      </c>
      <c r="FM12" s="78">
        <f t="shared" si="11"/>
        <v>0</v>
      </c>
      <c r="FN12" s="78">
        <f t="shared" si="11"/>
        <v>0</v>
      </c>
      <c r="FO12" s="78">
        <f t="shared" si="11"/>
        <v>0</v>
      </c>
      <c r="FP12" s="78">
        <f t="shared" si="11"/>
        <v>0</v>
      </c>
      <c r="FQ12" s="78">
        <f t="shared" si="11"/>
        <v>0</v>
      </c>
      <c r="FR12" s="78">
        <f t="shared" si="11"/>
        <v>0</v>
      </c>
      <c r="FS12" s="78">
        <f t="shared" si="11"/>
        <v>0</v>
      </c>
      <c r="FT12" s="78">
        <f t="shared" si="11"/>
        <v>0</v>
      </c>
      <c r="FU12" s="78">
        <f t="shared" si="11"/>
        <v>0</v>
      </c>
      <c r="FV12" s="78">
        <f t="shared" si="11"/>
        <v>0</v>
      </c>
      <c r="FW12" s="78">
        <f t="shared" si="11"/>
        <v>0</v>
      </c>
      <c r="FX12" s="78">
        <f t="shared" si="11"/>
        <v>0</v>
      </c>
      <c r="FY12" s="78">
        <f t="shared" si="11"/>
        <v>0</v>
      </c>
      <c r="FZ12" s="78">
        <f t="shared" si="11"/>
        <v>0</v>
      </c>
      <c r="GA12" s="78">
        <f t="shared" si="11"/>
        <v>0</v>
      </c>
      <c r="GB12" s="78">
        <f t="shared" si="11"/>
        <v>0</v>
      </c>
      <c r="GC12" s="78">
        <f t="shared" si="11"/>
        <v>0</v>
      </c>
      <c r="GD12" s="78">
        <f t="shared" si="11"/>
        <v>0</v>
      </c>
      <c r="GE12" s="78">
        <f t="shared" si="11"/>
        <v>0</v>
      </c>
      <c r="GF12" s="78">
        <f t="shared" si="11"/>
        <v>0</v>
      </c>
      <c r="GG12" s="78">
        <f t="shared" si="11"/>
        <v>0</v>
      </c>
      <c r="GH12" s="78">
        <f t="shared" si="11"/>
        <v>0</v>
      </c>
      <c r="GI12" s="78">
        <f t="shared" si="11"/>
        <v>0</v>
      </c>
      <c r="GJ12" s="78">
        <f t="shared" si="11"/>
        <v>0</v>
      </c>
      <c r="GK12" s="78">
        <f t="shared" si="11"/>
        <v>0</v>
      </c>
      <c r="GL12" s="78">
        <f t="shared" si="11"/>
        <v>0</v>
      </c>
      <c r="GM12" s="78">
        <f t="shared" si="11"/>
        <v>0</v>
      </c>
      <c r="GN12" s="78">
        <f t="shared" si="11"/>
        <v>0</v>
      </c>
      <c r="GO12" s="78">
        <f t="shared" si="11"/>
        <v>0</v>
      </c>
      <c r="GP12" s="78">
        <f t="shared" ref="GP12:IH12" si="12">(INT(GP14-GP11*20))</f>
        <v>0</v>
      </c>
      <c r="GQ12" s="78">
        <f t="shared" si="12"/>
        <v>0</v>
      </c>
      <c r="GR12" s="78">
        <f t="shared" si="12"/>
        <v>0</v>
      </c>
      <c r="GS12" s="78">
        <f t="shared" si="12"/>
        <v>0</v>
      </c>
      <c r="GT12" s="78">
        <f t="shared" si="12"/>
        <v>0</v>
      </c>
      <c r="GU12" s="78">
        <f t="shared" si="12"/>
        <v>0</v>
      </c>
      <c r="GV12" s="78">
        <f t="shared" si="12"/>
        <v>0</v>
      </c>
      <c r="GW12" s="78">
        <f t="shared" si="12"/>
        <v>0</v>
      </c>
      <c r="GX12" s="78">
        <f t="shared" si="12"/>
        <v>0</v>
      </c>
      <c r="GY12" s="78">
        <f t="shared" si="12"/>
        <v>0</v>
      </c>
      <c r="GZ12" s="78">
        <f t="shared" si="12"/>
        <v>0</v>
      </c>
      <c r="HA12" s="78">
        <f t="shared" si="12"/>
        <v>0</v>
      </c>
      <c r="HB12" s="78">
        <f t="shared" si="12"/>
        <v>0</v>
      </c>
      <c r="HC12" s="78">
        <f t="shared" si="12"/>
        <v>0</v>
      </c>
      <c r="HD12" s="78">
        <f t="shared" si="12"/>
        <v>0</v>
      </c>
      <c r="HE12" s="78">
        <f t="shared" si="12"/>
        <v>0</v>
      </c>
      <c r="HF12" s="78">
        <f t="shared" si="12"/>
        <v>0</v>
      </c>
      <c r="HG12" s="78">
        <f t="shared" si="12"/>
        <v>0</v>
      </c>
      <c r="HH12" s="78">
        <f t="shared" si="12"/>
        <v>0</v>
      </c>
      <c r="HI12" s="78">
        <f t="shared" si="12"/>
        <v>0</v>
      </c>
      <c r="HJ12" s="78">
        <f t="shared" si="12"/>
        <v>0</v>
      </c>
      <c r="HK12" s="78">
        <f t="shared" si="12"/>
        <v>0</v>
      </c>
      <c r="HL12" s="78">
        <f t="shared" si="12"/>
        <v>0</v>
      </c>
      <c r="HM12" s="78">
        <f t="shared" si="12"/>
        <v>0</v>
      </c>
      <c r="HN12" s="78">
        <f t="shared" si="12"/>
        <v>0</v>
      </c>
      <c r="HO12" s="78">
        <f t="shared" si="12"/>
        <v>0</v>
      </c>
      <c r="HP12" s="78">
        <f t="shared" si="12"/>
        <v>0</v>
      </c>
      <c r="HQ12" s="78">
        <f t="shared" si="12"/>
        <v>0</v>
      </c>
      <c r="HR12" s="78">
        <f t="shared" si="12"/>
        <v>0</v>
      </c>
      <c r="HS12" s="78">
        <f t="shared" si="12"/>
        <v>0</v>
      </c>
      <c r="HT12" s="78">
        <f t="shared" si="12"/>
        <v>0</v>
      </c>
      <c r="HU12" s="78">
        <f t="shared" si="12"/>
        <v>0</v>
      </c>
      <c r="HV12" s="78">
        <f t="shared" si="12"/>
        <v>0</v>
      </c>
      <c r="HW12" s="78">
        <f t="shared" si="12"/>
        <v>0</v>
      </c>
      <c r="HX12" s="78">
        <f t="shared" si="12"/>
        <v>0</v>
      </c>
      <c r="HY12" s="78">
        <f t="shared" si="12"/>
        <v>0</v>
      </c>
      <c r="HZ12" s="78">
        <f t="shared" si="12"/>
        <v>0</v>
      </c>
      <c r="IA12" s="78">
        <f t="shared" si="12"/>
        <v>0</v>
      </c>
      <c r="IB12" s="78">
        <f t="shared" si="12"/>
        <v>0</v>
      </c>
      <c r="IC12" s="78">
        <f t="shared" si="12"/>
        <v>0</v>
      </c>
      <c r="ID12" s="78">
        <f t="shared" si="12"/>
        <v>0</v>
      </c>
      <c r="IE12" s="78">
        <f t="shared" si="12"/>
        <v>0</v>
      </c>
      <c r="IF12" s="78">
        <f t="shared" si="12"/>
        <v>0</v>
      </c>
      <c r="IG12" s="78">
        <f t="shared" si="12"/>
        <v>0</v>
      </c>
      <c r="IH12" s="78">
        <f t="shared" si="12"/>
        <v>0</v>
      </c>
    </row>
    <row r="13" spans="1:262" s="50" customFormat="1" x14ac:dyDescent="0.25">
      <c r="A13" s="79">
        <f>L4</f>
        <v>11424</v>
      </c>
      <c r="B13" s="162">
        <f>SUM(E15:XFD15)</f>
        <v>0</v>
      </c>
      <c r="D13" s="73" t="str">
        <f>D2</f>
        <v>Square Foot</v>
      </c>
      <c r="E13" s="78">
        <f t="shared" ref="E13" si="13">IF($D$2="Square Foot",E101,E100)</f>
        <v>0</v>
      </c>
      <c r="F13" s="78">
        <f t="shared" ref="F13:BQ13" si="14">IF($D$2="Square Foot",F101,F100)</f>
        <v>0</v>
      </c>
      <c r="G13" s="78">
        <f t="shared" si="14"/>
        <v>0</v>
      </c>
      <c r="H13" s="78">
        <f t="shared" si="14"/>
        <v>0</v>
      </c>
      <c r="I13" s="78">
        <f t="shared" si="14"/>
        <v>0</v>
      </c>
      <c r="J13" s="78">
        <f t="shared" si="14"/>
        <v>0</v>
      </c>
      <c r="K13" s="78">
        <f t="shared" si="14"/>
        <v>0</v>
      </c>
      <c r="L13" s="78">
        <f t="shared" si="14"/>
        <v>0</v>
      </c>
      <c r="M13" s="78">
        <f t="shared" si="14"/>
        <v>0</v>
      </c>
      <c r="N13" s="78">
        <f t="shared" si="14"/>
        <v>0</v>
      </c>
      <c r="O13" s="78">
        <f t="shared" si="14"/>
        <v>0</v>
      </c>
      <c r="P13" s="78">
        <f t="shared" si="14"/>
        <v>0</v>
      </c>
      <c r="Q13" s="78">
        <f t="shared" si="14"/>
        <v>0</v>
      </c>
      <c r="R13" s="78">
        <f t="shared" si="14"/>
        <v>0</v>
      </c>
      <c r="S13" s="78">
        <f t="shared" si="14"/>
        <v>0</v>
      </c>
      <c r="T13" s="78">
        <f t="shared" si="14"/>
        <v>0</v>
      </c>
      <c r="U13" s="78">
        <f t="shared" si="14"/>
        <v>0</v>
      </c>
      <c r="V13" s="78">
        <f t="shared" si="14"/>
        <v>0</v>
      </c>
      <c r="W13" s="78">
        <f t="shared" si="14"/>
        <v>0</v>
      </c>
      <c r="X13" s="78">
        <f t="shared" si="14"/>
        <v>0</v>
      </c>
      <c r="Y13" s="78">
        <f t="shared" si="14"/>
        <v>0</v>
      </c>
      <c r="Z13" s="78">
        <f t="shared" si="14"/>
        <v>0</v>
      </c>
      <c r="AA13" s="78">
        <f t="shared" si="14"/>
        <v>0</v>
      </c>
      <c r="AB13" s="78">
        <f t="shared" si="14"/>
        <v>0</v>
      </c>
      <c r="AC13" s="78">
        <f t="shared" si="14"/>
        <v>0</v>
      </c>
      <c r="AD13" s="78">
        <f t="shared" si="14"/>
        <v>0</v>
      </c>
      <c r="AE13" s="78">
        <f t="shared" si="14"/>
        <v>0</v>
      </c>
      <c r="AF13" s="78">
        <f t="shared" si="14"/>
        <v>0</v>
      </c>
      <c r="AG13" s="78">
        <f t="shared" si="14"/>
        <v>0</v>
      </c>
      <c r="AH13" s="78">
        <f t="shared" si="14"/>
        <v>0</v>
      </c>
      <c r="AI13" s="78">
        <f t="shared" si="14"/>
        <v>0</v>
      </c>
      <c r="AJ13" s="78">
        <f t="shared" si="14"/>
        <v>0</v>
      </c>
      <c r="AK13" s="78">
        <f t="shared" si="14"/>
        <v>0</v>
      </c>
      <c r="AL13" s="78">
        <f t="shared" si="14"/>
        <v>0</v>
      </c>
      <c r="AM13" s="78">
        <f t="shared" si="14"/>
        <v>0</v>
      </c>
      <c r="AN13" s="78">
        <f t="shared" si="14"/>
        <v>0</v>
      </c>
      <c r="AO13" s="78">
        <f t="shared" si="14"/>
        <v>0</v>
      </c>
      <c r="AP13" s="78">
        <f t="shared" si="14"/>
        <v>0</v>
      </c>
      <c r="AQ13" s="78">
        <f t="shared" si="14"/>
        <v>0</v>
      </c>
      <c r="AR13" s="78">
        <f t="shared" si="14"/>
        <v>0</v>
      </c>
      <c r="AS13" s="78">
        <f t="shared" si="14"/>
        <v>0</v>
      </c>
      <c r="AT13" s="78">
        <f t="shared" si="14"/>
        <v>0</v>
      </c>
      <c r="AU13" s="78">
        <f t="shared" si="14"/>
        <v>0</v>
      </c>
      <c r="AV13" s="78">
        <f t="shared" si="14"/>
        <v>0</v>
      </c>
      <c r="AW13" s="78">
        <f t="shared" si="14"/>
        <v>0</v>
      </c>
      <c r="AX13" s="78">
        <f t="shared" si="14"/>
        <v>0</v>
      </c>
      <c r="AY13" s="78">
        <f t="shared" si="14"/>
        <v>0</v>
      </c>
      <c r="AZ13" s="78">
        <f t="shared" si="14"/>
        <v>0</v>
      </c>
      <c r="BA13" s="78">
        <f t="shared" si="14"/>
        <v>0</v>
      </c>
      <c r="BB13" s="78">
        <f t="shared" si="14"/>
        <v>0</v>
      </c>
      <c r="BC13" s="78">
        <f t="shared" si="14"/>
        <v>0</v>
      </c>
      <c r="BD13" s="78">
        <f t="shared" si="14"/>
        <v>0</v>
      </c>
      <c r="BE13" s="78">
        <f t="shared" si="14"/>
        <v>0</v>
      </c>
      <c r="BF13" s="78">
        <f t="shared" si="14"/>
        <v>0</v>
      </c>
      <c r="BG13" s="78">
        <f t="shared" si="14"/>
        <v>0</v>
      </c>
      <c r="BH13" s="78">
        <f t="shared" si="14"/>
        <v>0</v>
      </c>
      <c r="BI13" s="78">
        <f t="shared" si="14"/>
        <v>0</v>
      </c>
      <c r="BJ13" s="78">
        <f t="shared" si="14"/>
        <v>0</v>
      </c>
      <c r="BK13" s="78">
        <f t="shared" si="14"/>
        <v>0</v>
      </c>
      <c r="BL13" s="78">
        <f t="shared" si="14"/>
        <v>0</v>
      </c>
      <c r="BM13" s="78">
        <f t="shared" si="14"/>
        <v>0</v>
      </c>
      <c r="BN13" s="78">
        <f t="shared" si="14"/>
        <v>0</v>
      </c>
      <c r="BO13" s="78">
        <f t="shared" si="14"/>
        <v>0</v>
      </c>
      <c r="BP13" s="78">
        <f t="shared" si="14"/>
        <v>0</v>
      </c>
      <c r="BQ13" s="78">
        <f t="shared" si="14"/>
        <v>0</v>
      </c>
      <c r="BR13" s="78">
        <f t="shared" ref="BR13:EC13" si="15">IF($D$2="Square Foot",BR101,BR100)</f>
        <v>0</v>
      </c>
      <c r="BS13" s="78">
        <f t="shared" si="15"/>
        <v>0</v>
      </c>
      <c r="BT13" s="78">
        <f t="shared" si="15"/>
        <v>0</v>
      </c>
      <c r="BU13" s="78">
        <f t="shared" si="15"/>
        <v>0</v>
      </c>
      <c r="BV13" s="78">
        <f t="shared" si="15"/>
        <v>0</v>
      </c>
      <c r="BW13" s="78">
        <f t="shared" si="15"/>
        <v>0</v>
      </c>
      <c r="BX13" s="78">
        <f t="shared" si="15"/>
        <v>0</v>
      </c>
      <c r="BY13" s="78">
        <f t="shared" si="15"/>
        <v>0</v>
      </c>
      <c r="BZ13" s="78">
        <f t="shared" si="15"/>
        <v>0</v>
      </c>
      <c r="CA13" s="78">
        <f t="shared" si="15"/>
        <v>0</v>
      </c>
      <c r="CB13" s="78">
        <f t="shared" si="15"/>
        <v>0</v>
      </c>
      <c r="CC13" s="78">
        <f t="shared" si="15"/>
        <v>0</v>
      </c>
      <c r="CD13" s="78">
        <f t="shared" si="15"/>
        <v>0</v>
      </c>
      <c r="CE13" s="78">
        <f t="shared" si="15"/>
        <v>0</v>
      </c>
      <c r="CF13" s="78">
        <f t="shared" si="15"/>
        <v>0</v>
      </c>
      <c r="CG13" s="78">
        <f t="shared" si="15"/>
        <v>0</v>
      </c>
      <c r="CH13" s="78">
        <f t="shared" si="15"/>
        <v>0</v>
      </c>
      <c r="CI13" s="78">
        <f t="shared" si="15"/>
        <v>0</v>
      </c>
      <c r="CJ13" s="78">
        <f t="shared" si="15"/>
        <v>0</v>
      </c>
      <c r="CK13" s="78">
        <f t="shared" si="15"/>
        <v>0</v>
      </c>
      <c r="CL13" s="78">
        <f t="shared" si="15"/>
        <v>0</v>
      </c>
      <c r="CM13" s="78">
        <f t="shared" si="15"/>
        <v>0</v>
      </c>
      <c r="CN13" s="78">
        <f t="shared" si="15"/>
        <v>0</v>
      </c>
      <c r="CO13" s="78">
        <f t="shared" si="15"/>
        <v>0</v>
      </c>
      <c r="CP13" s="78">
        <f t="shared" si="15"/>
        <v>0</v>
      </c>
      <c r="CQ13" s="78">
        <f t="shared" si="15"/>
        <v>0</v>
      </c>
      <c r="CR13" s="78">
        <f t="shared" si="15"/>
        <v>0</v>
      </c>
      <c r="CS13" s="78">
        <f t="shared" si="15"/>
        <v>0</v>
      </c>
      <c r="CT13" s="78">
        <f t="shared" si="15"/>
        <v>0</v>
      </c>
      <c r="CU13" s="78">
        <f t="shared" si="15"/>
        <v>0</v>
      </c>
      <c r="CV13" s="78">
        <f t="shared" si="15"/>
        <v>0</v>
      </c>
      <c r="CW13" s="78">
        <f t="shared" si="15"/>
        <v>0</v>
      </c>
      <c r="CX13" s="78">
        <f t="shared" si="15"/>
        <v>0</v>
      </c>
      <c r="CY13" s="78">
        <f t="shared" si="15"/>
        <v>0</v>
      </c>
      <c r="CZ13" s="78">
        <f t="shared" si="15"/>
        <v>0</v>
      </c>
      <c r="DA13" s="78">
        <f t="shared" si="15"/>
        <v>0</v>
      </c>
      <c r="DB13" s="78">
        <f t="shared" si="15"/>
        <v>0</v>
      </c>
      <c r="DC13" s="78">
        <f t="shared" si="15"/>
        <v>0</v>
      </c>
      <c r="DD13" s="78">
        <f t="shared" si="15"/>
        <v>0</v>
      </c>
      <c r="DE13" s="78">
        <f t="shared" si="15"/>
        <v>0</v>
      </c>
      <c r="DF13" s="78">
        <f t="shared" si="15"/>
        <v>0</v>
      </c>
      <c r="DG13" s="78">
        <f t="shared" si="15"/>
        <v>0</v>
      </c>
      <c r="DH13" s="78">
        <f t="shared" si="15"/>
        <v>0</v>
      </c>
      <c r="DI13" s="78">
        <f t="shared" si="15"/>
        <v>0</v>
      </c>
      <c r="DJ13" s="78">
        <f t="shared" si="15"/>
        <v>0</v>
      </c>
      <c r="DK13" s="78">
        <f t="shared" si="15"/>
        <v>0</v>
      </c>
      <c r="DL13" s="78">
        <f t="shared" si="15"/>
        <v>0</v>
      </c>
      <c r="DM13" s="78">
        <f t="shared" si="15"/>
        <v>0</v>
      </c>
      <c r="DN13" s="78">
        <f t="shared" si="15"/>
        <v>0</v>
      </c>
      <c r="DO13" s="78">
        <f t="shared" si="15"/>
        <v>0</v>
      </c>
      <c r="DP13" s="78">
        <f t="shared" si="15"/>
        <v>0</v>
      </c>
      <c r="DQ13" s="78">
        <f t="shared" si="15"/>
        <v>0</v>
      </c>
      <c r="DR13" s="78">
        <f t="shared" si="15"/>
        <v>0</v>
      </c>
      <c r="DS13" s="78">
        <f t="shared" si="15"/>
        <v>0</v>
      </c>
      <c r="DT13" s="78">
        <f t="shared" si="15"/>
        <v>0</v>
      </c>
      <c r="DU13" s="78">
        <f t="shared" si="15"/>
        <v>0</v>
      </c>
      <c r="DV13" s="78">
        <f t="shared" si="15"/>
        <v>0</v>
      </c>
      <c r="DW13" s="78">
        <f t="shared" si="15"/>
        <v>0</v>
      </c>
      <c r="DX13" s="78">
        <f t="shared" si="15"/>
        <v>0</v>
      </c>
      <c r="DY13" s="78">
        <f t="shared" si="15"/>
        <v>0</v>
      </c>
      <c r="DZ13" s="78">
        <f t="shared" si="15"/>
        <v>0</v>
      </c>
      <c r="EA13" s="78">
        <f t="shared" si="15"/>
        <v>0</v>
      </c>
      <c r="EB13" s="78">
        <f t="shared" si="15"/>
        <v>0</v>
      </c>
      <c r="EC13" s="78">
        <f t="shared" si="15"/>
        <v>0</v>
      </c>
      <c r="ED13" s="78">
        <f t="shared" ref="ED13:GO13" si="16">IF($D$2="Square Foot",ED101,ED100)</f>
        <v>0</v>
      </c>
      <c r="EE13" s="78">
        <f t="shared" si="16"/>
        <v>0</v>
      </c>
      <c r="EF13" s="78">
        <f t="shared" si="16"/>
        <v>0</v>
      </c>
      <c r="EG13" s="78">
        <f t="shared" si="16"/>
        <v>0</v>
      </c>
      <c r="EH13" s="78">
        <f t="shared" si="16"/>
        <v>0</v>
      </c>
      <c r="EI13" s="78">
        <f t="shared" si="16"/>
        <v>0</v>
      </c>
      <c r="EJ13" s="78">
        <f t="shared" si="16"/>
        <v>0</v>
      </c>
      <c r="EK13" s="78">
        <f t="shared" si="16"/>
        <v>0</v>
      </c>
      <c r="EL13" s="78">
        <f t="shared" si="16"/>
        <v>0</v>
      </c>
      <c r="EM13" s="78">
        <f t="shared" si="16"/>
        <v>0</v>
      </c>
      <c r="EN13" s="78">
        <f t="shared" si="16"/>
        <v>0</v>
      </c>
      <c r="EO13" s="78">
        <f t="shared" si="16"/>
        <v>0</v>
      </c>
      <c r="EP13" s="78">
        <f t="shared" si="16"/>
        <v>0</v>
      </c>
      <c r="EQ13" s="78">
        <f t="shared" si="16"/>
        <v>0</v>
      </c>
      <c r="ER13" s="78">
        <f t="shared" si="16"/>
        <v>0</v>
      </c>
      <c r="ES13" s="78">
        <f t="shared" si="16"/>
        <v>0</v>
      </c>
      <c r="ET13" s="78">
        <f t="shared" si="16"/>
        <v>0</v>
      </c>
      <c r="EU13" s="78">
        <f t="shared" si="16"/>
        <v>0</v>
      </c>
      <c r="EV13" s="78">
        <f t="shared" si="16"/>
        <v>0</v>
      </c>
      <c r="EW13" s="78">
        <f t="shared" si="16"/>
        <v>0</v>
      </c>
      <c r="EX13" s="78">
        <f t="shared" si="16"/>
        <v>0</v>
      </c>
      <c r="EY13" s="78">
        <f t="shared" si="16"/>
        <v>0</v>
      </c>
      <c r="EZ13" s="78">
        <f t="shared" si="16"/>
        <v>0</v>
      </c>
      <c r="FA13" s="78">
        <f t="shared" si="16"/>
        <v>0</v>
      </c>
      <c r="FB13" s="78">
        <f t="shared" si="16"/>
        <v>0</v>
      </c>
      <c r="FC13" s="78">
        <f t="shared" si="16"/>
        <v>0</v>
      </c>
      <c r="FD13" s="78">
        <f t="shared" si="16"/>
        <v>0</v>
      </c>
      <c r="FE13" s="78">
        <f t="shared" si="16"/>
        <v>0</v>
      </c>
      <c r="FF13" s="78">
        <f t="shared" si="16"/>
        <v>0</v>
      </c>
      <c r="FG13" s="78">
        <f t="shared" si="16"/>
        <v>0</v>
      </c>
      <c r="FH13" s="78">
        <f t="shared" si="16"/>
        <v>0</v>
      </c>
      <c r="FI13" s="78">
        <f t="shared" si="16"/>
        <v>0</v>
      </c>
      <c r="FJ13" s="78">
        <f t="shared" si="16"/>
        <v>0</v>
      </c>
      <c r="FK13" s="78">
        <f t="shared" si="16"/>
        <v>0</v>
      </c>
      <c r="FL13" s="78">
        <f t="shared" si="16"/>
        <v>0</v>
      </c>
      <c r="FM13" s="78">
        <f t="shared" si="16"/>
        <v>0</v>
      </c>
      <c r="FN13" s="78">
        <f t="shared" si="16"/>
        <v>0</v>
      </c>
      <c r="FO13" s="78">
        <f t="shared" si="16"/>
        <v>0</v>
      </c>
      <c r="FP13" s="78">
        <f t="shared" si="16"/>
        <v>0</v>
      </c>
      <c r="FQ13" s="78">
        <f t="shared" si="16"/>
        <v>0</v>
      </c>
      <c r="FR13" s="78">
        <f t="shared" si="16"/>
        <v>0</v>
      </c>
      <c r="FS13" s="78">
        <f t="shared" si="16"/>
        <v>0</v>
      </c>
      <c r="FT13" s="78">
        <f t="shared" si="16"/>
        <v>0</v>
      </c>
      <c r="FU13" s="78">
        <f t="shared" si="16"/>
        <v>0</v>
      </c>
      <c r="FV13" s="78">
        <f t="shared" si="16"/>
        <v>0</v>
      </c>
      <c r="FW13" s="78">
        <f t="shared" si="16"/>
        <v>0</v>
      </c>
      <c r="FX13" s="78">
        <f t="shared" si="16"/>
        <v>0</v>
      </c>
      <c r="FY13" s="78">
        <f t="shared" si="16"/>
        <v>0</v>
      </c>
      <c r="FZ13" s="78">
        <f t="shared" si="16"/>
        <v>0</v>
      </c>
      <c r="GA13" s="78">
        <f t="shared" si="16"/>
        <v>0</v>
      </c>
      <c r="GB13" s="78">
        <f t="shared" si="16"/>
        <v>0</v>
      </c>
      <c r="GC13" s="78">
        <f t="shared" si="16"/>
        <v>0</v>
      </c>
      <c r="GD13" s="78">
        <f t="shared" si="16"/>
        <v>0</v>
      </c>
      <c r="GE13" s="78">
        <f t="shared" si="16"/>
        <v>0</v>
      </c>
      <c r="GF13" s="78">
        <f t="shared" si="16"/>
        <v>0</v>
      </c>
      <c r="GG13" s="78">
        <f t="shared" si="16"/>
        <v>0</v>
      </c>
      <c r="GH13" s="78">
        <f t="shared" si="16"/>
        <v>0</v>
      </c>
      <c r="GI13" s="78">
        <f t="shared" si="16"/>
        <v>0</v>
      </c>
      <c r="GJ13" s="78">
        <f t="shared" si="16"/>
        <v>0</v>
      </c>
      <c r="GK13" s="78">
        <f t="shared" si="16"/>
        <v>0</v>
      </c>
      <c r="GL13" s="78">
        <f t="shared" si="16"/>
        <v>0</v>
      </c>
      <c r="GM13" s="78">
        <f t="shared" si="16"/>
        <v>0</v>
      </c>
      <c r="GN13" s="78">
        <f t="shared" si="16"/>
        <v>0</v>
      </c>
      <c r="GO13" s="78">
        <f t="shared" si="16"/>
        <v>0</v>
      </c>
      <c r="GP13" s="78">
        <f t="shared" ref="GP13:IH13" si="17">IF($D$2="Square Foot",GP101,GP100)</f>
        <v>0</v>
      </c>
      <c r="GQ13" s="78">
        <f t="shared" si="17"/>
        <v>0</v>
      </c>
      <c r="GR13" s="78">
        <f t="shared" si="17"/>
        <v>0</v>
      </c>
      <c r="GS13" s="78">
        <f t="shared" si="17"/>
        <v>0</v>
      </c>
      <c r="GT13" s="78">
        <f t="shared" si="17"/>
        <v>0</v>
      </c>
      <c r="GU13" s="78">
        <f t="shared" si="17"/>
        <v>0</v>
      </c>
      <c r="GV13" s="78">
        <f t="shared" si="17"/>
        <v>0</v>
      </c>
      <c r="GW13" s="78">
        <f t="shared" si="17"/>
        <v>0</v>
      </c>
      <c r="GX13" s="78">
        <f t="shared" si="17"/>
        <v>0</v>
      </c>
      <c r="GY13" s="78">
        <f t="shared" si="17"/>
        <v>0</v>
      </c>
      <c r="GZ13" s="78">
        <f t="shared" si="17"/>
        <v>0</v>
      </c>
      <c r="HA13" s="78">
        <f t="shared" si="17"/>
        <v>0</v>
      </c>
      <c r="HB13" s="78">
        <f t="shared" si="17"/>
        <v>0</v>
      </c>
      <c r="HC13" s="78">
        <f t="shared" si="17"/>
        <v>0</v>
      </c>
      <c r="HD13" s="78">
        <f t="shared" si="17"/>
        <v>0</v>
      </c>
      <c r="HE13" s="78">
        <f t="shared" si="17"/>
        <v>0</v>
      </c>
      <c r="HF13" s="78">
        <f t="shared" si="17"/>
        <v>0</v>
      </c>
      <c r="HG13" s="78">
        <f t="shared" si="17"/>
        <v>0</v>
      </c>
      <c r="HH13" s="78">
        <f t="shared" si="17"/>
        <v>0</v>
      </c>
      <c r="HI13" s="78">
        <f t="shared" si="17"/>
        <v>0</v>
      </c>
      <c r="HJ13" s="78">
        <f t="shared" si="17"/>
        <v>0</v>
      </c>
      <c r="HK13" s="78">
        <f t="shared" si="17"/>
        <v>0</v>
      </c>
      <c r="HL13" s="78">
        <f t="shared" si="17"/>
        <v>0</v>
      </c>
      <c r="HM13" s="78">
        <f t="shared" si="17"/>
        <v>0</v>
      </c>
      <c r="HN13" s="78">
        <f t="shared" si="17"/>
        <v>0</v>
      </c>
      <c r="HO13" s="78">
        <f t="shared" si="17"/>
        <v>0</v>
      </c>
      <c r="HP13" s="78">
        <f t="shared" si="17"/>
        <v>0</v>
      </c>
      <c r="HQ13" s="78">
        <f t="shared" si="17"/>
        <v>0</v>
      </c>
      <c r="HR13" s="78">
        <f t="shared" si="17"/>
        <v>0</v>
      </c>
      <c r="HS13" s="78">
        <f t="shared" si="17"/>
        <v>0</v>
      </c>
      <c r="HT13" s="78">
        <f t="shared" si="17"/>
        <v>0</v>
      </c>
      <c r="HU13" s="78">
        <f t="shared" si="17"/>
        <v>0</v>
      </c>
      <c r="HV13" s="78">
        <f t="shared" si="17"/>
        <v>0</v>
      </c>
      <c r="HW13" s="78">
        <f t="shared" si="17"/>
        <v>0</v>
      </c>
      <c r="HX13" s="78">
        <f t="shared" si="17"/>
        <v>0</v>
      </c>
      <c r="HY13" s="78">
        <f t="shared" si="17"/>
        <v>0</v>
      </c>
      <c r="HZ13" s="78">
        <f t="shared" si="17"/>
        <v>0</v>
      </c>
      <c r="IA13" s="78">
        <f t="shared" si="17"/>
        <v>0</v>
      </c>
      <c r="IB13" s="78">
        <f t="shared" si="17"/>
        <v>0</v>
      </c>
      <c r="IC13" s="78">
        <f t="shared" si="17"/>
        <v>0</v>
      </c>
      <c r="ID13" s="78">
        <f t="shared" si="17"/>
        <v>0</v>
      </c>
      <c r="IE13" s="78">
        <f t="shared" si="17"/>
        <v>0</v>
      </c>
      <c r="IF13" s="78">
        <f t="shared" si="17"/>
        <v>0</v>
      </c>
      <c r="IG13" s="78">
        <f t="shared" si="17"/>
        <v>0</v>
      </c>
      <c r="IH13" s="78">
        <f t="shared" si="17"/>
        <v>0</v>
      </c>
    </row>
    <row r="14" spans="1:262" s="50" customFormat="1" hidden="1" x14ac:dyDescent="0.25">
      <c r="D14" s="80"/>
      <c r="E14" s="50">
        <f>IF($D$2="Square Foot",E15/$A$2,E15/9)</f>
        <v>0</v>
      </c>
      <c r="F14" s="50">
        <f t="shared" ref="F14:BQ14" si="18">IF($D$2="Square Foot",F15/$A$2,F15/9)</f>
        <v>0</v>
      </c>
      <c r="G14" s="50">
        <f t="shared" si="18"/>
        <v>0</v>
      </c>
      <c r="H14" s="50">
        <f t="shared" si="18"/>
        <v>0</v>
      </c>
      <c r="I14" s="50">
        <f t="shared" si="18"/>
        <v>0</v>
      </c>
      <c r="J14" s="50">
        <f t="shared" si="18"/>
        <v>0</v>
      </c>
      <c r="K14" s="50">
        <f t="shared" si="18"/>
        <v>0</v>
      </c>
      <c r="L14" s="50">
        <f t="shared" si="18"/>
        <v>0</v>
      </c>
      <c r="M14" s="50">
        <f t="shared" si="18"/>
        <v>0</v>
      </c>
      <c r="N14" s="50">
        <f t="shared" si="18"/>
        <v>0</v>
      </c>
      <c r="O14" s="50">
        <f t="shared" si="18"/>
        <v>0</v>
      </c>
      <c r="P14" s="50">
        <f t="shared" si="18"/>
        <v>0</v>
      </c>
      <c r="Q14" s="50">
        <f t="shared" si="18"/>
        <v>0</v>
      </c>
      <c r="R14" s="50">
        <f t="shared" si="18"/>
        <v>0</v>
      </c>
      <c r="S14" s="50">
        <f t="shared" si="18"/>
        <v>0</v>
      </c>
      <c r="T14" s="50">
        <f t="shared" si="18"/>
        <v>0</v>
      </c>
      <c r="U14" s="50">
        <f t="shared" si="18"/>
        <v>0</v>
      </c>
      <c r="V14" s="50">
        <f t="shared" si="18"/>
        <v>0</v>
      </c>
      <c r="W14" s="50">
        <f t="shared" si="18"/>
        <v>0</v>
      </c>
      <c r="X14" s="50">
        <f t="shared" si="18"/>
        <v>0</v>
      </c>
      <c r="Y14" s="50">
        <f t="shared" si="18"/>
        <v>0</v>
      </c>
      <c r="Z14" s="50">
        <f t="shared" si="18"/>
        <v>0</v>
      </c>
      <c r="AA14" s="50">
        <f t="shared" si="18"/>
        <v>0</v>
      </c>
      <c r="AB14" s="50">
        <f t="shared" si="18"/>
        <v>0</v>
      </c>
      <c r="AC14" s="50">
        <f t="shared" si="18"/>
        <v>0</v>
      </c>
      <c r="AD14" s="50">
        <f t="shared" si="18"/>
        <v>0</v>
      </c>
      <c r="AE14" s="50">
        <f t="shared" si="18"/>
        <v>0</v>
      </c>
      <c r="AF14" s="50">
        <f t="shared" si="18"/>
        <v>0</v>
      </c>
      <c r="AG14" s="50">
        <f t="shared" si="18"/>
        <v>0</v>
      </c>
      <c r="AH14" s="50">
        <f t="shared" si="18"/>
        <v>0</v>
      </c>
      <c r="AI14" s="50">
        <f t="shared" si="18"/>
        <v>0</v>
      </c>
      <c r="AJ14" s="50">
        <f t="shared" si="18"/>
        <v>0</v>
      </c>
      <c r="AK14" s="50">
        <f t="shared" si="18"/>
        <v>0</v>
      </c>
      <c r="AL14" s="50">
        <f t="shared" si="18"/>
        <v>0</v>
      </c>
      <c r="AM14" s="50">
        <f t="shared" si="18"/>
        <v>0</v>
      </c>
      <c r="AN14" s="50">
        <f t="shared" si="18"/>
        <v>0</v>
      </c>
      <c r="AO14" s="50">
        <f t="shared" si="18"/>
        <v>0</v>
      </c>
      <c r="AP14" s="50">
        <f t="shared" si="18"/>
        <v>0</v>
      </c>
      <c r="AQ14" s="50">
        <f t="shared" si="18"/>
        <v>0</v>
      </c>
      <c r="AR14" s="50">
        <f t="shared" si="18"/>
        <v>0</v>
      </c>
      <c r="AS14" s="50">
        <f t="shared" si="18"/>
        <v>0</v>
      </c>
      <c r="AT14" s="50">
        <f t="shared" si="18"/>
        <v>0</v>
      </c>
      <c r="AU14" s="50">
        <f t="shared" si="18"/>
        <v>0</v>
      </c>
      <c r="AV14" s="50">
        <f t="shared" si="18"/>
        <v>0</v>
      </c>
      <c r="AW14" s="50">
        <f t="shared" si="18"/>
        <v>0</v>
      </c>
      <c r="AX14" s="50">
        <f t="shared" si="18"/>
        <v>0</v>
      </c>
      <c r="AY14" s="50">
        <f t="shared" si="18"/>
        <v>0</v>
      </c>
      <c r="AZ14" s="50">
        <f t="shared" si="18"/>
        <v>0</v>
      </c>
      <c r="BA14" s="50">
        <f t="shared" si="18"/>
        <v>0</v>
      </c>
      <c r="BB14" s="50">
        <f t="shared" si="18"/>
        <v>0</v>
      </c>
      <c r="BC14" s="50">
        <f t="shared" si="18"/>
        <v>0</v>
      </c>
      <c r="BD14" s="50">
        <f t="shared" si="18"/>
        <v>0</v>
      </c>
      <c r="BE14" s="50">
        <f t="shared" si="18"/>
        <v>0</v>
      </c>
      <c r="BF14" s="50">
        <f t="shared" si="18"/>
        <v>0</v>
      </c>
      <c r="BG14" s="50">
        <f t="shared" si="18"/>
        <v>0</v>
      </c>
      <c r="BH14" s="50">
        <f t="shared" si="18"/>
        <v>0</v>
      </c>
      <c r="BI14" s="50">
        <f t="shared" si="18"/>
        <v>0</v>
      </c>
      <c r="BJ14" s="50">
        <f t="shared" si="18"/>
        <v>0</v>
      </c>
      <c r="BK14" s="50">
        <f t="shared" si="18"/>
        <v>0</v>
      </c>
      <c r="BL14" s="50">
        <f t="shared" si="18"/>
        <v>0</v>
      </c>
      <c r="BM14" s="50">
        <f t="shared" si="18"/>
        <v>0</v>
      </c>
      <c r="BN14" s="50">
        <f t="shared" si="18"/>
        <v>0</v>
      </c>
      <c r="BO14" s="50">
        <f t="shared" si="18"/>
        <v>0</v>
      </c>
      <c r="BP14" s="50">
        <f t="shared" si="18"/>
        <v>0</v>
      </c>
      <c r="BQ14" s="50">
        <f t="shared" si="18"/>
        <v>0</v>
      </c>
      <c r="BR14" s="50">
        <f t="shared" ref="BR14:EC14" si="19">IF($D$2="Square Foot",BR15/$A$2,BR15/9)</f>
        <v>0</v>
      </c>
      <c r="BS14" s="50">
        <f t="shared" si="19"/>
        <v>0</v>
      </c>
      <c r="BT14" s="50">
        <f t="shared" si="19"/>
        <v>0</v>
      </c>
      <c r="BU14" s="50">
        <f t="shared" si="19"/>
        <v>0</v>
      </c>
      <c r="BV14" s="50">
        <f t="shared" si="19"/>
        <v>0</v>
      </c>
      <c r="BW14" s="50">
        <f t="shared" si="19"/>
        <v>0</v>
      </c>
      <c r="BX14" s="50">
        <f t="shared" si="19"/>
        <v>0</v>
      </c>
      <c r="BY14" s="50">
        <f t="shared" si="19"/>
        <v>0</v>
      </c>
      <c r="BZ14" s="50">
        <f t="shared" si="19"/>
        <v>0</v>
      </c>
      <c r="CA14" s="50">
        <f t="shared" si="19"/>
        <v>0</v>
      </c>
      <c r="CB14" s="50">
        <f t="shared" si="19"/>
        <v>0</v>
      </c>
      <c r="CC14" s="50">
        <f t="shared" si="19"/>
        <v>0</v>
      </c>
      <c r="CD14" s="50">
        <f t="shared" si="19"/>
        <v>0</v>
      </c>
      <c r="CE14" s="50">
        <f t="shared" si="19"/>
        <v>0</v>
      </c>
      <c r="CF14" s="50">
        <f t="shared" si="19"/>
        <v>0</v>
      </c>
      <c r="CG14" s="50">
        <f t="shared" si="19"/>
        <v>0</v>
      </c>
      <c r="CH14" s="50">
        <f t="shared" si="19"/>
        <v>0</v>
      </c>
      <c r="CI14" s="50">
        <f t="shared" si="19"/>
        <v>0</v>
      </c>
      <c r="CJ14" s="50">
        <f t="shared" si="19"/>
        <v>0</v>
      </c>
      <c r="CK14" s="50">
        <f t="shared" si="19"/>
        <v>0</v>
      </c>
      <c r="CL14" s="50">
        <f t="shared" si="19"/>
        <v>0</v>
      </c>
      <c r="CM14" s="50">
        <f t="shared" si="19"/>
        <v>0</v>
      </c>
      <c r="CN14" s="50">
        <f t="shared" si="19"/>
        <v>0</v>
      </c>
      <c r="CO14" s="50">
        <f t="shared" si="19"/>
        <v>0</v>
      </c>
      <c r="CP14" s="50">
        <f t="shared" si="19"/>
        <v>0</v>
      </c>
      <c r="CQ14" s="50">
        <f t="shared" si="19"/>
        <v>0</v>
      </c>
      <c r="CR14" s="50">
        <f t="shared" si="19"/>
        <v>0</v>
      </c>
      <c r="CS14" s="50">
        <f t="shared" si="19"/>
        <v>0</v>
      </c>
      <c r="CT14" s="50">
        <f t="shared" si="19"/>
        <v>0</v>
      </c>
      <c r="CU14" s="50">
        <f t="shared" si="19"/>
        <v>0</v>
      </c>
      <c r="CV14" s="50">
        <f t="shared" si="19"/>
        <v>0</v>
      </c>
      <c r="CW14" s="50">
        <f t="shared" si="19"/>
        <v>0</v>
      </c>
      <c r="CX14" s="50">
        <f t="shared" si="19"/>
        <v>0</v>
      </c>
      <c r="CY14" s="50">
        <f t="shared" si="19"/>
        <v>0</v>
      </c>
      <c r="CZ14" s="50">
        <f t="shared" si="19"/>
        <v>0</v>
      </c>
      <c r="DA14" s="50">
        <f t="shared" si="19"/>
        <v>0</v>
      </c>
      <c r="DB14" s="50">
        <f t="shared" si="19"/>
        <v>0</v>
      </c>
      <c r="DC14" s="50">
        <f t="shared" si="19"/>
        <v>0</v>
      </c>
      <c r="DD14" s="50">
        <f t="shared" si="19"/>
        <v>0</v>
      </c>
      <c r="DE14" s="50">
        <f t="shared" si="19"/>
        <v>0</v>
      </c>
      <c r="DF14" s="50">
        <f t="shared" si="19"/>
        <v>0</v>
      </c>
      <c r="DG14" s="50">
        <f t="shared" si="19"/>
        <v>0</v>
      </c>
      <c r="DH14" s="50">
        <f t="shared" si="19"/>
        <v>0</v>
      </c>
      <c r="DI14" s="50">
        <f t="shared" si="19"/>
        <v>0</v>
      </c>
      <c r="DJ14" s="50">
        <f t="shared" si="19"/>
        <v>0</v>
      </c>
      <c r="DK14" s="50">
        <f t="shared" si="19"/>
        <v>0</v>
      </c>
      <c r="DL14" s="50">
        <f t="shared" si="19"/>
        <v>0</v>
      </c>
      <c r="DM14" s="50">
        <f t="shared" si="19"/>
        <v>0</v>
      </c>
      <c r="DN14" s="50">
        <f t="shared" si="19"/>
        <v>0</v>
      </c>
      <c r="DO14" s="50">
        <f t="shared" si="19"/>
        <v>0</v>
      </c>
      <c r="DP14" s="50">
        <f t="shared" si="19"/>
        <v>0</v>
      </c>
      <c r="DQ14" s="50">
        <f t="shared" si="19"/>
        <v>0</v>
      </c>
      <c r="DR14" s="50">
        <f t="shared" si="19"/>
        <v>0</v>
      </c>
      <c r="DS14" s="50">
        <f t="shared" si="19"/>
        <v>0</v>
      </c>
      <c r="DT14" s="50">
        <f t="shared" si="19"/>
        <v>0</v>
      </c>
      <c r="DU14" s="50">
        <f t="shared" si="19"/>
        <v>0</v>
      </c>
      <c r="DV14" s="50">
        <f t="shared" si="19"/>
        <v>0</v>
      </c>
      <c r="DW14" s="50">
        <f t="shared" si="19"/>
        <v>0</v>
      </c>
      <c r="DX14" s="50">
        <f t="shared" si="19"/>
        <v>0</v>
      </c>
      <c r="DY14" s="50">
        <f t="shared" si="19"/>
        <v>0</v>
      </c>
      <c r="DZ14" s="50">
        <f t="shared" si="19"/>
        <v>0</v>
      </c>
      <c r="EA14" s="50">
        <f t="shared" si="19"/>
        <v>0</v>
      </c>
      <c r="EB14" s="50">
        <f t="shared" si="19"/>
        <v>0</v>
      </c>
      <c r="EC14" s="50">
        <f t="shared" si="19"/>
        <v>0</v>
      </c>
      <c r="ED14" s="50">
        <f t="shared" ref="ED14:GO14" si="20">IF($D$2="Square Foot",ED15/$A$2,ED15/9)</f>
        <v>0</v>
      </c>
      <c r="EE14" s="50">
        <f t="shared" si="20"/>
        <v>0</v>
      </c>
      <c r="EF14" s="50">
        <f t="shared" si="20"/>
        <v>0</v>
      </c>
      <c r="EG14" s="50">
        <f t="shared" si="20"/>
        <v>0</v>
      </c>
      <c r="EH14" s="50">
        <f t="shared" si="20"/>
        <v>0</v>
      </c>
      <c r="EI14" s="50">
        <f t="shared" si="20"/>
        <v>0</v>
      </c>
      <c r="EJ14" s="50">
        <f t="shared" si="20"/>
        <v>0</v>
      </c>
      <c r="EK14" s="50">
        <f t="shared" si="20"/>
        <v>0</v>
      </c>
      <c r="EL14" s="50">
        <f t="shared" si="20"/>
        <v>0</v>
      </c>
      <c r="EM14" s="50">
        <f t="shared" si="20"/>
        <v>0</v>
      </c>
      <c r="EN14" s="50">
        <f t="shared" si="20"/>
        <v>0</v>
      </c>
      <c r="EO14" s="50">
        <f t="shared" si="20"/>
        <v>0</v>
      </c>
      <c r="EP14" s="50">
        <f t="shared" si="20"/>
        <v>0</v>
      </c>
      <c r="EQ14" s="50">
        <f t="shared" si="20"/>
        <v>0</v>
      </c>
      <c r="ER14" s="50">
        <f t="shared" si="20"/>
        <v>0</v>
      </c>
      <c r="ES14" s="50">
        <f t="shared" si="20"/>
        <v>0</v>
      </c>
      <c r="ET14" s="50">
        <f t="shared" si="20"/>
        <v>0</v>
      </c>
      <c r="EU14" s="50">
        <f t="shared" si="20"/>
        <v>0</v>
      </c>
      <c r="EV14" s="50">
        <f t="shared" si="20"/>
        <v>0</v>
      </c>
      <c r="EW14" s="50">
        <f t="shared" si="20"/>
        <v>0</v>
      </c>
      <c r="EX14" s="50">
        <f t="shared" si="20"/>
        <v>0</v>
      </c>
      <c r="EY14" s="50">
        <f t="shared" si="20"/>
        <v>0</v>
      </c>
      <c r="EZ14" s="50">
        <f t="shared" si="20"/>
        <v>0</v>
      </c>
      <c r="FA14" s="50">
        <f t="shared" si="20"/>
        <v>0</v>
      </c>
      <c r="FB14" s="50">
        <f t="shared" si="20"/>
        <v>0</v>
      </c>
      <c r="FC14" s="50">
        <f t="shared" si="20"/>
        <v>0</v>
      </c>
      <c r="FD14" s="50">
        <f t="shared" si="20"/>
        <v>0</v>
      </c>
      <c r="FE14" s="50">
        <f t="shared" si="20"/>
        <v>0</v>
      </c>
      <c r="FF14" s="50">
        <f t="shared" si="20"/>
        <v>0</v>
      </c>
      <c r="FG14" s="50">
        <f t="shared" si="20"/>
        <v>0</v>
      </c>
      <c r="FH14" s="50">
        <f t="shared" si="20"/>
        <v>0</v>
      </c>
      <c r="FI14" s="50">
        <f t="shared" si="20"/>
        <v>0</v>
      </c>
      <c r="FJ14" s="50">
        <f t="shared" si="20"/>
        <v>0</v>
      </c>
      <c r="FK14" s="50">
        <f t="shared" si="20"/>
        <v>0</v>
      </c>
      <c r="FL14" s="50">
        <f t="shared" si="20"/>
        <v>0</v>
      </c>
      <c r="FM14" s="50">
        <f t="shared" si="20"/>
        <v>0</v>
      </c>
      <c r="FN14" s="50">
        <f t="shared" si="20"/>
        <v>0</v>
      </c>
      <c r="FO14" s="50">
        <f t="shared" si="20"/>
        <v>0</v>
      </c>
      <c r="FP14" s="50">
        <f t="shared" si="20"/>
        <v>0</v>
      </c>
      <c r="FQ14" s="50">
        <f t="shared" si="20"/>
        <v>0</v>
      </c>
      <c r="FR14" s="50">
        <f t="shared" si="20"/>
        <v>0</v>
      </c>
      <c r="FS14" s="50">
        <f t="shared" si="20"/>
        <v>0</v>
      </c>
      <c r="FT14" s="50">
        <f t="shared" si="20"/>
        <v>0</v>
      </c>
      <c r="FU14" s="50">
        <f t="shared" si="20"/>
        <v>0</v>
      </c>
      <c r="FV14" s="50">
        <f t="shared" si="20"/>
        <v>0</v>
      </c>
      <c r="FW14" s="50">
        <f t="shared" si="20"/>
        <v>0</v>
      </c>
      <c r="FX14" s="50">
        <f t="shared" si="20"/>
        <v>0</v>
      </c>
      <c r="FY14" s="50">
        <f t="shared" si="20"/>
        <v>0</v>
      </c>
      <c r="FZ14" s="50">
        <f t="shared" si="20"/>
        <v>0</v>
      </c>
      <c r="GA14" s="50">
        <f t="shared" si="20"/>
        <v>0</v>
      </c>
      <c r="GB14" s="50">
        <f t="shared" si="20"/>
        <v>0</v>
      </c>
      <c r="GC14" s="50">
        <f t="shared" si="20"/>
        <v>0</v>
      </c>
      <c r="GD14" s="50">
        <f t="shared" si="20"/>
        <v>0</v>
      </c>
      <c r="GE14" s="50">
        <f t="shared" si="20"/>
        <v>0</v>
      </c>
      <c r="GF14" s="50">
        <f t="shared" si="20"/>
        <v>0</v>
      </c>
      <c r="GG14" s="50">
        <f t="shared" si="20"/>
        <v>0</v>
      </c>
      <c r="GH14" s="50">
        <f t="shared" si="20"/>
        <v>0</v>
      </c>
      <c r="GI14" s="50">
        <f t="shared" si="20"/>
        <v>0</v>
      </c>
      <c r="GJ14" s="50">
        <f t="shared" si="20"/>
        <v>0</v>
      </c>
      <c r="GK14" s="50">
        <f t="shared" si="20"/>
        <v>0</v>
      </c>
      <c r="GL14" s="50">
        <f t="shared" si="20"/>
        <v>0</v>
      </c>
      <c r="GM14" s="50">
        <f t="shared" si="20"/>
        <v>0</v>
      </c>
      <c r="GN14" s="50">
        <f t="shared" si="20"/>
        <v>0</v>
      </c>
      <c r="GO14" s="50">
        <f t="shared" si="20"/>
        <v>0</v>
      </c>
      <c r="GP14" s="50">
        <f t="shared" ref="GP14:IH14" si="21">IF($D$2="Square Foot",GP15/$A$2,GP15/9)</f>
        <v>0</v>
      </c>
      <c r="GQ14" s="50">
        <f t="shared" si="21"/>
        <v>0</v>
      </c>
      <c r="GR14" s="50">
        <f t="shared" si="21"/>
        <v>0</v>
      </c>
      <c r="GS14" s="50">
        <f t="shared" si="21"/>
        <v>0</v>
      </c>
      <c r="GT14" s="50">
        <f t="shared" si="21"/>
        <v>0</v>
      </c>
      <c r="GU14" s="50">
        <f t="shared" si="21"/>
        <v>0</v>
      </c>
      <c r="GV14" s="50">
        <f t="shared" si="21"/>
        <v>0</v>
      </c>
      <c r="GW14" s="50">
        <f t="shared" si="21"/>
        <v>0</v>
      </c>
      <c r="GX14" s="50">
        <f t="shared" si="21"/>
        <v>0</v>
      </c>
      <c r="GY14" s="50">
        <f t="shared" si="21"/>
        <v>0</v>
      </c>
      <c r="GZ14" s="50">
        <f t="shared" si="21"/>
        <v>0</v>
      </c>
      <c r="HA14" s="50">
        <f t="shared" si="21"/>
        <v>0</v>
      </c>
      <c r="HB14" s="50">
        <f t="shared" si="21"/>
        <v>0</v>
      </c>
      <c r="HC14" s="50">
        <f t="shared" si="21"/>
        <v>0</v>
      </c>
      <c r="HD14" s="50">
        <f t="shared" si="21"/>
        <v>0</v>
      </c>
      <c r="HE14" s="50">
        <f t="shared" si="21"/>
        <v>0</v>
      </c>
      <c r="HF14" s="50">
        <f t="shared" si="21"/>
        <v>0</v>
      </c>
      <c r="HG14" s="50">
        <f t="shared" si="21"/>
        <v>0</v>
      </c>
      <c r="HH14" s="50">
        <f t="shared" si="21"/>
        <v>0</v>
      </c>
      <c r="HI14" s="50">
        <f t="shared" si="21"/>
        <v>0</v>
      </c>
      <c r="HJ14" s="50">
        <f t="shared" si="21"/>
        <v>0</v>
      </c>
      <c r="HK14" s="50">
        <f t="shared" si="21"/>
        <v>0</v>
      </c>
      <c r="HL14" s="50">
        <f t="shared" si="21"/>
        <v>0</v>
      </c>
      <c r="HM14" s="50">
        <f t="shared" si="21"/>
        <v>0</v>
      </c>
      <c r="HN14" s="50">
        <f t="shared" si="21"/>
        <v>0</v>
      </c>
      <c r="HO14" s="50">
        <f t="shared" si="21"/>
        <v>0</v>
      </c>
      <c r="HP14" s="50">
        <f t="shared" si="21"/>
        <v>0</v>
      </c>
      <c r="HQ14" s="50">
        <f t="shared" si="21"/>
        <v>0</v>
      </c>
      <c r="HR14" s="50">
        <f t="shared" si="21"/>
        <v>0</v>
      </c>
      <c r="HS14" s="50">
        <f t="shared" si="21"/>
        <v>0</v>
      </c>
      <c r="HT14" s="50">
        <f t="shared" si="21"/>
        <v>0</v>
      </c>
      <c r="HU14" s="50">
        <f t="shared" si="21"/>
        <v>0</v>
      </c>
      <c r="HV14" s="50">
        <f t="shared" si="21"/>
        <v>0</v>
      </c>
      <c r="HW14" s="50">
        <f t="shared" si="21"/>
        <v>0</v>
      </c>
      <c r="HX14" s="50">
        <f t="shared" si="21"/>
        <v>0</v>
      </c>
      <c r="HY14" s="50">
        <f t="shared" si="21"/>
        <v>0</v>
      </c>
      <c r="HZ14" s="50">
        <f t="shared" si="21"/>
        <v>0</v>
      </c>
      <c r="IA14" s="50">
        <f t="shared" si="21"/>
        <v>0</v>
      </c>
      <c r="IB14" s="50">
        <f t="shared" si="21"/>
        <v>0</v>
      </c>
      <c r="IC14" s="50">
        <f t="shared" si="21"/>
        <v>0</v>
      </c>
      <c r="ID14" s="50">
        <f t="shared" si="21"/>
        <v>0</v>
      </c>
      <c r="IE14" s="50">
        <f t="shared" si="21"/>
        <v>0</v>
      </c>
      <c r="IF14" s="50">
        <f t="shared" si="21"/>
        <v>0</v>
      </c>
      <c r="IG14" s="50">
        <f t="shared" si="21"/>
        <v>0</v>
      </c>
      <c r="IH14" s="50">
        <f t="shared" si="21"/>
        <v>0</v>
      </c>
    </row>
    <row r="15" spans="1:262" s="50" customFormat="1" hidden="1" x14ac:dyDescent="0.25">
      <c r="E15" s="50">
        <f>IF(OR(E17="",E18=""),0,$L$4*E17/E18)</f>
        <v>0</v>
      </c>
      <c r="F15" s="50">
        <f t="shared" ref="F15:BQ15" si="22">IF(OR(F17="",F18=""),0,$L$4*F17/F18)</f>
        <v>0</v>
      </c>
      <c r="G15" s="50">
        <f t="shared" si="22"/>
        <v>0</v>
      </c>
      <c r="H15" s="50">
        <f t="shared" si="22"/>
        <v>0</v>
      </c>
      <c r="I15" s="50">
        <f t="shared" si="22"/>
        <v>0</v>
      </c>
      <c r="J15" s="50">
        <f t="shared" si="22"/>
        <v>0</v>
      </c>
      <c r="K15" s="50">
        <f t="shared" si="22"/>
        <v>0</v>
      </c>
      <c r="L15" s="50">
        <f t="shared" si="22"/>
        <v>0</v>
      </c>
      <c r="M15" s="50">
        <f t="shared" si="22"/>
        <v>0</v>
      </c>
      <c r="N15" s="50">
        <f t="shared" si="22"/>
        <v>0</v>
      </c>
      <c r="O15" s="50">
        <f t="shared" si="22"/>
        <v>0</v>
      </c>
      <c r="P15" s="50">
        <f t="shared" si="22"/>
        <v>0</v>
      </c>
      <c r="Q15" s="50">
        <f t="shared" si="22"/>
        <v>0</v>
      </c>
      <c r="R15" s="50">
        <f t="shared" si="22"/>
        <v>0</v>
      </c>
      <c r="S15" s="50">
        <f t="shared" si="22"/>
        <v>0</v>
      </c>
      <c r="T15" s="50">
        <f t="shared" si="22"/>
        <v>0</v>
      </c>
      <c r="U15" s="50">
        <f t="shared" si="22"/>
        <v>0</v>
      </c>
      <c r="V15" s="50">
        <f t="shared" si="22"/>
        <v>0</v>
      </c>
      <c r="W15" s="50">
        <f t="shared" si="22"/>
        <v>0</v>
      </c>
      <c r="X15" s="50">
        <f t="shared" si="22"/>
        <v>0</v>
      </c>
      <c r="Y15" s="50">
        <f t="shared" si="22"/>
        <v>0</v>
      </c>
      <c r="Z15" s="50">
        <f t="shared" si="22"/>
        <v>0</v>
      </c>
      <c r="AA15" s="50">
        <f t="shared" si="22"/>
        <v>0</v>
      </c>
      <c r="AB15" s="50">
        <f t="shared" si="22"/>
        <v>0</v>
      </c>
      <c r="AC15" s="50">
        <f t="shared" si="22"/>
        <v>0</v>
      </c>
      <c r="AD15" s="50">
        <f t="shared" si="22"/>
        <v>0</v>
      </c>
      <c r="AE15" s="50">
        <f t="shared" si="22"/>
        <v>0</v>
      </c>
      <c r="AF15" s="50">
        <f t="shared" si="22"/>
        <v>0</v>
      </c>
      <c r="AG15" s="50">
        <f t="shared" si="22"/>
        <v>0</v>
      </c>
      <c r="AH15" s="50">
        <f t="shared" si="22"/>
        <v>0</v>
      </c>
      <c r="AI15" s="50">
        <f t="shared" si="22"/>
        <v>0</v>
      </c>
      <c r="AJ15" s="50">
        <f t="shared" si="22"/>
        <v>0</v>
      </c>
      <c r="AK15" s="50">
        <f t="shared" si="22"/>
        <v>0</v>
      </c>
      <c r="AL15" s="50">
        <f t="shared" si="22"/>
        <v>0</v>
      </c>
      <c r="AM15" s="50">
        <f t="shared" si="22"/>
        <v>0</v>
      </c>
      <c r="AN15" s="50">
        <f t="shared" si="22"/>
        <v>0</v>
      </c>
      <c r="AO15" s="50">
        <f t="shared" si="22"/>
        <v>0</v>
      </c>
      <c r="AP15" s="50">
        <f t="shared" si="22"/>
        <v>0</v>
      </c>
      <c r="AQ15" s="50">
        <f t="shared" si="22"/>
        <v>0</v>
      </c>
      <c r="AR15" s="50">
        <f t="shared" si="22"/>
        <v>0</v>
      </c>
      <c r="AS15" s="50">
        <f t="shared" si="22"/>
        <v>0</v>
      </c>
      <c r="AT15" s="50">
        <f t="shared" si="22"/>
        <v>0</v>
      </c>
      <c r="AU15" s="50">
        <f t="shared" si="22"/>
        <v>0</v>
      </c>
      <c r="AV15" s="50">
        <f t="shared" si="22"/>
        <v>0</v>
      </c>
      <c r="AW15" s="50">
        <f t="shared" si="22"/>
        <v>0</v>
      </c>
      <c r="AX15" s="50">
        <f t="shared" si="22"/>
        <v>0</v>
      </c>
      <c r="AY15" s="50">
        <f t="shared" si="22"/>
        <v>0</v>
      </c>
      <c r="AZ15" s="50">
        <f t="shared" si="22"/>
        <v>0</v>
      </c>
      <c r="BA15" s="50">
        <f t="shared" si="22"/>
        <v>0</v>
      </c>
      <c r="BB15" s="50">
        <f t="shared" si="22"/>
        <v>0</v>
      </c>
      <c r="BC15" s="50">
        <f t="shared" si="22"/>
        <v>0</v>
      </c>
      <c r="BD15" s="50">
        <f t="shared" si="22"/>
        <v>0</v>
      </c>
      <c r="BE15" s="50">
        <f t="shared" si="22"/>
        <v>0</v>
      </c>
      <c r="BF15" s="50">
        <f t="shared" si="22"/>
        <v>0</v>
      </c>
      <c r="BG15" s="50">
        <f t="shared" si="22"/>
        <v>0</v>
      </c>
      <c r="BH15" s="50">
        <f t="shared" si="22"/>
        <v>0</v>
      </c>
      <c r="BI15" s="50">
        <f t="shared" si="22"/>
        <v>0</v>
      </c>
      <c r="BJ15" s="50">
        <f t="shared" si="22"/>
        <v>0</v>
      </c>
      <c r="BK15" s="50">
        <f t="shared" si="22"/>
        <v>0</v>
      </c>
      <c r="BL15" s="50">
        <f t="shared" si="22"/>
        <v>0</v>
      </c>
      <c r="BM15" s="50">
        <f t="shared" si="22"/>
        <v>0</v>
      </c>
      <c r="BN15" s="50">
        <f t="shared" si="22"/>
        <v>0</v>
      </c>
      <c r="BO15" s="50">
        <f t="shared" si="22"/>
        <v>0</v>
      </c>
      <c r="BP15" s="50">
        <f t="shared" si="22"/>
        <v>0</v>
      </c>
      <c r="BQ15" s="50">
        <f t="shared" si="22"/>
        <v>0</v>
      </c>
      <c r="BR15" s="50">
        <f t="shared" ref="BR15:EC15" si="23">IF(OR(BR17="",BR18=""),0,$L$4*BR17/BR18)</f>
        <v>0</v>
      </c>
      <c r="BS15" s="50">
        <f t="shared" si="23"/>
        <v>0</v>
      </c>
      <c r="BT15" s="50">
        <f t="shared" si="23"/>
        <v>0</v>
      </c>
      <c r="BU15" s="50">
        <f t="shared" si="23"/>
        <v>0</v>
      </c>
      <c r="BV15" s="50">
        <f t="shared" si="23"/>
        <v>0</v>
      </c>
      <c r="BW15" s="50">
        <f t="shared" si="23"/>
        <v>0</v>
      </c>
      <c r="BX15" s="50">
        <f t="shared" si="23"/>
        <v>0</v>
      </c>
      <c r="BY15" s="50">
        <f t="shared" si="23"/>
        <v>0</v>
      </c>
      <c r="BZ15" s="50">
        <f t="shared" si="23"/>
        <v>0</v>
      </c>
      <c r="CA15" s="50">
        <f t="shared" si="23"/>
        <v>0</v>
      </c>
      <c r="CB15" s="50">
        <f t="shared" si="23"/>
        <v>0</v>
      </c>
      <c r="CC15" s="50">
        <f t="shared" si="23"/>
        <v>0</v>
      </c>
      <c r="CD15" s="50">
        <f t="shared" si="23"/>
        <v>0</v>
      </c>
      <c r="CE15" s="50">
        <f t="shared" si="23"/>
        <v>0</v>
      </c>
      <c r="CF15" s="50">
        <f t="shared" si="23"/>
        <v>0</v>
      </c>
      <c r="CG15" s="50">
        <f t="shared" si="23"/>
        <v>0</v>
      </c>
      <c r="CH15" s="50">
        <f t="shared" si="23"/>
        <v>0</v>
      </c>
      <c r="CI15" s="50">
        <f t="shared" si="23"/>
        <v>0</v>
      </c>
      <c r="CJ15" s="50">
        <f t="shared" si="23"/>
        <v>0</v>
      </c>
      <c r="CK15" s="50">
        <f t="shared" si="23"/>
        <v>0</v>
      </c>
      <c r="CL15" s="50">
        <f t="shared" si="23"/>
        <v>0</v>
      </c>
      <c r="CM15" s="50">
        <f t="shared" si="23"/>
        <v>0</v>
      </c>
      <c r="CN15" s="50">
        <f t="shared" si="23"/>
        <v>0</v>
      </c>
      <c r="CO15" s="50">
        <f t="shared" si="23"/>
        <v>0</v>
      </c>
      <c r="CP15" s="50">
        <f t="shared" si="23"/>
        <v>0</v>
      </c>
      <c r="CQ15" s="50">
        <f t="shared" si="23"/>
        <v>0</v>
      </c>
      <c r="CR15" s="50">
        <f t="shared" si="23"/>
        <v>0</v>
      </c>
      <c r="CS15" s="50">
        <f t="shared" si="23"/>
        <v>0</v>
      </c>
      <c r="CT15" s="50">
        <f t="shared" si="23"/>
        <v>0</v>
      </c>
      <c r="CU15" s="50">
        <f t="shared" si="23"/>
        <v>0</v>
      </c>
      <c r="CV15" s="50">
        <f t="shared" si="23"/>
        <v>0</v>
      </c>
      <c r="CW15" s="50">
        <f t="shared" si="23"/>
        <v>0</v>
      </c>
      <c r="CX15" s="50">
        <f t="shared" si="23"/>
        <v>0</v>
      </c>
      <c r="CY15" s="50">
        <f t="shared" si="23"/>
        <v>0</v>
      </c>
      <c r="CZ15" s="50">
        <f t="shared" si="23"/>
        <v>0</v>
      </c>
      <c r="DA15" s="50">
        <f t="shared" si="23"/>
        <v>0</v>
      </c>
      <c r="DB15" s="50">
        <f t="shared" si="23"/>
        <v>0</v>
      </c>
      <c r="DC15" s="50">
        <f t="shared" si="23"/>
        <v>0</v>
      </c>
      <c r="DD15" s="50">
        <f t="shared" si="23"/>
        <v>0</v>
      </c>
      <c r="DE15" s="50">
        <f t="shared" si="23"/>
        <v>0</v>
      </c>
      <c r="DF15" s="50">
        <f t="shared" si="23"/>
        <v>0</v>
      </c>
      <c r="DG15" s="50">
        <f t="shared" si="23"/>
        <v>0</v>
      </c>
      <c r="DH15" s="50">
        <f t="shared" si="23"/>
        <v>0</v>
      </c>
      <c r="DI15" s="50">
        <f t="shared" si="23"/>
        <v>0</v>
      </c>
      <c r="DJ15" s="50">
        <f t="shared" si="23"/>
        <v>0</v>
      </c>
      <c r="DK15" s="50">
        <f t="shared" si="23"/>
        <v>0</v>
      </c>
      <c r="DL15" s="50">
        <f t="shared" si="23"/>
        <v>0</v>
      </c>
      <c r="DM15" s="50">
        <f t="shared" si="23"/>
        <v>0</v>
      </c>
      <c r="DN15" s="50">
        <f t="shared" si="23"/>
        <v>0</v>
      </c>
      <c r="DO15" s="50">
        <f t="shared" si="23"/>
        <v>0</v>
      </c>
      <c r="DP15" s="50">
        <f t="shared" si="23"/>
        <v>0</v>
      </c>
      <c r="DQ15" s="50">
        <f t="shared" si="23"/>
        <v>0</v>
      </c>
      <c r="DR15" s="50">
        <f t="shared" si="23"/>
        <v>0</v>
      </c>
      <c r="DS15" s="50">
        <f t="shared" si="23"/>
        <v>0</v>
      </c>
      <c r="DT15" s="50">
        <f t="shared" si="23"/>
        <v>0</v>
      </c>
      <c r="DU15" s="50">
        <f t="shared" si="23"/>
        <v>0</v>
      </c>
      <c r="DV15" s="50">
        <f t="shared" si="23"/>
        <v>0</v>
      </c>
      <c r="DW15" s="50">
        <f t="shared" si="23"/>
        <v>0</v>
      </c>
      <c r="DX15" s="50">
        <f t="shared" si="23"/>
        <v>0</v>
      </c>
      <c r="DY15" s="50">
        <f t="shared" si="23"/>
        <v>0</v>
      </c>
      <c r="DZ15" s="50">
        <f t="shared" si="23"/>
        <v>0</v>
      </c>
      <c r="EA15" s="50">
        <f t="shared" si="23"/>
        <v>0</v>
      </c>
      <c r="EB15" s="50">
        <f t="shared" si="23"/>
        <v>0</v>
      </c>
      <c r="EC15" s="50">
        <f t="shared" si="23"/>
        <v>0</v>
      </c>
      <c r="ED15" s="50">
        <f t="shared" ref="ED15:GO15" si="24">IF(OR(ED17="",ED18=""),0,$L$4*ED17/ED18)</f>
        <v>0</v>
      </c>
      <c r="EE15" s="50">
        <f t="shared" si="24"/>
        <v>0</v>
      </c>
      <c r="EF15" s="50">
        <f t="shared" si="24"/>
        <v>0</v>
      </c>
      <c r="EG15" s="50">
        <f t="shared" si="24"/>
        <v>0</v>
      </c>
      <c r="EH15" s="50">
        <f t="shared" si="24"/>
        <v>0</v>
      </c>
      <c r="EI15" s="50">
        <f t="shared" si="24"/>
        <v>0</v>
      </c>
      <c r="EJ15" s="50">
        <f t="shared" si="24"/>
        <v>0</v>
      </c>
      <c r="EK15" s="50">
        <f t="shared" si="24"/>
        <v>0</v>
      </c>
      <c r="EL15" s="50">
        <f t="shared" si="24"/>
        <v>0</v>
      </c>
      <c r="EM15" s="50">
        <f t="shared" si="24"/>
        <v>0</v>
      </c>
      <c r="EN15" s="50">
        <f t="shared" si="24"/>
        <v>0</v>
      </c>
      <c r="EO15" s="50">
        <f t="shared" si="24"/>
        <v>0</v>
      </c>
      <c r="EP15" s="50">
        <f t="shared" si="24"/>
        <v>0</v>
      </c>
      <c r="EQ15" s="50">
        <f t="shared" si="24"/>
        <v>0</v>
      </c>
      <c r="ER15" s="50">
        <f t="shared" si="24"/>
        <v>0</v>
      </c>
      <c r="ES15" s="50">
        <f t="shared" si="24"/>
        <v>0</v>
      </c>
      <c r="ET15" s="50">
        <f t="shared" si="24"/>
        <v>0</v>
      </c>
      <c r="EU15" s="50">
        <f t="shared" si="24"/>
        <v>0</v>
      </c>
      <c r="EV15" s="50">
        <f t="shared" si="24"/>
        <v>0</v>
      </c>
      <c r="EW15" s="50">
        <f t="shared" si="24"/>
        <v>0</v>
      </c>
      <c r="EX15" s="50">
        <f t="shared" si="24"/>
        <v>0</v>
      </c>
      <c r="EY15" s="50">
        <f t="shared" si="24"/>
        <v>0</v>
      </c>
      <c r="EZ15" s="50">
        <f t="shared" si="24"/>
        <v>0</v>
      </c>
      <c r="FA15" s="50">
        <f t="shared" si="24"/>
        <v>0</v>
      </c>
      <c r="FB15" s="50">
        <f t="shared" si="24"/>
        <v>0</v>
      </c>
      <c r="FC15" s="50">
        <f t="shared" si="24"/>
        <v>0</v>
      </c>
      <c r="FD15" s="50">
        <f t="shared" si="24"/>
        <v>0</v>
      </c>
      <c r="FE15" s="50">
        <f t="shared" si="24"/>
        <v>0</v>
      </c>
      <c r="FF15" s="50">
        <f t="shared" si="24"/>
        <v>0</v>
      </c>
      <c r="FG15" s="50">
        <f t="shared" si="24"/>
        <v>0</v>
      </c>
      <c r="FH15" s="50">
        <f t="shared" si="24"/>
        <v>0</v>
      </c>
      <c r="FI15" s="50">
        <f t="shared" si="24"/>
        <v>0</v>
      </c>
      <c r="FJ15" s="50">
        <f t="shared" si="24"/>
        <v>0</v>
      </c>
      <c r="FK15" s="50">
        <f t="shared" si="24"/>
        <v>0</v>
      </c>
      <c r="FL15" s="50">
        <f t="shared" si="24"/>
        <v>0</v>
      </c>
      <c r="FM15" s="50">
        <f t="shared" si="24"/>
        <v>0</v>
      </c>
      <c r="FN15" s="50">
        <f t="shared" si="24"/>
        <v>0</v>
      </c>
      <c r="FO15" s="50">
        <f t="shared" si="24"/>
        <v>0</v>
      </c>
      <c r="FP15" s="50">
        <f t="shared" si="24"/>
        <v>0</v>
      </c>
      <c r="FQ15" s="50">
        <f t="shared" si="24"/>
        <v>0</v>
      </c>
      <c r="FR15" s="50">
        <f t="shared" si="24"/>
        <v>0</v>
      </c>
      <c r="FS15" s="50">
        <f t="shared" si="24"/>
        <v>0</v>
      </c>
      <c r="FT15" s="50">
        <f t="shared" si="24"/>
        <v>0</v>
      </c>
      <c r="FU15" s="50">
        <f t="shared" si="24"/>
        <v>0</v>
      </c>
      <c r="FV15" s="50">
        <f t="shared" si="24"/>
        <v>0</v>
      </c>
      <c r="FW15" s="50">
        <f t="shared" si="24"/>
        <v>0</v>
      </c>
      <c r="FX15" s="50">
        <f t="shared" si="24"/>
        <v>0</v>
      </c>
      <c r="FY15" s="50">
        <f t="shared" si="24"/>
        <v>0</v>
      </c>
      <c r="FZ15" s="50">
        <f t="shared" si="24"/>
        <v>0</v>
      </c>
      <c r="GA15" s="50">
        <f t="shared" si="24"/>
        <v>0</v>
      </c>
      <c r="GB15" s="50">
        <f t="shared" si="24"/>
        <v>0</v>
      </c>
      <c r="GC15" s="50">
        <f t="shared" si="24"/>
        <v>0</v>
      </c>
      <c r="GD15" s="50">
        <f t="shared" si="24"/>
        <v>0</v>
      </c>
      <c r="GE15" s="50">
        <f t="shared" si="24"/>
        <v>0</v>
      </c>
      <c r="GF15" s="50">
        <f t="shared" si="24"/>
        <v>0</v>
      </c>
      <c r="GG15" s="50">
        <f t="shared" si="24"/>
        <v>0</v>
      </c>
      <c r="GH15" s="50">
        <f t="shared" si="24"/>
        <v>0</v>
      </c>
      <c r="GI15" s="50">
        <f t="shared" si="24"/>
        <v>0</v>
      </c>
      <c r="GJ15" s="50">
        <f t="shared" si="24"/>
        <v>0</v>
      </c>
      <c r="GK15" s="50">
        <f t="shared" si="24"/>
        <v>0</v>
      </c>
      <c r="GL15" s="50">
        <f t="shared" si="24"/>
        <v>0</v>
      </c>
      <c r="GM15" s="50">
        <f t="shared" si="24"/>
        <v>0</v>
      </c>
      <c r="GN15" s="50">
        <f t="shared" si="24"/>
        <v>0</v>
      </c>
      <c r="GO15" s="50">
        <f t="shared" si="24"/>
        <v>0</v>
      </c>
      <c r="GP15" s="50">
        <f t="shared" ref="GP15:IH15" si="25">IF(OR(GP17="",GP18=""),0,$L$4*GP17/GP18)</f>
        <v>0</v>
      </c>
      <c r="GQ15" s="50">
        <f t="shared" si="25"/>
        <v>0</v>
      </c>
      <c r="GR15" s="50">
        <f t="shared" si="25"/>
        <v>0</v>
      </c>
      <c r="GS15" s="50">
        <f t="shared" si="25"/>
        <v>0</v>
      </c>
      <c r="GT15" s="50">
        <f t="shared" si="25"/>
        <v>0</v>
      </c>
      <c r="GU15" s="50">
        <f t="shared" si="25"/>
        <v>0</v>
      </c>
      <c r="GV15" s="50">
        <f t="shared" si="25"/>
        <v>0</v>
      </c>
      <c r="GW15" s="50">
        <f t="shared" si="25"/>
        <v>0</v>
      </c>
      <c r="GX15" s="50">
        <f t="shared" si="25"/>
        <v>0</v>
      </c>
      <c r="GY15" s="50">
        <f t="shared" si="25"/>
        <v>0</v>
      </c>
      <c r="GZ15" s="50">
        <f t="shared" si="25"/>
        <v>0</v>
      </c>
      <c r="HA15" s="50">
        <f t="shared" si="25"/>
        <v>0</v>
      </c>
      <c r="HB15" s="50">
        <f t="shared" si="25"/>
        <v>0</v>
      </c>
      <c r="HC15" s="50">
        <f t="shared" si="25"/>
        <v>0</v>
      </c>
      <c r="HD15" s="50">
        <f t="shared" si="25"/>
        <v>0</v>
      </c>
      <c r="HE15" s="50">
        <f t="shared" si="25"/>
        <v>0</v>
      </c>
      <c r="HF15" s="50">
        <f t="shared" si="25"/>
        <v>0</v>
      </c>
      <c r="HG15" s="50">
        <f t="shared" si="25"/>
        <v>0</v>
      </c>
      <c r="HH15" s="50">
        <f t="shared" si="25"/>
        <v>0</v>
      </c>
      <c r="HI15" s="50">
        <f t="shared" si="25"/>
        <v>0</v>
      </c>
      <c r="HJ15" s="50">
        <f t="shared" si="25"/>
        <v>0</v>
      </c>
      <c r="HK15" s="50">
        <f t="shared" si="25"/>
        <v>0</v>
      </c>
      <c r="HL15" s="50">
        <f t="shared" si="25"/>
        <v>0</v>
      </c>
      <c r="HM15" s="50">
        <f t="shared" si="25"/>
        <v>0</v>
      </c>
      <c r="HN15" s="50">
        <f t="shared" si="25"/>
        <v>0</v>
      </c>
      <c r="HO15" s="50">
        <f t="shared" si="25"/>
        <v>0</v>
      </c>
      <c r="HP15" s="50">
        <f t="shared" si="25"/>
        <v>0</v>
      </c>
      <c r="HQ15" s="50">
        <f t="shared" si="25"/>
        <v>0</v>
      </c>
      <c r="HR15" s="50">
        <f t="shared" si="25"/>
        <v>0</v>
      </c>
      <c r="HS15" s="50">
        <f t="shared" si="25"/>
        <v>0</v>
      </c>
      <c r="HT15" s="50">
        <f t="shared" si="25"/>
        <v>0</v>
      </c>
      <c r="HU15" s="50">
        <f t="shared" si="25"/>
        <v>0</v>
      </c>
      <c r="HV15" s="50">
        <f t="shared" si="25"/>
        <v>0</v>
      </c>
      <c r="HW15" s="50">
        <f t="shared" si="25"/>
        <v>0</v>
      </c>
      <c r="HX15" s="50">
        <f t="shared" si="25"/>
        <v>0</v>
      </c>
      <c r="HY15" s="50">
        <f t="shared" si="25"/>
        <v>0</v>
      </c>
      <c r="HZ15" s="50">
        <f t="shared" si="25"/>
        <v>0</v>
      </c>
      <c r="IA15" s="50">
        <f t="shared" si="25"/>
        <v>0</v>
      </c>
      <c r="IB15" s="50">
        <f t="shared" si="25"/>
        <v>0</v>
      </c>
      <c r="IC15" s="50">
        <f t="shared" si="25"/>
        <v>0</v>
      </c>
      <c r="ID15" s="50">
        <f t="shared" si="25"/>
        <v>0</v>
      </c>
      <c r="IE15" s="50">
        <f t="shared" si="25"/>
        <v>0</v>
      </c>
      <c r="IF15" s="50">
        <f t="shared" si="25"/>
        <v>0</v>
      </c>
      <c r="IG15" s="50">
        <f t="shared" si="25"/>
        <v>0</v>
      </c>
      <c r="IH15" s="50">
        <f t="shared" si="25"/>
        <v>0</v>
      </c>
    </row>
    <row r="16" spans="1:262" s="50" customFormat="1" ht="34.5" customHeight="1" thickBot="1" x14ac:dyDescent="0.3">
      <c r="A16" s="50" t="s">
        <v>47</v>
      </c>
      <c r="E16" s="81" t="s">
        <v>48</v>
      </c>
    </row>
    <row r="17" spans="1:242" s="50" customFormat="1" ht="15.75" thickBot="1" x14ac:dyDescent="0.3">
      <c r="A17" s="82" t="s">
        <v>49</v>
      </c>
      <c r="B17" s="83">
        <v>1</v>
      </c>
      <c r="C17" s="83">
        <v>2</v>
      </c>
      <c r="D17" s="84">
        <v>3</v>
      </c>
      <c r="E17" s="174"/>
      <c r="F17" s="174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5"/>
      <c r="BY17" s="85"/>
      <c r="BZ17" s="85"/>
      <c r="CA17" s="85"/>
      <c r="CB17" s="85"/>
      <c r="CC17" s="85"/>
      <c r="CD17" s="85"/>
      <c r="CE17" s="85"/>
      <c r="CF17" s="85"/>
      <c r="CG17" s="85"/>
      <c r="CH17" s="85"/>
      <c r="CI17" s="85"/>
      <c r="CJ17" s="85"/>
      <c r="CK17" s="85"/>
      <c r="CL17" s="85"/>
      <c r="CM17" s="85"/>
      <c r="CN17" s="85"/>
      <c r="CO17" s="85"/>
      <c r="CP17" s="85"/>
      <c r="CQ17" s="85"/>
      <c r="CR17" s="85"/>
      <c r="CS17" s="85"/>
      <c r="CT17" s="85"/>
      <c r="CU17" s="85"/>
      <c r="CV17" s="85"/>
      <c r="CW17" s="85"/>
      <c r="CX17" s="85"/>
      <c r="CY17" s="85"/>
      <c r="CZ17" s="85"/>
      <c r="DA17" s="85"/>
      <c r="DB17" s="85"/>
      <c r="DC17" s="85"/>
      <c r="DD17" s="85"/>
      <c r="DE17" s="85"/>
      <c r="DF17" s="85"/>
      <c r="DG17" s="85"/>
      <c r="DH17" s="85"/>
      <c r="DI17" s="85"/>
      <c r="DJ17" s="85"/>
      <c r="DK17" s="85"/>
      <c r="DL17" s="85"/>
      <c r="DM17" s="85"/>
      <c r="DN17" s="85"/>
      <c r="DO17" s="85"/>
      <c r="DP17" s="85"/>
      <c r="DQ17" s="85"/>
      <c r="DR17" s="85"/>
      <c r="DS17" s="85"/>
      <c r="DT17" s="85"/>
      <c r="DU17" s="85"/>
      <c r="DV17" s="85"/>
      <c r="DW17" s="85"/>
      <c r="DX17" s="85"/>
      <c r="DY17" s="85"/>
      <c r="DZ17" s="85"/>
      <c r="EA17" s="85"/>
      <c r="EB17" s="85"/>
      <c r="EC17" s="85"/>
      <c r="ED17" s="85"/>
      <c r="EE17" s="85"/>
      <c r="EF17" s="85"/>
      <c r="EG17" s="85"/>
      <c r="EH17" s="85"/>
      <c r="EI17" s="85"/>
      <c r="EJ17" s="85"/>
      <c r="EK17" s="85"/>
      <c r="EL17" s="85"/>
      <c r="EM17" s="85"/>
      <c r="EN17" s="85"/>
      <c r="EO17" s="85"/>
      <c r="EP17" s="85"/>
      <c r="EQ17" s="85"/>
      <c r="ER17" s="85"/>
      <c r="ES17" s="85"/>
      <c r="ET17" s="85"/>
      <c r="EU17" s="85"/>
      <c r="EV17" s="85"/>
      <c r="EW17" s="85"/>
      <c r="EX17" s="85"/>
      <c r="EY17" s="85"/>
      <c r="EZ17" s="85"/>
      <c r="FA17" s="85"/>
      <c r="FB17" s="85"/>
      <c r="FC17" s="85"/>
      <c r="FD17" s="85"/>
      <c r="FE17" s="85"/>
      <c r="FF17" s="85"/>
      <c r="FG17" s="85"/>
      <c r="FH17" s="85"/>
      <c r="FI17" s="85"/>
      <c r="FJ17" s="85"/>
      <c r="FK17" s="85"/>
      <c r="FL17" s="85"/>
      <c r="FM17" s="85"/>
      <c r="FN17" s="85"/>
      <c r="FO17" s="85"/>
      <c r="FP17" s="85"/>
      <c r="FQ17" s="85"/>
      <c r="FR17" s="85"/>
      <c r="FS17" s="85"/>
      <c r="FT17" s="85"/>
      <c r="FU17" s="85"/>
      <c r="FV17" s="85"/>
      <c r="FW17" s="85"/>
      <c r="FX17" s="85"/>
      <c r="FY17" s="85"/>
      <c r="FZ17" s="85"/>
      <c r="GA17" s="85"/>
      <c r="GB17" s="85"/>
      <c r="GC17" s="85"/>
      <c r="GD17" s="85"/>
      <c r="GE17" s="85"/>
      <c r="GF17" s="85"/>
      <c r="GG17" s="85"/>
      <c r="GH17" s="85"/>
      <c r="GI17" s="85"/>
      <c r="GJ17" s="85"/>
      <c r="GK17" s="85"/>
      <c r="GL17" s="85"/>
      <c r="GM17" s="85"/>
      <c r="GN17" s="85"/>
      <c r="GO17" s="85"/>
      <c r="GP17" s="85"/>
      <c r="GQ17" s="85"/>
      <c r="GR17" s="85"/>
      <c r="GS17" s="85"/>
      <c r="GT17" s="85"/>
      <c r="GU17" s="85"/>
      <c r="GV17" s="85"/>
      <c r="GW17" s="85"/>
      <c r="GX17" s="85"/>
      <c r="GY17" s="85"/>
      <c r="GZ17" s="85"/>
      <c r="HA17" s="85"/>
      <c r="HB17" s="85"/>
      <c r="HC17" s="85"/>
      <c r="HD17" s="85"/>
      <c r="HE17" s="85"/>
      <c r="HF17" s="85"/>
      <c r="HG17" s="85"/>
      <c r="HH17" s="85"/>
      <c r="HI17" s="85"/>
      <c r="HJ17" s="85"/>
      <c r="HK17" s="85"/>
      <c r="HL17" s="85"/>
      <c r="HM17" s="85"/>
      <c r="HN17" s="85"/>
      <c r="HO17" s="85"/>
      <c r="HP17" s="85"/>
      <c r="HQ17" s="85"/>
      <c r="HR17" s="85"/>
      <c r="HS17" s="85"/>
      <c r="HT17" s="85"/>
      <c r="HU17" s="85"/>
      <c r="HV17" s="85"/>
      <c r="HW17" s="85"/>
      <c r="HX17" s="85"/>
      <c r="HY17" s="85"/>
      <c r="HZ17" s="85"/>
      <c r="IA17" s="85"/>
      <c r="IB17" s="85"/>
      <c r="IC17" s="85"/>
      <c r="ID17" s="85"/>
      <c r="IE17" s="85"/>
      <c r="IF17" s="85"/>
      <c r="IG17" s="85"/>
      <c r="IH17" s="85"/>
    </row>
    <row r="18" spans="1:242" s="50" customFormat="1" ht="15.75" thickBot="1" x14ac:dyDescent="0.3">
      <c r="A18" s="60" t="s">
        <v>50</v>
      </c>
      <c r="B18" s="87">
        <f>SUM(B19:B1048576)</f>
        <v>0</v>
      </c>
      <c r="C18" s="87">
        <f>SUM(C19:C1048576)</f>
        <v>0</v>
      </c>
      <c r="D18" s="87">
        <f>SUM(D19:D1048576)</f>
        <v>0</v>
      </c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  <c r="AT18" s="86"/>
      <c r="AU18" s="86"/>
      <c r="AV18" s="86"/>
      <c r="AW18" s="86"/>
      <c r="AX18" s="86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6"/>
      <c r="CL18" s="86"/>
      <c r="CM18" s="86"/>
      <c r="CN18" s="86"/>
      <c r="CO18" s="86"/>
      <c r="CP18" s="86"/>
      <c r="CQ18" s="86"/>
      <c r="CR18" s="86"/>
      <c r="CS18" s="86"/>
      <c r="CT18" s="86"/>
      <c r="CU18" s="86"/>
      <c r="CV18" s="86"/>
      <c r="CW18" s="86"/>
      <c r="CX18" s="86"/>
      <c r="CY18" s="86"/>
      <c r="CZ18" s="86"/>
      <c r="DA18" s="86"/>
      <c r="DB18" s="86"/>
      <c r="DC18" s="86"/>
      <c r="DD18" s="86"/>
      <c r="DE18" s="86"/>
      <c r="DF18" s="86"/>
      <c r="DG18" s="86"/>
      <c r="DH18" s="86"/>
      <c r="DI18" s="86"/>
      <c r="DJ18" s="86"/>
      <c r="DK18" s="86"/>
      <c r="DL18" s="86"/>
      <c r="DM18" s="86"/>
      <c r="DN18" s="86"/>
      <c r="DO18" s="86"/>
      <c r="DP18" s="86"/>
      <c r="DQ18" s="86"/>
      <c r="DR18" s="86"/>
      <c r="DS18" s="86"/>
      <c r="DT18" s="86"/>
      <c r="DU18" s="86"/>
      <c r="DV18" s="86"/>
      <c r="DW18" s="86"/>
      <c r="DX18" s="86"/>
      <c r="DY18" s="86"/>
      <c r="DZ18" s="86"/>
      <c r="EA18" s="86"/>
      <c r="EB18" s="86"/>
      <c r="EC18" s="86"/>
      <c r="ED18" s="86"/>
      <c r="EE18" s="86"/>
      <c r="EF18" s="86"/>
      <c r="EG18" s="86"/>
      <c r="EH18" s="86"/>
      <c r="EI18" s="86"/>
      <c r="EJ18" s="86"/>
      <c r="EK18" s="86"/>
      <c r="EL18" s="86"/>
      <c r="EM18" s="86"/>
      <c r="EN18" s="86"/>
      <c r="EO18" s="86"/>
      <c r="EP18" s="86"/>
      <c r="EQ18" s="86"/>
      <c r="ER18" s="86"/>
      <c r="ES18" s="86"/>
      <c r="ET18" s="86"/>
      <c r="EU18" s="86"/>
      <c r="EV18" s="86"/>
      <c r="EW18" s="86"/>
      <c r="EX18" s="86"/>
      <c r="EY18" s="86"/>
      <c r="EZ18" s="86"/>
      <c r="FA18" s="86"/>
      <c r="FB18" s="86"/>
      <c r="FC18" s="86"/>
      <c r="FD18" s="86"/>
      <c r="FE18" s="86"/>
      <c r="FF18" s="86"/>
      <c r="FG18" s="86"/>
      <c r="FH18" s="86"/>
      <c r="FI18" s="86"/>
      <c r="FJ18" s="86"/>
      <c r="FK18" s="86"/>
      <c r="FL18" s="86"/>
      <c r="FM18" s="86"/>
      <c r="FN18" s="86"/>
      <c r="FO18" s="86"/>
      <c r="FP18" s="86"/>
      <c r="FQ18" s="86"/>
      <c r="FR18" s="86"/>
      <c r="FS18" s="86"/>
      <c r="FT18" s="86"/>
      <c r="FU18" s="86"/>
      <c r="FV18" s="86"/>
      <c r="FW18" s="86"/>
      <c r="FX18" s="86"/>
      <c r="FY18" s="86"/>
      <c r="FZ18" s="86"/>
      <c r="GA18" s="86"/>
      <c r="GB18" s="86"/>
      <c r="GC18" s="86"/>
      <c r="GD18" s="86"/>
      <c r="GE18" s="86"/>
      <c r="GF18" s="86"/>
      <c r="GG18" s="86"/>
      <c r="GH18" s="86"/>
      <c r="GI18" s="86"/>
      <c r="GJ18" s="86"/>
      <c r="GK18" s="86"/>
      <c r="GL18" s="86"/>
      <c r="GM18" s="86"/>
      <c r="GN18" s="86"/>
      <c r="GO18" s="86"/>
      <c r="GP18" s="86"/>
      <c r="GQ18" s="86"/>
      <c r="GR18" s="86"/>
      <c r="GS18" s="86"/>
      <c r="GT18" s="86"/>
      <c r="GU18" s="86"/>
      <c r="GV18" s="86"/>
      <c r="GW18" s="86"/>
      <c r="GX18" s="86"/>
      <c r="GY18" s="86"/>
      <c r="GZ18" s="86"/>
      <c r="HA18" s="86"/>
      <c r="HB18" s="86"/>
      <c r="HC18" s="86"/>
      <c r="HD18" s="86"/>
      <c r="HE18" s="86"/>
      <c r="HF18" s="86"/>
      <c r="HG18" s="86"/>
      <c r="HH18" s="86"/>
      <c r="HI18" s="86"/>
      <c r="HJ18" s="86"/>
      <c r="HK18" s="86"/>
      <c r="HL18" s="86"/>
      <c r="HM18" s="86"/>
      <c r="HN18" s="86"/>
      <c r="HO18" s="86"/>
      <c r="HP18" s="86"/>
      <c r="HQ18" s="86"/>
      <c r="HR18" s="86"/>
      <c r="HS18" s="86"/>
      <c r="HT18" s="86"/>
      <c r="HU18" s="86"/>
      <c r="HV18" s="86"/>
      <c r="HW18" s="86"/>
      <c r="HX18" s="86"/>
      <c r="HY18" s="86"/>
      <c r="HZ18" s="86"/>
      <c r="IA18" s="86"/>
      <c r="IB18" s="86"/>
      <c r="IC18" s="86"/>
      <c r="ID18" s="86"/>
      <c r="IE18" s="86"/>
      <c r="IF18" s="86"/>
      <c r="IG18" s="86"/>
      <c r="IH18" s="86"/>
    </row>
    <row r="19" spans="1:242" x14ac:dyDescent="0.25">
      <c r="A19" s="60">
        <v>1</v>
      </c>
      <c r="B19" s="88"/>
      <c r="C19" s="88"/>
      <c r="D19" s="88">
        <v>0</v>
      </c>
    </row>
    <row r="20" spans="1:242" x14ac:dyDescent="0.25">
      <c r="A20" s="60">
        <v>2</v>
      </c>
      <c r="B20" s="89"/>
      <c r="C20" s="89"/>
      <c r="D20" s="89"/>
    </row>
    <row r="21" spans="1:242" ht="21" hidden="1" x14ac:dyDescent="0.25">
      <c r="A21" s="60">
        <v>3</v>
      </c>
      <c r="B21" s="89"/>
      <c r="C21" s="89"/>
      <c r="D21" s="89"/>
      <c r="E21" s="50"/>
      <c r="F21" s="50"/>
      <c r="G21" s="50"/>
      <c r="H21" s="156">
        <f>COUNTIF(E18:IH18,"&gt;0")</f>
        <v>0</v>
      </c>
      <c r="I21" s="156" t="e">
        <f>HLOOKUP(H21,$E$10:$IH$37,28)</f>
        <v>#N/A</v>
      </c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  <c r="AO21" s="50"/>
      <c r="AP21" s="50"/>
      <c r="AQ21" s="50"/>
      <c r="AR21" s="50"/>
      <c r="AS21" s="50"/>
      <c r="AT21" s="50"/>
      <c r="AU21" s="50"/>
      <c r="AV21" s="50"/>
      <c r="AW21" s="50"/>
      <c r="AX21" s="50"/>
      <c r="AY21" s="50"/>
      <c r="AZ21" s="50"/>
      <c r="BA21" s="50"/>
      <c r="BB21" s="50"/>
      <c r="BC21" s="50"/>
      <c r="BD21" s="50"/>
      <c r="BE21" s="50"/>
      <c r="BF21" s="50"/>
      <c r="BG21" s="50"/>
      <c r="BH21" s="50"/>
      <c r="BI21" s="50"/>
      <c r="BJ21" s="50"/>
      <c r="BK21" s="50"/>
      <c r="BL21" s="50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0"/>
      <c r="CA21" s="50"/>
      <c r="CB21" s="50"/>
      <c r="CC21" s="50"/>
      <c r="CD21" s="50"/>
      <c r="CE21" s="50"/>
      <c r="CF21" s="50"/>
      <c r="CG21" s="50"/>
      <c r="CH21" s="50"/>
      <c r="CI21" s="50"/>
      <c r="CJ21" s="50"/>
      <c r="CK21" s="50"/>
      <c r="CL21" s="50"/>
      <c r="CM21" s="50"/>
      <c r="CN21" s="50"/>
      <c r="CO21" s="50"/>
      <c r="CP21" s="50"/>
      <c r="CQ21" s="50"/>
      <c r="CR21" s="50"/>
      <c r="CS21" s="50"/>
      <c r="CT21" s="50"/>
      <c r="CU21" s="50"/>
      <c r="CV21" s="50"/>
      <c r="CW21" s="50"/>
      <c r="CX21" s="50"/>
      <c r="CY21" s="50"/>
      <c r="CZ21" s="50"/>
      <c r="DA21" s="50"/>
      <c r="DB21" s="50"/>
      <c r="DC21" s="50"/>
      <c r="DD21" s="50"/>
      <c r="DE21" s="50"/>
      <c r="DF21" s="50"/>
      <c r="DG21" s="50"/>
      <c r="DH21" s="50"/>
      <c r="DI21" s="50"/>
      <c r="DJ21" s="50"/>
      <c r="DK21" s="50"/>
      <c r="DL21" s="50"/>
      <c r="DM21" s="50"/>
      <c r="DN21" s="50"/>
      <c r="DO21" s="50"/>
      <c r="DP21" s="50"/>
      <c r="DQ21" s="50"/>
      <c r="DR21" s="50"/>
      <c r="DS21" s="50"/>
      <c r="DT21" s="50"/>
      <c r="DU21" s="50"/>
      <c r="DV21" s="50"/>
      <c r="DW21" s="50"/>
      <c r="DX21" s="50"/>
      <c r="DY21" s="50"/>
      <c r="DZ21" s="50"/>
      <c r="EA21" s="50"/>
      <c r="EB21" s="50"/>
      <c r="EC21" s="50"/>
      <c r="ED21" s="50"/>
      <c r="EE21" s="50"/>
      <c r="EF21" s="50"/>
      <c r="EG21" s="50"/>
      <c r="EH21" s="50"/>
      <c r="EI21" s="50"/>
      <c r="EJ21" s="50"/>
      <c r="EK21" s="50"/>
      <c r="EL21" s="50"/>
      <c r="EM21" s="50"/>
      <c r="EN21" s="50"/>
      <c r="EO21" s="50"/>
      <c r="EP21" s="50"/>
      <c r="EQ21" s="50"/>
      <c r="ER21" s="50"/>
      <c r="ES21" s="50"/>
      <c r="ET21" s="50"/>
      <c r="EU21" s="50"/>
      <c r="EV21" s="50"/>
      <c r="EW21" s="50"/>
      <c r="EX21" s="50"/>
      <c r="EY21" s="50"/>
      <c r="EZ21" s="50"/>
      <c r="FA21" s="50"/>
      <c r="FB21" s="50"/>
      <c r="FC21" s="50"/>
      <c r="FD21" s="50"/>
      <c r="FE21" s="50"/>
      <c r="FF21" s="50"/>
      <c r="FG21" s="50"/>
      <c r="FH21" s="50"/>
      <c r="FI21" s="50"/>
      <c r="FJ21" s="50"/>
      <c r="FK21" s="50"/>
      <c r="FL21" s="50"/>
      <c r="FM21" s="50"/>
      <c r="FN21" s="50"/>
      <c r="FO21" s="50"/>
      <c r="FP21" s="50"/>
      <c r="FQ21" s="50"/>
      <c r="FR21" s="50"/>
      <c r="FS21" s="50"/>
      <c r="FT21" s="50"/>
      <c r="FU21" s="50"/>
      <c r="FV21" s="50"/>
      <c r="FW21" s="50"/>
      <c r="FX21" s="50"/>
      <c r="FY21" s="50"/>
      <c r="FZ21" s="50"/>
      <c r="GA21" s="50"/>
      <c r="GB21" s="50"/>
      <c r="GC21" s="50"/>
      <c r="GD21" s="50"/>
      <c r="GE21" s="50"/>
      <c r="GF21" s="50"/>
      <c r="GG21" s="50"/>
      <c r="GH21" s="50"/>
      <c r="GI21" s="50"/>
      <c r="GJ21" s="50"/>
      <c r="GK21" s="50"/>
      <c r="GL21" s="50"/>
      <c r="GM21" s="50"/>
      <c r="GN21" s="50"/>
      <c r="GO21" s="50"/>
      <c r="GP21" s="50"/>
      <c r="GQ21" s="50"/>
      <c r="GR21" s="50"/>
      <c r="GS21" s="50"/>
      <c r="GT21" s="50"/>
      <c r="GU21" s="50"/>
      <c r="GV21" s="50"/>
      <c r="GW21" s="50"/>
      <c r="GX21" s="50"/>
      <c r="GY21" s="50"/>
      <c r="GZ21" s="50"/>
      <c r="HA21" s="50"/>
      <c r="HB21" s="50"/>
      <c r="HC21" s="50"/>
      <c r="HD21" s="50"/>
      <c r="HE21" s="50"/>
      <c r="HF21" s="50"/>
      <c r="HG21" s="50"/>
      <c r="HH21" s="50"/>
      <c r="HI21" s="50"/>
      <c r="HJ21" s="50"/>
      <c r="HK21" s="50"/>
      <c r="HL21" s="50"/>
      <c r="HM21" s="50"/>
      <c r="HN21" s="50"/>
      <c r="HO21" s="50"/>
      <c r="HP21" s="50"/>
      <c r="HQ21" s="50"/>
      <c r="HR21" s="50"/>
      <c r="HS21" s="50"/>
      <c r="HT21" s="50"/>
      <c r="HU21" s="50"/>
      <c r="HV21" s="50"/>
      <c r="HW21" s="50"/>
      <c r="HX21" s="50"/>
      <c r="HY21" s="50"/>
      <c r="HZ21" s="50"/>
      <c r="IA21" s="50"/>
      <c r="IB21" s="50"/>
      <c r="IC21" s="50"/>
      <c r="ID21" s="50"/>
      <c r="IE21" s="50"/>
      <c r="IF21" s="50"/>
      <c r="IG21" s="50"/>
      <c r="IH21" s="50"/>
    </row>
    <row r="22" spans="1:242" hidden="1" x14ac:dyDescent="0.25">
      <c r="A22" s="60">
        <v>4</v>
      </c>
      <c r="B22" s="89"/>
      <c r="C22" s="89"/>
      <c r="D22" s="89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  <c r="AO22" s="50"/>
      <c r="AP22" s="50"/>
      <c r="AQ22" s="50"/>
      <c r="AR22" s="50"/>
      <c r="AS22" s="50"/>
      <c r="AT22" s="50"/>
      <c r="AU22" s="50"/>
      <c r="AV22" s="50"/>
      <c r="AW22" s="50"/>
      <c r="AX22" s="50"/>
      <c r="AY22" s="50"/>
      <c r="AZ22" s="50"/>
      <c r="BA22" s="50"/>
      <c r="BB22" s="50"/>
      <c r="BC22" s="50"/>
      <c r="BD22" s="50"/>
      <c r="BE22" s="50"/>
      <c r="BF22" s="50"/>
      <c r="BG22" s="50"/>
      <c r="BH22" s="50"/>
      <c r="BI22" s="50"/>
      <c r="BJ22" s="50"/>
      <c r="BK22" s="50"/>
      <c r="BL22" s="50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0"/>
      <c r="CA22" s="50"/>
      <c r="CB22" s="50"/>
      <c r="CC22" s="50"/>
      <c r="CD22" s="50"/>
      <c r="CE22" s="50"/>
      <c r="CF22" s="50"/>
      <c r="CG22" s="50"/>
      <c r="CH22" s="50"/>
      <c r="CI22" s="50"/>
      <c r="CJ22" s="50"/>
      <c r="CK22" s="50"/>
      <c r="CL22" s="50"/>
      <c r="CM22" s="50"/>
      <c r="CN22" s="50"/>
      <c r="CO22" s="50"/>
      <c r="CP22" s="50"/>
      <c r="CQ22" s="50"/>
      <c r="CR22" s="50"/>
      <c r="CS22" s="50"/>
      <c r="CT22" s="50"/>
      <c r="CU22" s="50"/>
      <c r="CV22" s="50"/>
      <c r="CW22" s="50"/>
      <c r="CX22" s="50"/>
      <c r="CY22" s="50"/>
      <c r="CZ22" s="50"/>
      <c r="DA22" s="50"/>
      <c r="DB22" s="50"/>
      <c r="DC22" s="50"/>
      <c r="DD22" s="50"/>
      <c r="DE22" s="50"/>
      <c r="DF22" s="50"/>
      <c r="DG22" s="50"/>
      <c r="DH22" s="50"/>
      <c r="DI22" s="50"/>
      <c r="DJ22" s="50"/>
      <c r="DK22" s="50"/>
      <c r="DL22" s="50"/>
      <c r="DM22" s="50"/>
      <c r="DN22" s="50"/>
      <c r="DO22" s="50"/>
      <c r="DP22" s="50"/>
      <c r="DQ22" s="50"/>
      <c r="DR22" s="50"/>
      <c r="DS22" s="50"/>
      <c r="DT22" s="50"/>
      <c r="DU22" s="50"/>
      <c r="DV22" s="50"/>
      <c r="DW22" s="50"/>
      <c r="DX22" s="50"/>
      <c r="DY22" s="50"/>
      <c r="DZ22" s="50"/>
      <c r="EA22" s="50"/>
      <c r="EB22" s="50"/>
      <c r="EC22" s="50"/>
      <c r="ED22" s="50"/>
      <c r="EE22" s="50"/>
      <c r="EF22" s="50"/>
      <c r="EG22" s="50"/>
      <c r="EH22" s="50"/>
      <c r="EI22" s="50"/>
      <c r="EJ22" s="50"/>
      <c r="EK22" s="50"/>
      <c r="EL22" s="50"/>
      <c r="EM22" s="50"/>
      <c r="EN22" s="50"/>
      <c r="EO22" s="50"/>
      <c r="EP22" s="50"/>
      <c r="EQ22" s="50"/>
      <c r="ER22" s="50"/>
      <c r="ES22" s="50"/>
      <c r="ET22" s="50"/>
      <c r="EU22" s="50"/>
      <c r="EV22" s="50"/>
      <c r="EW22" s="50"/>
      <c r="EX22" s="50"/>
      <c r="EY22" s="50"/>
      <c r="EZ22" s="50"/>
      <c r="FA22" s="50"/>
      <c r="FB22" s="50"/>
      <c r="FC22" s="50"/>
      <c r="FD22" s="50"/>
      <c r="FE22" s="50"/>
      <c r="FF22" s="50"/>
      <c r="FG22" s="50"/>
      <c r="FH22" s="50"/>
      <c r="FI22" s="50"/>
      <c r="FJ22" s="50"/>
      <c r="FK22" s="50"/>
      <c r="FL22" s="50"/>
      <c r="FM22" s="50"/>
      <c r="FN22" s="50"/>
      <c r="FO22" s="50"/>
      <c r="FP22" s="50"/>
      <c r="FQ22" s="50"/>
      <c r="FR22" s="50"/>
      <c r="FS22" s="50"/>
      <c r="FT22" s="50"/>
      <c r="FU22" s="50"/>
      <c r="FV22" s="50"/>
      <c r="FW22" s="50"/>
      <c r="FX22" s="50"/>
      <c r="FY22" s="50"/>
      <c r="FZ22" s="50"/>
      <c r="GA22" s="50"/>
      <c r="GB22" s="50"/>
      <c r="GC22" s="50"/>
      <c r="GD22" s="50"/>
      <c r="GE22" s="50"/>
      <c r="GF22" s="50"/>
      <c r="GG22" s="50"/>
      <c r="GH22" s="50"/>
      <c r="GI22" s="50"/>
      <c r="GJ22" s="50"/>
      <c r="GK22" s="50"/>
      <c r="GL22" s="50"/>
      <c r="GM22" s="50"/>
      <c r="GN22" s="50"/>
      <c r="GO22" s="50"/>
      <c r="GP22" s="50"/>
      <c r="GQ22" s="50"/>
      <c r="GR22" s="50"/>
      <c r="GS22" s="50"/>
      <c r="GT22" s="50"/>
      <c r="GU22" s="50"/>
      <c r="GV22" s="50"/>
      <c r="GW22" s="50"/>
      <c r="GX22" s="50"/>
      <c r="GY22" s="50"/>
      <c r="GZ22" s="50"/>
      <c r="HA22" s="50"/>
      <c r="HB22" s="50"/>
      <c r="HC22" s="50"/>
      <c r="HD22" s="50"/>
      <c r="HE22" s="50"/>
      <c r="HF22" s="50"/>
      <c r="HG22" s="50"/>
      <c r="HH22" s="50"/>
      <c r="HI22" s="50"/>
      <c r="HJ22" s="50"/>
      <c r="HK22" s="50"/>
      <c r="HL22" s="50"/>
      <c r="HM22" s="50"/>
      <c r="HN22" s="50"/>
      <c r="HO22" s="50"/>
      <c r="HP22" s="50"/>
      <c r="HQ22" s="50"/>
      <c r="HR22" s="50"/>
      <c r="HS22" s="50"/>
      <c r="HT22" s="50"/>
      <c r="HU22" s="50"/>
      <c r="HV22" s="50"/>
      <c r="HW22" s="50"/>
      <c r="HX22" s="50"/>
      <c r="HY22" s="50"/>
      <c r="HZ22" s="50"/>
      <c r="IA22" s="50"/>
      <c r="IB22" s="50"/>
      <c r="IC22" s="50"/>
      <c r="ID22" s="50"/>
      <c r="IE22" s="50"/>
      <c r="IF22" s="50"/>
      <c r="IG22" s="50"/>
      <c r="IH22" s="50"/>
    </row>
    <row r="23" spans="1:242" hidden="1" x14ac:dyDescent="0.25">
      <c r="A23" s="60">
        <v>5</v>
      </c>
      <c r="B23" s="89"/>
      <c r="C23" s="89"/>
      <c r="D23" s="89"/>
      <c r="E23" s="50" t="e">
        <f ca="1">GCD(C6,C7)</f>
        <v>#N/A</v>
      </c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  <c r="AO23" s="50"/>
      <c r="AP23" s="50"/>
      <c r="AQ23" s="50"/>
      <c r="AR23" s="50"/>
      <c r="AS23" s="50"/>
      <c r="AT23" s="50"/>
      <c r="AU23" s="50"/>
      <c r="AV23" s="50"/>
      <c r="AW23" s="50"/>
      <c r="AX23" s="50"/>
      <c r="AY23" s="50"/>
      <c r="AZ23" s="50"/>
      <c r="BA23" s="50"/>
      <c r="BB23" s="50"/>
      <c r="BC23" s="50"/>
      <c r="BD23" s="50"/>
      <c r="BE23" s="50"/>
      <c r="BF23" s="50"/>
      <c r="BG23" s="50"/>
      <c r="BH23" s="50"/>
      <c r="BI23" s="50"/>
      <c r="BJ23" s="50"/>
      <c r="BK23" s="50"/>
      <c r="BL23" s="50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0"/>
      <c r="CA23" s="50"/>
      <c r="CB23" s="50"/>
      <c r="CC23" s="50"/>
      <c r="CD23" s="50"/>
      <c r="CE23" s="50"/>
      <c r="CF23" s="50"/>
      <c r="CG23" s="50"/>
      <c r="CH23" s="50"/>
      <c r="CI23" s="50"/>
      <c r="CJ23" s="50"/>
      <c r="CK23" s="50"/>
      <c r="CL23" s="50"/>
      <c r="CM23" s="50"/>
      <c r="CN23" s="50"/>
      <c r="CO23" s="50"/>
      <c r="CP23" s="50"/>
      <c r="CQ23" s="50"/>
      <c r="CR23" s="50"/>
      <c r="CS23" s="50"/>
      <c r="CT23" s="50"/>
      <c r="CU23" s="50"/>
      <c r="CV23" s="50"/>
      <c r="CW23" s="50"/>
      <c r="CX23" s="50"/>
      <c r="CY23" s="50"/>
      <c r="CZ23" s="50"/>
      <c r="DA23" s="50"/>
      <c r="DB23" s="50"/>
      <c r="DC23" s="50"/>
      <c r="DD23" s="50"/>
      <c r="DE23" s="50"/>
      <c r="DF23" s="50"/>
      <c r="DG23" s="50"/>
      <c r="DH23" s="50"/>
      <c r="DI23" s="50"/>
      <c r="DJ23" s="50"/>
      <c r="DK23" s="50"/>
      <c r="DL23" s="50"/>
      <c r="DM23" s="50"/>
      <c r="DN23" s="50"/>
      <c r="DO23" s="50"/>
      <c r="DP23" s="50"/>
      <c r="DQ23" s="50"/>
      <c r="DR23" s="50"/>
      <c r="DS23" s="50"/>
      <c r="DT23" s="50"/>
      <c r="DU23" s="50"/>
      <c r="DV23" s="50"/>
      <c r="DW23" s="50"/>
      <c r="DX23" s="50"/>
      <c r="DY23" s="50"/>
      <c r="DZ23" s="50"/>
      <c r="EA23" s="50"/>
      <c r="EB23" s="50"/>
      <c r="EC23" s="50"/>
      <c r="ED23" s="50"/>
      <c r="EE23" s="50"/>
      <c r="EF23" s="50"/>
      <c r="EG23" s="50"/>
      <c r="EH23" s="50"/>
      <c r="EI23" s="50"/>
      <c r="EJ23" s="50"/>
      <c r="EK23" s="50"/>
      <c r="EL23" s="50"/>
      <c r="EM23" s="50"/>
      <c r="EN23" s="50"/>
      <c r="EO23" s="50"/>
      <c r="EP23" s="50"/>
      <c r="EQ23" s="50"/>
      <c r="ER23" s="50"/>
      <c r="ES23" s="50"/>
      <c r="ET23" s="50"/>
      <c r="EU23" s="50"/>
      <c r="EV23" s="50"/>
      <c r="EW23" s="50"/>
      <c r="EX23" s="50"/>
      <c r="EY23" s="50"/>
      <c r="EZ23" s="50"/>
      <c r="FA23" s="50"/>
      <c r="FB23" s="50"/>
      <c r="FC23" s="50"/>
      <c r="FD23" s="50"/>
      <c r="FE23" s="50"/>
      <c r="FF23" s="50"/>
      <c r="FG23" s="50"/>
      <c r="FH23" s="50"/>
      <c r="FI23" s="50"/>
      <c r="FJ23" s="50"/>
      <c r="FK23" s="50"/>
      <c r="FL23" s="50"/>
      <c r="FM23" s="50"/>
      <c r="FN23" s="50"/>
      <c r="FO23" s="50"/>
      <c r="FP23" s="50"/>
      <c r="FQ23" s="50"/>
      <c r="FR23" s="50"/>
      <c r="FS23" s="50"/>
      <c r="FT23" s="50"/>
      <c r="FU23" s="50"/>
      <c r="FV23" s="50"/>
      <c r="FW23" s="50"/>
      <c r="FX23" s="50"/>
      <c r="FY23" s="50"/>
      <c r="FZ23" s="50"/>
      <c r="GA23" s="50"/>
      <c r="GB23" s="50"/>
      <c r="GC23" s="50"/>
      <c r="GD23" s="50"/>
      <c r="GE23" s="50"/>
      <c r="GF23" s="50"/>
      <c r="GG23" s="50"/>
      <c r="GH23" s="50"/>
      <c r="GI23" s="50"/>
      <c r="GJ23" s="50"/>
      <c r="GK23" s="50"/>
      <c r="GL23" s="50"/>
      <c r="GM23" s="50"/>
      <c r="GN23" s="50"/>
      <c r="GO23" s="50"/>
      <c r="GP23" s="50"/>
      <c r="GQ23" s="50"/>
      <c r="GR23" s="50"/>
      <c r="GS23" s="50"/>
      <c r="GT23" s="50"/>
      <c r="GU23" s="50"/>
      <c r="GV23" s="50"/>
      <c r="GW23" s="50"/>
      <c r="GX23" s="50"/>
      <c r="GY23" s="50"/>
      <c r="GZ23" s="50"/>
      <c r="HA23" s="50"/>
      <c r="HB23" s="50"/>
      <c r="HC23" s="50"/>
      <c r="HD23" s="50"/>
      <c r="HE23" s="50"/>
      <c r="HF23" s="50"/>
      <c r="HG23" s="50"/>
      <c r="HH23" s="50"/>
      <c r="HI23" s="50"/>
      <c r="HJ23" s="50"/>
      <c r="HK23" s="50"/>
      <c r="HL23" s="50"/>
      <c r="HM23" s="50"/>
      <c r="HN23" s="50"/>
      <c r="HO23" s="50"/>
      <c r="HP23" s="50"/>
      <c r="HQ23" s="50"/>
      <c r="HR23" s="50"/>
      <c r="HS23" s="50"/>
      <c r="HT23" s="50"/>
      <c r="HU23" s="50"/>
      <c r="HV23" s="50"/>
      <c r="HW23" s="50"/>
      <c r="HX23" s="50"/>
      <c r="HY23" s="50"/>
      <c r="HZ23" s="50"/>
      <c r="IA23" s="50"/>
      <c r="IB23" s="50"/>
      <c r="IC23" s="50"/>
      <c r="ID23" s="50"/>
      <c r="IE23" s="50"/>
      <c r="IF23" s="50"/>
      <c r="IG23" s="50"/>
      <c r="IH23" s="50"/>
    </row>
    <row r="24" spans="1:242" hidden="1" x14ac:dyDescent="0.25">
      <c r="A24" s="60">
        <v>6</v>
      </c>
      <c r="B24" s="89"/>
      <c r="C24" s="89"/>
      <c r="D24" s="89"/>
      <c r="E24" s="50"/>
      <c r="F24" s="50"/>
      <c r="G24" s="50"/>
      <c r="H24" s="50"/>
      <c r="I24" s="50"/>
      <c r="J24" s="50"/>
      <c r="K24" s="50"/>
      <c r="L24" s="158">
        <f>K25*9/2</f>
        <v>0</v>
      </c>
      <c r="M24" s="50">
        <f>272/9</f>
        <v>30.222222222222221</v>
      </c>
      <c r="N24" s="158">
        <f>L24*M24</f>
        <v>0</v>
      </c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  <c r="AP24" s="50"/>
      <c r="AQ24" s="50"/>
      <c r="AR24" s="50"/>
      <c r="AS24" s="50"/>
      <c r="AT24" s="50"/>
      <c r="AU24" s="50"/>
      <c r="AV24" s="50"/>
      <c r="AW24" s="50"/>
      <c r="AX24" s="50"/>
      <c r="AY24" s="50"/>
      <c r="AZ24" s="50"/>
      <c r="BA24" s="50"/>
      <c r="BB24" s="50"/>
      <c r="BC24" s="50"/>
      <c r="BD24" s="50"/>
      <c r="BE24" s="50"/>
      <c r="BF24" s="50"/>
      <c r="BG24" s="50"/>
      <c r="BH24" s="50"/>
      <c r="BI24" s="50"/>
      <c r="BJ24" s="50"/>
      <c r="BK24" s="50"/>
      <c r="BL24" s="50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50"/>
      <c r="CE24" s="50"/>
      <c r="CF24" s="50"/>
      <c r="CG24" s="50"/>
      <c r="CH24" s="50"/>
      <c r="CI24" s="50"/>
      <c r="CJ24" s="50"/>
      <c r="CK24" s="50"/>
      <c r="CL24" s="50"/>
      <c r="CM24" s="50"/>
      <c r="CN24" s="50"/>
      <c r="CO24" s="50"/>
      <c r="CP24" s="50"/>
      <c r="CQ24" s="50"/>
      <c r="CR24" s="50"/>
      <c r="CS24" s="50"/>
      <c r="CT24" s="50"/>
      <c r="CU24" s="50"/>
      <c r="CV24" s="50"/>
      <c r="CW24" s="50"/>
      <c r="CX24" s="50"/>
      <c r="CY24" s="50"/>
      <c r="CZ24" s="50"/>
      <c r="DA24" s="50"/>
      <c r="DB24" s="50"/>
      <c r="DC24" s="50"/>
      <c r="DD24" s="50"/>
      <c r="DE24" s="50"/>
      <c r="DF24" s="50"/>
      <c r="DG24" s="50"/>
      <c r="DH24" s="50"/>
      <c r="DI24" s="50"/>
      <c r="DJ24" s="50"/>
      <c r="DK24" s="50"/>
      <c r="DL24" s="50"/>
      <c r="DM24" s="50"/>
      <c r="DN24" s="50"/>
      <c r="DO24" s="50"/>
      <c r="DP24" s="50"/>
      <c r="DQ24" s="50"/>
      <c r="DR24" s="50"/>
      <c r="DS24" s="50"/>
      <c r="DT24" s="50"/>
      <c r="DU24" s="50"/>
      <c r="DV24" s="50"/>
      <c r="DW24" s="50"/>
      <c r="DX24" s="50"/>
      <c r="DY24" s="50"/>
      <c r="DZ24" s="50"/>
      <c r="EA24" s="50"/>
      <c r="EB24" s="50"/>
      <c r="EC24" s="50"/>
      <c r="ED24" s="50"/>
      <c r="EE24" s="50"/>
      <c r="EF24" s="50"/>
      <c r="EG24" s="50"/>
      <c r="EH24" s="50"/>
      <c r="EI24" s="50"/>
      <c r="EJ24" s="50"/>
      <c r="EK24" s="50"/>
      <c r="EL24" s="50"/>
      <c r="EM24" s="50"/>
      <c r="EN24" s="50"/>
      <c r="EO24" s="50"/>
      <c r="EP24" s="50"/>
      <c r="EQ24" s="50"/>
      <c r="ER24" s="50"/>
      <c r="ES24" s="50"/>
      <c r="ET24" s="50"/>
      <c r="EU24" s="50"/>
      <c r="EV24" s="50"/>
      <c r="EW24" s="50"/>
      <c r="EX24" s="50"/>
      <c r="EY24" s="50"/>
      <c r="EZ24" s="50"/>
      <c r="FA24" s="50"/>
      <c r="FB24" s="50"/>
      <c r="FC24" s="50"/>
      <c r="FD24" s="50"/>
      <c r="FE24" s="50"/>
      <c r="FF24" s="50"/>
      <c r="FG24" s="50"/>
      <c r="FH24" s="50"/>
      <c r="FI24" s="50"/>
      <c r="FJ24" s="50"/>
      <c r="FK24" s="50"/>
      <c r="FL24" s="50"/>
      <c r="FM24" s="50"/>
      <c r="FN24" s="50"/>
      <c r="FO24" s="50"/>
      <c r="FP24" s="50"/>
      <c r="FQ24" s="50"/>
      <c r="FR24" s="50"/>
      <c r="FS24" s="50"/>
      <c r="FT24" s="50"/>
      <c r="FU24" s="50"/>
      <c r="FV24" s="50"/>
      <c r="FW24" s="50"/>
      <c r="FX24" s="50"/>
      <c r="FY24" s="50"/>
      <c r="FZ24" s="50"/>
      <c r="GA24" s="50"/>
      <c r="GB24" s="50"/>
      <c r="GC24" s="50"/>
      <c r="GD24" s="50"/>
      <c r="GE24" s="50"/>
      <c r="GF24" s="50"/>
      <c r="GG24" s="50"/>
      <c r="GH24" s="50"/>
      <c r="GI24" s="50"/>
      <c r="GJ24" s="50"/>
      <c r="GK24" s="50"/>
      <c r="GL24" s="50"/>
      <c r="GM24" s="50"/>
      <c r="GN24" s="50"/>
      <c r="GO24" s="50"/>
      <c r="GP24" s="50"/>
      <c r="GQ24" s="50"/>
      <c r="GR24" s="50"/>
      <c r="GS24" s="50"/>
      <c r="GT24" s="50"/>
      <c r="GU24" s="50"/>
      <c r="GV24" s="50"/>
      <c r="GW24" s="50"/>
      <c r="GX24" s="50"/>
      <c r="GY24" s="50"/>
      <c r="GZ24" s="50"/>
      <c r="HA24" s="50"/>
      <c r="HB24" s="50"/>
      <c r="HC24" s="50"/>
      <c r="HD24" s="50"/>
      <c r="HE24" s="50"/>
      <c r="HF24" s="50"/>
      <c r="HG24" s="50"/>
      <c r="HH24" s="50"/>
      <c r="HI24" s="50"/>
      <c r="HJ24" s="50"/>
      <c r="HK24" s="50"/>
      <c r="HL24" s="50"/>
      <c r="HM24" s="50"/>
      <c r="HN24" s="50"/>
      <c r="HO24" s="50"/>
      <c r="HP24" s="50"/>
      <c r="HQ24" s="50"/>
      <c r="HR24" s="50"/>
      <c r="HS24" s="50"/>
      <c r="HT24" s="50"/>
      <c r="HU24" s="50"/>
      <c r="HV24" s="50"/>
      <c r="HW24" s="50"/>
      <c r="HX24" s="50"/>
      <c r="HY24" s="50"/>
      <c r="HZ24" s="50"/>
      <c r="IA24" s="50"/>
      <c r="IB24" s="50"/>
      <c r="IC24" s="50"/>
      <c r="ID24" s="50"/>
      <c r="IE24" s="50"/>
      <c r="IF24" s="50"/>
      <c r="IG24" s="50"/>
      <c r="IH24" s="50"/>
    </row>
    <row r="25" spans="1:242" hidden="1" x14ac:dyDescent="0.25">
      <c r="A25" s="60">
        <v>7</v>
      </c>
      <c r="B25" s="89"/>
      <c r="C25" s="89"/>
      <c r="D25" s="89"/>
      <c r="E25" s="50">
        <f>IF(D2="Square Foot",$B$13/$A$2,$B$13/9)</f>
        <v>0</v>
      </c>
      <c r="F25" s="50">
        <f>E25/20</f>
        <v>0</v>
      </c>
      <c r="G25" s="50">
        <f>INT(F25)</f>
        <v>0</v>
      </c>
      <c r="H25" s="157">
        <f>F25-G25</f>
        <v>0</v>
      </c>
      <c r="I25" s="158">
        <f>H25*20</f>
        <v>0</v>
      </c>
      <c r="J25" s="158">
        <f>INT(I25)</f>
        <v>0</v>
      </c>
      <c r="K25" s="158">
        <f>I25-J25</f>
        <v>0</v>
      </c>
      <c r="L25" s="158">
        <f>IF(D2="Square Foot",K25*9*(A2/9),K25*9)</f>
        <v>0</v>
      </c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  <c r="AP25" s="50"/>
      <c r="AQ25" s="50"/>
      <c r="AR25" s="50"/>
      <c r="AS25" s="50"/>
      <c r="AT25" s="50"/>
      <c r="AU25" s="50"/>
      <c r="AV25" s="50"/>
      <c r="AW25" s="50"/>
      <c r="AX25" s="50"/>
      <c r="AY25" s="50"/>
      <c r="AZ25" s="50"/>
      <c r="BA25" s="50"/>
      <c r="BB25" s="50"/>
      <c r="BC25" s="50"/>
      <c r="BD25" s="50"/>
      <c r="BE25" s="50"/>
      <c r="BF25" s="50"/>
      <c r="BG25" s="50"/>
      <c r="BH25" s="50"/>
      <c r="BI25" s="50"/>
      <c r="BJ25" s="50"/>
      <c r="BK25" s="50"/>
      <c r="BL25" s="50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0"/>
      <c r="CA25" s="50"/>
      <c r="CB25" s="50"/>
      <c r="CC25" s="50"/>
      <c r="CD25" s="50"/>
      <c r="CE25" s="50"/>
      <c r="CF25" s="50"/>
      <c r="CG25" s="50"/>
      <c r="CH25" s="50"/>
      <c r="CI25" s="50"/>
      <c r="CJ25" s="50"/>
      <c r="CK25" s="50"/>
      <c r="CL25" s="50"/>
      <c r="CM25" s="50"/>
      <c r="CN25" s="50"/>
      <c r="CO25" s="50"/>
      <c r="CP25" s="50"/>
      <c r="CQ25" s="50"/>
      <c r="CR25" s="50"/>
      <c r="CS25" s="50"/>
      <c r="CT25" s="50"/>
      <c r="CU25" s="50"/>
      <c r="CV25" s="50"/>
      <c r="CW25" s="50"/>
      <c r="CX25" s="50"/>
      <c r="CY25" s="50"/>
      <c r="CZ25" s="50"/>
      <c r="DA25" s="50"/>
      <c r="DB25" s="50"/>
      <c r="DC25" s="50"/>
      <c r="DD25" s="50"/>
      <c r="DE25" s="50"/>
      <c r="DF25" s="50"/>
      <c r="DG25" s="50"/>
      <c r="DH25" s="50"/>
      <c r="DI25" s="50"/>
      <c r="DJ25" s="50"/>
      <c r="DK25" s="50"/>
      <c r="DL25" s="50"/>
      <c r="DM25" s="50"/>
      <c r="DN25" s="50"/>
      <c r="DO25" s="50"/>
      <c r="DP25" s="50"/>
      <c r="DQ25" s="50"/>
      <c r="DR25" s="50"/>
      <c r="DS25" s="50"/>
      <c r="DT25" s="50"/>
      <c r="DU25" s="50"/>
      <c r="DV25" s="50"/>
      <c r="DW25" s="50"/>
      <c r="DX25" s="50"/>
      <c r="DY25" s="50"/>
      <c r="DZ25" s="50"/>
      <c r="EA25" s="50"/>
      <c r="EB25" s="50"/>
      <c r="EC25" s="50"/>
      <c r="ED25" s="50"/>
      <c r="EE25" s="50"/>
      <c r="EF25" s="50"/>
      <c r="EG25" s="50"/>
      <c r="EH25" s="50"/>
      <c r="EI25" s="50"/>
      <c r="EJ25" s="50"/>
      <c r="EK25" s="50"/>
      <c r="EL25" s="50"/>
      <c r="EM25" s="50"/>
      <c r="EN25" s="50"/>
      <c r="EO25" s="50"/>
      <c r="EP25" s="50"/>
      <c r="EQ25" s="50"/>
      <c r="ER25" s="50"/>
      <c r="ES25" s="50"/>
      <c r="ET25" s="50"/>
      <c r="EU25" s="50"/>
      <c r="EV25" s="50"/>
      <c r="EW25" s="50"/>
      <c r="EX25" s="50"/>
      <c r="EY25" s="50"/>
      <c r="EZ25" s="50"/>
      <c r="FA25" s="50"/>
      <c r="FB25" s="50"/>
      <c r="FC25" s="50"/>
      <c r="FD25" s="50"/>
      <c r="FE25" s="50"/>
      <c r="FF25" s="50"/>
      <c r="FG25" s="50"/>
      <c r="FH25" s="50"/>
      <c r="FI25" s="50"/>
      <c r="FJ25" s="50"/>
      <c r="FK25" s="50"/>
      <c r="FL25" s="50"/>
      <c r="FM25" s="50"/>
      <c r="FN25" s="50"/>
      <c r="FO25" s="50"/>
      <c r="FP25" s="50"/>
      <c r="FQ25" s="50"/>
      <c r="FR25" s="50"/>
      <c r="FS25" s="50"/>
      <c r="FT25" s="50"/>
      <c r="FU25" s="50"/>
      <c r="FV25" s="50"/>
      <c r="FW25" s="50"/>
      <c r="FX25" s="50"/>
      <c r="FY25" s="50"/>
      <c r="FZ25" s="50"/>
      <c r="GA25" s="50"/>
      <c r="GB25" s="50"/>
      <c r="GC25" s="50"/>
      <c r="GD25" s="50"/>
      <c r="GE25" s="50"/>
      <c r="GF25" s="50"/>
      <c r="GG25" s="50"/>
      <c r="GH25" s="50"/>
      <c r="GI25" s="50"/>
      <c r="GJ25" s="50"/>
      <c r="GK25" s="50"/>
      <c r="GL25" s="50"/>
      <c r="GM25" s="50"/>
      <c r="GN25" s="50"/>
      <c r="GO25" s="50"/>
      <c r="GP25" s="50"/>
      <c r="GQ25" s="50"/>
      <c r="GR25" s="50"/>
      <c r="GS25" s="50"/>
      <c r="GT25" s="50"/>
      <c r="GU25" s="50"/>
      <c r="GV25" s="50"/>
      <c r="GW25" s="50"/>
      <c r="GX25" s="50"/>
      <c r="GY25" s="50"/>
      <c r="GZ25" s="50"/>
      <c r="HA25" s="50"/>
      <c r="HB25" s="50"/>
      <c r="HC25" s="50"/>
      <c r="HD25" s="50"/>
      <c r="HE25" s="50"/>
      <c r="HF25" s="50"/>
      <c r="HG25" s="50"/>
      <c r="HH25" s="50"/>
      <c r="HI25" s="50"/>
      <c r="HJ25" s="50"/>
      <c r="HK25" s="50"/>
      <c r="HL25" s="50"/>
      <c r="HM25" s="50"/>
      <c r="HN25" s="50"/>
      <c r="HO25" s="50"/>
      <c r="HP25" s="50"/>
      <c r="HQ25" s="50"/>
      <c r="HR25" s="50"/>
      <c r="HS25" s="50"/>
      <c r="HT25" s="50"/>
      <c r="HU25" s="50"/>
      <c r="HV25" s="50"/>
      <c r="HW25" s="50"/>
      <c r="HX25" s="50"/>
      <c r="HY25" s="50"/>
      <c r="HZ25" s="50"/>
      <c r="IA25" s="50"/>
      <c r="IB25" s="50"/>
      <c r="IC25" s="50"/>
      <c r="ID25" s="50"/>
      <c r="IE25" s="50"/>
      <c r="IF25" s="50"/>
      <c r="IG25" s="50"/>
      <c r="IH25" s="50"/>
    </row>
    <row r="26" spans="1:242" hidden="1" x14ac:dyDescent="0.25">
      <c r="A26" s="60">
        <v>8</v>
      </c>
      <c r="B26" s="89"/>
      <c r="C26" s="89"/>
      <c r="D26" s="89"/>
      <c r="E26" s="50"/>
      <c r="F26" s="50"/>
      <c r="G26" s="50" t="s">
        <v>34</v>
      </c>
      <c r="H26" s="50"/>
      <c r="I26" s="50"/>
      <c r="J26" s="50" t="s">
        <v>202</v>
      </c>
      <c r="K26" s="50"/>
      <c r="L26" s="50" t="s">
        <v>36</v>
      </c>
      <c r="M26" s="50"/>
      <c r="N26" s="50"/>
      <c r="O26" s="50"/>
      <c r="P26" s="50"/>
      <c r="Q26" s="50"/>
      <c r="R26" s="61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  <c r="AJ26" s="50"/>
      <c r="AK26" s="50"/>
      <c r="AL26" s="50"/>
      <c r="AM26" s="50"/>
      <c r="AN26" s="50"/>
      <c r="AO26" s="50"/>
      <c r="AP26" s="50"/>
      <c r="AQ26" s="50"/>
      <c r="AR26" s="50"/>
      <c r="AS26" s="50"/>
      <c r="AT26" s="50"/>
      <c r="AU26" s="50"/>
      <c r="AV26" s="50"/>
      <c r="AW26" s="50"/>
      <c r="AX26" s="50"/>
      <c r="AY26" s="50"/>
      <c r="AZ26" s="50"/>
      <c r="BA26" s="50"/>
      <c r="BB26" s="50"/>
      <c r="BC26" s="50"/>
      <c r="BD26" s="50"/>
      <c r="BE26" s="50"/>
      <c r="BF26" s="50"/>
      <c r="BG26" s="50"/>
      <c r="BH26" s="50"/>
      <c r="BI26" s="50"/>
      <c r="BJ26" s="50"/>
      <c r="BK26" s="50"/>
      <c r="BL26" s="50"/>
      <c r="BM26" s="50"/>
      <c r="BN26" s="50"/>
      <c r="BO26" s="50"/>
      <c r="BP26" s="50"/>
      <c r="BQ26" s="50"/>
      <c r="BR26" s="50"/>
      <c r="BS26" s="50"/>
      <c r="BT26" s="50"/>
      <c r="BU26" s="50"/>
      <c r="BV26" s="50"/>
      <c r="BW26" s="50"/>
      <c r="BX26" s="50"/>
      <c r="BY26" s="50"/>
      <c r="BZ26" s="50"/>
      <c r="CA26" s="50"/>
      <c r="CB26" s="50"/>
      <c r="CC26" s="50"/>
      <c r="CD26" s="50"/>
      <c r="CE26" s="50"/>
      <c r="CF26" s="50"/>
      <c r="CG26" s="50"/>
      <c r="CH26" s="50"/>
      <c r="CI26" s="50"/>
      <c r="CJ26" s="50"/>
      <c r="CK26" s="50"/>
      <c r="CL26" s="50"/>
      <c r="CM26" s="50"/>
      <c r="CN26" s="50"/>
      <c r="CO26" s="50"/>
      <c r="CP26" s="50"/>
      <c r="CQ26" s="50"/>
      <c r="CR26" s="50"/>
      <c r="CS26" s="50"/>
      <c r="CT26" s="50"/>
      <c r="CU26" s="50"/>
      <c r="CV26" s="50"/>
      <c r="CW26" s="50"/>
      <c r="CX26" s="50"/>
      <c r="CY26" s="50"/>
      <c r="CZ26" s="50"/>
      <c r="DA26" s="50"/>
      <c r="DB26" s="50"/>
      <c r="DC26" s="50"/>
      <c r="DD26" s="50"/>
      <c r="DE26" s="50"/>
      <c r="DF26" s="50"/>
      <c r="DG26" s="50"/>
      <c r="DH26" s="50"/>
      <c r="DI26" s="50"/>
      <c r="DJ26" s="50"/>
      <c r="DK26" s="50"/>
      <c r="DL26" s="50"/>
      <c r="DM26" s="50"/>
      <c r="DN26" s="50"/>
      <c r="DO26" s="50"/>
      <c r="DP26" s="50"/>
      <c r="DQ26" s="50"/>
      <c r="DR26" s="50"/>
      <c r="DS26" s="50"/>
      <c r="DT26" s="50"/>
      <c r="DU26" s="50"/>
      <c r="DV26" s="50"/>
      <c r="DW26" s="50"/>
      <c r="DX26" s="50"/>
      <c r="DY26" s="50"/>
      <c r="DZ26" s="50"/>
      <c r="EA26" s="50"/>
      <c r="EB26" s="50"/>
      <c r="EC26" s="50"/>
      <c r="ED26" s="50"/>
      <c r="EE26" s="50"/>
      <c r="EF26" s="50"/>
      <c r="EG26" s="50"/>
      <c r="EH26" s="50"/>
      <c r="EI26" s="50"/>
      <c r="EJ26" s="50"/>
      <c r="EK26" s="50"/>
      <c r="EL26" s="50"/>
      <c r="EM26" s="50"/>
      <c r="EN26" s="50"/>
      <c r="EO26" s="50"/>
      <c r="EP26" s="50"/>
      <c r="EQ26" s="50"/>
      <c r="ER26" s="50"/>
      <c r="ES26" s="50"/>
      <c r="ET26" s="50"/>
      <c r="EU26" s="50"/>
      <c r="EV26" s="50"/>
      <c r="EW26" s="50"/>
      <c r="EX26" s="50"/>
      <c r="EY26" s="50"/>
      <c r="EZ26" s="50"/>
      <c r="FA26" s="50"/>
      <c r="FB26" s="50"/>
      <c r="FC26" s="50"/>
      <c r="FD26" s="50"/>
      <c r="FE26" s="50"/>
      <c r="FF26" s="50"/>
      <c r="FG26" s="50"/>
      <c r="FH26" s="50"/>
      <c r="FI26" s="50"/>
      <c r="FJ26" s="50"/>
      <c r="FK26" s="50"/>
      <c r="FL26" s="50"/>
      <c r="FM26" s="50"/>
      <c r="FN26" s="50"/>
      <c r="FO26" s="50"/>
      <c r="FP26" s="50"/>
      <c r="FQ26" s="50"/>
      <c r="FR26" s="50"/>
      <c r="FS26" s="50"/>
      <c r="FT26" s="50"/>
      <c r="FU26" s="50"/>
      <c r="FV26" s="50"/>
      <c r="FW26" s="50"/>
      <c r="FX26" s="50"/>
      <c r="FY26" s="50"/>
      <c r="FZ26" s="50"/>
      <c r="GA26" s="50"/>
      <c r="GB26" s="50"/>
      <c r="GC26" s="50"/>
      <c r="GD26" s="50"/>
      <c r="GE26" s="50"/>
      <c r="GF26" s="50"/>
      <c r="GG26" s="50"/>
      <c r="GH26" s="50"/>
      <c r="GI26" s="50"/>
      <c r="GJ26" s="50"/>
      <c r="GK26" s="50"/>
      <c r="GL26" s="50"/>
      <c r="GM26" s="50"/>
      <c r="GN26" s="50"/>
      <c r="GO26" s="50"/>
      <c r="GP26" s="50"/>
      <c r="GQ26" s="50"/>
      <c r="GR26" s="50"/>
      <c r="GS26" s="50"/>
      <c r="GT26" s="50"/>
      <c r="GU26" s="50"/>
      <c r="GV26" s="50"/>
      <c r="GW26" s="50"/>
      <c r="GX26" s="50"/>
      <c r="GY26" s="50"/>
      <c r="GZ26" s="50"/>
      <c r="HA26" s="50"/>
      <c r="HB26" s="50"/>
      <c r="HC26" s="50"/>
      <c r="HD26" s="50"/>
      <c r="HE26" s="50"/>
      <c r="HF26" s="50"/>
      <c r="HG26" s="50"/>
      <c r="HH26" s="50"/>
      <c r="HI26" s="50"/>
      <c r="HJ26" s="50"/>
      <c r="HK26" s="50"/>
      <c r="HL26" s="50"/>
      <c r="HM26" s="50"/>
      <c r="HN26" s="50"/>
      <c r="HO26" s="50"/>
      <c r="HP26" s="50"/>
      <c r="HQ26" s="50"/>
      <c r="HR26" s="50"/>
      <c r="HS26" s="50"/>
      <c r="HT26" s="50"/>
      <c r="HU26" s="50"/>
      <c r="HV26" s="50"/>
      <c r="HW26" s="50"/>
      <c r="HX26" s="50"/>
      <c r="HY26" s="50"/>
      <c r="HZ26" s="50"/>
      <c r="IA26" s="50"/>
      <c r="IB26" s="50"/>
      <c r="IC26" s="50"/>
      <c r="ID26" s="50"/>
      <c r="IE26" s="50"/>
      <c r="IF26" s="50"/>
      <c r="IG26" s="50"/>
      <c r="IH26" s="50"/>
    </row>
    <row r="27" spans="1:242" hidden="1" x14ac:dyDescent="0.25">
      <c r="A27" s="60">
        <v>9</v>
      </c>
      <c r="B27" s="89"/>
      <c r="C27" s="89"/>
      <c r="D27" s="89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  <c r="AP27" s="50"/>
      <c r="AQ27" s="50"/>
      <c r="AR27" s="50"/>
      <c r="AS27" s="50"/>
      <c r="AT27" s="50"/>
      <c r="AU27" s="50"/>
      <c r="AV27" s="50"/>
      <c r="AW27" s="50"/>
      <c r="AX27" s="50"/>
      <c r="AY27" s="50"/>
      <c r="AZ27" s="50"/>
      <c r="BA27" s="50"/>
      <c r="BB27" s="50"/>
      <c r="BC27" s="50"/>
      <c r="BD27" s="50"/>
      <c r="BE27" s="50"/>
      <c r="BF27" s="50"/>
      <c r="BG27" s="50"/>
      <c r="BH27" s="50"/>
      <c r="BI27" s="50"/>
      <c r="BJ27" s="50"/>
      <c r="BK27" s="50"/>
      <c r="BL27" s="50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50"/>
      <c r="BZ27" s="50"/>
      <c r="CA27" s="50"/>
      <c r="CB27" s="50"/>
      <c r="CC27" s="50"/>
      <c r="CD27" s="50"/>
      <c r="CE27" s="50"/>
      <c r="CF27" s="50"/>
      <c r="CG27" s="50"/>
      <c r="CH27" s="50"/>
      <c r="CI27" s="50"/>
      <c r="CJ27" s="50"/>
      <c r="CK27" s="50"/>
      <c r="CL27" s="50"/>
      <c r="CM27" s="50"/>
      <c r="CN27" s="50"/>
      <c r="CO27" s="50"/>
      <c r="CP27" s="50"/>
      <c r="CQ27" s="50"/>
      <c r="CR27" s="50"/>
      <c r="CS27" s="50"/>
      <c r="CT27" s="50"/>
      <c r="CU27" s="50"/>
      <c r="CV27" s="50"/>
      <c r="CW27" s="50"/>
      <c r="CX27" s="50"/>
      <c r="CY27" s="50"/>
      <c r="CZ27" s="50"/>
      <c r="DA27" s="50"/>
      <c r="DB27" s="50"/>
      <c r="DC27" s="50"/>
      <c r="DD27" s="50"/>
      <c r="DE27" s="50"/>
      <c r="DF27" s="50"/>
      <c r="DG27" s="50"/>
      <c r="DH27" s="50"/>
      <c r="DI27" s="50"/>
      <c r="DJ27" s="50"/>
      <c r="DK27" s="50"/>
      <c r="DL27" s="50"/>
      <c r="DM27" s="50"/>
      <c r="DN27" s="50"/>
      <c r="DO27" s="50"/>
      <c r="DP27" s="50"/>
      <c r="DQ27" s="50"/>
      <c r="DR27" s="50"/>
      <c r="DS27" s="50"/>
      <c r="DT27" s="50"/>
      <c r="DU27" s="50"/>
      <c r="DV27" s="50"/>
      <c r="DW27" s="50"/>
      <c r="DX27" s="50"/>
      <c r="DY27" s="50"/>
      <c r="DZ27" s="50"/>
      <c r="EA27" s="50"/>
      <c r="EB27" s="50"/>
      <c r="EC27" s="50"/>
      <c r="ED27" s="50"/>
      <c r="EE27" s="50"/>
      <c r="EF27" s="50"/>
      <c r="EG27" s="50"/>
      <c r="EH27" s="50"/>
      <c r="EI27" s="50"/>
      <c r="EJ27" s="50"/>
      <c r="EK27" s="50"/>
      <c r="EL27" s="50"/>
      <c r="EM27" s="50"/>
      <c r="EN27" s="50"/>
      <c r="EO27" s="50"/>
      <c r="EP27" s="50"/>
      <c r="EQ27" s="50"/>
      <c r="ER27" s="50"/>
      <c r="ES27" s="50"/>
      <c r="ET27" s="50"/>
      <c r="EU27" s="50"/>
      <c r="EV27" s="50"/>
      <c r="EW27" s="50"/>
      <c r="EX27" s="50"/>
      <c r="EY27" s="50"/>
      <c r="EZ27" s="50"/>
      <c r="FA27" s="50"/>
      <c r="FB27" s="50"/>
      <c r="FC27" s="50"/>
      <c r="FD27" s="50"/>
      <c r="FE27" s="50"/>
      <c r="FF27" s="50"/>
      <c r="FG27" s="50"/>
      <c r="FH27" s="50"/>
      <c r="FI27" s="50"/>
      <c r="FJ27" s="50"/>
      <c r="FK27" s="50"/>
      <c r="FL27" s="50"/>
      <c r="FM27" s="50"/>
      <c r="FN27" s="50"/>
      <c r="FO27" s="50"/>
      <c r="FP27" s="50"/>
      <c r="FQ27" s="50"/>
      <c r="FR27" s="50"/>
      <c r="FS27" s="50"/>
      <c r="FT27" s="50"/>
      <c r="FU27" s="50"/>
      <c r="FV27" s="50"/>
      <c r="FW27" s="50"/>
      <c r="FX27" s="50"/>
      <c r="FY27" s="50"/>
      <c r="FZ27" s="50"/>
      <c r="GA27" s="50"/>
      <c r="GB27" s="50"/>
      <c r="GC27" s="50"/>
      <c r="GD27" s="50"/>
      <c r="GE27" s="50"/>
      <c r="GF27" s="50"/>
      <c r="GG27" s="50"/>
      <c r="GH27" s="50"/>
      <c r="GI27" s="50"/>
      <c r="GJ27" s="50"/>
      <c r="GK27" s="50"/>
      <c r="GL27" s="50"/>
      <c r="GM27" s="50"/>
      <c r="GN27" s="50"/>
      <c r="GO27" s="50"/>
      <c r="GP27" s="50"/>
      <c r="GQ27" s="50"/>
      <c r="GR27" s="50"/>
      <c r="GS27" s="50"/>
      <c r="GT27" s="50"/>
      <c r="GU27" s="50"/>
      <c r="GV27" s="50"/>
      <c r="GW27" s="50"/>
      <c r="GX27" s="50"/>
      <c r="GY27" s="50"/>
      <c r="GZ27" s="50"/>
      <c r="HA27" s="50"/>
      <c r="HB27" s="50"/>
      <c r="HC27" s="50"/>
      <c r="HD27" s="50"/>
      <c r="HE27" s="50"/>
      <c r="HF27" s="50"/>
      <c r="HG27" s="50"/>
      <c r="HH27" s="50"/>
      <c r="HI27" s="50"/>
      <c r="HJ27" s="50"/>
      <c r="HK27" s="50"/>
      <c r="HL27" s="50"/>
      <c r="HM27" s="50"/>
      <c r="HN27" s="50"/>
      <c r="HO27" s="50"/>
      <c r="HP27" s="50"/>
      <c r="HQ27" s="50"/>
      <c r="HR27" s="50"/>
      <c r="HS27" s="50"/>
      <c r="HT27" s="50"/>
      <c r="HU27" s="50"/>
      <c r="HV27" s="50"/>
      <c r="HW27" s="50"/>
      <c r="HX27" s="50"/>
      <c r="HY27" s="50"/>
      <c r="HZ27" s="50"/>
      <c r="IA27" s="50"/>
      <c r="IB27" s="50"/>
      <c r="IC27" s="50"/>
      <c r="ID27" s="50"/>
      <c r="IE27" s="50"/>
      <c r="IF27" s="50"/>
      <c r="IG27" s="50"/>
      <c r="IH27" s="50"/>
    </row>
    <row r="28" spans="1:242" hidden="1" x14ac:dyDescent="0.25">
      <c r="A28" s="60">
        <v>10</v>
      </c>
      <c r="B28" s="89"/>
      <c r="C28" s="89"/>
      <c r="D28" s="89"/>
      <c r="E28" s="50">
        <f>$A$11/9</f>
        <v>1269.3333333333333</v>
      </c>
      <c r="F28" s="50">
        <f>E28/20</f>
        <v>63.466666666666661</v>
      </c>
      <c r="G28" s="50">
        <f>INT(F28)</f>
        <v>63</v>
      </c>
      <c r="H28" s="157">
        <f>F28-G28</f>
        <v>0.46666666666666146</v>
      </c>
      <c r="I28" s="158">
        <f>H28*20</f>
        <v>9.3333333333332291</v>
      </c>
      <c r="J28" s="158">
        <f>INT(I28)</f>
        <v>9</v>
      </c>
      <c r="K28" s="158">
        <f>I28-J28</f>
        <v>0.33333333333322912</v>
      </c>
      <c r="L28" s="158">
        <f>K28*9</f>
        <v>2.9999999999990621</v>
      </c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0"/>
      <c r="AR28" s="50"/>
      <c r="AS28" s="50"/>
      <c r="AT28" s="50"/>
      <c r="AU28" s="50"/>
      <c r="AV28" s="50"/>
      <c r="AW28" s="50"/>
      <c r="AX28" s="50"/>
      <c r="AY28" s="50"/>
      <c r="AZ28" s="50"/>
      <c r="BA28" s="50"/>
      <c r="BB28" s="50"/>
      <c r="BC28" s="50"/>
      <c r="BD28" s="50"/>
      <c r="BE28" s="50"/>
      <c r="BF28" s="50"/>
      <c r="BG28" s="50"/>
      <c r="BH28" s="50"/>
      <c r="BI28" s="50"/>
      <c r="BJ28" s="50"/>
      <c r="BK28" s="50"/>
      <c r="BL28" s="50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0"/>
      <c r="CA28" s="50"/>
      <c r="CB28" s="50"/>
      <c r="CC28" s="50"/>
      <c r="CD28" s="50"/>
      <c r="CE28" s="50"/>
      <c r="CF28" s="50"/>
      <c r="CG28" s="50"/>
      <c r="CH28" s="50"/>
      <c r="CI28" s="50"/>
      <c r="CJ28" s="50"/>
      <c r="CK28" s="50"/>
      <c r="CL28" s="50"/>
      <c r="CM28" s="50"/>
      <c r="CN28" s="50"/>
      <c r="CO28" s="50"/>
      <c r="CP28" s="50"/>
      <c r="CQ28" s="50"/>
      <c r="CR28" s="50"/>
      <c r="CS28" s="50"/>
      <c r="CT28" s="50"/>
      <c r="CU28" s="50"/>
      <c r="CV28" s="50"/>
      <c r="CW28" s="50"/>
      <c r="CX28" s="50"/>
      <c r="CY28" s="50"/>
      <c r="CZ28" s="50"/>
      <c r="DA28" s="50"/>
      <c r="DB28" s="50"/>
      <c r="DC28" s="50"/>
      <c r="DD28" s="50"/>
      <c r="DE28" s="50"/>
      <c r="DF28" s="50"/>
      <c r="DG28" s="50"/>
      <c r="DH28" s="50"/>
      <c r="DI28" s="50"/>
      <c r="DJ28" s="50"/>
      <c r="DK28" s="50"/>
      <c r="DL28" s="50"/>
      <c r="DM28" s="50"/>
      <c r="DN28" s="50"/>
      <c r="DO28" s="50"/>
      <c r="DP28" s="50"/>
      <c r="DQ28" s="50"/>
      <c r="DR28" s="50"/>
      <c r="DS28" s="50"/>
      <c r="DT28" s="50"/>
      <c r="DU28" s="50"/>
      <c r="DV28" s="50"/>
      <c r="DW28" s="50"/>
      <c r="DX28" s="50"/>
      <c r="DY28" s="50"/>
      <c r="DZ28" s="50"/>
      <c r="EA28" s="50"/>
      <c r="EB28" s="50"/>
      <c r="EC28" s="50"/>
      <c r="ED28" s="50"/>
      <c r="EE28" s="50"/>
      <c r="EF28" s="50"/>
      <c r="EG28" s="50"/>
      <c r="EH28" s="50"/>
      <c r="EI28" s="50"/>
      <c r="EJ28" s="50"/>
      <c r="EK28" s="50"/>
      <c r="EL28" s="50"/>
      <c r="EM28" s="50"/>
      <c r="EN28" s="50"/>
      <c r="EO28" s="50"/>
      <c r="EP28" s="50"/>
      <c r="EQ28" s="50"/>
      <c r="ER28" s="50"/>
      <c r="ES28" s="50"/>
      <c r="ET28" s="50"/>
      <c r="EU28" s="50"/>
      <c r="EV28" s="50"/>
      <c r="EW28" s="50"/>
      <c r="EX28" s="50"/>
      <c r="EY28" s="50"/>
      <c r="EZ28" s="50"/>
      <c r="FA28" s="50"/>
      <c r="FB28" s="50"/>
      <c r="FC28" s="50"/>
      <c r="FD28" s="50"/>
      <c r="FE28" s="50"/>
      <c r="FF28" s="50"/>
      <c r="FG28" s="50"/>
      <c r="FH28" s="50"/>
      <c r="FI28" s="50"/>
      <c r="FJ28" s="50"/>
      <c r="FK28" s="50"/>
      <c r="FL28" s="50"/>
      <c r="FM28" s="50"/>
      <c r="FN28" s="50"/>
      <c r="FO28" s="50"/>
      <c r="FP28" s="50"/>
      <c r="FQ28" s="50"/>
      <c r="FR28" s="50"/>
      <c r="FS28" s="50"/>
      <c r="FT28" s="50"/>
      <c r="FU28" s="50"/>
      <c r="FV28" s="50"/>
      <c r="FW28" s="50"/>
      <c r="FX28" s="50"/>
      <c r="FY28" s="50"/>
      <c r="FZ28" s="50"/>
      <c r="GA28" s="50"/>
      <c r="GB28" s="50"/>
      <c r="GC28" s="50"/>
      <c r="GD28" s="50"/>
      <c r="GE28" s="50"/>
      <c r="GF28" s="50"/>
      <c r="GG28" s="50"/>
      <c r="GH28" s="50"/>
      <c r="GI28" s="50"/>
      <c r="GJ28" s="50"/>
      <c r="GK28" s="50"/>
      <c r="GL28" s="50"/>
      <c r="GM28" s="50"/>
      <c r="GN28" s="50"/>
      <c r="GO28" s="50"/>
      <c r="GP28" s="50"/>
      <c r="GQ28" s="50"/>
      <c r="GR28" s="50"/>
      <c r="GS28" s="50"/>
      <c r="GT28" s="50"/>
      <c r="GU28" s="50"/>
      <c r="GV28" s="50"/>
      <c r="GW28" s="50"/>
      <c r="GX28" s="50"/>
      <c r="GY28" s="50"/>
      <c r="GZ28" s="50"/>
      <c r="HA28" s="50"/>
      <c r="HB28" s="50"/>
      <c r="HC28" s="50"/>
      <c r="HD28" s="50"/>
      <c r="HE28" s="50"/>
      <c r="HF28" s="50"/>
      <c r="HG28" s="50"/>
      <c r="HH28" s="50"/>
      <c r="HI28" s="50"/>
      <c r="HJ28" s="50"/>
      <c r="HK28" s="50"/>
      <c r="HL28" s="50"/>
      <c r="HM28" s="50"/>
      <c r="HN28" s="50"/>
      <c r="HO28" s="50"/>
      <c r="HP28" s="50"/>
      <c r="HQ28" s="50"/>
      <c r="HR28" s="50"/>
      <c r="HS28" s="50"/>
      <c r="HT28" s="50"/>
      <c r="HU28" s="50"/>
      <c r="HV28" s="50"/>
      <c r="HW28" s="50"/>
      <c r="HX28" s="50"/>
      <c r="HY28" s="50"/>
      <c r="HZ28" s="50"/>
      <c r="IA28" s="50"/>
      <c r="IB28" s="50"/>
      <c r="IC28" s="50"/>
      <c r="ID28" s="50"/>
      <c r="IE28" s="50"/>
      <c r="IF28" s="50"/>
      <c r="IG28" s="50"/>
      <c r="IH28" s="50"/>
    </row>
    <row r="29" spans="1:242" hidden="1" x14ac:dyDescent="0.25">
      <c r="A29" s="60">
        <v>11</v>
      </c>
      <c r="B29" s="89"/>
      <c r="C29" s="89"/>
      <c r="D29" s="89"/>
      <c r="E29" s="50"/>
      <c r="F29" s="50"/>
      <c r="G29" s="50" t="s">
        <v>34</v>
      </c>
      <c r="H29" s="50"/>
      <c r="I29" s="50"/>
      <c r="J29" s="50" t="s">
        <v>202</v>
      </c>
      <c r="K29" s="50"/>
      <c r="L29" s="50" t="s">
        <v>36</v>
      </c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  <c r="AJ29" s="50"/>
      <c r="AK29" s="50"/>
      <c r="AL29" s="50"/>
      <c r="AM29" s="50"/>
      <c r="AN29" s="50"/>
      <c r="AO29" s="50"/>
      <c r="AP29" s="50"/>
      <c r="AQ29" s="50"/>
      <c r="AR29" s="50"/>
      <c r="AS29" s="50"/>
      <c r="AT29" s="50"/>
      <c r="AU29" s="50"/>
      <c r="AV29" s="50"/>
      <c r="AW29" s="50"/>
      <c r="AX29" s="50"/>
      <c r="AY29" s="50"/>
      <c r="AZ29" s="50"/>
      <c r="BA29" s="50"/>
      <c r="BB29" s="50"/>
      <c r="BC29" s="50"/>
      <c r="BD29" s="50"/>
      <c r="BE29" s="50"/>
      <c r="BF29" s="50"/>
      <c r="BG29" s="50"/>
      <c r="BH29" s="50"/>
      <c r="BI29" s="50"/>
      <c r="BJ29" s="50"/>
      <c r="BK29" s="50"/>
      <c r="BL29" s="50"/>
      <c r="BM29" s="50"/>
      <c r="BN29" s="50"/>
      <c r="BO29" s="50"/>
      <c r="BP29" s="50"/>
      <c r="BQ29" s="50"/>
      <c r="BR29" s="50"/>
      <c r="BS29" s="50"/>
      <c r="BT29" s="50"/>
      <c r="BU29" s="50"/>
      <c r="BV29" s="50"/>
      <c r="BW29" s="50"/>
      <c r="BX29" s="50"/>
      <c r="BY29" s="50"/>
      <c r="BZ29" s="50"/>
      <c r="CA29" s="50"/>
      <c r="CB29" s="50"/>
      <c r="CC29" s="50"/>
      <c r="CD29" s="50"/>
      <c r="CE29" s="50"/>
      <c r="CF29" s="50"/>
      <c r="CG29" s="50"/>
      <c r="CH29" s="50"/>
      <c r="CI29" s="50"/>
      <c r="CJ29" s="50"/>
      <c r="CK29" s="50"/>
      <c r="CL29" s="50"/>
      <c r="CM29" s="50"/>
      <c r="CN29" s="50"/>
      <c r="CO29" s="50"/>
      <c r="CP29" s="50"/>
      <c r="CQ29" s="50"/>
      <c r="CR29" s="50"/>
      <c r="CS29" s="50"/>
      <c r="CT29" s="50"/>
      <c r="CU29" s="50"/>
      <c r="CV29" s="50"/>
      <c r="CW29" s="50"/>
      <c r="CX29" s="50"/>
      <c r="CY29" s="50"/>
      <c r="CZ29" s="50"/>
      <c r="DA29" s="50"/>
      <c r="DB29" s="50"/>
      <c r="DC29" s="50"/>
      <c r="DD29" s="50"/>
      <c r="DE29" s="50"/>
      <c r="DF29" s="50"/>
      <c r="DG29" s="50"/>
      <c r="DH29" s="50"/>
      <c r="DI29" s="50"/>
      <c r="DJ29" s="50"/>
      <c r="DK29" s="50"/>
      <c r="DL29" s="50"/>
      <c r="DM29" s="50"/>
      <c r="DN29" s="50"/>
      <c r="DO29" s="50"/>
      <c r="DP29" s="50"/>
      <c r="DQ29" s="50"/>
      <c r="DR29" s="50"/>
      <c r="DS29" s="50"/>
      <c r="DT29" s="50"/>
      <c r="DU29" s="50"/>
      <c r="DV29" s="50"/>
      <c r="DW29" s="50"/>
      <c r="DX29" s="50"/>
      <c r="DY29" s="50"/>
      <c r="DZ29" s="50"/>
      <c r="EA29" s="50"/>
      <c r="EB29" s="50"/>
      <c r="EC29" s="50"/>
      <c r="ED29" s="50"/>
      <c r="EE29" s="50"/>
      <c r="EF29" s="50"/>
      <c r="EG29" s="50"/>
      <c r="EH29" s="50"/>
      <c r="EI29" s="50"/>
      <c r="EJ29" s="50"/>
      <c r="EK29" s="50"/>
      <c r="EL29" s="50"/>
      <c r="EM29" s="50"/>
      <c r="EN29" s="50"/>
      <c r="EO29" s="50"/>
      <c r="EP29" s="50"/>
      <c r="EQ29" s="50"/>
      <c r="ER29" s="50"/>
      <c r="ES29" s="50"/>
      <c r="ET29" s="50"/>
      <c r="EU29" s="50"/>
      <c r="EV29" s="50"/>
      <c r="EW29" s="50"/>
      <c r="EX29" s="50"/>
      <c r="EY29" s="50"/>
      <c r="EZ29" s="50"/>
      <c r="FA29" s="50"/>
      <c r="FB29" s="50"/>
      <c r="FC29" s="50"/>
      <c r="FD29" s="50"/>
      <c r="FE29" s="50"/>
      <c r="FF29" s="50"/>
      <c r="FG29" s="50"/>
      <c r="FH29" s="50"/>
      <c r="FI29" s="50"/>
      <c r="FJ29" s="50"/>
      <c r="FK29" s="50"/>
      <c r="FL29" s="50"/>
      <c r="FM29" s="50"/>
      <c r="FN29" s="50"/>
      <c r="FO29" s="50"/>
      <c r="FP29" s="50"/>
      <c r="FQ29" s="50"/>
      <c r="FR29" s="50"/>
      <c r="FS29" s="50"/>
      <c r="FT29" s="50"/>
      <c r="FU29" s="50"/>
      <c r="FV29" s="50"/>
      <c r="FW29" s="50"/>
      <c r="FX29" s="50"/>
      <c r="FY29" s="50"/>
      <c r="FZ29" s="50"/>
      <c r="GA29" s="50"/>
      <c r="GB29" s="50"/>
      <c r="GC29" s="50"/>
      <c r="GD29" s="50"/>
      <c r="GE29" s="50"/>
      <c r="GF29" s="50"/>
      <c r="GG29" s="50"/>
      <c r="GH29" s="50"/>
      <c r="GI29" s="50"/>
      <c r="GJ29" s="50"/>
      <c r="GK29" s="50"/>
      <c r="GL29" s="50"/>
      <c r="GM29" s="50"/>
      <c r="GN29" s="50"/>
      <c r="GO29" s="50"/>
      <c r="GP29" s="50"/>
      <c r="GQ29" s="50"/>
      <c r="GR29" s="50"/>
      <c r="GS29" s="50"/>
      <c r="GT29" s="50"/>
      <c r="GU29" s="50"/>
      <c r="GV29" s="50"/>
      <c r="GW29" s="50"/>
      <c r="GX29" s="50"/>
      <c r="GY29" s="50"/>
      <c r="GZ29" s="50"/>
      <c r="HA29" s="50"/>
      <c r="HB29" s="50"/>
      <c r="HC29" s="50"/>
      <c r="HD29" s="50"/>
      <c r="HE29" s="50"/>
      <c r="HF29" s="50"/>
      <c r="HG29" s="50"/>
      <c r="HH29" s="50"/>
      <c r="HI29" s="50"/>
      <c r="HJ29" s="50"/>
      <c r="HK29" s="50"/>
      <c r="HL29" s="50"/>
      <c r="HM29" s="50"/>
      <c r="HN29" s="50"/>
      <c r="HO29" s="50"/>
      <c r="HP29" s="50"/>
      <c r="HQ29" s="50"/>
      <c r="HR29" s="50"/>
      <c r="HS29" s="50"/>
      <c r="HT29" s="50"/>
      <c r="HU29" s="50"/>
      <c r="HV29" s="50"/>
      <c r="HW29" s="50"/>
      <c r="HX29" s="50"/>
      <c r="HY29" s="50"/>
      <c r="HZ29" s="50"/>
      <c r="IA29" s="50"/>
      <c r="IB29" s="50"/>
      <c r="IC29" s="50"/>
      <c r="ID29" s="50"/>
      <c r="IE29" s="50"/>
      <c r="IF29" s="50"/>
      <c r="IG29" s="50"/>
      <c r="IH29" s="50"/>
    </row>
    <row r="30" spans="1:242" hidden="1" x14ac:dyDescent="0.25">
      <c r="A30" s="60">
        <v>12</v>
      </c>
      <c r="B30" s="89"/>
      <c r="C30" s="89"/>
      <c r="D30" s="89"/>
      <c r="E30" s="50"/>
      <c r="F30" s="50"/>
      <c r="G30" s="50"/>
      <c r="H30" s="50"/>
      <c r="I30" s="50"/>
      <c r="J30" s="50"/>
      <c r="K30" s="61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  <c r="AW30" s="50"/>
      <c r="AX30" s="50"/>
      <c r="AY30" s="50"/>
      <c r="AZ30" s="50"/>
      <c r="BA30" s="50"/>
      <c r="BB30" s="50"/>
      <c r="BC30" s="50"/>
      <c r="BD30" s="50"/>
      <c r="BE30" s="50"/>
      <c r="BF30" s="50"/>
      <c r="BG30" s="50"/>
      <c r="BH30" s="50"/>
      <c r="BI30" s="50"/>
      <c r="BJ30" s="50"/>
      <c r="BK30" s="50"/>
      <c r="BL30" s="50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0"/>
      <c r="CA30" s="50"/>
      <c r="CB30" s="50"/>
      <c r="CC30" s="50"/>
      <c r="CD30" s="50"/>
      <c r="CE30" s="50"/>
      <c r="CF30" s="50"/>
      <c r="CG30" s="50"/>
      <c r="CH30" s="50"/>
      <c r="CI30" s="50"/>
      <c r="CJ30" s="50"/>
      <c r="CK30" s="50"/>
      <c r="CL30" s="50"/>
      <c r="CM30" s="50"/>
      <c r="CN30" s="50"/>
      <c r="CO30" s="50"/>
      <c r="CP30" s="50"/>
      <c r="CQ30" s="50"/>
      <c r="CR30" s="50"/>
      <c r="CS30" s="50"/>
      <c r="CT30" s="50"/>
      <c r="CU30" s="50"/>
      <c r="CV30" s="50"/>
      <c r="CW30" s="50"/>
      <c r="CX30" s="50"/>
      <c r="CY30" s="50"/>
      <c r="CZ30" s="50"/>
      <c r="DA30" s="50"/>
      <c r="DB30" s="50"/>
      <c r="DC30" s="50"/>
      <c r="DD30" s="50"/>
      <c r="DE30" s="50"/>
      <c r="DF30" s="50"/>
      <c r="DG30" s="50"/>
      <c r="DH30" s="50"/>
      <c r="DI30" s="50"/>
      <c r="DJ30" s="50"/>
      <c r="DK30" s="50"/>
      <c r="DL30" s="50"/>
      <c r="DM30" s="50"/>
      <c r="DN30" s="50"/>
      <c r="DO30" s="50"/>
      <c r="DP30" s="50"/>
      <c r="DQ30" s="50"/>
      <c r="DR30" s="50"/>
      <c r="DS30" s="50"/>
      <c r="DT30" s="50"/>
      <c r="DU30" s="50"/>
      <c r="DV30" s="50"/>
      <c r="DW30" s="50"/>
      <c r="DX30" s="50"/>
      <c r="DY30" s="50"/>
      <c r="DZ30" s="50"/>
      <c r="EA30" s="50"/>
      <c r="EB30" s="50"/>
      <c r="EC30" s="50"/>
      <c r="ED30" s="50"/>
      <c r="EE30" s="50"/>
      <c r="EF30" s="50"/>
      <c r="EG30" s="50"/>
      <c r="EH30" s="50"/>
      <c r="EI30" s="50"/>
      <c r="EJ30" s="50"/>
      <c r="EK30" s="50"/>
      <c r="EL30" s="50"/>
      <c r="EM30" s="50"/>
      <c r="EN30" s="50"/>
      <c r="EO30" s="50"/>
      <c r="EP30" s="50"/>
      <c r="EQ30" s="50"/>
      <c r="ER30" s="50"/>
      <c r="ES30" s="50"/>
      <c r="ET30" s="50"/>
      <c r="EU30" s="50"/>
      <c r="EV30" s="50"/>
      <c r="EW30" s="50"/>
      <c r="EX30" s="50"/>
      <c r="EY30" s="50"/>
      <c r="EZ30" s="50"/>
      <c r="FA30" s="50"/>
      <c r="FB30" s="50"/>
      <c r="FC30" s="50"/>
      <c r="FD30" s="50"/>
      <c r="FE30" s="50"/>
      <c r="FF30" s="50"/>
      <c r="FG30" s="50"/>
      <c r="FH30" s="50"/>
      <c r="FI30" s="50"/>
      <c r="FJ30" s="50"/>
      <c r="FK30" s="50"/>
      <c r="FL30" s="50"/>
      <c r="FM30" s="50"/>
      <c r="FN30" s="50"/>
      <c r="FO30" s="50"/>
      <c r="FP30" s="50"/>
      <c r="FQ30" s="50"/>
      <c r="FR30" s="50"/>
      <c r="FS30" s="50"/>
      <c r="FT30" s="50"/>
      <c r="FU30" s="50"/>
      <c r="FV30" s="50"/>
      <c r="FW30" s="50"/>
      <c r="FX30" s="50"/>
      <c r="FY30" s="50"/>
      <c r="FZ30" s="50"/>
      <c r="GA30" s="50"/>
      <c r="GB30" s="50"/>
      <c r="GC30" s="50"/>
      <c r="GD30" s="50"/>
      <c r="GE30" s="50"/>
      <c r="GF30" s="50"/>
      <c r="GG30" s="50"/>
      <c r="GH30" s="50"/>
      <c r="GI30" s="50"/>
      <c r="GJ30" s="50"/>
      <c r="GK30" s="50"/>
      <c r="GL30" s="50"/>
      <c r="GM30" s="50"/>
      <c r="GN30" s="50"/>
      <c r="GO30" s="50"/>
      <c r="GP30" s="50"/>
      <c r="GQ30" s="50"/>
      <c r="GR30" s="50"/>
      <c r="GS30" s="50"/>
      <c r="GT30" s="50"/>
      <c r="GU30" s="50"/>
      <c r="GV30" s="50"/>
      <c r="GW30" s="50"/>
      <c r="GX30" s="50"/>
      <c r="GY30" s="50"/>
      <c r="GZ30" s="50"/>
      <c r="HA30" s="50"/>
      <c r="HB30" s="50"/>
      <c r="HC30" s="50"/>
      <c r="HD30" s="50"/>
      <c r="HE30" s="50"/>
      <c r="HF30" s="50"/>
      <c r="HG30" s="50"/>
      <c r="HH30" s="50"/>
      <c r="HI30" s="50"/>
      <c r="HJ30" s="50"/>
      <c r="HK30" s="50"/>
      <c r="HL30" s="50"/>
      <c r="HM30" s="50"/>
      <c r="HN30" s="50"/>
      <c r="HO30" s="50"/>
      <c r="HP30" s="50"/>
      <c r="HQ30" s="50"/>
      <c r="HR30" s="50"/>
      <c r="HS30" s="50"/>
      <c r="HT30" s="50"/>
      <c r="HU30" s="50"/>
      <c r="HV30" s="50"/>
      <c r="HW30" s="50"/>
      <c r="HX30" s="50"/>
      <c r="HY30" s="50"/>
      <c r="HZ30" s="50"/>
      <c r="IA30" s="50"/>
      <c r="IB30" s="50"/>
      <c r="IC30" s="50"/>
      <c r="ID30" s="50"/>
      <c r="IE30" s="50"/>
      <c r="IF30" s="50"/>
      <c r="IG30" s="50"/>
      <c r="IH30" s="50"/>
    </row>
    <row r="31" spans="1:242" ht="21" hidden="1" x14ac:dyDescent="0.35">
      <c r="A31" s="60">
        <v>13</v>
      </c>
      <c r="B31" s="89"/>
      <c r="C31" s="89"/>
      <c r="D31" s="89"/>
      <c r="E31" s="50"/>
      <c r="F31" s="50"/>
      <c r="G31" s="50"/>
      <c r="H31" s="50"/>
      <c r="I31" s="50"/>
      <c r="J31" s="50"/>
      <c r="K31" s="159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  <c r="AW31" s="50"/>
      <c r="AX31" s="50"/>
      <c r="AY31" s="50"/>
      <c r="AZ31" s="50"/>
      <c r="BA31" s="50"/>
      <c r="BB31" s="50"/>
      <c r="BC31" s="50"/>
      <c r="BD31" s="50"/>
      <c r="BE31" s="50"/>
      <c r="BF31" s="50"/>
      <c r="BG31" s="50"/>
      <c r="BH31" s="50"/>
      <c r="BI31" s="50"/>
      <c r="BJ31" s="50"/>
      <c r="BK31" s="50"/>
      <c r="BL31" s="50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50"/>
      <c r="BZ31" s="50"/>
      <c r="CA31" s="50"/>
      <c r="CB31" s="50"/>
      <c r="CC31" s="50"/>
      <c r="CD31" s="50"/>
      <c r="CE31" s="50"/>
      <c r="CF31" s="50"/>
      <c r="CG31" s="50"/>
      <c r="CH31" s="50"/>
      <c r="CI31" s="50"/>
      <c r="CJ31" s="50"/>
      <c r="CK31" s="50"/>
      <c r="CL31" s="50"/>
      <c r="CM31" s="50"/>
      <c r="CN31" s="50"/>
      <c r="CO31" s="50"/>
      <c r="CP31" s="50"/>
      <c r="CQ31" s="50"/>
      <c r="CR31" s="50"/>
      <c r="CS31" s="50"/>
      <c r="CT31" s="50"/>
      <c r="CU31" s="50"/>
      <c r="CV31" s="50"/>
      <c r="CW31" s="50"/>
      <c r="CX31" s="50"/>
      <c r="CY31" s="50"/>
      <c r="CZ31" s="50"/>
      <c r="DA31" s="50"/>
      <c r="DB31" s="50"/>
      <c r="DC31" s="50"/>
      <c r="DD31" s="50"/>
      <c r="DE31" s="50"/>
      <c r="DF31" s="50"/>
      <c r="DG31" s="50"/>
      <c r="DH31" s="50"/>
      <c r="DI31" s="50"/>
      <c r="DJ31" s="50"/>
      <c r="DK31" s="50"/>
      <c r="DL31" s="50"/>
      <c r="DM31" s="50"/>
      <c r="DN31" s="50"/>
      <c r="DO31" s="50"/>
      <c r="DP31" s="50"/>
      <c r="DQ31" s="50"/>
      <c r="DR31" s="50"/>
      <c r="DS31" s="50"/>
      <c r="DT31" s="50"/>
      <c r="DU31" s="50"/>
      <c r="DV31" s="50"/>
      <c r="DW31" s="50"/>
      <c r="DX31" s="50"/>
      <c r="DY31" s="50"/>
      <c r="DZ31" s="50"/>
      <c r="EA31" s="50"/>
      <c r="EB31" s="50"/>
      <c r="EC31" s="50"/>
      <c r="ED31" s="50"/>
      <c r="EE31" s="50"/>
      <c r="EF31" s="50"/>
      <c r="EG31" s="50"/>
      <c r="EH31" s="50"/>
      <c r="EI31" s="50"/>
      <c r="EJ31" s="50"/>
      <c r="EK31" s="50"/>
      <c r="EL31" s="50"/>
      <c r="EM31" s="50"/>
      <c r="EN31" s="50"/>
      <c r="EO31" s="50"/>
      <c r="EP31" s="50"/>
      <c r="EQ31" s="50"/>
      <c r="ER31" s="50"/>
      <c r="ES31" s="50"/>
      <c r="ET31" s="50"/>
      <c r="EU31" s="50"/>
      <c r="EV31" s="50"/>
      <c r="EW31" s="50"/>
      <c r="EX31" s="50"/>
      <c r="EY31" s="50"/>
      <c r="EZ31" s="50"/>
      <c r="FA31" s="50"/>
      <c r="FB31" s="50"/>
      <c r="FC31" s="50"/>
      <c r="FD31" s="50"/>
      <c r="FE31" s="50"/>
      <c r="FF31" s="50"/>
      <c r="FG31" s="50"/>
      <c r="FH31" s="50"/>
      <c r="FI31" s="50"/>
      <c r="FJ31" s="50"/>
      <c r="FK31" s="50"/>
      <c r="FL31" s="50"/>
      <c r="FM31" s="50"/>
      <c r="FN31" s="50"/>
      <c r="FO31" s="50"/>
      <c r="FP31" s="50"/>
      <c r="FQ31" s="50"/>
      <c r="FR31" s="50"/>
      <c r="FS31" s="50"/>
      <c r="FT31" s="50"/>
      <c r="FU31" s="50"/>
      <c r="FV31" s="50"/>
      <c r="FW31" s="50"/>
      <c r="FX31" s="50"/>
      <c r="FY31" s="50"/>
      <c r="FZ31" s="50"/>
      <c r="GA31" s="50"/>
      <c r="GB31" s="50"/>
      <c r="GC31" s="50"/>
      <c r="GD31" s="50"/>
      <c r="GE31" s="50"/>
      <c r="GF31" s="50"/>
      <c r="GG31" s="50"/>
      <c r="GH31" s="50"/>
      <c r="GI31" s="50"/>
      <c r="GJ31" s="50"/>
      <c r="GK31" s="50"/>
      <c r="GL31" s="50"/>
      <c r="GM31" s="50"/>
      <c r="GN31" s="50"/>
      <c r="GO31" s="50"/>
      <c r="GP31" s="50"/>
      <c r="GQ31" s="50"/>
      <c r="GR31" s="50"/>
      <c r="GS31" s="50"/>
      <c r="GT31" s="50"/>
      <c r="GU31" s="50"/>
      <c r="GV31" s="50"/>
      <c r="GW31" s="50"/>
      <c r="GX31" s="50"/>
      <c r="GY31" s="50"/>
      <c r="GZ31" s="50"/>
      <c r="HA31" s="50"/>
      <c r="HB31" s="50"/>
      <c r="HC31" s="50"/>
      <c r="HD31" s="50"/>
      <c r="HE31" s="50"/>
      <c r="HF31" s="50"/>
      <c r="HG31" s="50"/>
      <c r="HH31" s="50"/>
      <c r="HI31" s="50"/>
      <c r="HJ31" s="50"/>
      <c r="HK31" s="50"/>
      <c r="HL31" s="50"/>
      <c r="HM31" s="50"/>
      <c r="HN31" s="50"/>
      <c r="HO31" s="50"/>
      <c r="HP31" s="50"/>
      <c r="HQ31" s="50"/>
      <c r="HR31" s="50"/>
      <c r="HS31" s="50"/>
      <c r="HT31" s="50"/>
      <c r="HU31" s="50"/>
      <c r="HV31" s="50"/>
      <c r="HW31" s="50"/>
      <c r="HX31" s="50"/>
      <c r="HY31" s="50"/>
      <c r="HZ31" s="50"/>
      <c r="IA31" s="50"/>
      <c r="IB31" s="50"/>
      <c r="IC31" s="50"/>
      <c r="ID31" s="50"/>
      <c r="IE31" s="50"/>
      <c r="IF31" s="50"/>
      <c r="IG31" s="50"/>
      <c r="IH31" s="50"/>
    </row>
    <row r="32" spans="1:242" hidden="1" x14ac:dyDescent="0.25">
      <c r="A32" s="60">
        <v>14</v>
      </c>
      <c r="B32" s="89"/>
      <c r="C32" s="89"/>
      <c r="D32" s="89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  <c r="AW32" s="50"/>
      <c r="AX32" s="50"/>
      <c r="AY32" s="50"/>
      <c r="AZ32" s="50"/>
      <c r="BA32" s="50"/>
      <c r="BB32" s="50"/>
      <c r="BC32" s="50"/>
      <c r="BD32" s="50"/>
      <c r="BE32" s="50"/>
      <c r="BF32" s="50"/>
      <c r="BG32" s="50"/>
      <c r="BH32" s="50"/>
      <c r="BI32" s="50"/>
      <c r="BJ32" s="50"/>
      <c r="BK32" s="50"/>
      <c r="BL32" s="50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0"/>
      <c r="CA32" s="50"/>
      <c r="CB32" s="50"/>
      <c r="CC32" s="50"/>
      <c r="CD32" s="50"/>
      <c r="CE32" s="50"/>
      <c r="CF32" s="50"/>
      <c r="CG32" s="50"/>
      <c r="CH32" s="50"/>
      <c r="CI32" s="50"/>
      <c r="CJ32" s="50"/>
      <c r="CK32" s="50"/>
      <c r="CL32" s="50"/>
      <c r="CM32" s="50"/>
      <c r="CN32" s="50"/>
      <c r="CO32" s="50"/>
      <c r="CP32" s="50"/>
      <c r="CQ32" s="50"/>
      <c r="CR32" s="50"/>
      <c r="CS32" s="50"/>
      <c r="CT32" s="50"/>
      <c r="CU32" s="50"/>
      <c r="CV32" s="50"/>
      <c r="CW32" s="50"/>
      <c r="CX32" s="50"/>
      <c r="CY32" s="50"/>
      <c r="CZ32" s="50"/>
      <c r="DA32" s="50"/>
      <c r="DB32" s="50"/>
      <c r="DC32" s="50"/>
      <c r="DD32" s="50"/>
      <c r="DE32" s="50"/>
      <c r="DF32" s="50"/>
      <c r="DG32" s="50"/>
      <c r="DH32" s="50"/>
      <c r="DI32" s="50"/>
      <c r="DJ32" s="50"/>
      <c r="DK32" s="50"/>
      <c r="DL32" s="50"/>
      <c r="DM32" s="50"/>
      <c r="DN32" s="50"/>
      <c r="DO32" s="50"/>
      <c r="DP32" s="50"/>
      <c r="DQ32" s="50"/>
      <c r="DR32" s="50"/>
      <c r="DS32" s="50"/>
      <c r="DT32" s="50"/>
      <c r="DU32" s="50"/>
      <c r="DV32" s="50"/>
      <c r="DW32" s="50"/>
      <c r="DX32" s="50"/>
      <c r="DY32" s="50"/>
      <c r="DZ32" s="50"/>
      <c r="EA32" s="50"/>
      <c r="EB32" s="50"/>
      <c r="EC32" s="50"/>
      <c r="ED32" s="50"/>
      <c r="EE32" s="50"/>
      <c r="EF32" s="50"/>
      <c r="EG32" s="50"/>
      <c r="EH32" s="50"/>
      <c r="EI32" s="50"/>
      <c r="EJ32" s="50"/>
      <c r="EK32" s="50"/>
      <c r="EL32" s="50"/>
      <c r="EM32" s="50"/>
      <c r="EN32" s="50"/>
      <c r="EO32" s="50"/>
      <c r="EP32" s="50"/>
      <c r="EQ32" s="50"/>
      <c r="ER32" s="50"/>
      <c r="ES32" s="50"/>
      <c r="ET32" s="50"/>
      <c r="EU32" s="50"/>
      <c r="EV32" s="50"/>
      <c r="EW32" s="50"/>
      <c r="EX32" s="50"/>
      <c r="EY32" s="50"/>
      <c r="EZ32" s="50"/>
      <c r="FA32" s="50"/>
      <c r="FB32" s="50"/>
      <c r="FC32" s="50"/>
      <c r="FD32" s="50"/>
      <c r="FE32" s="50"/>
      <c r="FF32" s="50"/>
      <c r="FG32" s="50"/>
      <c r="FH32" s="50"/>
      <c r="FI32" s="50"/>
      <c r="FJ32" s="50"/>
      <c r="FK32" s="50"/>
      <c r="FL32" s="50"/>
      <c r="FM32" s="50"/>
      <c r="FN32" s="50"/>
      <c r="FO32" s="50"/>
      <c r="FP32" s="50"/>
      <c r="FQ32" s="50"/>
      <c r="FR32" s="50"/>
      <c r="FS32" s="50"/>
      <c r="FT32" s="50"/>
      <c r="FU32" s="50"/>
      <c r="FV32" s="50"/>
      <c r="FW32" s="50"/>
      <c r="FX32" s="50"/>
      <c r="FY32" s="50"/>
      <c r="FZ32" s="50"/>
      <c r="GA32" s="50"/>
      <c r="GB32" s="50"/>
      <c r="GC32" s="50"/>
      <c r="GD32" s="50"/>
      <c r="GE32" s="50"/>
      <c r="GF32" s="50"/>
      <c r="GG32" s="50"/>
      <c r="GH32" s="50"/>
      <c r="GI32" s="50"/>
      <c r="GJ32" s="50"/>
      <c r="GK32" s="50"/>
      <c r="GL32" s="50"/>
      <c r="GM32" s="50"/>
      <c r="GN32" s="50"/>
      <c r="GO32" s="50"/>
      <c r="GP32" s="50"/>
      <c r="GQ32" s="50"/>
      <c r="GR32" s="50"/>
      <c r="GS32" s="50"/>
      <c r="GT32" s="50"/>
      <c r="GU32" s="50"/>
      <c r="GV32" s="50"/>
      <c r="GW32" s="50"/>
      <c r="GX32" s="50"/>
      <c r="GY32" s="50"/>
      <c r="GZ32" s="50"/>
      <c r="HA32" s="50"/>
      <c r="HB32" s="50"/>
      <c r="HC32" s="50"/>
      <c r="HD32" s="50"/>
      <c r="HE32" s="50"/>
      <c r="HF32" s="50"/>
      <c r="HG32" s="50"/>
      <c r="HH32" s="50"/>
      <c r="HI32" s="50"/>
      <c r="HJ32" s="50"/>
      <c r="HK32" s="50"/>
      <c r="HL32" s="50"/>
      <c r="HM32" s="50"/>
      <c r="HN32" s="50"/>
      <c r="HO32" s="50"/>
      <c r="HP32" s="50"/>
      <c r="HQ32" s="50"/>
      <c r="HR32" s="50"/>
      <c r="HS32" s="50"/>
      <c r="HT32" s="50"/>
      <c r="HU32" s="50"/>
      <c r="HV32" s="50"/>
      <c r="HW32" s="50"/>
      <c r="HX32" s="50"/>
      <c r="HY32" s="50"/>
      <c r="HZ32" s="50"/>
      <c r="IA32" s="50"/>
      <c r="IB32" s="50"/>
      <c r="IC32" s="50"/>
      <c r="ID32" s="50"/>
      <c r="IE32" s="50"/>
      <c r="IF32" s="50"/>
      <c r="IG32" s="50"/>
      <c r="IH32" s="50"/>
    </row>
    <row r="33" spans="1:242" ht="26.25" hidden="1" x14ac:dyDescent="0.4">
      <c r="A33" s="60">
        <v>15</v>
      </c>
      <c r="B33" s="89"/>
      <c r="C33" s="89"/>
      <c r="D33" s="89"/>
      <c r="E33" s="50"/>
      <c r="F33" s="50"/>
      <c r="G33" s="50"/>
      <c r="H33" s="160"/>
      <c r="I33" s="160"/>
      <c r="J33" s="160"/>
      <c r="K33" s="160"/>
      <c r="L33" s="16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  <c r="AH33" s="50"/>
      <c r="AI33" s="50"/>
      <c r="AJ33" s="50"/>
      <c r="AK33" s="50"/>
      <c r="AL33" s="50"/>
      <c r="AM33" s="50"/>
      <c r="AN33" s="50"/>
      <c r="AO33" s="50"/>
      <c r="AP33" s="50"/>
      <c r="AQ33" s="50"/>
      <c r="AR33" s="50"/>
      <c r="AS33" s="50"/>
      <c r="AT33" s="50"/>
      <c r="AU33" s="50"/>
      <c r="AV33" s="50"/>
      <c r="AW33" s="50"/>
      <c r="AX33" s="50"/>
      <c r="AY33" s="50"/>
      <c r="AZ33" s="50"/>
      <c r="BA33" s="50"/>
      <c r="BB33" s="50"/>
      <c r="BC33" s="50"/>
      <c r="BD33" s="50"/>
      <c r="BE33" s="50"/>
      <c r="BF33" s="50"/>
      <c r="BG33" s="50"/>
      <c r="BH33" s="50"/>
      <c r="BI33" s="50"/>
      <c r="BJ33" s="50"/>
      <c r="BK33" s="50"/>
      <c r="BL33" s="50"/>
      <c r="BM33" s="50"/>
      <c r="BN33" s="50"/>
      <c r="BO33" s="50"/>
      <c r="BP33" s="50"/>
      <c r="BQ33" s="50"/>
      <c r="BR33" s="50"/>
      <c r="BS33" s="50"/>
      <c r="BT33" s="50"/>
      <c r="BU33" s="50"/>
      <c r="BV33" s="50"/>
      <c r="BW33" s="50"/>
      <c r="BX33" s="50"/>
      <c r="BY33" s="50"/>
      <c r="BZ33" s="50"/>
      <c r="CA33" s="50"/>
      <c r="CB33" s="50"/>
      <c r="CC33" s="50"/>
      <c r="CD33" s="50"/>
      <c r="CE33" s="50"/>
      <c r="CF33" s="50"/>
      <c r="CG33" s="50"/>
      <c r="CH33" s="50"/>
      <c r="CI33" s="50"/>
      <c r="CJ33" s="50"/>
      <c r="CK33" s="50"/>
      <c r="CL33" s="50"/>
      <c r="CM33" s="50"/>
      <c r="CN33" s="50"/>
      <c r="CO33" s="50">
        <v>443</v>
      </c>
      <c r="CP33" s="50"/>
      <c r="CQ33" s="50"/>
      <c r="CR33" s="50"/>
      <c r="CS33" s="50"/>
      <c r="CT33" s="50"/>
      <c r="CU33" s="50"/>
      <c r="CV33" s="50"/>
      <c r="CW33" s="50"/>
      <c r="CX33" s="50"/>
      <c r="CY33" s="50"/>
      <c r="CZ33" s="50"/>
      <c r="DA33" s="50"/>
      <c r="DB33" s="50"/>
      <c r="DC33" s="50"/>
      <c r="DD33" s="50"/>
      <c r="DE33" s="50"/>
      <c r="DF33" s="50"/>
      <c r="DG33" s="50"/>
      <c r="DH33" s="50"/>
      <c r="DI33" s="50"/>
      <c r="DJ33" s="50"/>
      <c r="DK33" s="50"/>
      <c r="DL33" s="50"/>
      <c r="DM33" s="50"/>
      <c r="DN33" s="50"/>
      <c r="DO33" s="50"/>
      <c r="DP33" s="50"/>
      <c r="DQ33" s="50"/>
      <c r="DR33" s="50"/>
      <c r="DS33" s="50"/>
      <c r="DT33" s="50"/>
      <c r="DU33" s="50"/>
      <c r="DV33" s="50"/>
      <c r="DW33" s="50"/>
      <c r="DX33" s="50"/>
      <c r="DY33" s="50"/>
      <c r="DZ33" s="50"/>
      <c r="EA33" s="50"/>
      <c r="EB33" s="50"/>
      <c r="EC33" s="50"/>
      <c r="ED33" s="50"/>
      <c r="EE33" s="50"/>
      <c r="EF33" s="50"/>
      <c r="EG33" s="50"/>
      <c r="EH33" s="50"/>
      <c r="EI33" s="50"/>
      <c r="EJ33" s="50"/>
      <c r="EK33" s="50"/>
      <c r="EL33" s="50"/>
      <c r="EM33" s="50"/>
      <c r="EN33" s="50"/>
      <c r="EO33" s="50"/>
      <c r="EP33" s="50"/>
      <c r="EQ33" s="50"/>
      <c r="ER33" s="50"/>
      <c r="ES33" s="50"/>
      <c r="ET33" s="50"/>
      <c r="EU33" s="50"/>
      <c r="EV33" s="50"/>
      <c r="EW33" s="50"/>
      <c r="EX33" s="50"/>
      <c r="EY33" s="50"/>
      <c r="EZ33" s="50"/>
      <c r="FA33" s="50"/>
      <c r="FB33" s="50"/>
      <c r="FC33" s="50"/>
      <c r="FD33" s="50"/>
      <c r="FE33" s="50"/>
      <c r="FF33" s="50"/>
      <c r="FG33" s="50"/>
      <c r="FH33" s="50"/>
      <c r="FI33" s="50"/>
      <c r="FJ33" s="50"/>
      <c r="FK33" s="50"/>
      <c r="FL33" s="50"/>
      <c r="FM33" s="50"/>
      <c r="FN33" s="50"/>
      <c r="FO33" s="50"/>
      <c r="FP33" s="50"/>
      <c r="FQ33" s="50"/>
      <c r="FR33" s="50"/>
      <c r="FS33" s="50"/>
      <c r="FT33" s="50"/>
      <c r="FU33" s="50"/>
      <c r="FV33" s="50"/>
      <c r="FW33" s="50"/>
      <c r="FX33" s="50"/>
      <c r="FY33" s="50"/>
      <c r="FZ33" s="50"/>
      <c r="GA33" s="50"/>
      <c r="GB33" s="50"/>
      <c r="GC33" s="50"/>
      <c r="GD33" s="50"/>
      <c r="GE33" s="50"/>
      <c r="GF33" s="50"/>
      <c r="GG33" s="50"/>
      <c r="GH33" s="50"/>
      <c r="GI33" s="50"/>
      <c r="GJ33" s="50"/>
      <c r="GK33" s="50"/>
      <c r="GL33" s="50"/>
      <c r="GM33" s="50"/>
      <c r="GN33" s="50"/>
      <c r="GO33" s="50"/>
      <c r="GP33" s="50"/>
      <c r="GQ33" s="50"/>
      <c r="GR33" s="50"/>
      <c r="GS33" s="50"/>
      <c r="GT33" s="50"/>
      <c r="GU33" s="50"/>
      <c r="GV33" s="50"/>
      <c r="GW33" s="50"/>
      <c r="GX33" s="50"/>
      <c r="GY33" s="50"/>
      <c r="GZ33" s="50"/>
      <c r="HA33" s="50"/>
      <c r="HB33" s="50"/>
      <c r="HC33" s="50"/>
      <c r="HD33" s="50"/>
      <c r="HE33" s="50"/>
      <c r="HF33" s="50"/>
      <c r="HG33" s="50"/>
      <c r="HH33" s="50"/>
      <c r="HI33" s="50"/>
      <c r="HJ33" s="50"/>
      <c r="HK33" s="50"/>
      <c r="HL33" s="50"/>
      <c r="HM33" s="50"/>
      <c r="HN33" s="50"/>
      <c r="HO33" s="50"/>
      <c r="HP33" s="50"/>
      <c r="HQ33" s="50"/>
      <c r="HR33" s="50"/>
      <c r="HS33" s="50"/>
      <c r="HT33" s="50"/>
      <c r="HU33" s="50"/>
      <c r="HV33" s="50"/>
      <c r="HW33" s="50"/>
      <c r="HX33" s="50"/>
      <c r="HY33" s="50"/>
      <c r="HZ33" s="50"/>
      <c r="IA33" s="50"/>
      <c r="IB33" s="50"/>
      <c r="IC33" s="50"/>
      <c r="ID33" s="50"/>
      <c r="IE33" s="50"/>
      <c r="IF33" s="50"/>
      <c r="IG33" s="50"/>
      <c r="IH33" s="50"/>
    </row>
    <row r="34" spans="1:242" ht="26.25" hidden="1" x14ac:dyDescent="0.4">
      <c r="A34" s="60">
        <v>16</v>
      </c>
      <c r="B34" s="89"/>
      <c r="C34" s="89"/>
      <c r="D34" s="89"/>
      <c r="E34" s="50"/>
      <c r="F34" s="50"/>
      <c r="G34" s="50"/>
      <c r="H34" s="160"/>
      <c r="I34" s="160"/>
      <c r="J34" s="160"/>
      <c r="K34" s="160"/>
      <c r="L34" s="16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  <c r="AH34" s="50"/>
      <c r="AI34" s="50"/>
      <c r="AJ34" s="50"/>
      <c r="AK34" s="50"/>
      <c r="AL34" s="50"/>
      <c r="AM34" s="50"/>
      <c r="AN34" s="50"/>
      <c r="AO34" s="50"/>
      <c r="AP34" s="50"/>
      <c r="AQ34" s="50"/>
      <c r="AR34" s="50"/>
      <c r="AS34" s="50"/>
      <c r="AT34" s="50"/>
      <c r="AU34" s="50"/>
      <c r="AV34" s="50"/>
      <c r="AW34" s="50"/>
      <c r="AX34" s="50"/>
      <c r="AY34" s="50"/>
      <c r="AZ34" s="50"/>
      <c r="BA34" s="50"/>
      <c r="BB34" s="50"/>
      <c r="BC34" s="50"/>
      <c r="BD34" s="50"/>
      <c r="BE34" s="50"/>
      <c r="BF34" s="50"/>
      <c r="BG34" s="50"/>
      <c r="BH34" s="50"/>
      <c r="BI34" s="50"/>
      <c r="BJ34" s="50"/>
      <c r="BK34" s="50"/>
      <c r="BL34" s="50"/>
      <c r="BM34" s="50"/>
      <c r="BN34" s="50"/>
      <c r="BO34" s="50"/>
      <c r="BP34" s="50"/>
      <c r="BQ34" s="50"/>
      <c r="BR34" s="50"/>
      <c r="BS34" s="50"/>
      <c r="BT34" s="50"/>
      <c r="BU34" s="50"/>
      <c r="BV34" s="50"/>
      <c r="BW34" s="50"/>
      <c r="BX34" s="50"/>
      <c r="BY34" s="50"/>
      <c r="BZ34" s="50"/>
      <c r="CA34" s="50"/>
      <c r="CB34" s="50"/>
      <c r="CC34" s="50"/>
      <c r="CD34" s="50"/>
      <c r="CE34" s="50"/>
      <c r="CF34" s="50"/>
      <c r="CG34" s="50"/>
      <c r="CH34" s="50"/>
      <c r="CI34" s="50"/>
      <c r="CJ34" s="50"/>
      <c r="CK34" s="50"/>
      <c r="CL34" s="50"/>
      <c r="CM34" s="50"/>
      <c r="CN34" s="50"/>
      <c r="CO34" s="50">
        <v>43650</v>
      </c>
      <c r="CP34" s="50"/>
      <c r="CQ34" s="50"/>
      <c r="CR34" s="50"/>
      <c r="CS34" s="50"/>
      <c r="CT34" s="50"/>
      <c r="CU34" s="50"/>
      <c r="CV34" s="50"/>
      <c r="CW34" s="50"/>
      <c r="CX34" s="50"/>
      <c r="CY34" s="50"/>
      <c r="CZ34" s="50"/>
      <c r="DA34" s="50"/>
      <c r="DB34" s="50"/>
      <c r="DC34" s="50"/>
      <c r="DD34" s="50"/>
      <c r="DE34" s="50"/>
      <c r="DF34" s="50"/>
      <c r="DG34" s="50"/>
      <c r="DH34" s="50"/>
      <c r="DI34" s="50"/>
      <c r="DJ34" s="50"/>
      <c r="DK34" s="50"/>
      <c r="DL34" s="50"/>
      <c r="DM34" s="50"/>
      <c r="DN34" s="50"/>
      <c r="DO34" s="50"/>
      <c r="DP34" s="50"/>
      <c r="DQ34" s="50"/>
      <c r="DR34" s="50"/>
      <c r="DS34" s="50"/>
      <c r="DT34" s="50"/>
      <c r="DU34" s="50"/>
      <c r="DV34" s="50"/>
      <c r="DW34" s="50"/>
      <c r="DX34" s="50"/>
      <c r="DY34" s="50"/>
      <c r="DZ34" s="50"/>
      <c r="EA34" s="50"/>
      <c r="EB34" s="50"/>
      <c r="EC34" s="50"/>
      <c r="ED34" s="50"/>
      <c r="EE34" s="50"/>
      <c r="EF34" s="50"/>
      <c r="EG34" s="50"/>
      <c r="EH34" s="50"/>
      <c r="EI34" s="50"/>
      <c r="EJ34" s="50"/>
      <c r="EK34" s="50"/>
      <c r="EL34" s="50"/>
      <c r="EM34" s="50"/>
      <c r="EN34" s="50"/>
      <c r="EO34" s="50"/>
      <c r="EP34" s="50"/>
      <c r="EQ34" s="50"/>
      <c r="ER34" s="50"/>
      <c r="ES34" s="50"/>
      <c r="ET34" s="50"/>
      <c r="EU34" s="50"/>
      <c r="EV34" s="50"/>
      <c r="EW34" s="50"/>
      <c r="EX34" s="50"/>
      <c r="EY34" s="50"/>
      <c r="EZ34" s="50"/>
      <c r="FA34" s="50"/>
      <c r="FB34" s="50"/>
      <c r="FC34" s="50"/>
      <c r="FD34" s="50"/>
      <c r="FE34" s="50"/>
      <c r="FF34" s="50"/>
      <c r="FG34" s="50"/>
      <c r="FH34" s="50"/>
      <c r="FI34" s="50"/>
      <c r="FJ34" s="50"/>
      <c r="FK34" s="50"/>
      <c r="FL34" s="50"/>
      <c r="FM34" s="50"/>
      <c r="FN34" s="50"/>
      <c r="FO34" s="50"/>
      <c r="FP34" s="50"/>
      <c r="FQ34" s="50"/>
      <c r="FR34" s="50"/>
      <c r="FS34" s="50"/>
      <c r="FT34" s="50"/>
      <c r="FU34" s="50"/>
      <c r="FV34" s="50"/>
      <c r="FW34" s="50"/>
      <c r="FX34" s="50"/>
      <c r="FY34" s="50"/>
      <c r="FZ34" s="50"/>
      <c r="GA34" s="50"/>
      <c r="GB34" s="50"/>
      <c r="GC34" s="50"/>
      <c r="GD34" s="50"/>
      <c r="GE34" s="50"/>
      <c r="GF34" s="50"/>
      <c r="GG34" s="50"/>
      <c r="GH34" s="50"/>
      <c r="GI34" s="50"/>
      <c r="GJ34" s="50"/>
      <c r="GK34" s="50"/>
      <c r="GL34" s="50"/>
      <c r="GM34" s="50"/>
      <c r="GN34" s="50"/>
      <c r="GO34" s="50"/>
      <c r="GP34" s="50"/>
      <c r="GQ34" s="50"/>
      <c r="GR34" s="50"/>
      <c r="GS34" s="50"/>
      <c r="GT34" s="50"/>
      <c r="GU34" s="50"/>
      <c r="GV34" s="50"/>
      <c r="GW34" s="50"/>
      <c r="GX34" s="50"/>
      <c r="GY34" s="50"/>
      <c r="GZ34" s="50"/>
      <c r="HA34" s="50"/>
      <c r="HB34" s="50"/>
      <c r="HC34" s="50"/>
      <c r="HD34" s="50"/>
      <c r="HE34" s="50"/>
      <c r="HF34" s="50"/>
      <c r="HG34" s="50"/>
      <c r="HH34" s="50"/>
      <c r="HI34" s="50"/>
      <c r="HJ34" s="50"/>
      <c r="HK34" s="50"/>
      <c r="HL34" s="50"/>
      <c r="HM34" s="50"/>
      <c r="HN34" s="50"/>
      <c r="HO34" s="50"/>
      <c r="HP34" s="50"/>
      <c r="HQ34" s="50"/>
      <c r="HR34" s="50"/>
      <c r="HS34" s="50"/>
      <c r="HT34" s="50"/>
      <c r="HU34" s="50"/>
      <c r="HV34" s="50"/>
      <c r="HW34" s="50"/>
      <c r="HX34" s="50"/>
      <c r="HY34" s="50"/>
      <c r="HZ34" s="50"/>
      <c r="IA34" s="50"/>
      <c r="IB34" s="50"/>
      <c r="IC34" s="50"/>
      <c r="ID34" s="50"/>
      <c r="IE34" s="50"/>
      <c r="IF34" s="50"/>
      <c r="IG34" s="50"/>
      <c r="IH34" s="50"/>
    </row>
    <row r="35" spans="1:242" ht="26.25" hidden="1" x14ac:dyDescent="0.4">
      <c r="A35" s="60">
        <v>17</v>
      </c>
      <c r="B35" s="89"/>
      <c r="C35" s="89"/>
      <c r="D35" s="89"/>
      <c r="E35" s="50"/>
      <c r="F35" s="50"/>
      <c r="G35" s="50"/>
      <c r="H35" s="160"/>
      <c r="I35" s="160"/>
      <c r="J35" s="160"/>
      <c r="K35" s="160"/>
      <c r="L35" s="16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  <c r="AH35" s="50"/>
      <c r="AI35" s="50"/>
      <c r="AJ35" s="50"/>
      <c r="AK35" s="50"/>
      <c r="AL35" s="50"/>
      <c r="AM35" s="50"/>
      <c r="AN35" s="50"/>
      <c r="AO35" s="50"/>
      <c r="AP35" s="50"/>
      <c r="AQ35" s="50"/>
      <c r="AR35" s="50"/>
      <c r="AS35" s="50"/>
      <c r="AT35" s="50"/>
      <c r="AU35" s="50"/>
      <c r="AV35" s="50"/>
      <c r="AW35" s="50"/>
      <c r="AX35" s="50"/>
      <c r="AY35" s="50"/>
      <c r="AZ35" s="50"/>
      <c r="BA35" s="50"/>
      <c r="BB35" s="50"/>
      <c r="BC35" s="50"/>
      <c r="BD35" s="50"/>
      <c r="BE35" s="50"/>
      <c r="BF35" s="50"/>
      <c r="BG35" s="50"/>
      <c r="BH35" s="50"/>
      <c r="BI35" s="50"/>
      <c r="BJ35" s="50"/>
      <c r="BK35" s="50"/>
      <c r="BL35" s="50"/>
      <c r="BM35" s="50"/>
      <c r="BN35" s="50"/>
      <c r="BO35" s="50"/>
      <c r="BP35" s="50"/>
      <c r="BQ35" s="50"/>
      <c r="BR35" s="50"/>
      <c r="BS35" s="50"/>
      <c r="BT35" s="50"/>
      <c r="BU35" s="50"/>
      <c r="BV35" s="50"/>
      <c r="BW35" s="50"/>
      <c r="BX35" s="50"/>
      <c r="BY35" s="50"/>
      <c r="BZ35" s="50"/>
      <c r="CA35" s="50"/>
      <c r="CB35" s="50"/>
      <c r="CC35" s="50"/>
      <c r="CD35" s="50"/>
      <c r="CE35" s="50"/>
      <c r="CF35" s="50"/>
      <c r="CG35" s="50"/>
      <c r="CH35" s="50"/>
      <c r="CI35" s="50"/>
      <c r="CJ35" s="50"/>
      <c r="CK35" s="50"/>
      <c r="CL35" s="50"/>
      <c r="CM35" s="50"/>
      <c r="CN35" s="50"/>
      <c r="CO35" s="50"/>
      <c r="CP35" s="50"/>
      <c r="CQ35" s="50"/>
      <c r="CR35" s="50"/>
      <c r="CS35" s="50"/>
      <c r="CT35" s="50"/>
      <c r="CU35" s="50"/>
      <c r="CV35" s="50"/>
      <c r="CW35" s="50"/>
      <c r="CX35" s="50"/>
      <c r="CY35" s="50"/>
      <c r="CZ35" s="50"/>
      <c r="DA35" s="50"/>
      <c r="DB35" s="50"/>
      <c r="DC35" s="50"/>
      <c r="DD35" s="50"/>
      <c r="DE35" s="50"/>
      <c r="DF35" s="50"/>
      <c r="DG35" s="50"/>
      <c r="DH35" s="50"/>
      <c r="DI35" s="50"/>
      <c r="DJ35" s="50"/>
      <c r="DK35" s="50"/>
      <c r="DL35" s="50"/>
      <c r="DM35" s="50"/>
      <c r="DN35" s="50"/>
      <c r="DO35" s="50"/>
      <c r="DP35" s="50"/>
      <c r="DQ35" s="50"/>
      <c r="DR35" s="50"/>
      <c r="DS35" s="50"/>
      <c r="DT35" s="50"/>
      <c r="DU35" s="50"/>
      <c r="DV35" s="50"/>
      <c r="DW35" s="50"/>
      <c r="DX35" s="50"/>
      <c r="DY35" s="50"/>
      <c r="DZ35" s="50"/>
      <c r="EA35" s="50"/>
      <c r="EB35" s="50"/>
      <c r="EC35" s="50"/>
      <c r="ED35" s="50"/>
      <c r="EE35" s="50"/>
      <c r="EF35" s="50"/>
      <c r="EG35" s="50"/>
      <c r="EH35" s="50"/>
      <c r="EI35" s="50"/>
      <c r="EJ35" s="50"/>
      <c r="EK35" s="50"/>
      <c r="EL35" s="50"/>
      <c r="EM35" s="50"/>
      <c r="EN35" s="50"/>
      <c r="EO35" s="50"/>
      <c r="EP35" s="50"/>
      <c r="EQ35" s="50"/>
      <c r="ER35" s="50"/>
      <c r="ES35" s="50"/>
      <c r="ET35" s="50"/>
      <c r="EU35" s="50"/>
      <c r="EV35" s="50"/>
      <c r="EW35" s="50"/>
      <c r="EX35" s="50"/>
      <c r="EY35" s="50"/>
      <c r="EZ35" s="50"/>
      <c r="FA35" s="50"/>
      <c r="FB35" s="50"/>
      <c r="FC35" s="50"/>
      <c r="FD35" s="50"/>
      <c r="FE35" s="50"/>
      <c r="FF35" s="50"/>
      <c r="FG35" s="50"/>
      <c r="FH35" s="50"/>
      <c r="FI35" s="50"/>
      <c r="FJ35" s="50"/>
      <c r="FK35" s="50"/>
      <c r="FL35" s="50"/>
      <c r="FM35" s="50"/>
      <c r="FN35" s="50"/>
      <c r="FO35" s="50"/>
      <c r="FP35" s="50"/>
      <c r="FQ35" s="50"/>
      <c r="FR35" s="50"/>
      <c r="FS35" s="50"/>
      <c r="FT35" s="50"/>
      <c r="FU35" s="50"/>
      <c r="FV35" s="50"/>
      <c r="FW35" s="50"/>
      <c r="FX35" s="50"/>
      <c r="FY35" s="50"/>
      <c r="FZ35" s="50"/>
      <c r="GA35" s="50"/>
      <c r="GB35" s="50"/>
      <c r="GC35" s="50"/>
      <c r="GD35" s="50"/>
      <c r="GE35" s="50"/>
      <c r="GF35" s="50"/>
      <c r="GG35" s="50"/>
      <c r="GH35" s="50"/>
      <c r="GI35" s="50"/>
      <c r="GJ35" s="50"/>
      <c r="GK35" s="50"/>
      <c r="GL35" s="50"/>
      <c r="GM35" s="50"/>
      <c r="GN35" s="50"/>
      <c r="GO35" s="50"/>
      <c r="GP35" s="50"/>
      <c r="GQ35" s="50"/>
      <c r="GR35" s="50"/>
      <c r="GS35" s="50"/>
      <c r="GT35" s="50"/>
      <c r="GU35" s="50"/>
      <c r="GV35" s="50"/>
      <c r="GW35" s="50"/>
      <c r="GX35" s="50"/>
      <c r="GY35" s="50"/>
      <c r="GZ35" s="50"/>
      <c r="HA35" s="50"/>
      <c r="HB35" s="50"/>
      <c r="HC35" s="50"/>
      <c r="HD35" s="50"/>
      <c r="HE35" s="50"/>
      <c r="HF35" s="50"/>
      <c r="HG35" s="50"/>
      <c r="HH35" s="50"/>
      <c r="HI35" s="50"/>
      <c r="HJ35" s="50"/>
      <c r="HK35" s="50"/>
      <c r="HL35" s="50"/>
      <c r="HM35" s="50"/>
      <c r="HN35" s="50"/>
      <c r="HO35" s="50"/>
      <c r="HP35" s="50"/>
      <c r="HQ35" s="50"/>
      <c r="HR35" s="50"/>
      <c r="HS35" s="50"/>
      <c r="HT35" s="50"/>
      <c r="HU35" s="50"/>
      <c r="HV35" s="50"/>
      <c r="HW35" s="50"/>
      <c r="HX35" s="50"/>
      <c r="HY35" s="50"/>
      <c r="HZ35" s="50"/>
      <c r="IA35" s="50"/>
      <c r="IB35" s="50"/>
      <c r="IC35" s="50"/>
      <c r="ID35" s="50"/>
      <c r="IE35" s="50"/>
      <c r="IF35" s="50"/>
      <c r="IG35" s="50"/>
      <c r="IH35" s="50"/>
    </row>
    <row r="36" spans="1:242" ht="26.25" hidden="1" x14ac:dyDescent="0.4">
      <c r="A36" s="60">
        <v>18</v>
      </c>
      <c r="B36" s="89"/>
      <c r="C36" s="89"/>
      <c r="D36" s="89"/>
      <c r="E36" s="50"/>
      <c r="F36" s="50"/>
      <c r="G36" s="50"/>
      <c r="H36" s="160"/>
      <c r="I36" s="160"/>
      <c r="J36" s="160"/>
      <c r="K36" s="160"/>
      <c r="L36" s="16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  <c r="AH36" s="50"/>
      <c r="AI36" s="50"/>
      <c r="AJ36" s="50"/>
      <c r="AK36" s="50"/>
      <c r="AL36" s="50"/>
      <c r="AM36" s="50"/>
      <c r="AN36" s="50"/>
      <c r="AO36" s="50"/>
      <c r="AP36" s="50"/>
      <c r="AQ36" s="50"/>
      <c r="AR36" s="50"/>
      <c r="AS36" s="50"/>
      <c r="AT36" s="50"/>
      <c r="AU36" s="50"/>
      <c r="AV36" s="50"/>
      <c r="AW36" s="50"/>
      <c r="AX36" s="50"/>
      <c r="AY36" s="50"/>
      <c r="AZ36" s="50"/>
      <c r="BA36" s="50"/>
      <c r="BB36" s="50"/>
      <c r="BC36" s="50"/>
      <c r="BD36" s="50"/>
      <c r="BE36" s="50"/>
      <c r="BF36" s="50"/>
      <c r="BG36" s="50"/>
      <c r="BH36" s="50"/>
      <c r="BI36" s="50"/>
      <c r="BJ36" s="50"/>
      <c r="BK36" s="50"/>
      <c r="BL36" s="50"/>
      <c r="BM36" s="50"/>
      <c r="BN36" s="50"/>
      <c r="BO36" s="50"/>
      <c r="BP36" s="50"/>
      <c r="BQ36" s="50"/>
      <c r="BR36" s="50"/>
      <c r="BS36" s="50"/>
      <c r="BT36" s="50"/>
      <c r="BU36" s="50"/>
      <c r="BV36" s="50"/>
      <c r="BW36" s="50"/>
      <c r="BX36" s="50"/>
      <c r="BY36" s="50"/>
      <c r="BZ36" s="50"/>
      <c r="CA36" s="50"/>
      <c r="CB36" s="50"/>
      <c r="CC36" s="50"/>
      <c r="CD36" s="50"/>
      <c r="CE36" s="50"/>
      <c r="CF36" s="50"/>
      <c r="CG36" s="50"/>
      <c r="CH36" s="50"/>
      <c r="CI36" s="50"/>
      <c r="CJ36" s="50"/>
      <c r="CK36" s="50"/>
      <c r="CL36" s="50"/>
      <c r="CM36" s="50"/>
      <c r="CN36" s="50"/>
      <c r="CO36" s="50"/>
      <c r="CP36" s="50"/>
      <c r="CQ36" s="50"/>
      <c r="CR36" s="50"/>
      <c r="CS36" s="50"/>
      <c r="CT36" s="50"/>
      <c r="CU36" s="50"/>
      <c r="CV36" s="50"/>
      <c r="CW36" s="50"/>
      <c r="CX36" s="50"/>
      <c r="CY36" s="50"/>
      <c r="CZ36" s="50"/>
      <c r="DA36" s="50"/>
      <c r="DB36" s="50"/>
      <c r="DC36" s="50"/>
      <c r="DD36" s="50"/>
      <c r="DE36" s="50"/>
      <c r="DF36" s="50"/>
      <c r="DG36" s="50"/>
      <c r="DH36" s="50"/>
      <c r="DI36" s="50"/>
      <c r="DJ36" s="50"/>
      <c r="DK36" s="50"/>
      <c r="DL36" s="50"/>
      <c r="DM36" s="50"/>
      <c r="DN36" s="50"/>
      <c r="DO36" s="50"/>
      <c r="DP36" s="50"/>
      <c r="DQ36" s="50"/>
      <c r="DR36" s="50"/>
      <c r="DS36" s="50"/>
      <c r="DT36" s="50"/>
      <c r="DU36" s="50"/>
      <c r="DV36" s="50"/>
      <c r="DW36" s="50"/>
      <c r="DX36" s="50"/>
      <c r="DY36" s="50"/>
      <c r="DZ36" s="50"/>
      <c r="EA36" s="50"/>
      <c r="EB36" s="50"/>
      <c r="EC36" s="50"/>
      <c r="ED36" s="50"/>
      <c r="EE36" s="50"/>
      <c r="EF36" s="50"/>
      <c r="EG36" s="50"/>
      <c r="EH36" s="50"/>
      <c r="EI36" s="50"/>
      <c r="EJ36" s="50"/>
      <c r="EK36" s="50"/>
      <c r="EL36" s="50"/>
      <c r="EM36" s="50"/>
      <c r="EN36" s="50"/>
      <c r="EO36" s="50"/>
      <c r="EP36" s="50"/>
      <c r="EQ36" s="50"/>
      <c r="ER36" s="50"/>
      <c r="ES36" s="50"/>
      <c r="ET36" s="50"/>
      <c r="EU36" s="50"/>
      <c r="EV36" s="50"/>
      <c r="EW36" s="50"/>
      <c r="EX36" s="50"/>
      <c r="EY36" s="50"/>
      <c r="EZ36" s="50"/>
      <c r="FA36" s="50"/>
      <c r="FB36" s="50"/>
      <c r="FC36" s="50"/>
      <c r="FD36" s="50"/>
      <c r="FE36" s="50"/>
      <c r="FF36" s="50"/>
      <c r="FG36" s="50"/>
      <c r="FH36" s="50"/>
      <c r="FI36" s="50"/>
      <c r="FJ36" s="50"/>
      <c r="FK36" s="50"/>
      <c r="FL36" s="50"/>
      <c r="FM36" s="50"/>
      <c r="FN36" s="50"/>
      <c r="FO36" s="50"/>
      <c r="FP36" s="50"/>
      <c r="FQ36" s="50"/>
      <c r="FR36" s="50"/>
      <c r="FS36" s="50"/>
      <c r="FT36" s="50"/>
      <c r="FU36" s="50"/>
      <c r="FV36" s="50"/>
      <c r="FW36" s="50"/>
      <c r="FX36" s="50"/>
      <c r="FY36" s="50"/>
      <c r="FZ36" s="50"/>
      <c r="GA36" s="50"/>
      <c r="GB36" s="50"/>
      <c r="GC36" s="50"/>
      <c r="GD36" s="50"/>
      <c r="GE36" s="50"/>
      <c r="GF36" s="50"/>
      <c r="GG36" s="50"/>
      <c r="GH36" s="50"/>
      <c r="GI36" s="50"/>
      <c r="GJ36" s="50"/>
      <c r="GK36" s="50"/>
      <c r="GL36" s="50"/>
      <c r="GM36" s="50"/>
      <c r="GN36" s="50"/>
      <c r="GO36" s="50"/>
      <c r="GP36" s="50"/>
      <c r="GQ36" s="50"/>
      <c r="GR36" s="50"/>
      <c r="GS36" s="50"/>
      <c r="GT36" s="50"/>
      <c r="GU36" s="50"/>
      <c r="GV36" s="50"/>
      <c r="GW36" s="50"/>
      <c r="GX36" s="50"/>
      <c r="GY36" s="50"/>
      <c r="GZ36" s="50"/>
      <c r="HA36" s="50"/>
      <c r="HB36" s="50"/>
      <c r="HC36" s="50"/>
      <c r="HD36" s="50"/>
      <c r="HE36" s="50"/>
      <c r="HF36" s="50"/>
      <c r="HG36" s="50"/>
      <c r="HH36" s="50"/>
      <c r="HI36" s="50"/>
      <c r="HJ36" s="50"/>
      <c r="HK36" s="50"/>
      <c r="HL36" s="50"/>
      <c r="HM36" s="50"/>
      <c r="HN36" s="50"/>
      <c r="HO36" s="50"/>
      <c r="HP36" s="50"/>
      <c r="HQ36" s="50"/>
      <c r="HR36" s="50"/>
      <c r="HS36" s="50"/>
      <c r="HT36" s="50"/>
      <c r="HU36" s="50"/>
      <c r="HV36" s="50"/>
      <c r="HW36" s="50"/>
      <c r="HX36" s="50"/>
      <c r="HY36" s="50"/>
      <c r="HZ36" s="50"/>
      <c r="IA36" s="50"/>
      <c r="IB36" s="50"/>
      <c r="IC36" s="50"/>
      <c r="ID36" s="50"/>
      <c r="IE36" s="50"/>
      <c r="IF36" s="50"/>
      <c r="IG36" s="50"/>
      <c r="IH36" s="50"/>
    </row>
    <row r="37" spans="1:242" hidden="1" x14ac:dyDescent="0.25">
      <c r="A37" s="60">
        <v>19</v>
      </c>
      <c r="B37" s="89"/>
      <c r="C37" s="89"/>
      <c r="D37" s="89"/>
      <c r="E37" s="50" t="s">
        <v>51</v>
      </c>
      <c r="F37" s="50" t="s">
        <v>203</v>
      </c>
      <c r="G37" s="50" t="s">
        <v>204</v>
      </c>
      <c r="H37" s="50" t="s">
        <v>205</v>
      </c>
      <c r="I37" s="50" t="s">
        <v>206</v>
      </c>
      <c r="J37" s="50" t="s">
        <v>207</v>
      </c>
      <c r="K37" s="50" t="s">
        <v>19</v>
      </c>
      <c r="L37" s="50" t="s">
        <v>208</v>
      </c>
      <c r="M37" s="50" t="s">
        <v>20</v>
      </c>
      <c r="N37" s="50" t="s">
        <v>209</v>
      </c>
      <c r="O37" s="50" t="s">
        <v>210</v>
      </c>
      <c r="P37" s="50" t="s">
        <v>211</v>
      </c>
      <c r="Q37" s="50" t="s">
        <v>212</v>
      </c>
      <c r="R37" s="50" t="s">
        <v>213</v>
      </c>
      <c r="S37" s="50" t="s">
        <v>21</v>
      </c>
      <c r="T37" s="50" t="s">
        <v>214</v>
      </c>
      <c r="U37" s="50" t="s">
        <v>215</v>
      </c>
      <c r="V37" s="50" t="s">
        <v>216</v>
      </c>
      <c r="W37" s="50" t="s">
        <v>217</v>
      </c>
      <c r="X37" s="50" t="s">
        <v>218</v>
      </c>
      <c r="Y37" s="50" t="s">
        <v>219</v>
      </c>
      <c r="Z37" s="50" t="s">
        <v>220</v>
      </c>
      <c r="AA37" s="50" t="s">
        <v>221</v>
      </c>
      <c r="AB37" s="50" t="s">
        <v>222</v>
      </c>
      <c r="AC37" s="50" t="s">
        <v>223</v>
      </c>
      <c r="AD37" s="50" t="s">
        <v>224</v>
      </c>
      <c r="AE37" s="50" t="s">
        <v>225</v>
      </c>
      <c r="AF37" s="50" t="s">
        <v>226</v>
      </c>
      <c r="AG37" s="50" t="s">
        <v>227</v>
      </c>
      <c r="AH37" s="50" t="s">
        <v>228</v>
      </c>
      <c r="AI37" s="50" t="s">
        <v>229</v>
      </c>
      <c r="AJ37" s="50" t="s">
        <v>230</v>
      </c>
      <c r="AK37" s="50" t="s">
        <v>231</v>
      </c>
      <c r="AL37" s="50" t="s">
        <v>232</v>
      </c>
      <c r="AM37" s="50" t="s">
        <v>233</v>
      </c>
      <c r="AN37" s="50" t="s">
        <v>234</v>
      </c>
      <c r="AO37" s="50" t="s">
        <v>235</v>
      </c>
      <c r="AP37" s="50" t="s">
        <v>236</v>
      </c>
      <c r="AQ37" s="50" t="s">
        <v>237</v>
      </c>
      <c r="AR37" s="50" t="s">
        <v>238</v>
      </c>
      <c r="AS37" s="50" t="s">
        <v>239</v>
      </c>
      <c r="AT37" s="50" t="s">
        <v>240</v>
      </c>
      <c r="AU37" s="50" t="s">
        <v>241</v>
      </c>
      <c r="AV37" s="50" t="s">
        <v>242</v>
      </c>
      <c r="AW37" s="50" t="s">
        <v>243</v>
      </c>
      <c r="AX37" s="50" t="s">
        <v>244</v>
      </c>
      <c r="AY37" s="50" t="s">
        <v>245</v>
      </c>
      <c r="AZ37" s="50" t="s">
        <v>246</v>
      </c>
      <c r="BA37" s="50" t="s">
        <v>247</v>
      </c>
      <c r="BB37" s="50" t="s">
        <v>248</v>
      </c>
      <c r="BC37" s="50" t="s">
        <v>249</v>
      </c>
      <c r="BD37" s="50" t="s">
        <v>250</v>
      </c>
      <c r="BE37" s="50" t="s">
        <v>251</v>
      </c>
      <c r="BF37" s="50" t="s">
        <v>252</v>
      </c>
      <c r="BG37" s="50" t="s">
        <v>253</v>
      </c>
      <c r="BH37" s="50" t="s">
        <v>254</v>
      </c>
      <c r="BI37" s="50" t="s">
        <v>255</v>
      </c>
      <c r="BJ37" s="50" t="s">
        <v>256</v>
      </c>
      <c r="BK37" s="50" t="s">
        <v>257</v>
      </c>
      <c r="BL37" s="50" t="s">
        <v>258</v>
      </c>
      <c r="BM37" s="50" t="s">
        <v>259</v>
      </c>
      <c r="BN37" s="50" t="s">
        <v>260</v>
      </c>
      <c r="BO37" s="50" t="s">
        <v>261</v>
      </c>
      <c r="BP37" s="50" t="s">
        <v>262</v>
      </c>
      <c r="BQ37" s="50" t="s">
        <v>263</v>
      </c>
      <c r="BR37" s="50" t="s">
        <v>264</v>
      </c>
      <c r="BS37" s="50" t="s">
        <v>265</v>
      </c>
      <c r="BT37" s="50" t="s">
        <v>266</v>
      </c>
      <c r="BU37" s="50" t="s">
        <v>267</v>
      </c>
      <c r="BV37" s="50" t="s">
        <v>268</v>
      </c>
      <c r="BW37" s="50" t="s">
        <v>269</v>
      </c>
      <c r="BX37" s="50" t="s">
        <v>270</v>
      </c>
      <c r="BY37" s="50" t="s">
        <v>271</v>
      </c>
      <c r="BZ37" s="50" t="s">
        <v>272</v>
      </c>
      <c r="CA37" s="50" t="s">
        <v>273</v>
      </c>
      <c r="CB37" s="50" t="s">
        <v>274</v>
      </c>
      <c r="CC37" s="50" t="s">
        <v>275</v>
      </c>
      <c r="CD37" s="50" t="s">
        <v>276</v>
      </c>
      <c r="CE37" s="50" t="s">
        <v>277</v>
      </c>
      <c r="CF37" s="50" t="s">
        <v>278</v>
      </c>
      <c r="CG37" s="50" t="s">
        <v>279</v>
      </c>
      <c r="CH37" s="50" t="s">
        <v>280</v>
      </c>
      <c r="CI37" s="50" t="s">
        <v>281</v>
      </c>
      <c r="CJ37" s="50" t="s">
        <v>282</v>
      </c>
      <c r="CK37" s="50" t="s">
        <v>283</v>
      </c>
      <c r="CL37" s="50" t="s">
        <v>284</v>
      </c>
      <c r="CM37" s="50" t="s">
        <v>285</v>
      </c>
      <c r="CN37" s="50" t="s">
        <v>286</v>
      </c>
      <c r="CO37" s="50" t="s">
        <v>287</v>
      </c>
      <c r="CP37" s="50" t="s">
        <v>288</v>
      </c>
      <c r="CQ37" s="50" t="s">
        <v>289</v>
      </c>
      <c r="CR37" s="50" t="s">
        <v>290</v>
      </c>
      <c r="CS37" s="50" t="s">
        <v>291</v>
      </c>
      <c r="CT37" s="50" t="s">
        <v>292</v>
      </c>
      <c r="CU37" s="50" t="s">
        <v>293</v>
      </c>
      <c r="CV37" s="50" t="s">
        <v>294</v>
      </c>
      <c r="CW37" s="50" t="s">
        <v>295</v>
      </c>
      <c r="CX37" s="50" t="s">
        <v>296</v>
      </c>
      <c r="CY37" s="50" t="s">
        <v>297</v>
      </c>
      <c r="CZ37" s="50" t="s">
        <v>298</v>
      </c>
      <c r="DA37" s="50" t="s">
        <v>299</v>
      </c>
      <c r="DB37" s="50" t="s">
        <v>300</v>
      </c>
      <c r="DC37" s="50" t="s">
        <v>301</v>
      </c>
      <c r="DD37" s="50" t="s">
        <v>302</v>
      </c>
      <c r="DE37" s="50" t="s">
        <v>303</v>
      </c>
      <c r="DF37" s="50" t="s">
        <v>304</v>
      </c>
      <c r="DG37" s="50" t="s">
        <v>305</v>
      </c>
      <c r="DH37" s="50" t="s">
        <v>306</v>
      </c>
      <c r="DI37" s="50" t="s">
        <v>307</v>
      </c>
      <c r="DJ37" s="50" t="s">
        <v>308</v>
      </c>
      <c r="DK37" s="50" t="s">
        <v>309</v>
      </c>
      <c r="DL37" s="50" t="s">
        <v>310</v>
      </c>
      <c r="DM37" s="50" t="s">
        <v>311</v>
      </c>
      <c r="DN37" s="50" t="s">
        <v>312</v>
      </c>
      <c r="DO37" s="50" t="s">
        <v>313</v>
      </c>
      <c r="DP37" s="50" t="s">
        <v>314</v>
      </c>
      <c r="DQ37" s="50" t="s">
        <v>315</v>
      </c>
      <c r="DR37" s="50" t="s">
        <v>316</v>
      </c>
      <c r="DS37" s="50" t="s">
        <v>317</v>
      </c>
      <c r="DT37" s="50" t="s">
        <v>318</v>
      </c>
      <c r="DU37" s="50" t="s">
        <v>319</v>
      </c>
      <c r="DV37" s="50" t="s">
        <v>320</v>
      </c>
      <c r="DW37" s="50" t="s">
        <v>321</v>
      </c>
      <c r="DX37" s="50" t="s">
        <v>322</v>
      </c>
      <c r="DY37" s="50" t="s">
        <v>323</v>
      </c>
      <c r="DZ37" s="50" t="s">
        <v>324</v>
      </c>
      <c r="EA37" s="50" t="s">
        <v>325</v>
      </c>
      <c r="EB37" s="50" t="s">
        <v>326</v>
      </c>
      <c r="EC37" s="50" t="s">
        <v>327</v>
      </c>
      <c r="ED37" s="50" t="s">
        <v>328</v>
      </c>
      <c r="EE37" s="50" t="s">
        <v>329</v>
      </c>
      <c r="EF37" s="50" t="s">
        <v>330</v>
      </c>
      <c r="EG37" s="50" t="s">
        <v>331</v>
      </c>
      <c r="EH37" s="50" t="s">
        <v>332</v>
      </c>
      <c r="EI37" s="50" t="s">
        <v>333</v>
      </c>
      <c r="EJ37" s="50" t="s">
        <v>334</v>
      </c>
      <c r="EK37" s="50" t="s">
        <v>335</v>
      </c>
      <c r="EL37" s="50" t="s">
        <v>336</v>
      </c>
      <c r="EM37" s="50" t="s">
        <v>337</v>
      </c>
      <c r="EN37" s="50" t="s">
        <v>338</v>
      </c>
      <c r="EO37" s="50" t="s">
        <v>339</v>
      </c>
      <c r="EP37" s="50" t="s">
        <v>340</v>
      </c>
      <c r="EQ37" s="50" t="s">
        <v>341</v>
      </c>
      <c r="ER37" s="50" t="s">
        <v>342</v>
      </c>
      <c r="ES37" s="50" t="s">
        <v>343</v>
      </c>
      <c r="ET37" s="50" t="s">
        <v>344</v>
      </c>
      <c r="EU37" s="50" t="s">
        <v>345</v>
      </c>
      <c r="EV37" s="50" t="s">
        <v>346</v>
      </c>
      <c r="EW37" s="50" t="s">
        <v>347</v>
      </c>
      <c r="EX37" s="50" t="s">
        <v>348</v>
      </c>
      <c r="EY37" s="50" t="s">
        <v>349</v>
      </c>
      <c r="EZ37" s="50" t="s">
        <v>350</v>
      </c>
      <c r="FA37" s="50" t="s">
        <v>351</v>
      </c>
      <c r="FB37" s="50" t="s">
        <v>352</v>
      </c>
      <c r="FC37" s="50" t="s">
        <v>353</v>
      </c>
      <c r="FD37" s="50" t="s">
        <v>354</v>
      </c>
      <c r="FE37" s="50" t="s">
        <v>355</v>
      </c>
      <c r="FF37" s="50" t="s">
        <v>356</v>
      </c>
      <c r="FG37" s="50" t="s">
        <v>357</v>
      </c>
      <c r="FH37" s="50" t="s">
        <v>358</v>
      </c>
      <c r="FI37" s="50" t="s">
        <v>359</v>
      </c>
      <c r="FJ37" s="50" t="s">
        <v>360</v>
      </c>
      <c r="FK37" s="50" t="s">
        <v>361</v>
      </c>
      <c r="FL37" s="50" t="s">
        <v>362</v>
      </c>
      <c r="FM37" s="50" t="s">
        <v>363</v>
      </c>
      <c r="FN37" s="50" t="s">
        <v>364</v>
      </c>
      <c r="FO37" s="50" t="s">
        <v>365</v>
      </c>
      <c r="FP37" s="50" t="s">
        <v>366</v>
      </c>
      <c r="FQ37" s="50" t="s">
        <v>367</v>
      </c>
      <c r="FR37" s="50" t="s">
        <v>368</v>
      </c>
      <c r="FS37" s="50" t="s">
        <v>369</v>
      </c>
      <c r="FT37" s="50" t="s">
        <v>370</v>
      </c>
      <c r="FU37" s="50" t="s">
        <v>371</v>
      </c>
      <c r="FV37" s="50" t="s">
        <v>372</v>
      </c>
      <c r="FW37" s="50" t="s">
        <v>373</v>
      </c>
      <c r="FX37" s="50" t="s">
        <v>374</v>
      </c>
      <c r="FY37" s="50" t="s">
        <v>375</v>
      </c>
      <c r="FZ37" s="50" t="s">
        <v>376</v>
      </c>
      <c r="GA37" s="50" t="s">
        <v>377</v>
      </c>
      <c r="GB37" s="50" t="s">
        <v>378</v>
      </c>
      <c r="GC37" s="50" t="s">
        <v>379</v>
      </c>
      <c r="GD37" s="50" t="s">
        <v>380</v>
      </c>
      <c r="GE37" s="50" t="s">
        <v>381</v>
      </c>
      <c r="GF37" s="50" t="s">
        <v>382</v>
      </c>
      <c r="GG37" s="50" t="s">
        <v>383</v>
      </c>
      <c r="GH37" s="50" t="s">
        <v>384</v>
      </c>
      <c r="GI37" s="50" t="s">
        <v>385</v>
      </c>
      <c r="GJ37" s="50" t="s">
        <v>386</v>
      </c>
      <c r="GK37" s="50" t="s">
        <v>387</v>
      </c>
      <c r="GL37" s="50" t="s">
        <v>388</v>
      </c>
      <c r="GM37" s="50" t="s">
        <v>389</v>
      </c>
      <c r="GN37" s="50" t="s">
        <v>390</v>
      </c>
      <c r="GO37" s="50" t="s">
        <v>391</v>
      </c>
      <c r="GP37" s="50" t="s">
        <v>392</v>
      </c>
      <c r="GQ37" s="50" t="s">
        <v>393</v>
      </c>
      <c r="GR37" s="50" t="s">
        <v>394</v>
      </c>
      <c r="GS37" s="50" t="s">
        <v>395</v>
      </c>
      <c r="GT37" s="50" t="s">
        <v>396</v>
      </c>
      <c r="GU37" s="50" t="s">
        <v>397</v>
      </c>
      <c r="GV37" s="50" t="s">
        <v>398</v>
      </c>
      <c r="GW37" s="50" t="s">
        <v>399</v>
      </c>
      <c r="GX37" s="50" t="s">
        <v>400</v>
      </c>
      <c r="GY37" s="50" t="s">
        <v>401</v>
      </c>
      <c r="GZ37" s="50" t="s">
        <v>402</v>
      </c>
      <c r="HA37" s="50" t="s">
        <v>403</v>
      </c>
      <c r="HB37" s="50" t="s">
        <v>404</v>
      </c>
      <c r="HC37" s="50" t="s">
        <v>405</v>
      </c>
      <c r="HD37" s="50" t="s">
        <v>406</v>
      </c>
      <c r="HE37" s="50" t="s">
        <v>407</v>
      </c>
      <c r="HF37" s="50" t="s">
        <v>408</v>
      </c>
      <c r="HG37" s="50" t="s">
        <v>409</v>
      </c>
      <c r="HH37" s="50" t="s">
        <v>410</v>
      </c>
      <c r="HI37" s="50" t="s">
        <v>411</v>
      </c>
      <c r="HJ37" s="50" t="s">
        <v>412</v>
      </c>
      <c r="HK37" s="50" t="s">
        <v>413</v>
      </c>
      <c r="HL37" s="50" t="s">
        <v>414</v>
      </c>
      <c r="HM37" s="50" t="s">
        <v>415</v>
      </c>
      <c r="HN37" s="50" t="s">
        <v>416</v>
      </c>
      <c r="HO37" s="50" t="s">
        <v>417</v>
      </c>
      <c r="HP37" s="50" t="s">
        <v>418</v>
      </c>
      <c r="HQ37" s="50" t="s">
        <v>419</v>
      </c>
      <c r="HR37" s="50" t="s">
        <v>420</v>
      </c>
      <c r="HS37" s="50" t="s">
        <v>421</v>
      </c>
      <c r="HT37" s="50" t="s">
        <v>422</v>
      </c>
      <c r="HU37" s="50" t="s">
        <v>423</v>
      </c>
      <c r="HV37" s="50" t="s">
        <v>424</v>
      </c>
      <c r="HW37" s="50" t="s">
        <v>425</v>
      </c>
      <c r="HX37" s="50" t="s">
        <v>426</v>
      </c>
      <c r="HY37" s="50" t="s">
        <v>427</v>
      </c>
      <c r="HZ37" s="50" t="s">
        <v>428</v>
      </c>
      <c r="IA37" s="50" t="s">
        <v>429</v>
      </c>
      <c r="IB37" s="50" t="s">
        <v>430</v>
      </c>
      <c r="IC37" s="50" t="s">
        <v>431</v>
      </c>
      <c r="ID37" s="50" t="s">
        <v>432</v>
      </c>
      <c r="IE37" s="50" t="s">
        <v>433</v>
      </c>
      <c r="IF37" s="50" t="s">
        <v>434</v>
      </c>
      <c r="IG37" s="50" t="s">
        <v>435</v>
      </c>
      <c r="IH37" s="50" t="s">
        <v>436</v>
      </c>
    </row>
    <row r="38" spans="1:242" hidden="1" x14ac:dyDescent="0.25">
      <c r="A38" s="60">
        <v>20</v>
      </c>
      <c r="B38" s="89"/>
      <c r="C38" s="89"/>
      <c r="D38" s="89"/>
      <c r="E38" s="50" t="str">
        <f t="shared" ref="E38:BP38" si="26">IF(E18="","",$F$39/E18*E17)</f>
        <v/>
      </c>
      <c r="F38" s="50" t="str">
        <f t="shared" si="26"/>
        <v/>
      </c>
      <c r="G38" s="50" t="str">
        <f t="shared" si="26"/>
        <v/>
      </c>
      <c r="H38" s="50" t="str">
        <f t="shared" si="26"/>
        <v/>
      </c>
      <c r="I38" s="50" t="str">
        <f t="shared" si="26"/>
        <v/>
      </c>
      <c r="J38" s="50" t="str">
        <f t="shared" si="26"/>
        <v/>
      </c>
      <c r="K38" s="50" t="str">
        <f t="shared" si="26"/>
        <v/>
      </c>
      <c r="L38" s="50" t="str">
        <f t="shared" si="26"/>
        <v/>
      </c>
      <c r="M38" s="50" t="str">
        <f t="shared" si="26"/>
        <v/>
      </c>
      <c r="N38" s="50" t="str">
        <f t="shared" si="26"/>
        <v/>
      </c>
      <c r="O38" s="50" t="str">
        <f t="shared" si="26"/>
        <v/>
      </c>
      <c r="P38" s="50" t="str">
        <f t="shared" si="26"/>
        <v/>
      </c>
      <c r="Q38" s="50" t="str">
        <f t="shared" si="26"/>
        <v/>
      </c>
      <c r="R38" s="50" t="str">
        <f t="shared" si="26"/>
        <v/>
      </c>
      <c r="S38" s="50" t="str">
        <f t="shared" si="26"/>
        <v/>
      </c>
      <c r="T38" s="50" t="str">
        <f t="shared" si="26"/>
        <v/>
      </c>
      <c r="U38" s="50" t="str">
        <f t="shared" si="26"/>
        <v/>
      </c>
      <c r="V38" s="50" t="str">
        <f t="shared" si="26"/>
        <v/>
      </c>
      <c r="W38" s="50" t="str">
        <f t="shared" si="26"/>
        <v/>
      </c>
      <c r="X38" s="50" t="str">
        <f t="shared" si="26"/>
        <v/>
      </c>
      <c r="Y38" s="50" t="str">
        <f t="shared" si="26"/>
        <v/>
      </c>
      <c r="Z38" s="50" t="str">
        <f t="shared" si="26"/>
        <v/>
      </c>
      <c r="AA38" s="50" t="str">
        <f t="shared" si="26"/>
        <v/>
      </c>
      <c r="AB38" s="50" t="str">
        <f t="shared" si="26"/>
        <v/>
      </c>
      <c r="AC38" s="50" t="str">
        <f t="shared" si="26"/>
        <v/>
      </c>
      <c r="AD38" s="50" t="str">
        <f t="shared" si="26"/>
        <v/>
      </c>
      <c r="AE38" s="50" t="str">
        <f t="shared" si="26"/>
        <v/>
      </c>
      <c r="AF38" s="50" t="str">
        <f t="shared" si="26"/>
        <v/>
      </c>
      <c r="AG38" s="50" t="str">
        <f t="shared" si="26"/>
        <v/>
      </c>
      <c r="AH38" s="50" t="str">
        <f t="shared" si="26"/>
        <v/>
      </c>
      <c r="AI38" s="50" t="str">
        <f t="shared" si="26"/>
        <v/>
      </c>
      <c r="AJ38" s="50" t="str">
        <f t="shared" si="26"/>
        <v/>
      </c>
      <c r="AK38" s="50" t="str">
        <f t="shared" si="26"/>
        <v/>
      </c>
      <c r="AL38" s="50" t="str">
        <f t="shared" si="26"/>
        <v/>
      </c>
      <c r="AM38" s="50" t="str">
        <f t="shared" si="26"/>
        <v/>
      </c>
      <c r="AN38" s="50" t="str">
        <f t="shared" si="26"/>
        <v/>
      </c>
      <c r="AO38" s="50" t="str">
        <f t="shared" si="26"/>
        <v/>
      </c>
      <c r="AP38" s="50" t="str">
        <f t="shared" si="26"/>
        <v/>
      </c>
      <c r="AQ38" s="50" t="str">
        <f t="shared" si="26"/>
        <v/>
      </c>
      <c r="AR38" s="50" t="str">
        <f t="shared" si="26"/>
        <v/>
      </c>
      <c r="AS38" s="50" t="str">
        <f t="shared" si="26"/>
        <v/>
      </c>
      <c r="AT38" s="50" t="str">
        <f t="shared" si="26"/>
        <v/>
      </c>
      <c r="AU38" s="50" t="str">
        <f t="shared" si="26"/>
        <v/>
      </c>
      <c r="AV38" s="50" t="str">
        <f t="shared" si="26"/>
        <v/>
      </c>
      <c r="AW38" s="50" t="str">
        <f t="shared" si="26"/>
        <v/>
      </c>
      <c r="AX38" s="50" t="str">
        <f t="shared" si="26"/>
        <v/>
      </c>
      <c r="AY38" s="50" t="str">
        <f t="shared" si="26"/>
        <v/>
      </c>
      <c r="AZ38" s="50" t="str">
        <f t="shared" si="26"/>
        <v/>
      </c>
      <c r="BA38" s="50" t="str">
        <f t="shared" si="26"/>
        <v/>
      </c>
      <c r="BB38" s="50" t="str">
        <f t="shared" si="26"/>
        <v/>
      </c>
      <c r="BC38" s="50" t="str">
        <f t="shared" si="26"/>
        <v/>
      </c>
      <c r="BD38" s="50" t="str">
        <f t="shared" si="26"/>
        <v/>
      </c>
      <c r="BE38" s="50" t="str">
        <f t="shared" si="26"/>
        <v/>
      </c>
      <c r="BF38" s="50" t="str">
        <f t="shared" si="26"/>
        <v/>
      </c>
      <c r="BG38" s="50" t="str">
        <f t="shared" si="26"/>
        <v/>
      </c>
      <c r="BH38" s="50" t="str">
        <f t="shared" si="26"/>
        <v/>
      </c>
      <c r="BI38" s="50" t="str">
        <f t="shared" si="26"/>
        <v/>
      </c>
      <c r="BJ38" s="50" t="str">
        <f t="shared" si="26"/>
        <v/>
      </c>
      <c r="BK38" s="50" t="str">
        <f t="shared" si="26"/>
        <v/>
      </c>
      <c r="BL38" s="50" t="str">
        <f t="shared" si="26"/>
        <v/>
      </c>
      <c r="BM38" s="50" t="str">
        <f t="shared" si="26"/>
        <v/>
      </c>
      <c r="BN38" s="50" t="str">
        <f t="shared" si="26"/>
        <v/>
      </c>
      <c r="BO38" s="50" t="str">
        <f t="shared" si="26"/>
        <v/>
      </c>
      <c r="BP38" s="50" t="str">
        <f t="shared" si="26"/>
        <v/>
      </c>
      <c r="BQ38" s="50" t="str">
        <f t="shared" ref="BQ38:EB38" si="27">IF(BQ18="","",$F$39/BQ18*BQ17)</f>
        <v/>
      </c>
      <c r="BR38" s="50" t="str">
        <f t="shared" si="27"/>
        <v/>
      </c>
      <c r="BS38" s="50" t="str">
        <f t="shared" si="27"/>
        <v/>
      </c>
      <c r="BT38" s="50" t="str">
        <f t="shared" si="27"/>
        <v/>
      </c>
      <c r="BU38" s="50" t="str">
        <f t="shared" si="27"/>
        <v/>
      </c>
      <c r="BV38" s="50" t="str">
        <f t="shared" si="27"/>
        <v/>
      </c>
      <c r="BW38" s="50" t="str">
        <f t="shared" si="27"/>
        <v/>
      </c>
      <c r="BX38" s="50" t="str">
        <f t="shared" si="27"/>
        <v/>
      </c>
      <c r="BY38" s="50" t="str">
        <f t="shared" si="27"/>
        <v/>
      </c>
      <c r="BZ38" s="50" t="str">
        <f t="shared" si="27"/>
        <v/>
      </c>
      <c r="CA38" s="50" t="str">
        <f t="shared" si="27"/>
        <v/>
      </c>
      <c r="CB38" s="50" t="str">
        <f t="shared" si="27"/>
        <v/>
      </c>
      <c r="CC38" s="50" t="str">
        <f t="shared" si="27"/>
        <v/>
      </c>
      <c r="CD38" s="50" t="str">
        <f t="shared" si="27"/>
        <v/>
      </c>
      <c r="CE38" s="50" t="str">
        <f t="shared" si="27"/>
        <v/>
      </c>
      <c r="CF38" s="50" t="str">
        <f t="shared" si="27"/>
        <v/>
      </c>
      <c r="CG38" s="50" t="str">
        <f t="shared" si="27"/>
        <v/>
      </c>
      <c r="CH38" s="50" t="str">
        <f t="shared" si="27"/>
        <v/>
      </c>
      <c r="CI38" s="50" t="str">
        <f t="shared" si="27"/>
        <v/>
      </c>
      <c r="CJ38" s="50" t="str">
        <f t="shared" si="27"/>
        <v/>
      </c>
      <c r="CK38" s="50" t="str">
        <f t="shared" si="27"/>
        <v/>
      </c>
      <c r="CL38" s="50" t="str">
        <f t="shared" si="27"/>
        <v/>
      </c>
      <c r="CM38" s="50" t="str">
        <f t="shared" si="27"/>
        <v/>
      </c>
      <c r="CN38" s="50" t="str">
        <f t="shared" si="27"/>
        <v/>
      </c>
      <c r="CO38" s="50" t="str">
        <f t="shared" si="27"/>
        <v/>
      </c>
      <c r="CP38" s="50" t="str">
        <f t="shared" si="27"/>
        <v/>
      </c>
      <c r="CQ38" s="50" t="str">
        <f t="shared" si="27"/>
        <v/>
      </c>
      <c r="CR38" s="50" t="str">
        <f t="shared" si="27"/>
        <v/>
      </c>
      <c r="CS38" s="50" t="str">
        <f t="shared" si="27"/>
        <v/>
      </c>
      <c r="CT38" s="50" t="str">
        <f t="shared" si="27"/>
        <v/>
      </c>
      <c r="CU38" s="50" t="str">
        <f t="shared" si="27"/>
        <v/>
      </c>
      <c r="CV38" s="50" t="str">
        <f t="shared" si="27"/>
        <v/>
      </c>
      <c r="CW38" s="50" t="str">
        <f t="shared" si="27"/>
        <v/>
      </c>
      <c r="CX38" s="50" t="str">
        <f t="shared" si="27"/>
        <v/>
      </c>
      <c r="CY38" s="50" t="str">
        <f t="shared" si="27"/>
        <v/>
      </c>
      <c r="CZ38" s="50" t="str">
        <f t="shared" si="27"/>
        <v/>
      </c>
      <c r="DA38" s="50" t="str">
        <f t="shared" si="27"/>
        <v/>
      </c>
      <c r="DB38" s="50" t="str">
        <f t="shared" si="27"/>
        <v/>
      </c>
      <c r="DC38" s="50" t="str">
        <f t="shared" si="27"/>
        <v/>
      </c>
      <c r="DD38" s="50" t="str">
        <f t="shared" si="27"/>
        <v/>
      </c>
      <c r="DE38" s="50" t="str">
        <f t="shared" si="27"/>
        <v/>
      </c>
      <c r="DF38" s="50" t="str">
        <f t="shared" si="27"/>
        <v/>
      </c>
      <c r="DG38" s="50" t="str">
        <f t="shared" si="27"/>
        <v/>
      </c>
      <c r="DH38" s="50" t="str">
        <f t="shared" si="27"/>
        <v/>
      </c>
      <c r="DI38" s="50" t="str">
        <f t="shared" si="27"/>
        <v/>
      </c>
      <c r="DJ38" s="50" t="str">
        <f t="shared" si="27"/>
        <v/>
      </c>
      <c r="DK38" s="50" t="str">
        <f t="shared" si="27"/>
        <v/>
      </c>
      <c r="DL38" s="50" t="str">
        <f t="shared" si="27"/>
        <v/>
      </c>
      <c r="DM38" s="50" t="str">
        <f t="shared" si="27"/>
        <v/>
      </c>
      <c r="DN38" s="50" t="str">
        <f t="shared" si="27"/>
        <v/>
      </c>
      <c r="DO38" s="50" t="str">
        <f t="shared" si="27"/>
        <v/>
      </c>
      <c r="DP38" s="50" t="str">
        <f t="shared" si="27"/>
        <v/>
      </c>
      <c r="DQ38" s="50" t="str">
        <f t="shared" si="27"/>
        <v/>
      </c>
      <c r="DR38" s="50" t="str">
        <f t="shared" si="27"/>
        <v/>
      </c>
      <c r="DS38" s="50" t="str">
        <f t="shared" si="27"/>
        <v/>
      </c>
      <c r="DT38" s="50" t="str">
        <f t="shared" si="27"/>
        <v/>
      </c>
      <c r="DU38" s="50" t="str">
        <f t="shared" si="27"/>
        <v/>
      </c>
      <c r="DV38" s="50" t="str">
        <f t="shared" si="27"/>
        <v/>
      </c>
      <c r="DW38" s="50" t="str">
        <f t="shared" si="27"/>
        <v/>
      </c>
      <c r="DX38" s="50" t="str">
        <f t="shared" si="27"/>
        <v/>
      </c>
      <c r="DY38" s="50" t="str">
        <f t="shared" si="27"/>
        <v/>
      </c>
      <c r="DZ38" s="50" t="str">
        <f t="shared" si="27"/>
        <v/>
      </c>
      <c r="EA38" s="50" t="str">
        <f t="shared" si="27"/>
        <v/>
      </c>
      <c r="EB38" s="50" t="str">
        <f t="shared" si="27"/>
        <v/>
      </c>
      <c r="EC38" s="50" t="str">
        <f t="shared" ref="EC38:GN38" si="28">IF(EC18="","",$F$39/EC18*EC17)</f>
        <v/>
      </c>
      <c r="ED38" s="50" t="str">
        <f t="shared" si="28"/>
        <v/>
      </c>
      <c r="EE38" s="50" t="str">
        <f t="shared" si="28"/>
        <v/>
      </c>
      <c r="EF38" s="50" t="str">
        <f t="shared" si="28"/>
        <v/>
      </c>
      <c r="EG38" s="50" t="str">
        <f t="shared" si="28"/>
        <v/>
      </c>
      <c r="EH38" s="50" t="str">
        <f t="shared" si="28"/>
        <v/>
      </c>
      <c r="EI38" s="50" t="str">
        <f t="shared" si="28"/>
        <v/>
      </c>
      <c r="EJ38" s="50" t="str">
        <f t="shared" si="28"/>
        <v/>
      </c>
      <c r="EK38" s="50" t="str">
        <f t="shared" si="28"/>
        <v/>
      </c>
      <c r="EL38" s="50" t="str">
        <f t="shared" si="28"/>
        <v/>
      </c>
      <c r="EM38" s="50" t="str">
        <f t="shared" si="28"/>
        <v/>
      </c>
      <c r="EN38" s="50" t="str">
        <f t="shared" si="28"/>
        <v/>
      </c>
      <c r="EO38" s="50" t="str">
        <f t="shared" si="28"/>
        <v/>
      </c>
      <c r="EP38" s="50" t="str">
        <f t="shared" si="28"/>
        <v/>
      </c>
      <c r="EQ38" s="50" t="str">
        <f t="shared" si="28"/>
        <v/>
      </c>
      <c r="ER38" s="50" t="str">
        <f t="shared" si="28"/>
        <v/>
      </c>
      <c r="ES38" s="50" t="str">
        <f t="shared" si="28"/>
        <v/>
      </c>
      <c r="ET38" s="50" t="str">
        <f t="shared" si="28"/>
        <v/>
      </c>
      <c r="EU38" s="50" t="str">
        <f t="shared" si="28"/>
        <v/>
      </c>
      <c r="EV38" s="50" t="str">
        <f t="shared" si="28"/>
        <v/>
      </c>
      <c r="EW38" s="50" t="str">
        <f t="shared" si="28"/>
        <v/>
      </c>
      <c r="EX38" s="50" t="str">
        <f t="shared" si="28"/>
        <v/>
      </c>
      <c r="EY38" s="50" t="str">
        <f t="shared" si="28"/>
        <v/>
      </c>
      <c r="EZ38" s="50" t="str">
        <f t="shared" si="28"/>
        <v/>
      </c>
      <c r="FA38" s="50" t="str">
        <f t="shared" si="28"/>
        <v/>
      </c>
      <c r="FB38" s="50" t="str">
        <f t="shared" si="28"/>
        <v/>
      </c>
      <c r="FC38" s="50" t="str">
        <f t="shared" si="28"/>
        <v/>
      </c>
      <c r="FD38" s="50" t="str">
        <f t="shared" si="28"/>
        <v/>
      </c>
      <c r="FE38" s="50" t="str">
        <f t="shared" si="28"/>
        <v/>
      </c>
      <c r="FF38" s="50" t="str">
        <f t="shared" si="28"/>
        <v/>
      </c>
      <c r="FG38" s="50" t="str">
        <f t="shared" si="28"/>
        <v/>
      </c>
      <c r="FH38" s="50" t="str">
        <f t="shared" si="28"/>
        <v/>
      </c>
      <c r="FI38" s="50" t="str">
        <f t="shared" si="28"/>
        <v/>
      </c>
      <c r="FJ38" s="50" t="str">
        <f t="shared" si="28"/>
        <v/>
      </c>
      <c r="FK38" s="50" t="str">
        <f t="shared" si="28"/>
        <v/>
      </c>
      <c r="FL38" s="50" t="str">
        <f t="shared" si="28"/>
        <v/>
      </c>
      <c r="FM38" s="50" t="str">
        <f t="shared" si="28"/>
        <v/>
      </c>
      <c r="FN38" s="50" t="str">
        <f t="shared" si="28"/>
        <v/>
      </c>
      <c r="FO38" s="50" t="str">
        <f t="shared" si="28"/>
        <v/>
      </c>
      <c r="FP38" s="50" t="str">
        <f t="shared" si="28"/>
        <v/>
      </c>
      <c r="FQ38" s="50" t="str">
        <f t="shared" si="28"/>
        <v/>
      </c>
      <c r="FR38" s="50" t="str">
        <f t="shared" si="28"/>
        <v/>
      </c>
      <c r="FS38" s="50" t="str">
        <f t="shared" si="28"/>
        <v/>
      </c>
      <c r="FT38" s="50" t="str">
        <f t="shared" si="28"/>
        <v/>
      </c>
      <c r="FU38" s="50" t="str">
        <f t="shared" si="28"/>
        <v/>
      </c>
      <c r="FV38" s="50" t="str">
        <f t="shared" si="28"/>
        <v/>
      </c>
      <c r="FW38" s="50" t="str">
        <f t="shared" si="28"/>
        <v/>
      </c>
      <c r="FX38" s="50" t="str">
        <f t="shared" si="28"/>
        <v/>
      </c>
      <c r="FY38" s="50" t="str">
        <f t="shared" si="28"/>
        <v/>
      </c>
      <c r="FZ38" s="50" t="str">
        <f t="shared" si="28"/>
        <v/>
      </c>
      <c r="GA38" s="50" t="str">
        <f t="shared" si="28"/>
        <v/>
      </c>
      <c r="GB38" s="50" t="str">
        <f t="shared" si="28"/>
        <v/>
      </c>
      <c r="GC38" s="50" t="str">
        <f t="shared" si="28"/>
        <v/>
      </c>
      <c r="GD38" s="50" t="str">
        <f t="shared" si="28"/>
        <v/>
      </c>
      <c r="GE38" s="50" t="str">
        <f t="shared" si="28"/>
        <v/>
      </c>
      <c r="GF38" s="50" t="str">
        <f t="shared" si="28"/>
        <v/>
      </c>
      <c r="GG38" s="50" t="str">
        <f t="shared" si="28"/>
        <v/>
      </c>
      <c r="GH38" s="50" t="str">
        <f t="shared" si="28"/>
        <v/>
      </c>
      <c r="GI38" s="50" t="str">
        <f t="shared" si="28"/>
        <v/>
      </c>
      <c r="GJ38" s="50" t="str">
        <f t="shared" si="28"/>
        <v/>
      </c>
      <c r="GK38" s="50" t="str">
        <f t="shared" si="28"/>
        <v/>
      </c>
      <c r="GL38" s="50" t="str">
        <f t="shared" si="28"/>
        <v/>
      </c>
      <c r="GM38" s="50" t="str">
        <f t="shared" si="28"/>
        <v/>
      </c>
      <c r="GN38" s="50" t="str">
        <f t="shared" si="28"/>
        <v/>
      </c>
      <c r="GO38" s="50" t="str">
        <f t="shared" ref="GO38:IH38" si="29">IF(GO18="","",$F$39/GO18*GO17)</f>
        <v/>
      </c>
      <c r="GP38" s="50" t="str">
        <f t="shared" si="29"/>
        <v/>
      </c>
      <c r="GQ38" s="50" t="str">
        <f t="shared" si="29"/>
        <v/>
      </c>
      <c r="GR38" s="50" t="str">
        <f t="shared" si="29"/>
        <v/>
      </c>
      <c r="GS38" s="50" t="str">
        <f t="shared" si="29"/>
        <v/>
      </c>
      <c r="GT38" s="50" t="str">
        <f t="shared" si="29"/>
        <v/>
      </c>
      <c r="GU38" s="50" t="str">
        <f t="shared" si="29"/>
        <v/>
      </c>
      <c r="GV38" s="50" t="str">
        <f t="shared" si="29"/>
        <v/>
      </c>
      <c r="GW38" s="50" t="str">
        <f t="shared" si="29"/>
        <v/>
      </c>
      <c r="GX38" s="50" t="str">
        <f t="shared" si="29"/>
        <v/>
      </c>
      <c r="GY38" s="50" t="str">
        <f t="shared" si="29"/>
        <v/>
      </c>
      <c r="GZ38" s="50" t="str">
        <f t="shared" si="29"/>
        <v/>
      </c>
      <c r="HA38" s="50" t="str">
        <f t="shared" si="29"/>
        <v/>
      </c>
      <c r="HB38" s="50" t="str">
        <f t="shared" si="29"/>
        <v/>
      </c>
      <c r="HC38" s="50" t="str">
        <f t="shared" si="29"/>
        <v/>
      </c>
      <c r="HD38" s="50" t="str">
        <f t="shared" si="29"/>
        <v/>
      </c>
      <c r="HE38" s="50" t="str">
        <f t="shared" si="29"/>
        <v/>
      </c>
      <c r="HF38" s="50" t="str">
        <f t="shared" si="29"/>
        <v/>
      </c>
      <c r="HG38" s="50" t="str">
        <f t="shared" si="29"/>
        <v/>
      </c>
      <c r="HH38" s="50" t="str">
        <f t="shared" si="29"/>
        <v/>
      </c>
      <c r="HI38" s="50" t="str">
        <f t="shared" si="29"/>
        <v/>
      </c>
      <c r="HJ38" s="50" t="str">
        <f t="shared" si="29"/>
        <v/>
      </c>
      <c r="HK38" s="50" t="str">
        <f t="shared" si="29"/>
        <v/>
      </c>
      <c r="HL38" s="50" t="str">
        <f t="shared" si="29"/>
        <v/>
      </c>
      <c r="HM38" s="50" t="str">
        <f t="shared" si="29"/>
        <v/>
      </c>
      <c r="HN38" s="50" t="str">
        <f t="shared" si="29"/>
        <v/>
      </c>
      <c r="HO38" s="50" t="str">
        <f t="shared" si="29"/>
        <v/>
      </c>
      <c r="HP38" s="50" t="str">
        <f t="shared" si="29"/>
        <v/>
      </c>
      <c r="HQ38" s="50" t="str">
        <f t="shared" si="29"/>
        <v/>
      </c>
      <c r="HR38" s="50" t="str">
        <f t="shared" si="29"/>
        <v/>
      </c>
      <c r="HS38" s="50" t="str">
        <f t="shared" si="29"/>
        <v/>
      </c>
      <c r="HT38" s="50" t="str">
        <f t="shared" si="29"/>
        <v/>
      </c>
      <c r="HU38" s="50" t="str">
        <f t="shared" si="29"/>
        <v/>
      </c>
      <c r="HV38" s="50" t="str">
        <f t="shared" si="29"/>
        <v/>
      </c>
      <c r="HW38" s="50" t="str">
        <f t="shared" si="29"/>
        <v/>
      </c>
      <c r="HX38" s="50" t="str">
        <f t="shared" si="29"/>
        <v/>
      </c>
      <c r="HY38" s="50" t="str">
        <f t="shared" si="29"/>
        <v/>
      </c>
      <c r="HZ38" s="50" t="str">
        <f t="shared" si="29"/>
        <v/>
      </c>
      <c r="IA38" s="50" t="str">
        <f t="shared" si="29"/>
        <v/>
      </c>
      <c r="IB38" s="50" t="str">
        <f t="shared" si="29"/>
        <v/>
      </c>
      <c r="IC38" s="50" t="str">
        <f t="shared" si="29"/>
        <v/>
      </c>
      <c r="ID38" s="50" t="str">
        <f t="shared" si="29"/>
        <v/>
      </c>
      <c r="IE38" s="50" t="str">
        <f t="shared" si="29"/>
        <v/>
      </c>
      <c r="IF38" s="50" t="str">
        <f t="shared" si="29"/>
        <v/>
      </c>
      <c r="IG38" s="50" t="str">
        <f t="shared" si="29"/>
        <v/>
      </c>
      <c r="IH38" s="50" t="str">
        <f t="shared" si="29"/>
        <v/>
      </c>
    </row>
    <row r="39" spans="1:242" hidden="1" x14ac:dyDescent="0.25">
      <c r="A39" s="60">
        <v>21</v>
      </c>
      <c r="B39" s="89"/>
      <c r="C39" s="89"/>
      <c r="D39" s="89"/>
      <c r="E39" s="50"/>
      <c r="F39" s="50" t="e">
        <f ca="1">LCM(INDIRECT(F40))</f>
        <v>#N/A</v>
      </c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  <c r="AJ39" s="50"/>
      <c r="AK39" s="50"/>
      <c r="AL39" s="50"/>
      <c r="AM39" s="50"/>
      <c r="AN39" s="50"/>
      <c r="AO39" s="50"/>
      <c r="AP39" s="50"/>
      <c r="AQ39" s="50"/>
      <c r="AR39" s="50"/>
      <c r="AS39" s="50"/>
      <c r="AT39" s="50"/>
      <c r="AU39" s="50"/>
      <c r="AV39" s="50"/>
      <c r="AW39" s="50"/>
      <c r="AX39" s="50"/>
      <c r="AY39" s="50"/>
      <c r="AZ39" s="50"/>
      <c r="BA39" s="50"/>
      <c r="BB39" s="50"/>
      <c r="BC39" s="50"/>
      <c r="BD39" s="50"/>
      <c r="BE39" s="50"/>
      <c r="BF39" s="50"/>
      <c r="BG39" s="50"/>
      <c r="BH39" s="50"/>
      <c r="BI39" s="50"/>
      <c r="BJ39" s="50"/>
      <c r="BK39" s="50"/>
      <c r="BL39" s="50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0"/>
      <c r="CA39" s="50"/>
      <c r="CB39" s="50"/>
      <c r="CC39" s="50"/>
      <c r="CD39" s="50"/>
      <c r="CE39" s="50"/>
      <c r="CF39" s="50"/>
      <c r="CG39" s="50"/>
      <c r="CH39" s="50"/>
      <c r="CI39" s="50"/>
      <c r="CJ39" s="50"/>
      <c r="CK39" s="50"/>
      <c r="CL39" s="50"/>
      <c r="CM39" s="50"/>
      <c r="CN39" s="50"/>
      <c r="CO39" s="50"/>
      <c r="CP39" s="50"/>
      <c r="CQ39" s="50"/>
      <c r="CR39" s="50"/>
      <c r="CS39" s="50"/>
      <c r="CT39" s="50"/>
      <c r="CU39" s="50"/>
      <c r="CV39" s="50"/>
      <c r="CW39" s="50"/>
      <c r="CX39" s="50"/>
      <c r="CY39" s="50"/>
      <c r="CZ39" s="50"/>
      <c r="DA39" s="50"/>
      <c r="DB39" s="50"/>
      <c r="DC39" s="50"/>
      <c r="DD39" s="50"/>
      <c r="DE39" s="50"/>
      <c r="DF39" s="50"/>
      <c r="DG39" s="50"/>
      <c r="DH39" s="50"/>
      <c r="DI39" s="50"/>
      <c r="DJ39" s="50"/>
      <c r="DK39" s="50"/>
      <c r="DL39" s="50"/>
      <c r="DM39" s="50"/>
      <c r="DN39" s="50"/>
      <c r="DO39" s="50"/>
      <c r="DP39" s="50"/>
      <c r="DQ39" s="50"/>
      <c r="DR39" s="50"/>
      <c r="DS39" s="50"/>
      <c r="DT39" s="50"/>
      <c r="DU39" s="50"/>
      <c r="DV39" s="50"/>
      <c r="DW39" s="50"/>
      <c r="DX39" s="50"/>
      <c r="DY39" s="50"/>
      <c r="DZ39" s="50"/>
      <c r="EA39" s="50"/>
      <c r="EB39" s="50"/>
      <c r="EC39" s="50"/>
      <c r="ED39" s="50"/>
      <c r="EE39" s="50"/>
      <c r="EF39" s="50"/>
      <c r="EG39" s="50"/>
      <c r="EH39" s="50"/>
      <c r="EI39" s="50"/>
      <c r="EJ39" s="50"/>
      <c r="EK39" s="50"/>
      <c r="EL39" s="50"/>
      <c r="EM39" s="50"/>
      <c r="EN39" s="50"/>
      <c r="EO39" s="50"/>
      <c r="EP39" s="50"/>
      <c r="EQ39" s="50"/>
      <c r="ER39" s="50"/>
      <c r="ES39" s="50"/>
      <c r="ET39" s="50"/>
      <c r="EU39" s="50"/>
      <c r="EV39" s="50"/>
      <c r="EW39" s="50"/>
      <c r="EX39" s="50"/>
      <c r="EY39" s="50"/>
      <c r="EZ39" s="50"/>
      <c r="FA39" s="50"/>
      <c r="FB39" s="50"/>
      <c r="FC39" s="50"/>
      <c r="FD39" s="50"/>
      <c r="FE39" s="50"/>
      <c r="FF39" s="50"/>
      <c r="FG39" s="50"/>
      <c r="FH39" s="50"/>
      <c r="FI39" s="50"/>
      <c r="FJ39" s="50"/>
      <c r="FK39" s="50"/>
      <c r="FL39" s="50"/>
      <c r="FM39" s="50"/>
      <c r="FN39" s="50"/>
      <c r="FO39" s="50"/>
      <c r="FP39" s="50"/>
      <c r="FQ39" s="50"/>
      <c r="FR39" s="50"/>
      <c r="FS39" s="50"/>
      <c r="FT39" s="50"/>
      <c r="FU39" s="50"/>
      <c r="FV39" s="50"/>
      <c r="FW39" s="50"/>
      <c r="FX39" s="50"/>
      <c r="FY39" s="50"/>
      <c r="FZ39" s="50"/>
      <c r="GA39" s="50"/>
      <c r="GB39" s="50"/>
      <c r="GC39" s="50"/>
      <c r="GD39" s="50"/>
      <c r="GE39" s="50"/>
      <c r="GF39" s="50"/>
      <c r="GG39" s="50"/>
      <c r="GH39" s="50"/>
      <c r="GI39" s="50"/>
      <c r="GJ39" s="50"/>
      <c r="GK39" s="50"/>
      <c r="GL39" s="50"/>
      <c r="GM39" s="50"/>
      <c r="GN39" s="50"/>
      <c r="GO39" s="50"/>
      <c r="GP39" s="50"/>
      <c r="GQ39" s="50"/>
      <c r="GR39" s="50"/>
      <c r="GS39" s="50"/>
      <c r="GT39" s="50"/>
      <c r="GU39" s="50"/>
      <c r="GV39" s="50"/>
      <c r="GW39" s="50"/>
      <c r="GX39" s="50"/>
      <c r="GY39" s="50"/>
      <c r="GZ39" s="50"/>
      <c r="HA39" s="50"/>
      <c r="HB39" s="50"/>
      <c r="HC39" s="50"/>
      <c r="HD39" s="50"/>
      <c r="HE39" s="50"/>
      <c r="HF39" s="50"/>
      <c r="HG39" s="50"/>
      <c r="HH39" s="50"/>
      <c r="HI39" s="50"/>
      <c r="HJ39" s="50"/>
      <c r="HK39" s="50"/>
      <c r="HL39" s="50"/>
      <c r="HM39" s="50"/>
      <c r="HN39" s="50"/>
      <c r="HO39" s="50"/>
      <c r="HP39" s="50"/>
      <c r="HQ39" s="50"/>
      <c r="HR39" s="50"/>
      <c r="HS39" s="50"/>
      <c r="HT39" s="50"/>
      <c r="HU39" s="50"/>
      <c r="HV39" s="50"/>
      <c r="HW39" s="50"/>
      <c r="HX39" s="50"/>
      <c r="HY39" s="50"/>
      <c r="HZ39" s="50"/>
      <c r="IA39" s="50"/>
      <c r="IB39" s="50"/>
      <c r="IC39" s="50"/>
      <c r="ID39" s="50"/>
      <c r="IE39" s="50"/>
      <c r="IF39" s="50"/>
      <c r="IG39" s="50"/>
      <c r="IH39" s="50"/>
    </row>
    <row r="40" spans="1:242" hidden="1" x14ac:dyDescent="0.25">
      <c r="A40" s="60">
        <v>22</v>
      </c>
      <c r="B40" s="89"/>
      <c r="C40" s="89"/>
      <c r="D40" s="89"/>
      <c r="E40" s="50"/>
      <c r="F40" s="50" t="e">
        <f>"E18:"&amp;""&amp;H40</f>
        <v>#N/A</v>
      </c>
      <c r="G40" s="50"/>
      <c r="H40" s="50" t="e">
        <f>I21&amp;""&amp;18</f>
        <v>#N/A</v>
      </c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0"/>
      <c r="AT40" s="50"/>
      <c r="AU40" s="50"/>
      <c r="AV40" s="50"/>
      <c r="AW40" s="50"/>
      <c r="AX40" s="50"/>
      <c r="AY40" s="50"/>
      <c r="AZ40" s="50"/>
      <c r="BA40" s="50"/>
      <c r="BB40" s="50"/>
      <c r="BC40" s="50"/>
      <c r="BD40" s="50"/>
      <c r="BE40" s="50"/>
      <c r="BF40" s="50"/>
      <c r="BG40" s="50"/>
      <c r="BH40" s="50"/>
      <c r="BI40" s="50"/>
      <c r="BJ40" s="50"/>
      <c r="BK40" s="50"/>
      <c r="BL40" s="50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0"/>
      <c r="CA40" s="50"/>
      <c r="CB40" s="50"/>
      <c r="CC40" s="50"/>
      <c r="CD40" s="50"/>
      <c r="CE40" s="50"/>
      <c r="CF40" s="50"/>
      <c r="CG40" s="50"/>
      <c r="CH40" s="50"/>
      <c r="CI40" s="50"/>
      <c r="CJ40" s="50"/>
      <c r="CK40" s="50"/>
      <c r="CL40" s="50"/>
      <c r="CM40" s="50"/>
      <c r="CN40" s="50"/>
      <c r="CO40" s="50"/>
      <c r="CP40" s="50"/>
      <c r="CQ40" s="50"/>
      <c r="CR40" s="50"/>
      <c r="CS40" s="50"/>
      <c r="CT40" s="50"/>
      <c r="CU40" s="50"/>
      <c r="CV40" s="50"/>
      <c r="CW40" s="50"/>
      <c r="CX40" s="50"/>
      <c r="CY40" s="50"/>
      <c r="CZ40" s="50"/>
      <c r="DA40" s="50"/>
      <c r="DB40" s="50"/>
      <c r="DC40" s="50"/>
      <c r="DD40" s="50"/>
      <c r="DE40" s="50"/>
      <c r="DF40" s="50"/>
      <c r="DG40" s="50"/>
      <c r="DH40" s="50"/>
      <c r="DI40" s="50"/>
      <c r="DJ40" s="50"/>
      <c r="DK40" s="50"/>
      <c r="DL40" s="50"/>
      <c r="DM40" s="50"/>
      <c r="DN40" s="50"/>
      <c r="DO40" s="50"/>
      <c r="DP40" s="50"/>
      <c r="DQ40" s="50"/>
      <c r="DR40" s="50"/>
      <c r="DS40" s="50"/>
      <c r="DT40" s="50"/>
      <c r="DU40" s="50"/>
      <c r="DV40" s="50"/>
      <c r="DW40" s="50"/>
      <c r="DX40" s="50"/>
      <c r="DY40" s="50"/>
      <c r="DZ40" s="50"/>
      <c r="EA40" s="50"/>
      <c r="EB40" s="50"/>
      <c r="EC40" s="50"/>
      <c r="ED40" s="50"/>
      <c r="EE40" s="50"/>
      <c r="EF40" s="50"/>
      <c r="EG40" s="50"/>
      <c r="EH40" s="50"/>
      <c r="EI40" s="50"/>
      <c r="EJ40" s="50"/>
      <c r="EK40" s="50"/>
      <c r="EL40" s="50"/>
      <c r="EM40" s="50"/>
      <c r="EN40" s="50"/>
      <c r="EO40" s="50"/>
      <c r="EP40" s="50"/>
      <c r="EQ40" s="50"/>
      <c r="ER40" s="50"/>
      <c r="ES40" s="50"/>
      <c r="ET40" s="50"/>
      <c r="EU40" s="50"/>
      <c r="EV40" s="50"/>
      <c r="EW40" s="50"/>
      <c r="EX40" s="50"/>
      <c r="EY40" s="50"/>
      <c r="EZ40" s="50"/>
      <c r="FA40" s="50"/>
      <c r="FB40" s="50"/>
      <c r="FC40" s="50"/>
      <c r="FD40" s="50"/>
      <c r="FE40" s="50"/>
      <c r="FF40" s="50"/>
      <c r="FG40" s="50"/>
      <c r="FH40" s="50"/>
      <c r="FI40" s="50"/>
      <c r="FJ40" s="50"/>
      <c r="FK40" s="50"/>
      <c r="FL40" s="50"/>
      <c r="FM40" s="50"/>
      <c r="FN40" s="50"/>
      <c r="FO40" s="50"/>
      <c r="FP40" s="50"/>
      <c r="FQ40" s="50"/>
      <c r="FR40" s="50"/>
      <c r="FS40" s="50"/>
      <c r="FT40" s="50"/>
      <c r="FU40" s="50"/>
      <c r="FV40" s="50"/>
      <c r="FW40" s="50"/>
      <c r="FX40" s="50"/>
      <c r="FY40" s="50"/>
      <c r="FZ40" s="50"/>
      <c r="GA40" s="50"/>
      <c r="GB40" s="50"/>
      <c r="GC40" s="50"/>
      <c r="GD40" s="50"/>
      <c r="GE40" s="50"/>
      <c r="GF40" s="50"/>
      <c r="GG40" s="50"/>
      <c r="GH40" s="50"/>
      <c r="GI40" s="50"/>
      <c r="GJ40" s="50"/>
      <c r="GK40" s="50"/>
      <c r="GL40" s="50"/>
      <c r="GM40" s="50"/>
      <c r="GN40" s="50"/>
      <c r="GO40" s="50"/>
      <c r="GP40" s="50"/>
      <c r="GQ40" s="50"/>
      <c r="GR40" s="50"/>
      <c r="GS40" s="50"/>
      <c r="GT40" s="50"/>
      <c r="GU40" s="50"/>
      <c r="GV40" s="50"/>
      <c r="GW40" s="50"/>
      <c r="GX40" s="50"/>
      <c r="GY40" s="50"/>
      <c r="GZ40" s="50"/>
      <c r="HA40" s="50"/>
      <c r="HB40" s="50"/>
      <c r="HC40" s="50"/>
      <c r="HD40" s="50"/>
      <c r="HE40" s="50"/>
      <c r="HF40" s="50"/>
      <c r="HG40" s="50"/>
      <c r="HH40" s="50"/>
      <c r="HI40" s="50"/>
      <c r="HJ40" s="50"/>
      <c r="HK40" s="50"/>
      <c r="HL40" s="50"/>
      <c r="HM40" s="50"/>
      <c r="HN40" s="50"/>
      <c r="HO40" s="50"/>
      <c r="HP40" s="50"/>
      <c r="HQ40" s="50"/>
      <c r="HR40" s="50"/>
      <c r="HS40" s="50"/>
      <c r="HT40" s="50"/>
      <c r="HU40" s="50"/>
      <c r="HV40" s="50"/>
      <c r="HW40" s="50"/>
      <c r="HX40" s="50"/>
      <c r="HY40" s="50"/>
      <c r="HZ40" s="50"/>
      <c r="IA40" s="50"/>
      <c r="IB40" s="50"/>
      <c r="IC40" s="50"/>
      <c r="ID40" s="50"/>
      <c r="IE40" s="50"/>
      <c r="IF40" s="50"/>
      <c r="IG40" s="50"/>
      <c r="IH40" s="50"/>
    </row>
    <row r="41" spans="1:242" hidden="1" x14ac:dyDescent="0.25">
      <c r="A41" s="60">
        <v>23</v>
      </c>
      <c r="B41" s="89"/>
      <c r="C41" s="89"/>
      <c r="D41" s="89"/>
      <c r="E41" s="50"/>
      <c r="F41" s="50" t="e">
        <f>"E38:"&amp;""&amp;H41</f>
        <v>#N/A</v>
      </c>
      <c r="G41" s="50"/>
      <c r="H41" s="50" t="e">
        <f>I21&amp;""&amp;38</f>
        <v>#N/A</v>
      </c>
      <c r="I41" s="50"/>
      <c r="J41" s="50"/>
      <c r="K41" s="50"/>
      <c r="L41" s="50"/>
      <c r="M41" s="68">
        <f>A11</f>
        <v>11424</v>
      </c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50"/>
      <c r="AV41" s="50"/>
      <c r="AW41" s="50"/>
      <c r="AX41" s="50"/>
      <c r="AY41" s="50"/>
      <c r="AZ41" s="50"/>
      <c r="BA41" s="50"/>
      <c r="BB41" s="50"/>
      <c r="BC41" s="50"/>
      <c r="BD41" s="50"/>
      <c r="BE41" s="50"/>
      <c r="BF41" s="50"/>
      <c r="BG41" s="50"/>
      <c r="BH41" s="50"/>
      <c r="BI41" s="50"/>
      <c r="BJ41" s="50"/>
      <c r="BK41" s="50"/>
      <c r="BL41" s="50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0"/>
      <c r="CA41" s="50"/>
      <c r="CB41" s="50"/>
      <c r="CC41" s="50"/>
      <c r="CD41" s="50"/>
      <c r="CE41" s="50"/>
      <c r="CF41" s="50"/>
      <c r="CG41" s="50"/>
      <c r="CH41" s="50"/>
      <c r="CI41" s="50"/>
      <c r="CJ41" s="50"/>
      <c r="CK41" s="50"/>
      <c r="CL41" s="50"/>
      <c r="CM41" s="50"/>
      <c r="CN41" s="50"/>
      <c r="CO41" s="50"/>
      <c r="CP41" s="50"/>
      <c r="CQ41" s="50"/>
      <c r="CR41" s="50"/>
      <c r="CS41" s="50"/>
      <c r="CT41" s="50"/>
      <c r="CU41" s="50"/>
      <c r="CV41" s="50"/>
      <c r="CW41" s="50"/>
      <c r="CX41" s="50"/>
      <c r="CY41" s="50"/>
      <c r="CZ41" s="50"/>
      <c r="DA41" s="50"/>
      <c r="DB41" s="50"/>
      <c r="DC41" s="50"/>
      <c r="DD41" s="50"/>
      <c r="DE41" s="50"/>
      <c r="DF41" s="50"/>
      <c r="DG41" s="50"/>
      <c r="DH41" s="50"/>
      <c r="DI41" s="50"/>
      <c r="DJ41" s="50"/>
      <c r="DK41" s="50"/>
      <c r="DL41" s="50"/>
      <c r="DM41" s="50"/>
      <c r="DN41" s="50"/>
      <c r="DO41" s="50"/>
      <c r="DP41" s="50"/>
      <c r="DQ41" s="50"/>
      <c r="DR41" s="50"/>
      <c r="DS41" s="50"/>
      <c r="DT41" s="50"/>
      <c r="DU41" s="50"/>
      <c r="DV41" s="50"/>
      <c r="DW41" s="50"/>
      <c r="DX41" s="50"/>
      <c r="DY41" s="50"/>
      <c r="DZ41" s="50"/>
      <c r="EA41" s="50"/>
      <c r="EB41" s="50"/>
      <c r="EC41" s="50"/>
      <c r="ED41" s="50"/>
      <c r="EE41" s="50"/>
      <c r="EF41" s="50"/>
      <c r="EG41" s="50"/>
      <c r="EH41" s="50"/>
      <c r="EI41" s="50"/>
      <c r="EJ41" s="50"/>
      <c r="EK41" s="50"/>
      <c r="EL41" s="50"/>
      <c r="EM41" s="50"/>
      <c r="EN41" s="50"/>
      <c r="EO41" s="50"/>
      <c r="EP41" s="50"/>
      <c r="EQ41" s="50"/>
      <c r="ER41" s="50"/>
      <c r="ES41" s="50"/>
      <c r="ET41" s="50"/>
      <c r="EU41" s="50"/>
      <c r="EV41" s="50"/>
      <c r="EW41" s="50"/>
      <c r="EX41" s="50"/>
      <c r="EY41" s="50"/>
      <c r="EZ41" s="50"/>
      <c r="FA41" s="50"/>
      <c r="FB41" s="50"/>
      <c r="FC41" s="50"/>
      <c r="FD41" s="50"/>
      <c r="FE41" s="50"/>
      <c r="FF41" s="50"/>
      <c r="FG41" s="50"/>
      <c r="FH41" s="50"/>
      <c r="FI41" s="50"/>
      <c r="FJ41" s="50"/>
      <c r="FK41" s="50"/>
      <c r="FL41" s="50"/>
      <c r="FM41" s="50"/>
      <c r="FN41" s="50"/>
      <c r="FO41" s="50"/>
      <c r="FP41" s="50"/>
      <c r="FQ41" s="50"/>
      <c r="FR41" s="50"/>
      <c r="FS41" s="50"/>
      <c r="FT41" s="50"/>
      <c r="FU41" s="50"/>
      <c r="FV41" s="50"/>
      <c r="FW41" s="50"/>
      <c r="FX41" s="50"/>
      <c r="FY41" s="50"/>
      <c r="FZ41" s="50"/>
      <c r="GA41" s="50"/>
      <c r="GB41" s="50"/>
      <c r="GC41" s="50"/>
      <c r="GD41" s="50"/>
      <c r="GE41" s="50"/>
      <c r="GF41" s="50"/>
      <c r="GG41" s="50"/>
      <c r="GH41" s="50"/>
      <c r="GI41" s="50"/>
      <c r="GJ41" s="50"/>
      <c r="GK41" s="50"/>
      <c r="GL41" s="50"/>
      <c r="GM41" s="50"/>
      <c r="GN41" s="50"/>
      <c r="GO41" s="50"/>
      <c r="GP41" s="50"/>
      <c r="GQ41" s="50"/>
      <c r="GR41" s="50"/>
      <c r="GS41" s="50"/>
      <c r="GT41" s="50"/>
      <c r="GU41" s="50"/>
      <c r="GV41" s="50"/>
      <c r="GW41" s="50"/>
      <c r="GX41" s="50"/>
      <c r="GY41" s="50"/>
      <c r="GZ41" s="50"/>
      <c r="HA41" s="50"/>
      <c r="HB41" s="50"/>
      <c r="HC41" s="50"/>
      <c r="HD41" s="50"/>
      <c r="HE41" s="50"/>
      <c r="HF41" s="50"/>
      <c r="HG41" s="50"/>
      <c r="HH41" s="50"/>
      <c r="HI41" s="50"/>
      <c r="HJ41" s="50"/>
      <c r="HK41" s="50"/>
      <c r="HL41" s="50"/>
      <c r="HM41" s="50"/>
      <c r="HN41" s="50"/>
      <c r="HO41" s="50"/>
      <c r="HP41" s="50"/>
      <c r="HQ41" s="50"/>
      <c r="HR41" s="50"/>
      <c r="HS41" s="50"/>
      <c r="HT41" s="50"/>
      <c r="HU41" s="50"/>
      <c r="HV41" s="50"/>
      <c r="HW41" s="50"/>
      <c r="HX41" s="50"/>
      <c r="HY41" s="50"/>
      <c r="HZ41" s="50"/>
      <c r="IA41" s="50"/>
      <c r="IB41" s="50"/>
      <c r="IC41" s="50"/>
      <c r="ID41" s="50"/>
      <c r="IE41" s="50"/>
      <c r="IF41" s="50"/>
      <c r="IG41" s="50"/>
      <c r="IH41" s="50"/>
    </row>
    <row r="42" spans="1:242" hidden="1" x14ac:dyDescent="0.25">
      <c r="A42" s="60">
        <v>24</v>
      </c>
      <c r="B42" s="89"/>
      <c r="C42" s="89"/>
      <c r="D42" s="89"/>
      <c r="E42" s="50" t="e">
        <f ca="1">GCD(A6,A7)</f>
        <v>#N/A</v>
      </c>
      <c r="F42" s="50"/>
      <c r="G42" s="50"/>
      <c r="H42" s="50"/>
      <c r="I42" s="50"/>
      <c r="J42" s="50"/>
      <c r="K42" s="50"/>
      <c r="L42" s="50"/>
      <c r="M42" s="158">
        <f>M41/20/9</f>
        <v>63.466666666666669</v>
      </c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0"/>
      <c r="AW42" s="50"/>
      <c r="AX42" s="50"/>
      <c r="AY42" s="50"/>
      <c r="AZ42" s="50"/>
      <c r="BA42" s="50"/>
      <c r="BB42" s="50"/>
      <c r="BC42" s="50"/>
      <c r="BD42" s="50"/>
      <c r="BE42" s="50"/>
      <c r="BF42" s="50"/>
      <c r="BG42" s="50"/>
      <c r="BH42" s="50"/>
      <c r="BI42" s="50"/>
      <c r="BJ42" s="50"/>
      <c r="BK42" s="50"/>
      <c r="BL42" s="50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  <c r="CB42" s="50"/>
      <c r="CC42" s="50"/>
      <c r="CD42" s="50"/>
      <c r="CE42" s="50"/>
      <c r="CF42" s="50"/>
      <c r="CG42" s="50"/>
      <c r="CH42" s="50"/>
      <c r="CI42" s="50"/>
      <c r="CJ42" s="50"/>
      <c r="CK42" s="50"/>
      <c r="CL42" s="50"/>
      <c r="CM42" s="50"/>
      <c r="CN42" s="50"/>
      <c r="CO42" s="50"/>
      <c r="CP42" s="50"/>
      <c r="CQ42" s="50"/>
      <c r="CR42" s="50"/>
      <c r="CS42" s="50"/>
      <c r="CT42" s="50"/>
      <c r="CU42" s="50"/>
      <c r="CV42" s="50"/>
      <c r="CW42" s="50"/>
      <c r="CX42" s="50"/>
      <c r="CY42" s="50"/>
      <c r="CZ42" s="50"/>
      <c r="DA42" s="50"/>
      <c r="DB42" s="50"/>
      <c r="DC42" s="50"/>
      <c r="DD42" s="50"/>
      <c r="DE42" s="50"/>
      <c r="DF42" s="50"/>
      <c r="DG42" s="50"/>
      <c r="DH42" s="50"/>
      <c r="DI42" s="50"/>
      <c r="DJ42" s="50"/>
      <c r="DK42" s="50"/>
      <c r="DL42" s="50"/>
      <c r="DM42" s="50"/>
      <c r="DN42" s="50"/>
      <c r="DO42" s="50"/>
      <c r="DP42" s="50"/>
      <c r="DQ42" s="50"/>
      <c r="DR42" s="50"/>
      <c r="DS42" s="50"/>
      <c r="DT42" s="50"/>
      <c r="DU42" s="50"/>
      <c r="DV42" s="50"/>
      <c r="DW42" s="50"/>
      <c r="DX42" s="50"/>
      <c r="DY42" s="50"/>
      <c r="DZ42" s="50"/>
      <c r="EA42" s="50"/>
      <c r="EB42" s="50"/>
      <c r="EC42" s="50"/>
      <c r="ED42" s="50"/>
      <c r="EE42" s="50"/>
      <c r="EF42" s="50"/>
      <c r="EG42" s="50"/>
      <c r="EH42" s="50"/>
      <c r="EI42" s="50"/>
      <c r="EJ42" s="50"/>
      <c r="EK42" s="50"/>
      <c r="EL42" s="50"/>
      <c r="EM42" s="50"/>
      <c r="EN42" s="50"/>
      <c r="EO42" s="50"/>
      <c r="EP42" s="50"/>
      <c r="EQ42" s="50"/>
      <c r="ER42" s="50"/>
      <c r="ES42" s="50"/>
      <c r="ET42" s="50"/>
      <c r="EU42" s="50"/>
      <c r="EV42" s="50"/>
      <c r="EW42" s="50"/>
      <c r="EX42" s="50"/>
      <c r="EY42" s="50"/>
      <c r="EZ42" s="50"/>
      <c r="FA42" s="50"/>
      <c r="FB42" s="50"/>
      <c r="FC42" s="50"/>
      <c r="FD42" s="50"/>
      <c r="FE42" s="50"/>
      <c r="FF42" s="50"/>
      <c r="FG42" s="50"/>
      <c r="FH42" s="50"/>
      <c r="FI42" s="50"/>
      <c r="FJ42" s="50"/>
      <c r="FK42" s="50"/>
      <c r="FL42" s="50"/>
      <c r="FM42" s="50"/>
      <c r="FN42" s="50"/>
      <c r="FO42" s="50"/>
      <c r="FP42" s="50"/>
      <c r="FQ42" s="50"/>
      <c r="FR42" s="50"/>
      <c r="FS42" s="50"/>
      <c r="FT42" s="50"/>
      <c r="FU42" s="50"/>
      <c r="FV42" s="50"/>
      <c r="FW42" s="50"/>
      <c r="FX42" s="50"/>
      <c r="FY42" s="50"/>
      <c r="FZ42" s="50"/>
      <c r="GA42" s="50"/>
      <c r="GB42" s="50"/>
      <c r="GC42" s="50"/>
      <c r="GD42" s="50"/>
      <c r="GE42" s="50"/>
      <c r="GF42" s="50"/>
      <c r="GG42" s="50"/>
      <c r="GH42" s="50"/>
      <c r="GI42" s="50"/>
      <c r="GJ42" s="50"/>
      <c r="GK42" s="50"/>
      <c r="GL42" s="50"/>
      <c r="GM42" s="50"/>
      <c r="GN42" s="50"/>
      <c r="GO42" s="50"/>
      <c r="GP42" s="50"/>
      <c r="GQ42" s="50"/>
      <c r="GR42" s="50"/>
      <c r="GS42" s="50"/>
      <c r="GT42" s="50"/>
      <c r="GU42" s="50"/>
      <c r="GV42" s="50"/>
      <c r="GW42" s="50"/>
      <c r="GX42" s="50"/>
      <c r="GY42" s="50"/>
      <c r="GZ42" s="50"/>
      <c r="HA42" s="50"/>
      <c r="HB42" s="50"/>
      <c r="HC42" s="50"/>
      <c r="HD42" s="50"/>
      <c r="HE42" s="50"/>
      <c r="HF42" s="50"/>
      <c r="HG42" s="50"/>
      <c r="HH42" s="50"/>
      <c r="HI42" s="50"/>
      <c r="HJ42" s="50"/>
      <c r="HK42" s="50"/>
      <c r="HL42" s="50"/>
      <c r="HM42" s="50"/>
      <c r="HN42" s="50"/>
      <c r="HO42" s="50"/>
      <c r="HP42" s="50"/>
      <c r="HQ42" s="50"/>
      <c r="HR42" s="50"/>
      <c r="HS42" s="50"/>
      <c r="HT42" s="50"/>
      <c r="HU42" s="50"/>
      <c r="HV42" s="50"/>
      <c r="HW42" s="50"/>
      <c r="HX42" s="50"/>
      <c r="HY42" s="50"/>
      <c r="HZ42" s="50"/>
      <c r="IA42" s="50"/>
      <c r="IB42" s="50"/>
      <c r="IC42" s="50"/>
      <c r="ID42" s="50"/>
      <c r="IE42" s="50"/>
      <c r="IF42" s="50"/>
      <c r="IG42" s="50"/>
      <c r="IH42" s="50"/>
    </row>
    <row r="43" spans="1:242" hidden="1" x14ac:dyDescent="0.25">
      <c r="A43" s="60">
        <v>25</v>
      </c>
      <c r="B43" s="89"/>
      <c r="C43" s="89"/>
      <c r="D43" s="89"/>
      <c r="E43" s="50"/>
      <c r="F43" s="50"/>
      <c r="G43" s="50"/>
      <c r="H43" s="50"/>
      <c r="I43" s="50"/>
      <c r="J43" s="50"/>
      <c r="K43" s="50"/>
      <c r="L43" s="50" t="s">
        <v>19</v>
      </c>
      <c r="M43" s="158">
        <f>IF(M42&lt;0,ROUND(M42,0),INT(M42))</f>
        <v>63</v>
      </c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  <c r="AM43" s="50"/>
      <c r="AN43" s="50"/>
      <c r="AO43" s="50"/>
      <c r="AP43" s="50"/>
      <c r="AQ43" s="50"/>
      <c r="AR43" s="50"/>
      <c r="AS43" s="50"/>
      <c r="AT43" s="50"/>
      <c r="AU43" s="50"/>
      <c r="AV43" s="50"/>
      <c r="AW43" s="50"/>
      <c r="AX43" s="50"/>
      <c r="AY43" s="50"/>
      <c r="AZ43" s="50"/>
      <c r="BA43" s="50"/>
      <c r="BB43" s="50"/>
      <c r="BC43" s="50"/>
      <c r="BD43" s="50"/>
      <c r="BE43" s="50"/>
      <c r="BF43" s="50"/>
      <c r="BG43" s="50"/>
      <c r="BH43" s="50"/>
      <c r="BI43" s="50"/>
      <c r="BJ43" s="50"/>
      <c r="BK43" s="50"/>
      <c r="BL43" s="50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0"/>
      <c r="CA43" s="50"/>
      <c r="CB43" s="50"/>
      <c r="CC43" s="50"/>
      <c r="CD43" s="50"/>
      <c r="CE43" s="50"/>
      <c r="CF43" s="50"/>
      <c r="CG43" s="50"/>
      <c r="CH43" s="50"/>
      <c r="CI43" s="50"/>
      <c r="CJ43" s="50"/>
      <c r="CK43" s="50"/>
      <c r="CL43" s="50"/>
      <c r="CM43" s="50"/>
      <c r="CN43" s="50"/>
      <c r="CO43" s="50"/>
      <c r="CP43" s="50"/>
      <c r="CQ43" s="50"/>
      <c r="CR43" s="50"/>
      <c r="CS43" s="50"/>
      <c r="CT43" s="50"/>
      <c r="CU43" s="50"/>
      <c r="CV43" s="50"/>
      <c r="CW43" s="50"/>
      <c r="CX43" s="50"/>
      <c r="CY43" s="50"/>
      <c r="CZ43" s="50"/>
      <c r="DA43" s="50"/>
      <c r="DB43" s="50"/>
      <c r="DC43" s="50"/>
      <c r="DD43" s="50"/>
      <c r="DE43" s="50"/>
      <c r="DF43" s="50"/>
      <c r="DG43" s="50"/>
      <c r="DH43" s="50"/>
      <c r="DI43" s="50"/>
      <c r="DJ43" s="50"/>
      <c r="DK43" s="50"/>
      <c r="DL43" s="50"/>
      <c r="DM43" s="50"/>
      <c r="DN43" s="50"/>
      <c r="DO43" s="50"/>
      <c r="DP43" s="50"/>
      <c r="DQ43" s="50"/>
      <c r="DR43" s="50"/>
      <c r="DS43" s="50"/>
      <c r="DT43" s="50"/>
      <c r="DU43" s="50"/>
      <c r="DV43" s="50"/>
      <c r="DW43" s="50"/>
      <c r="DX43" s="50"/>
      <c r="DY43" s="50"/>
      <c r="DZ43" s="50"/>
      <c r="EA43" s="50"/>
      <c r="EB43" s="50"/>
      <c r="EC43" s="50"/>
      <c r="ED43" s="50"/>
      <c r="EE43" s="50"/>
      <c r="EF43" s="50"/>
      <c r="EG43" s="50"/>
      <c r="EH43" s="50"/>
      <c r="EI43" s="50"/>
      <c r="EJ43" s="50"/>
      <c r="EK43" s="50"/>
      <c r="EL43" s="50"/>
      <c r="EM43" s="50"/>
      <c r="EN43" s="50"/>
      <c r="EO43" s="50"/>
      <c r="EP43" s="50"/>
      <c r="EQ43" s="50"/>
      <c r="ER43" s="50"/>
      <c r="ES43" s="50"/>
      <c r="ET43" s="50"/>
      <c r="EU43" s="50"/>
      <c r="EV43" s="50"/>
      <c r="EW43" s="50"/>
      <c r="EX43" s="50"/>
      <c r="EY43" s="50"/>
      <c r="EZ43" s="50"/>
      <c r="FA43" s="50"/>
      <c r="FB43" s="50"/>
      <c r="FC43" s="50"/>
      <c r="FD43" s="50"/>
      <c r="FE43" s="50"/>
      <c r="FF43" s="50"/>
      <c r="FG43" s="50"/>
      <c r="FH43" s="50"/>
      <c r="FI43" s="50"/>
      <c r="FJ43" s="50"/>
      <c r="FK43" s="50"/>
      <c r="FL43" s="50"/>
      <c r="FM43" s="50"/>
      <c r="FN43" s="50"/>
      <c r="FO43" s="50"/>
      <c r="FP43" s="50"/>
      <c r="FQ43" s="50"/>
      <c r="FR43" s="50"/>
      <c r="FS43" s="50"/>
      <c r="FT43" s="50"/>
      <c r="FU43" s="50"/>
      <c r="FV43" s="50"/>
      <c r="FW43" s="50"/>
      <c r="FX43" s="50"/>
      <c r="FY43" s="50"/>
      <c r="FZ43" s="50"/>
      <c r="GA43" s="50"/>
      <c r="GB43" s="50"/>
      <c r="GC43" s="50"/>
      <c r="GD43" s="50"/>
      <c r="GE43" s="50"/>
      <c r="GF43" s="50"/>
      <c r="GG43" s="50"/>
      <c r="GH43" s="50"/>
      <c r="GI43" s="50"/>
      <c r="GJ43" s="50"/>
      <c r="GK43" s="50"/>
      <c r="GL43" s="50"/>
      <c r="GM43" s="50"/>
      <c r="GN43" s="50"/>
      <c r="GO43" s="50"/>
      <c r="GP43" s="50"/>
      <c r="GQ43" s="50"/>
      <c r="GR43" s="50"/>
      <c r="GS43" s="50"/>
      <c r="GT43" s="50"/>
      <c r="GU43" s="50"/>
      <c r="GV43" s="50"/>
      <c r="GW43" s="50"/>
      <c r="GX43" s="50"/>
      <c r="GY43" s="50"/>
      <c r="GZ43" s="50"/>
      <c r="HA43" s="50"/>
      <c r="HB43" s="50"/>
      <c r="HC43" s="50"/>
      <c r="HD43" s="50"/>
      <c r="HE43" s="50"/>
      <c r="HF43" s="50"/>
      <c r="HG43" s="50"/>
      <c r="HH43" s="50"/>
      <c r="HI43" s="50"/>
      <c r="HJ43" s="50"/>
      <c r="HK43" s="50"/>
      <c r="HL43" s="50"/>
      <c r="HM43" s="50"/>
      <c r="HN43" s="50"/>
      <c r="HO43" s="50"/>
      <c r="HP43" s="50"/>
      <c r="HQ43" s="50"/>
      <c r="HR43" s="50"/>
      <c r="HS43" s="50"/>
      <c r="HT43" s="50"/>
      <c r="HU43" s="50"/>
      <c r="HV43" s="50"/>
      <c r="HW43" s="50"/>
      <c r="HX43" s="50"/>
      <c r="HY43" s="50"/>
      <c r="HZ43" s="50"/>
      <c r="IA43" s="50"/>
      <c r="IB43" s="50"/>
      <c r="IC43" s="50"/>
      <c r="ID43" s="50"/>
      <c r="IE43" s="50"/>
      <c r="IF43" s="50"/>
      <c r="IG43" s="50"/>
      <c r="IH43" s="50"/>
    </row>
    <row r="44" spans="1:242" hidden="1" x14ac:dyDescent="0.25">
      <c r="A44" s="60">
        <v>26</v>
      </c>
      <c r="B44" s="89"/>
      <c r="C44" s="89"/>
      <c r="D44" s="89"/>
      <c r="E44" s="50"/>
      <c r="F44" s="50"/>
      <c r="G44" s="50"/>
      <c r="H44" s="50"/>
      <c r="I44" s="50"/>
      <c r="J44" s="50"/>
      <c r="K44" s="50"/>
      <c r="L44" s="50"/>
      <c r="M44" s="158">
        <f>(M42-M43)*20</f>
        <v>9.3333333333333712</v>
      </c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50"/>
      <c r="AJ44" s="50"/>
      <c r="AK44" s="50"/>
      <c r="AL44" s="50"/>
      <c r="AM44" s="50"/>
      <c r="AN44" s="50"/>
      <c r="AO44" s="50"/>
      <c r="AP44" s="50"/>
      <c r="AQ44" s="50"/>
      <c r="AR44" s="50"/>
      <c r="AS44" s="50"/>
      <c r="AT44" s="50"/>
      <c r="AU44" s="50"/>
      <c r="AV44" s="50"/>
      <c r="AW44" s="50"/>
      <c r="AX44" s="50"/>
      <c r="AY44" s="50"/>
      <c r="AZ44" s="50"/>
      <c r="BA44" s="50"/>
      <c r="BB44" s="50"/>
      <c r="BC44" s="50"/>
      <c r="BD44" s="50"/>
      <c r="BE44" s="50"/>
      <c r="BF44" s="50"/>
      <c r="BG44" s="50"/>
      <c r="BH44" s="50"/>
      <c r="BI44" s="50"/>
      <c r="BJ44" s="50"/>
      <c r="BK44" s="50"/>
      <c r="BL44" s="50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50"/>
      <c r="BZ44" s="50"/>
      <c r="CA44" s="50"/>
      <c r="CB44" s="50"/>
      <c r="CC44" s="50"/>
      <c r="CD44" s="50"/>
      <c r="CE44" s="50"/>
      <c r="CF44" s="50"/>
      <c r="CG44" s="50"/>
      <c r="CH44" s="50"/>
      <c r="CI44" s="50"/>
      <c r="CJ44" s="50"/>
      <c r="CK44" s="50"/>
      <c r="CL44" s="50"/>
      <c r="CM44" s="50"/>
      <c r="CN44" s="50"/>
      <c r="CO44" s="50"/>
      <c r="CP44" s="50"/>
      <c r="CQ44" s="50"/>
      <c r="CR44" s="50"/>
      <c r="CS44" s="50"/>
      <c r="CT44" s="50"/>
      <c r="CU44" s="50"/>
      <c r="CV44" s="50"/>
      <c r="CW44" s="50"/>
      <c r="CX44" s="50"/>
      <c r="CY44" s="50"/>
      <c r="CZ44" s="50"/>
      <c r="DA44" s="50"/>
      <c r="DB44" s="50"/>
      <c r="DC44" s="50"/>
      <c r="DD44" s="50"/>
      <c r="DE44" s="50"/>
      <c r="DF44" s="50"/>
      <c r="DG44" s="50"/>
      <c r="DH44" s="50"/>
      <c r="DI44" s="50"/>
      <c r="DJ44" s="50"/>
      <c r="DK44" s="50"/>
      <c r="DL44" s="50"/>
      <c r="DM44" s="50"/>
      <c r="DN44" s="50"/>
      <c r="DO44" s="50"/>
      <c r="DP44" s="50"/>
      <c r="DQ44" s="50"/>
      <c r="DR44" s="50"/>
      <c r="DS44" s="50"/>
      <c r="DT44" s="50"/>
      <c r="DU44" s="50"/>
      <c r="DV44" s="50"/>
      <c r="DW44" s="50"/>
      <c r="DX44" s="50"/>
      <c r="DY44" s="50"/>
      <c r="DZ44" s="50"/>
      <c r="EA44" s="50"/>
      <c r="EB44" s="50"/>
      <c r="EC44" s="50"/>
      <c r="ED44" s="50"/>
      <c r="EE44" s="50"/>
      <c r="EF44" s="50"/>
      <c r="EG44" s="50"/>
      <c r="EH44" s="50"/>
      <c r="EI44" s="50"/>
      <c r="EJ44" s="50"/>
      <c r="EK44" s="50"/>
      <c r="EL44" s="50"/>
      <c r="EM44" s="50"/>
      <c r="EN44" s="50"/>
      <c r="EO44" s="50"/>
      <c r="EP44" s="50"/>
      <c r="EQ44" s="50"/>
      <c r="ER44" s="50"/>
      <c r="ES44" s="50"/>
      <c r="ET44" s="50"/>
      <c r="EU44" s="50"/>
      <c r="EV44" s="50"/>
      <c r="EW44" s="50"/>
      <c r="EX44" s="50"/>
      <c r="EY44" s="50"/>
      <c r="EZ44" s="50"/>
      <c r="FA44" s="50"/>
      <c r="FB44" s="50"/>
      <c r="FC44" s="50"/>
      <c r="FD44" s="50"/>
      <c r="FE44" s="50"/>
      <c r="FF44" s="50"/>
      <c r="FG44" s="50"/>
      <c r="FH44" s="50"/>
      <c r="FI44" s="50"/>
      <c r="FJ44" s="50"/>
      <c r="FK44" s="50"/>
      <c r="FL44" s="50"/>
      <c r="FM44" s="50"/>
      <c r="FN44" s="50"/>
      <c r="FO44" s="50"/>
      <c r="FP44" s="50"/>
      <c r="FQ44" s="50"/>
      <c r="FR44" s="50"/>
      <c r="FS44" s="50"/>
      <c r="FT44" s="50"/>
      <c r="FU44" s="50"/>
      <c r="FV44" s="50"/>
      <c r="FW44" s="50"/>
      <c r="FX44" s="50"/>
      <c r="FY44" s="50"/>
      <c r="FZ44" s="50"/>
      <c r="GA44" s="50"/>
      <c r="GB44" s="50"/>
      <c r="GC44" s="50"/>
      <c r="GD44" s="50"/>
      <c r="GE44" s="50"/>
      <c r="GF44" s="50"/>
      <c r="GG44" s="50"/>
      <c r="GH44" s="50"/>
      <c r="GI44" s="50"/>
      <c r="GJ44" s="50"/>
      <c r="GK44" s="50"/>
      <c r="GL44" s="50"/>
      <c r="GM44" s="50"/>
      <c r="GN44" s="50"/>
      <c r="GO44" s="50"/>
      <c r="GP44" s="50"/>
      <c r="GQ44" s="50"/>
      <c r="GR44" s="50"/>
      <c r="GS44" s="50"/>
      <c r="GT44" s="50"/>
      <c r="GU44" s="50"/>
      <c r="GV44" s="50"/>
      <c r="GW44" s="50"/>
      <c r="GX44" s="50"/>
      <c r="GY44" s="50"/>
      <c r="GZ44" s="50"/>
      <c r="HA44" s="50"/>
      <c r="HB44" s="50"/>
      <c r="HC44" s="50"/>
      <c r="HD44" s="50"/>
      <c r="HE44" s="50"/>
      <c r="HF44" s="50"/>
      <c r="HG44" s="50"/>
      <c r="HH44" s="50"/>
      <c r="HI44" s="50"/>
      <c r="HJ44" s="50"/>
      <c r="HK44" s="50"/>
      <c r="HL44" s="50"/>
      <c r="HM44" s="50"/>
      <c r="HN44" s="50"/>
      <c r="HO44" s="50"/>
      <c r="HP44" s="50"/>
      <c r="HQ44" s="50"/>
      <c r="HR44" s="50"/>
      <c r="HS44" s="50"/>
      <c r="HT44" s="50"/>
      <c r="HU44" s="50"/>
      <c r="HV44" s="50"/>
      <c r="HW44" s="50"/>
      <c r="HX44" s="50"/>
      <c r="HY44" s="50"/>
      <c r="HZ44" s="50"/>
      <c r="IA44" s="50"/>
      <c r="IB44" s="50"/>
      <c r="IC44" s="50"/>
      <c r="ID44" s="50"/>
      <c r="IE44" s="50"/>
      <c r="IF44" s="50"/>
      <c r="IG44" s="50"/>
      <c r="IH44" s="50"/>
    </row>
    <row r="45" spans="1:242" hidden="1" x14ac:dyDescent="0.25">
      <c r="A45" s="60">
        <v>27</v>
      </c>
      <c r="B45" s="89"/>
      <c r="C45" s="89"/>
      <c r="D45" s="89"/>
      <c r="E45" s="50"/>
      <c r="F45" s="50"/>
      <c r="G45" s="50"/>
      <c r="H45" s="50"/>
      <c r="I45" s="50"/>
      <c r="J45" s="50"/>
      <c r="K45" s="50"/>
      <c r="L45" s="50" t="s">
        <v>20</v>
      </c>
      <c r="M45" s="158">
        <f>INT(M44)</f>
        <v>9</v>
      </c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  <c r="AB45" s="50"/>
      <c r="AC45" s="50"/>
      <c r="AD45" s="50"/>
      <c r="AE45" s="50"/>
      <c r="AF45" s="50"/>
      <c r="AG45" s="50"/>
      <c r="AH45" s="50"/>
      <c r="AI45" s="50"/>
      <c r="AJ45" s="50"/>
      <c r="AK45" s="50"/>
      <c r="AL45" s="50"/>
      <c r="AM45" s="50"/>
      <c r="AN45" s="50"/>
      <c r="AO45" s="50"/>
      <c r="AP45" s="50"/>
      <c r="AQ45" s="50"/>
      <c r="AR45" s="50"/>
      <c r="AS45" s="50"/>
      <c r="AT45" s="50"/>
      <c r="AU45" s="50"/>
      <c r="AV45" s="50"/>
      <c r="AW45" s="50"/>
      <c r="AX45" s="50"/>
      <c r="AY45" s="50"/>
      <c r="AZ45" s="50"/>
      <c r="BA45" s="50"/>
      <c r="BB45" s="50"/>
      <c r="BC45" s="50"/>
      <c r="BD45" s="50"/>
      <c r="BE45" s="50"/>
      <c r="BF45" s="50"/>
      <c r="BG45" s="50"/>
      <c r="BH45" s="50"/>
      <c r="BI45" s="50"/>
      <c r="BJ45" s="50"/>
      <c r="BK45" s="50"/>
      <c r="BL45" s="50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0"/>
      <c r="CA45" s="50"/>
      <c r="CB45" s="50"/>
      <c r="CC45" s="50"/>
      <c r="CD45" s="50"/>
      <c r="CE45" s="50"/>
      <c r="CF45" s="50"/>
      <c r="CG45" s="50"/>
      <c r="CH45" s="50"/>
      <c r="CI45" s="50"/>
      <c r="CJ45" s="50"/>
      <c r="CK45" s="50"/>
      <c r="CL45" s="50"/>
      <c r="CM45" s="50"/>
      <c r="CN45" s="50"/>
      <c r="CO45" s="50"/>
      <c r="CP45" s="50"/>
      <c r="CQ45" s="50"/>
      <c r="CR45" s="50"/>
      <c r="CS45" s="50"/>
      <c r="CT45" s="50"/>
      <c r="CU45" s="50"/>
      <c r="CV45" s="50"/>
      <c r="CW45" s="50"/>
      <c r="CX45" s="50"/>
      <c r="CY45" s="50"/>
      <c r="CZ45" s="50"/>
      <c r="DA45" s="50"/>
      <c r="DB45" s="50"/>
      <c r="DC45" s="50"/>
      <c r="DD45" s="50"/>
      <c r="DE45" s="50"/>
      <c r="DF45" s="50"/>
      <c r="DG45" s="50"/>
      <c r="DH45" s="50"/>
      <c r="DI45" s="50"/>
      <c r="DJ45" s="50"/>
      <c r="DK45" s="50"/>
      <c r="DL45" s="50"/>
      <c r="DM45" s="50"/>
      <c r="DN45" s="50"/>
      <c r="DO45" s="50"/>
      <c r="DP45" s="50"/>
      <c r="DQ45" s="50"/>
      <c r="DR45" s="50"/>
      <c r="DS45" s="50"/>
      <c r="DT45" s="50"/>
      <c r="DU45" s="50"/>
      <c r="DV45" s="50"/>
      <c r="DW45" s="50"/>
      <c r="DX45" s="50"/>
      <c r="DY45" s="50"/>
      <c r="DZ45" s="50"/>
      <c r="EA45" s="50"/>
      <c r="EB45" s="50"/>
      <c r="EC45" s="50"/>
      <c r="ED45" s="50"/>
      <c r="EE45" s="50"/>
      <c r="EF45" s="50"/>
      <c r="EG45" s="50"/>
      <c r="EH45" s="50"/>
      <c r="EI45" s="50"/>
      <c r="EJ45" s="50"/>
      <c r="EK45" s="50"/>
      <c r="EL45" s="50"/>
      <c r="EM45" s="50"/>
      <c r="EN45" s="50"/>
      <c r="EO45" s="50"/>
      <c r="EP45" s="50"/>
      <c r="EQ45" s="50"/>
      <c r="ER45" s="50"/>
      <c r="ES45" s="50"/>
      <c r="ET45" s="50"/>
      <c r="EU45" s="50"/>
      <c r="EV45" s="50"/>
      <c r="EW45" s="50"/>
      <c r="EX45" s="50"/>
      <c r="EY45" s="50"/>
      <c r="EZ45" s="50"/>
      <c r="FA45" s="50"/>
      <c r="FB45" s="50"/>
      <c r="FC45" s="50"/>
      <c r="FD45" s="50"/>
      <c r="FE45" s="50"/>
      <c r="FF45" s="50"/>
      <c r="FG45" s="50"/>
      <c r="FH45" s="50"/>
      <c r="FI45" s="50"/>
      <c r="FJ45" s="50"/>
      <c r="FK45" s="50"/>
      <c r="FL45" s="50"/>
      <c r="FM45" s="50"/>
      <c r="FN45" s="50"/>
      <c r="FO45" s="50"/>
      <c r="FP45" s="50"/>
      <c r="FQ45" s="50"/>
      <c r="FR45" s="50"/>
      <c r="FS45" s="50"/>
      <c r="FT45" s="50"/>
      <c r="FU45" s="50"/>
      <c r="FV45" s="50"/>
      <c r="FW45" s="50"/>
      <c r="FX45" s="50"/>
      <c r="FY45" s="50"/>
      <c r="FZ45" s="50"/>
      <c r="GA45" s="50"/>
      <c r="GB45" s="50"/>
      <c r="GC45" s="50"/>
      <c r="GD45" s="50"/>
      <c r="GE45" s="50"/>
      <c r="GF45" s="50"/>
      <c r="GG45" s="50"/>
      <c r="GH45" s="50"/>
      <c r="GI45" s="50"/>
      <c r="GJ45" s="50"/>
      <c r="GK45" s="50"/>
      <c r="GL45" s="50"/>
      <c r="GM45" s="50"/>
      <c r="GN45" s="50"/>
      <c r="GO45" s="50"/>
      <c r="GP45" s="50"/>
      <c r="GQ45" s="50"/>
      <c r="GR45" s="50"/>
      <c r="GS45" s="50"/>
      <c r="GT45" s="50"/>
      <c r="GU45" s="50"/>
      <c r="GV45" s="50"/>
      <c r="GW45" s="50"/>
      <c r="GX45" s="50"/>
      <c r="GY45" s="50"/>
      <c r="GZ45" s="50"/>
      <c r="HA45" s="50"/>
      <c r="HB45" s="50"/>
      <c r="HC45" s="50"/>
      <c r="HD45" s="50"/>
      <c r="HE45" s="50"/>
      <c r="HF45" s="50"/>
      <c r="HG45" s="50"/>
      <c r="HH45" s="50"/>
      <c r="HI45" s="50"/>
      <c r="HJ45" s="50"/>
      <c r="HK45" s="50"/>
      <c r="HL45" s="50"/>
      <c r="HM45" s="50"/>
      <c r="HN45" s="50"/>
      <c r="HO45" s="50"/>
      <c r="HP45" s="50"/>
      <c r="HQ45" s="50"/>
      <c r="HR45" s="50"/>
      <c r="HS45" s="50"/>
      <c r="HT45" s="50"/>
      <c r="HU45" s="50"/>
      <c r="HV45" s="50"/>
      <c r="HW45" s="50"/>
      <c r="HX45" s="50"/>
      <c r="HY45" s="50"/>
      <c r="HZ45" s="50"/>
      <c r="IA45" s="50"/>
      <c r="IB45" s="50"/>
      <c r="IC45" s="50"/>
      <c r="ID45" s="50"/>
      <c r="IE45" s="50"/>
      <c r="IF45" s="50"/>
      <c r="IG45" s="50"/>
      <c r="IH45" s="50"/>
    </row>
    <row r="46" spans="1:242" hidden="1" x14ac:dyDescent="0.25">
      <c r="A46" s="60">
        <v>28</v>
      </c>
      <c r="B46" s="89"/>
      <c r="C46" s="89"/>
      <c r="D46" s="89"/>
      <c r="E46" s="50"/>
      <c r="F46" s="50"/>
      <c r="G46" s="50"/>
      <c r="H46" s="50"/>
      <c r="I46" s="50"/>
      <c r="J46" s="50"/>
      <c r="K46" s="50"/>
      <c r="L46" s="50"/>
      <c r="M46" s="158">
        <f>M44-M45</f>
        <v>0.33333333333337123</v>
      </c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  <c r="AB46" s="50"/>
      <c r="AC46" s="50"/>
      <c r="AD46" s="50"/>
      <c r="AE46" s="50"/>
      <c r="AF46" s="50"/>
      <c r="AG46" s="50"/>
      <c r="AH46" s="50"/>
      <c r="AI46" s="50"/>
      <c r="AJ46" s="50"/>
      <c r="AK46" s="50"/>
      <c r="AL46" s="50"/>
      <c r="AM46" s="50"/>
      <c r="AN46" s="50"/>
      <c r="AO46" s="50"/>
      <c r="AP46" s="50"/>
      <c r="AQ46" s="50"/>
      <c r="AR46" s="50"/>
      <c r="AS46" s="50"/>
      <c r="AT46" s="50"/>
      <c r="AU46" s="50"/>
      <c r="AV46" s="50"/>
      <c r="AW46" s="50"/>
      <c r="AX46" s="50"/>
      <c r="AY46" s="50"/>
      <c r="AZ46" s="50"/>
      <c r="BA46" s="50"/>
      <c r="BB46" s="50"/>
      <c r="BC46" s="50"/>
      <c r="BD46" s="50"/>
      <c r="BE46" s="50"/>
      <c r="BF46" s="50"/>
      <c r="BG46" s="50"/>
      <c r="BH46" s="50"/>
      <c r="BI46" s="50"/>
      <c r="BJ46" s="50"/>
      <c r="BK46" s="50"/>
      <c r="BL46" s="50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0"/>
      <c r="CA46" s="50"/>
      <c r="CB46" s="50"/>
      <c r="CC46" s="50"/>
      <c r="CD46" s="50"/>
      <c r="CE46" s="50"/>
      <c r="CF46" s="50"/>
      <c r="CG46" s="50"/>
      <c r="CH46" s="50"/>
      <c r="CI46" s="50"/>
      <c r="CJ46" s="50"/>
      <c r="CK46" s="50"/>
      <c r="CL46" s="50"/>
      <c r="CM46" s="50"/>
      <c r="CN46" s="50"/>
      <c r="CO46" s="50"/>
      <c r="CP46" s="50"/>
      <c r="CQ46" s="50"/>
      <c r="CR46" s="50"/>
      <c r="CS46" s="50"/>
      <c r="CT46" s="50"/>
      <c r="CU46" s="50"/>
      <c r="CV46" s="50"/>
      <c r="CW46" s="50"/>
      <c r="CX46" s="50"/>
      <c r="CY46" s="50"/>
      <c r="CZ46" s="50"/>
      <c r="DA46" s="50"/>
      <c r="DB46" s="50"/>
      <c r="DC46" s="50"/>
      <c r="DD46" s="50"/>
      <c r="DE46" s="50"/>
      <c r="DF46" s="50"/>
      <c r="DG46" s="50"/>
      <c r="DH46" s="50"/>
      <c r="DI46" s="50"/>
      <c r="DJ46" s="50"/>
      <c r="DK46" s="50"/>
      <c r="DL46" s="50"/>
      <c r="DM46" s="50"/>
      <c r="DN46" s="50"/>
      <c r="DO46" s="50"/>
      <c r="DP46" s="50"/>
      <c r="DQ46" s="50"/>
      <c r="DR46" s="50"/>
      <c r="DS46" s="50"/>
      <c r="DT46" s="50"/>
      <c r="DU46" s="50"/>
      <c r="DV46" s="50"/>
      <c r="DW46" s="50"/>
      <c r="DX46" s="50"/>
      <c r="DY46" s="50"/>
      <c r="DZ46" s="50"/>
      <c r="EA46" s="50"/>
      <c r="EB46" s="50"/>
      <c r="EC46" s="50"/>
      <c r="ED46" s="50"/>
      <c r="EE46" s="50"/>
      <c r="EF46" s="50"/>
      <c r="EG46" s="50"/>
      <c r="EH46" s="50"/>
      <c r="EI46" s="50"/>
      <c r="EJ46" s="50"/>
      <c r="EK46" s="50"/>
      <c r="EL46" s="50"/>
      <c r="EM46" s="50"/>
      <c r="EN46" s="50"/>
      <c r="EO46" s="50"/>
      <c r="EP46" s="50"/>
      <c r="EQ46" s="50"/>
      <c r="ER46" s="50"/>
      <c r="ES46" s="50"/>
      <c r="ET46" s="50"/>
      <c r="EU46" s="50"/>
      <c r="EV46" s="50"/>
      <c r="EW46" s="50"/>
      <c r="EX46" s="50"/>
      <c r="EY46" s="50"/>
      <c r="EZ46" s="50"/>
      <c r="FA46" s="50"/>
      <c r="FB46" s="50"/>
      <c r="FC46" s="50"/>
      <c r="FD46" s="50"/>
      <c r="FE46" s="50"/>
      <c r="FF46" s="50"/>
      <c r="FG46" s="50"/>
      <c r="FH46" s="50"/>
      <c r="FI46" s="50"/>
      <c r="FJ46" s="50"/>
      <c r="FK46" s="50"/>
      <c r="FL46" s="50"/>
      <c r="FM46" s="50"/>
      <c r="FN46" s="50"/>
      <c r="FO46" s="50"/>
      <c r="FP46" s="50"/>
      <c r="FQ46" s="50"/>
      <c r="FR46" s="50"/>
      <c r="FS46" s="50"/>
      <c r="FT46" s="50"/>
      <c r="FU46" s="50"/>
      <c r="FV46" s="50"/>
      <c r="FW46" s="50"/>
      <c r="FX46" s="50"/>
      <c r="FY46" s="50"/>
      <c r="FZ46" s="50"/>
      <c r="GA46" s="50"/>
      <c r="GB46" s="50"/>
      <c r="GC46" s="50"/>
      <c r="GD46" s="50"/>
      <c r="GE46" s="50"/>
      <c r="GF46" s="50"/>
      <c r="GG46" s="50"/>
      <c r="GH46" s="50"/>
      <c r="GI46" s="50"/>
      <c r="GJ46" s="50"/>
      <c r="GK46" s="50"/>
      <c r="GL46" s="50"/>
      <c r="GM46" s="50"/>
      <c r="GN46" s="50"/>
      <c r="GO46" s="50"/>
      <c r="GP46" s="50"/>
      <c r="GQ46" s="50"/>
      <c r="GR46" s="50"/>
      <c r="GS46" s="50"/>
      <c r="GT46" s="50"/>
      <c r="GU46" s="50"/>
      <c r="GV46" s="50"/>
      <c r="GW46" s="50"/>
      <c r="GX46" s="50"/>
      <c r="GY46" s="50"/>
      <c r="GZ46" s="50"/>
      <c r="HA46" s="50"/>
      <c r="HB46" s="50"/>
      <c r="HC46" s="50"/>
      <c r="HD46" s="50"/>
      <c r="HE46" s="50"/>
      <c r="HF46" s="50"/>
      <c r="HG46" s="50"/>
      <c r="HH46" s="50"/>
      <c r="HI46" s="50"/>
      <c r="HJ46" s="50"/>
      <c r="HK46" s="50"/>
      <c r="HL46" s="50"/>
      <c r="HM46" s="50"/>
      <c r="HN46" s="50"/>
      <c r="HO46" s="50"/>
      <c r="HP46" s="50"/>
      <c r="HQ46" s="50"/>
      <c r="HR46" s="50"/>
      <c r="HS46" s="50"/>
      <c r="HT46" s="50"/>
      <c r="HU46" s="50"/>
      <c r="HV46" s="50"/>
      <c r="HW46" s="50"/>
      <c r="HX46" s="50"/>
      <c r="HY46" s="50"/>
      <c r="HZ46" s="50"/>
      <c r="IA46" s="50"/>
      <c r="IB46" s="50"/>
      <c r="IC46" s="50"/>
      <c r="ID46" s="50"/>
      <c r="IE46" s="50"/>
      <c r="IF46" s="50"/>
      <c r="IG46" s="50"/>
      <c r="IH46" s="50"/>
    </row>
    <row r="47" spans="1:242" hidden="1" x14ac:dyDescent="0.25">
      <c r="A47" s="60">
        <v>29</v>
      </c>
      <c r="B47" s="89"/>
      <c r="C47" s="89"/>
      <c r="D47" s="89"/>
      <c r="E47" s="50"/>
      <c r="F47" s="50"/>
      <c r="G47" s="50"/>
      <c r="H47" s="50"/>
      <c r="I47" s="50"/>
      <c r="J47" s="50"/>
      <c r="K47" s="50"/>
      <c r="L47" s="50" t="s">
        <v>21</v>
      </c>
      <c r="M47" s="158">
        <f>ROUND(M46*9,0)</f>
        <v>3</v>
      </c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  <c r="AB47" s="50"/>
      <c r="AC47" s="50"/>
      <c r="AD47" s="50"/>
      <c r="AE47" s="50"/>
      <c r="AF47" s="50"/>
      <c r="AG47" s="50"/>
      <c r="AH47" s="50"/>
      <c r="AI47" s="50"/>
      <c r="AJ47" s="50"/>
      <c r="AK47" s="50"/>
      <c r="AL47" s="50"/>
      <c r="AM47" s="50"/>
      <c r="AN47" s="50"/>
      <c r="AO47" s="50"/>
      <c r="AP47" s="50"/>
      <c r="AQ47" s="50"/>
      <c r="AR47" s="50"/>
      <c r="AS47" s="50"/>
      <c r="AT47" s="50"/>
      <c r="AU47" s="50"/>
      <c r="AV47" s="50"/>
      <c r="AW47" s="50"/>
      <c r="AX47" s="50"/>
      <c r="AY47" s="50"/>
      <c r="AZ47" s="50"/>
      <c r="BA47" s="50"/>
      <c r="BB47" s="50"/>
      <c r="BC47" s="50"/>
      <c r="BD47" s="50"/>
      <c r="BE47" s="50"/>
      <c r="BF47" s="50"/>
      <c r="BG47" s="50"/>
      <c r="BH47" s="50"/>
      <c r="BI47" s="50"/>
      <c r="BJ47" s="50"/>
      <c r="BK47" s="50"/>
      <c r="BL47" s="50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0"/>
      <c r="CA47" s="50"/>
      <c r="CB47" s="50"/>
      <c r="CC47" s="50"/>
      <c r="CD47" s="50"/>
      <c r="CE47" s="50"/>
      <c r="CF47" s="50"/>
      <c r="CG47" s="50"/>
      <c r="CH47" s="50"/>
      <c r="CI47" s="50"/>
      <c r="CJ47" s="50"/>
      <c r="CK47" s="50"/>
      <c r="CL47" s="50"/>
      <c r="CM47" s="50"/>
      <c r="CN47" s="50"/>
      <c r="CO47" s="50"/>
      <c r="CP47" s="50"/>
      <c r="CQ47" s="50"/>
      <c r="CR47" s="50"/>
      <c r="CS47" s="50"/>
      <c r="CT47" s="50"/>
      <c r="CU47" s="50"/>
      <c r="CV47" s="50"/>
      <c r="CW47" s="50"/>
      <c r="CX47" s="50"/>
      <c r="CY47" s="50"/>
      <c r="CZ47" s="50"/>
      <c r="DA47" s="50"/>
      <c r="DB47" s="50"/>
      <c r="DC47" s="50"/>
      <c r="DD47" s="50"/>
      <c r="DE47" s="50"/>
      <c r="DF47" s="50"/>
      <c r="DG47" s="50"/>
      <c r="DH47" s="50"/>
      <c r="DI47" s="50"/>
      <c r="DJ47" s="50"/>
      <c r="DK47" s="50"/>
      <c r="DL47" s="50"/>
      <c r="DM47" s="50"/>
      <c r="DN47" s="50"/>
      <c r="DO47" s="50"/>
      <c r="DP47" s="50"/>
      <c r="DQ47" s="50"/>
      <c r="DR47" s="50"/>
      <c r="DS47" s="50"/>
      <c r="DT47" s="50"/>
      <c r="DU47" s="50"/>
      <c r="DV47" s="50"/>
      <c r="DW47" s="50"/>
      <c r="DX47" s="50"/>
      <c r="DY47" s="50"/>
      <c r="DZ47" s="50"/>
      <c r="EA47" s="50"/>
      <c r="EB47" s="50"/>
      <c r="EC47" s="50"/>
      <c r="ED47" s="50"/>
      <c r="EE47" s="50"/>
      <c r="EF47" s="50"/>
      <c r="EG47" s="50"/>
      <c r="EH47" s="50"/>
      <c r="EI47" s="50"/>
      <c r="EJ47" s="50"/>
      <c r="EK47" s="50"/>
      <c r="EL47" s="50"/>
      <c r="EM47" s="50"/>
      <c r="EN47" s="50"/>
      <c r="EO47" s="50"/>
      <c r="EP47" s="50"/>
      <c r="EQ47" s="50"/>
      <c r="ER47" s="50"/>
      <c r="ES47" s="50"/>
      <c r="ET47" s="50"/>
      <c r="EU47" s="50"/>
      <c r="EV47" s="50"/>
      <c r="EW47" s="50"/>
      <c r="EX47" s="50"/>
      <c r="EY47" s="50"/>
      <c r="EZ47" s="50"/>
      <c r="FA47" s="50"/>
      <c r="FB47" s="50"/>
      <c r="FC47" s="50"/>
      <c r="FD47" s="50"/>
      <c r="FE47" s="50"/>
      <c r="FF47" s="50"/>
      <c r="FG47" s="50"/>
      <c r="FH47" s="50"/>
      <c r="FI47" s="50"/>
      <c r="FJ47" s="50"/>
      <c r="FK47" s="50"/>
      <c r="FL47" s="50"/>
      <c r="FM47" s="50"/>
      <c r="FN47" s="50"/>
      <c r="FO47" s="50"/>
      <c r="FP47" s="50"/>
      <c r="FQ47" s="50"/>
      <c r="FR47" s="50"/>
      <c r="FS47" s="50"/>
      <c r="FT47" s="50"/>
      <c r="FU47" s="50"/>
      <c r="FV47" s="50"/>
      <c r="FW47" s="50"/>
      <c r="FX47" s="50"/>
      <c r="FY47" s="50"/>
      <c r="FZ47" s="50"/>
      <c r="GA47" s="50"/>
      <c r="GB47" s="50"/>
      <c r="GC47" s="50"/>
      <c r="GD47" s="50"/>
      <c r="GE47" s="50"/>
      <c r="GF47" s="50"/>
      <c r="GG47" s="50"/>
      <c r="GH47" s="50"/>
      <c r="GI47" s="50"/>
      <c r="GJ47" s="50"/>
      <c r="GK47" s="50"/>
      <c r="GL47" s="50"/>
      <c r="GM47" s="50"/>
      <c r="GN47" s="50"/>
      <c r="GO47" s="50"/>
      <c r="GP47" s="50"/>
      <c r="GQ47" s="50"/>
      <c r="GR47" s="50"/>
      <c r="GS47" s="50"/>
      <c r="GT47" s="50"/>
      <c r="GU47" s="50"/>
      <c r="GV47" s="50"/>
      <c r="GW47" s="50"/>
      <c r="GX47" s="50"/>
      <c r="GY47" s="50"/>
      <c r="GZ47" s="50"/>
      <c r="HA47" s="50"/>
      <c r="HB47" s="50"/>
      <c r="HC47" s="50"/>
      <c r="HD47" s="50"/>
      <c r="HE47" s="50"/>
      <c r="HF47" s="50"/>
      <c r="HG47" s="50"/>
      <c r="HH47" s="50"/>
      <c r="HI47" s="50"/>
      <c r="HJ47" s="50"/>
      <c r="HK47" s="50"/>
      <c r="HL47" s="50"/>
      <c r="HM47" s="50"/>
      <c r="HN47" s="50"/>
      <c r="HO47" s="50"/>
      <c r="HP47" s="50"/>
      <c r="HQ47" s="50"/>
      <c r="HR47" s="50"/>
      <c r="HS47" s="50"/>
      <c r="HT47" s="50"/>
      <c r="HU47" s="50"/>
      <c r="HV47" s="50"/>
      <c r="HW47" s="50"/>
      <c r="HX47" s="50"/>
      <c r="HY47" s="50"/>
      <c r="HZ47" s="50"/>
      <c r="IA47" s="50"/>
      <c r="IB47" s="50"/>
      <c r="IC47" s="50"/>
      <c r="ID47" s="50"/>
      <c r="IE47" s="50"/>
      <c r="IF47" s="50"/>
      <c r="IG47" s="50"/>
      <c r="IH47" s="50"/>
    </row>
    <row r="48" spans="1:242" x14ac:dyDescent="0.25">
      <c r="A48" s="60">
        <v>3</v>
      </c>
      <c r="B48" s="89"/>
      <c r="C48" s="89"/>
      <c r="D48" s="89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  <c r="AB48" s="50"/>
      <c r="AC48" s="50"/>
      <c r="AD48" s="50"/>
      <c r="AE48" s="50"/>
      <c r="AF48" s="50"/>
      <c r="AG48" s="50"/>
      <c r="AH48" s="50"/>
      <c r="AI48" s="50"/>
      <c r="AJ48" s="50"/>
      <c r="AK48" s="50"/>
      <c r="AL48" s="50"/>
      <c r="AM48" s="50"/>
      <c r="AN48" s="50"/>
      <c r="AO48" s="50"/>
      <c r="AP48" s="50"/>
      <c r="AQ48" s="50"/>
      <c r="AR48" s="50"/>
      <c r="AS48" s="50"/>
      <c r="AT48" s="50"/>
      <c r="AU48" s="50"/>
      <c r="AV48" s="50"/>
      <c r="AW48" s="50"/>
      <c r="AX48" s="50"/>
      <c r="AY48" s="50"/>
      <c r="AZ48" s="50"/>
      <c r="BA48" s="50"/>
      <c r="BB48" s="50"/>
      <c r="BC48" s="50"/>
      <c r="BD48" s="50"/>
      <c r="BE48" s="50"/>
      <c r="BF48" s="50"/>
      <c r="BG48" s="50"/>
      <c r="BH48" s="50"/>
      <c r="BI48" s="50"/>
      <c r="BJ48" s="50"/>
      <c r="BK48" s="50"/>
      <c r="BL48" s="50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0"/>
      <c r="CA48" s="50"/>
      <c r="CB48" s="50"/>
      <c r="CC48" s="50"/>
      <c r="CD48" s="50"/>
      <c r="CE48" s="50"/>
      <c r="CF48" s="50"/>
      <c r="CG48" s="50"/>
      <c r="CH48" s="50"/>
      <c r="CI48" s="50"/>
      <c r="CJ48" s="50"/>
      <c r="CK48" s="50"/>
      <c r="CL48" s="50"/>
      <c r="CM48" s="50"/>
      <c r="CN48" s="50"/>
      <c r="CO48" s="50"/>
      <c r="CP48" s="50"/>
      <c r="CQ48" s="50"/>
      <c r="CR48" s="50"/>
      <c r="CS48" s="50"/>
      <c r="CT48" s="50"/>
      <c r="CU48" s="50"/>
      <c r="CV48" s="50"/>
      <c r="CW48" s="50"/>
      <c r="CX48" s="50"/>
      <c r="CY48" s="50"/>
      <c r="CZ48" s="50"/>
      <c r="DA48" s="50"/>
      <c r="DB48" s="50"/>
      <c r="DC48" s="50"/>
      <c r="DD48" s="50"/>
      <c r="DE48" s="50"/>
      <c r="DF48" s="50"/>
      <c r="DG48" s="50"/>
      <c r="DH48" s="50"/>
      <c r="DI48" s="50"/>
      <c r="DJ48" s="50"/>
      <c r="DK48" s="50"/>
      <c r="DL48" s="50"/>
      <c r="DM48" s="50"/>
      <c r="DN48" s="50"/>
      <c r="DO48" s="50"/>
      <c r="DP48" s="50"/>
      <c r="DQ48" s="50"/>
      <c r="DR48" s="50"/>
      <c r="DS48" s="50"/>
      <c r="DT48" s="50"/>
      <c r="DU48" s="50"/>
      <c r="DV48" s="50"/>
      <c r="DW48" s="50"/>
      <c r="DX48" s="50"/>
      <c r="DY48" s="50"/>
      <c r="DZ48" s="50"/>
      <c r="EA48" s="50"/>
      <c r="EB48" s="50"/>
      <c r="EC48" s="50"/>
      <c r="ED48" s="50"/>
      <c r="EE48" s="50"/>
      <c r="EF48" s="50"/>
      <c r="EG48" s="50"/>
      <c r="EH48" s="50"/>
      <c r="EI48" s="50"/>
      <c r="EJ48" s="50"/>
      <c r="EK48" s="50"/>
      <c r="EL48" s="50"/>
      <c r="EM48" s="50"/>
      <c r="EN48" s="50"/>
      <c r="EO48" s="50"/>
      <c r="EP48" s="50"/>
      <c r="EQ48" s="50"/>
      <c r="ER48" s="50"/>
      <c r="ES48" s="50"/>
      <c r="ET48" s="50"/>
      <c r="EU48" s="50"/>
      <c r="EV48" s="50"/>
      <c r="EW48" s="50"/>
      <c r="EX48" s="50"/>
      <c r="EY48" s="50"/>
      <c r="EZ48" s="50"/>
      <c r="FA48" s="50"/>
      <c r="FB48" s="50"/>
      <c r="FC48" s="50"/>
      <c r="FD48" s="50"/>
      <c r="FE48" s="50"/>
      <c r="FF48" s="50"/>
      <c r="FG48" s="50"/>
      <c r="FH48" s="50"/>
      <c r="FI48" s="50"/>
      <c r="FJ48" s="50"/>
      <c r="FK48" s="50"/>
      <c r="FL48" s="50"/>
      <c r="FM48" s="50"/>
      <c r="FN48" s="50"/>
      <c r="FO48" s="50"/>
      <c r="FP48" s="50"/>
      <c r="FQ48" s="50"/>
      <c r="FR48" s="50"/>
      <c r="FS48" s="50"/>
      <c r="FT48" s="50"/>
      <c r="FU48" s="50"/>
      <c r="FV48" s="50"/>
      <c r="FW48" s="50"/>
      <c r="FX48" s="50"/>
      <c r="FY48" s="50"/>
      <c r="FZ48" s="50"/>
      <c r="GA48" s="50"/>
      <c r="GB48" s="50"/>
      <c r="GC48" s="50"/>
      <c r="GD48" s="50"/>
      <c r="GE48" s="50"/>
      <c r="GF48" s="50"/>
      <c r="GG48" s="50"/>
      <c r="GH48" s="50"/>
      <c r="GI48" s="50"/>
      <c r="GJ48" s="50"/>
      <c r="GK48" s="50"/>
      <c r="GL48" s="50"/>
      <c r="GM48" s="50"/>
      <c r="GN48" s="50"/>
      <c r="GO48" s="50"/>
      <c r="GP48" s="50"/>
      <c r="GQ48" s="50"/>
      <c r="GR48" s="50"/>
      <c r="GS48" s="50"/>
      <c r="GT48" s="50"/>
      <c r="GU48" s="50"/>
      <c r="GV48" s="50"/>
      <c r="GW48" s="50"/>
      <c r="GX48" s="50"/>
      <c r="GY48" s="50"/>
      <c r="GZ48" s="50"/>
      <c r="HA48" s="50"/>
      <c r="HB48" s="50"/>
      <c r="HC48" s="50"/>
      <c r="HD48" s="50"/>
      <c r="HE48" s="50"/>
      <c r="HF48" s="50"/>
      <c r="HG48" s="50"/>
      <c r="HH48" s="50"/>
      <c r="HI48" s="50"/>
      <c r="HJ48" s="50"/>
      <c r="HK48" s="50"/>
      <c r="HL48" s="50"/>
      <c r="HM48" s="50"/>
      <c r="HN48" s="50"/>
      <c r="HO48" s="50"/>
      <c r="HP48" s="50"/>
      <c r="HQ48" s="50"/>
      <c r="HR48" s="50"/>
      <c r="HS48" s="50"/>
      <c r="HT48" s="50"/>
      <c r="HU48" s="50"/>
      <c r="HV48" s="50"/>
      <c r="HW48" s="50"/>
      <c r="HX48" s="50"/>
      <c r="HY48" s="50"/>
      <c r="HZ48" s="50"/>
      <c r="IA48" s="50"/>
      <c r="IB48" s="50"/>
      <c r="IC48" s="50"/>
      <c r="ID48" s="50"/>
      <c r="IE48" s="50"/>
      <c r="IF48" s="50"/>
      <c r="IG48" s="50"/>
      <c r="IH48" s="50"/>
    </row>
    <row r="49" spans="1:242" x14ac:dyDescent="0.25">
      <c r="A49" s="60">
        <v>4</v>
      </c>
      <c r="B49" s="89"/>
      <c r="C49" s="89"/>
      <c r="D49" s="89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  <c r="AB49" s="50"/>
      <c r="AC49" s="50"/>
      <c r="AD49" s="50"/>
      <c r="AE49" s="50"/>
      <c r="AF49" s="50"/>
      <c r="AG49" s="50"/>
      <c r="AH49" s="50"/>
      <c r="AI49" s="50"/>
      <c r="AJ49" s="50"/>
      <c r="AK49" s="50"/>
      <c r="AL49" s="50"/>
      <c r="AM49" s="50"/>
      <c r="AN49" s="50"/>
      <c r="AO49" s="50"/>
      <c r="AP49" s="50"/>
      <c r="AQ49" s="50"/>
      <c r="AR49" s="50"/>
      <c r="AS49" s="50"/>
      <c r="AT49" s="50"/>
      <c r="AU49" s="50"/>
      <c r="AV49" s="50"/>
      <c r="AW49" s="50"/>
      <c r="AX49" s="50"/>
      <c r="AY49" s="50"/>
      <c r="AZ49" s="50"/>
      <c r="BA49" s="50"/>
      <c r="BB49" s="50"/>
      <c r="BC49" s="50"/>
      <c r="BD49" s="50"/>
      <c r="BE49" s="50"/>
      <c r="BF49" s="50"/>
      <c r="BG49" s="50"/>
      <c r="BH49" s="50"/>
      <c r="BI49" s="50"/>
      <c r="BJ49" s="50"/>
      <c r="BK49" s="50"/>
      <c r="BL49" s="50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0"/>
      <c r="CA49" s="50"/>
      <c r="CB49" s="50"/>
      <c r="CC49" s="50"/>
      <c r="CD49" s="50"/>
      <c r="CE49" s="50"/>
      <c r="CF49" s="50"/>
      <c r="CG49" s="50"/>
      <c r="CH49" s="50"/>
      <c r="CI49" s="50"/>
      <c r="CJ49" s="50"/>
      <c r="CK49" s="50"/>
      <c r="CL49" s="50"/>
      <c r="CM49" s="50"/>
      <c r="CN49" s="50"/>
      <c r="CO49" s="50"/>
      <c r="CP49" s="50"/>
      <c r="CQ49" s="50"/>
      <c r="CR49" s="50"/>
      <c r="CS49" s="50"/>
      <c r="CT49" s="50"/>
      <c r="CU49" s="50"/>
      <c r="CV49" s="50"/>
      <c r="CW49" s="50"/>
      <c r="CX49" s="50"/>
      <c r="CY49" s="50"/>
      <c r="CZ49" s="50"/>
      <c r="DA49" s="50"/>
      <c r="DB49" s="50"/>
      <c r="DC49" s="50"/>
      <c r="DD49" s="50"/>
      <c r="DE49" s="50"/>
      <c r="DF49" s="50"/>
      <c r="DG49" s="50"/>
      <c r="DH49" s="50"/>
      <c r="DI49" s="50"/>
      <c r="DJ49" s="50"/>
      <c r="DK49" s="50"/>
      <c r="DL49" s="50"/>
      <c r="DM49" s="50"/>
      <c r="DN49" s="50"/>
      <c r="DO49" s="50"/>
      <c r="DP49" s="50"/>
      <c r="DQ49" s="50"/>
      <c r="DR49" s="50"/>
      <c r="DS49" s="50"/>
      <c r="DT49" s="50"/>
      <c r="DU49" s="50"/>
      <c r="DV49" s="50"/>
      <c r="DW49" s="50"/>
      <c r="DX49" s="50"/>
      <c r="DY49" s="50"/>
      <c r="DZ49" s="50"/>
      <c r="EA49" s="50"/>
      <c r="EB49" s="50"/>
      <c r="EC49" s="50"/>
      <c r="ED49" s="50"/>
      <c r="EE49" s="50"/>
      <c r="EF49" s="50"/>
      <c r="EG49" s="50"/>
      <c r="EH49" s="50"/>
      <c r="EI49" s="50"/>
      <c r="EJ49" s="50"/>
      <c r="EK49" s="50"/>
      <c r="EL49" s="50"/>
      <c r="EM49" s="50"/>
      <c r="EN49" s="50"/>
      <c r="EO49" s="50"/>
      <c r="EP49" s="50"/>
      <c r="EQ49" s="50"/>
      <c r="ER49" s="50"/>
      <c r="ES49" s="50"/>
      <c r="ET49" s="50"/>
      <c r="EU49" s="50"/>
      <c r="EV49" s="50"/>
      <c r="EW49" s="50"/>
      <c r="EX49" s="50"/>
      <c r="EY49" s="50"/>
      <c r="EZ49" s="50"/>
      <c r="FA49" s="50"/>
      <c r="FB49" s="50"/>
      <c r="FC49" s="50"/>
      <c r="FD49" s="50"/>
      <c r="FE49" s="50"/>
      <c r="FF49" s="50"/>
      <c r="FG49" s="50"/>
      <c r="FH49" s="50"/>
      <c r="FI49" s="50"/>
      <c r="FJ49" s="50"/>
      <c r="FK49" s="50"/>
      <c r="FL49" s="50"/>
      <c r="FM49" s="50"/>
      <c r="FN49" s="50"/>
      <c r="FO49" s="50"/>
      <c r="FP49" s="50"/>
      <c r="FQ49" s="50"/>
      <c r="FR49" s="50"/>
      <c r="FS49" s="50"/>
      <c r="FT49" s="50"/>
      <c r="FU49" s="50"/>
      <c r="FV49" s="50"/>
      <c r="FW49" s="50"/>
      <c r="FX49" s="50"/>
      <c r="FY49" s="50"/>
      <c r="FZ49" s="50"/>
      <c r="GA49" s="50"/>
      <c r="GB49" s="50"/>
      <c r="GC49" s="50"/>
      <c r="GD49" s="50"/>
      <c r="GE49" s="50"/>
      <c r="GF49" s="50"/>
      <c r="GG49" s="50"/>
      <c r="GH49" s="50"/>
      <c r="GI49" s="50"/>
      <c r="GJ49" s="50"/>
      <c r="GK49" s="50"/>
      <c r="GL49" s="50"/>
      <c r="GM49" s="50"/>
      <c r="GN49" s="50"/>
      <c r="GO49" s="50"/>
      <c r="GP49" s="50"/>
      <c r="GQ49" s="50"/>
      <c r="GR49" s="50"/>
      <c r="GS49" s="50"/>
      <c r="GT49" s="50"/>
      <c r="GU49" s="50"/>
      <c r="GV49" s="50"/>
      <c r="GW49" s="50"/>
      <c r="GX49" s="50"/>
      <c r="GY49" s="50"/>
      <c r="GZ49" s="50"/>
      <c r="HA49" s="50"/>
      <c r="HB49" s="50"/>
      <c r="HC49" s="50"/>
      <c r="HD49" s="50"/>
      <c r="HE49" s="50"/>
      <c r="HF49" s="50"/>
      <c r="HG49" s="50"/>
      <c r="HH49" s="50"/>
      <c r="HI49" s="50"/>
      <c r="HJ49" s="50"/>
      <c r="HK49" s="50"/>
      <c r="HL49" s="50"/>
      <c r="HM49" s="50"/>
      <c r="HN49" s="50"/>
      <c r="HO49" s="50"/>
      <c r="HP49" s="50"/>
      <c r="HQ49" s="50"/>
      <c r="HR49" s="50"/>
      <c r="HS49" s="50"/>
      <c r="HT49" s="50"/>
      <c r="HU49" s="50"/>
      <c r="HV49" s="50"/>
      <c r="HW49" s="50"/>
      <c r="HX49" s="50"/>
      <c r="HY49" s="50"/>
      <c r="HZ49" s="50"/>
      <c r="IA49" s="50"/>
      <c r="IB49" s="50"/>
      <c r="IC49" s="50"/>
      <c r="ID49" s="50"/>
      <c r="IE49" s="50"/>
      <c r="IF49" s="50"/>
      <c r="IG49" s="50"/>
      <c r="IH49" s="50"/>
    </row>
    <row r="50" spans="1:242" x14ac:dyDescent="0.25">
      <c r="A50" s="60">
        <v>5</v>
      </c>
      <c r="B50" s="89"/>
      <c r="C50" s="89"/>
      <c r="D50" s="89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  <c r="AM50" s="50"/>
      <c r="AN50" s="50"/>
      <c r="AO50" s="50"/>
      <c r="AP50" s="50"/>
      <c r="AQ50" s="50"/>
      <c r="AR50" s="50"/>
      <c r="AS50" s="50"/>
      <c r="AT50" s="50"/>
      <c r="AU50" s="50"/>
      <c r="AV50" s="50"/>
      <c r="AW50" s="50"/>
      <c r="AX50" s="50"/>
      <c r="AY50" s="50"/>
      <c r="AZ50" s="50"/>
      <c r="BA50" s="50"/>
      <c r="BB50" s="50"/>
      <c r="BC50" s="50"/>
      <c r="BD50" s="50"/>
      <c r="BE50" s="50"/>
      <c r="BF50" s="50"/>
      <c r="BG50" s="50"/>
      <c r="BH50" s="50"/>
      <c r="BI50" s="50"/>
      <c r="BJ50" s="50"/>
      <c r="BK50" s="50"/>
      <c r="BL50" s="50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0"/>
      <c r="CA50" s="50"/>
      <c r="CB50" s="50"/>
      <c r="CC50" s="50"/>
      <c r="CD50" s="50"/>
      <c r="CE50" s="50"/>
      <c r="CF50" s="50"/>
      <c r="CG50" s="50"/>
      <c r="CH50" s="50"/>
      <c r="CI50" s="50"/>
      <c r="CJ50" s="50"/>
      <c r="CK50" s="50"/>
      <c r="CL50" s="50"/>
      <c r="CM50" s="50"/>
      <c r="CN50" s="50"/>
      <c r="CO50" s="50"/>
      <c r="CP50" s="50"/>
      <c r="CQ50" s="50"/>
      <c r="CR50" s="50"/>
      <c r="CS50" s="50"/>
      <c r="CT50" s="50"/>
      <c r="CU50" s="50"/>
      <c r="CV50" s="50"/>
      <c r="CW50" s="50"/>
      <c r="CX50" s="50"/>
      <c r="CY50" s="50"/>
      <c r="CZ50" s="50"/>
      <c r="DA50" s="50"/>
      <c r="DB50" s="50"/>
      <c r="DC50" s="50"/>
      <c r="DD50" s="50"/>
      <c r="DE50" s="50"/>
      <c r="DF50" s="50"/>
      <c r="DG50" s="50"/>
      <c r="DH50" s="50"/>
      <c r="DI50" s="50"/>
      <c r="DJ50" s="50"/>
      <c r="DK50" s="50"/>
      <c r="DL50" s="50"/>
      <c r="DM50" s="50"/>
      <c r="DN50" s="50"/>
      <c r="DO50" s="50"/>
      <c r="DP50" s="50"/>
      <c r="DQ50" s="50"/>
      <c r="DR50" s="50"/>
      <c r="DS50" s="50"/>
      <c r="DT50" s="50"/>
      <c r="DU50" s="50"/>
      <c r="DV50" s="50"/>
      <c r="DW50" s="50"/>
      <c r="DX50" s="50"/>
      <c r="DY50" s="50"/>
      <c r="DZ50" s="50"/>
      <c r="EA50" s="50"/>
      <c r="EB50" s="50"/>
      <c r="EC50" s="50"/>
      <c r="ED50" s="50"/>
      <c r="EE50" s="50"/>
      <c r="EF50" s="50"/>
      <c r="EG50" s="50"/>
      <c r="EH50" s="50"/>
      <c r="EI50" s="50"/>
      <c r="EJ50" s="50"/>
      <c r="EK50" s="50"/>
      <c r="EL50" s="50"/>
      <c r="EM50" s="50"/>
      <c r="EN50" s="50"/>
      <c r="EO50" s="50"/>
      <c r="EP50" s="50"/>
      <c r="EQ50" s="50"/>
      <c r="ER50" s="50"/>
      <c r="ES50" s="50"/>
      <c r="ET50" s="50"/>
      <c r="EU50" s="50"/>
      <c r="EV50" s="50"/>
      <c r="EW50" s="50"/>
      <c r="EX50" s="50"/>
      <c r="EY50" s="50"/>
      <c r="EZ50" s="50"/>
      <c r="FA50" s="50"/>
      <c r="FB50" s="50"/>
      <c r="FC50" s="50"/>
      <c r="FD50" s="50"/>
      <c r="FE50" s="50"/>
      <c r="FF50" s="50"/>
      <c r="FG50" s="50"/>
      <c r="FH50" s="50"/>
      <c r="FI50" s="50"/>
      <c r="FJ50" s="50"/>
      <c r="FK50" s="50"/>
      <c r="FL50" s="50"/>
      <c r="FM50" s="50"/>
      <c r="FN50" s="50"/>
      <c r="FO50" s="50"/>
      <c r="FP50" s="50"/>
      <c r="FQ50" s="50"/>
      <c r="FR50" s="50"/>
      <c r="FS50" s="50"/>
      <c r="FT50" s="50"/>
      <c r="FU50" s="50"/>
      <c r="FV50" s="50"/>
      <c r="FW50" s="50"/>
      <c r="FX50" s="50"/>
      <c r="FY50" s="50"/>
      <c r="FZ50" s="50"/>
      <c r="GA50" s="50"/>
      <c r="GB50" s="50"/>
      <c r="GC50" s="50"/>
      <c r="GD50" s="50"/>
      <c r="GE50" s="50"/>
      <c r="GF50" s="50"/>
      <c r="GG50" s="50"/>
      <c r="GH50" s="50"/>
      <c r="GI50" s="50"/>
      <c r="GJ50" s="50"/>
      <c r="GK50" s="50"/>
      <c r="GL50" s="50"/>
      <c r="GM50" s="50"/>
      <c r="GN50" s="50"/>
      <c r="GO50" s="50"/>
      <c r="GP50" s="50"/>
      <c r="GQ50" s="50"/>
      <c r="GR50" s="50"/>
      <c r="GS50" s="50"/>
      <c r="GT50" s="50"/>
      <c r="GU50" s="50"/>
      <c r="GV50" s="50"/>
      <c r="GW50" s="50"/>
      <c r="GX50" s="50"/>
      <c r="GY50" s="50"/>
      <c r="GZ50" s="50"/>
      <c r="HA50" s="50"/>
      <c r="HB50" s="50"/>
      <c r="HC50" s="50"/>
      <c r="HD50" s="50"/>
      <c r="HE50" s="50"/>
      <c r="HF50" s="50"/>
      <c r="HG50" s="50"/>
      <c r="HH50" s="50"/>
      <c r="HI50" s="50"/>
      <c r="HJ50" s="50"/>
      <c r="HK50" s="50"/>
      <c r="HL50" s="50"/>
      <c r="HM50" s="50"/>
      <c r="HN50" s="50"/>
      <c r="HO50" s="50"/>
      <c r="HP50" s="50"/>
      <c r="HQ50" s="50"/>
      <c r="HR50" s="50"/>
      <c r="HS50" s="50"/>
      <c r="HT50" s="50"/>
      <c r="HU50" s="50"/>
      <c r="HV50" s="50"/>
      <c r="HW50" s="50"/>
      <c r="HX50" s="50"/>
      <c r="HY50" s="50"/>
      <c r="HZ50" s="50"/>
      <c r="IA50" s="50"/>
      <c r="IB50" s="50"/>
      <c r="IC50" s="50"/>
      <c r="ID50" s="50"/>
      <c r="IE50" s="50"/>
      <c r="IF50" s="50"/>
      <c r="IG50" s="50"/>
      <c r="IH50" s="50"/>
    </row>
    <row r="51" spans="1:242" x14ac:dyDescent="0.25">
      <c r="A51" s="60">
        <v>6</v>
      </c>
      <c r="B51" s="89"/>
      <c r="C51" s="89"/>
      <c r="D51" s="89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  <c r="AA51" s="50"/>
      <c r="AB51" s="50"/>
      <c r="AC51" s="50"/>
      <c r="AD51" s="50"/>
      <c r="AE51" s="50"/>
      <c r="AF51" s="50"/>
      <c r="AG51" s="50"/>
      <c r="AH51" s="50"/>
      <c r="AI51" s="50"/>
      <c r="AJ51" s="50"/>
      <c r="AK51" s="50"/>
      <c r="AL51" s="50"/>
      <c r="AM51" s="50"/>
      <c r="AN51" s="50"/>
      <c r="AO51" s="50"/>
      <c r="AP51" s="50"/>
      <c r="AQ51" s="50"/>
      <c r="AR51" s="50"/>
      <c r="AS51" s="50"/>
      <c r="AT51" s="50"/>
      <c r="AU51" s="50"/>
      <c r="AV51" s="50"/>
      <c r="AW51" s="50"/>
      <c r="AX51" s="50"/>
      <c r="AY51" s="50"/>
      <c r="AZ51" s="50"/>
      <c r="BA51" s="50"/>
      <c r="BB51" s="50"/>
      <c r="BC51" s="50"/>
      <c r="BD51" s="50"/>
      <c r="BE51" s="50"/>
      <c r="BF51" s="50"/>
      <c r="BG51" s="50"/>
      <c r="BH51" s="50"/>
      <c r="BI51" s="50"/>
      <c r="BJ51" s="50"/>
      <c r="BK51" s="50"/>
      <c r="BL51" s="50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0"/>
      <c r="CA51" s="50"/>
      <c r="CB51" s="50"/>
      <c r="CC51" s="50"/>
      <c r="CD51" s="50"/>
      <c r="CE51" s="50"/>
      <c r="CF51" s="50"/>
      <c r="CG51" s="50"/>
      <c r="CH51" s="50"/>
      <c r="CI51" s="50"/>
      <c r="CJ51" s="50"/>
      <c r="CK51" s="50"/>
      <c r="CL51" s="50"/>
      <c r="CM51" s="50"/>
      <c r="CN51" s="50"/>
      <c r="CO51" s="50"/>
      <c r="CP51" s="50"/>
      <c r="CQ51" s="50"/>
      <c r="CR51" s="50"/>
      <c r="CS51" s="50"/>
      <c r="CT51" s="50"/>
      <c r="CU51" s="50"/>
      <c r="CV51" s="50"/>
      <c r="CW51" s="50"/>
      <c r="CX51" s="50"/>
      <c r="CY51" s="50"/>
      <c r="CZ51" s="50"/>
      <c r="DA51" s="50"/>
      <c r="DB51" s="50"/>
      <c r="DC51" s="50"/>
      <c r="DD51" s="50"/>
      <c r="DE51" s="50"/>
      <c r="DF51" s="50"/>
      <c r="DG51" s="50"/>
      <c r="DH51" s="50"/>
      <c r="DI51" s="50"/>
      <c r="DJ51" s="50"/>
      <c r="DK51" s="50"/>
      <c r="DL51" s="50"/>
      <c r="DM51" s="50"/>
      <c r="DN51" s="50"/>
      <c r="DO51" s="50"/>
      <c r="DP51" s="50"/>
      <c r="DQ51" s="50"/>
      <c r="DR51" s="50"/>
      <c r="DS51" s="50"/>
      <c r="DT51" s="50"/>
      <c r="DU51" s="50"/>
      <c r="DV51" s="50"/>
      <c r="DW51" s="50"/>
      <c r="DX51" s="50"/>
      <c r="DY51" s="50"/>
      <c r="DZ51" s="50"/>
      <c r="EA51" s="50"/>
      <c r="EB51" s="50"/>
      <c r="EC51" s="50"/>
      <c r="ED51" s="50"/>
      <c r="EE51" s="50"/>
      <c r="EF51" s="50"/>
      <c r="EG51" s="50"/>
      <c r="EH51" s="50"/>
      <c r="EI51" s="50"/>
      <c r="EJ51" s="50"/>
      <c r="EK51" s="50"/>
      <c r="EL51" s="50"/>
      <c r="EM51" s="50"/>
      <c r="EN51" s="50"/>
      <c r="EO51" s="50"/>
      <c r="EP51" s="50"/>
      <c r="EQ51" s="50"/>
      <c r="ER51" s="50"/>
      <c r="ES51" s="50"/>
      <c r="ET51" s="50"/>
      <c r="EU51" s="50"/>
      <c r="EV51" s="50"/>
      <c r="EW51" s="50"/>
      <c r="EX51" s="50"/>
      <c r="EY51" s="50"/>
      <c r="EZ51" s="50"/>
      <c r="FA51" s="50"/>
      <c r="FB51" s="50"/>
      <c r="FC51" s="50"/>
      <c r="FD51" s="50"/>
      <c r="FE51" s="50"/>
      <c r="FF51" s="50"/>
      <c r="FG51" s="50"/>
      <c r="FH51" s="50"/>
      <c r="FI51" s="50"/>
      <c r="FJ51" s="50"/>
      <c r="FK51" s="50"/>
      <c r="FL51" s="50"/>
      <c r="FM51" s="50"/>
      <c r="FN51" s="50"/>
      <c r="FO51" s="50"/>
      <c r="FP51" s="50"/>
      <c r="FQ51" s="50"/>
      <c r="FR51" s="50"/>
      <c r="FS51" s="50"/>
      <c r="FT51" s="50"/>
      <c r="FU51" s="50"/>
      <c r="FV51" s="50"/>
      <c r="FW51" s="50"/>
      <c r="FX51" s="50"/>
      <c r="FY51" s="50"/>
      <c r="FZ51" s="50"/>
      <c r="GA51" s="50"/>
      <c r="GB51" s="50"/>
      <c r="GC51" s="50"/>
      <c r="GD51" s="50"/>
      <c r="GE51" s="50"/>
      <c r="GF51" s="50"/>
      <c r="GG51" s="50"/>
      <c r="GH51" s="50"/>
      <c r="GI51" s="50"/>
      <c r="GJ51" s="50"/>
      <c r="GK51" s="50"/>
      <c r="GL51" s="50"/>
      <c r="GM51" s="50"/>
      <c r="GN51" s="50"/>
      <c r="GO51" s="50"/>
      <c r="GP51" s="50"/>
      <c r="GQ51" s="50"/>
      <c r="GR51" s="50"/>
      <c r="GS51" s="50"/>
      <c r="GT51" s="50"/>
      <c r="GU51" s="50"/>
      <c r="GV51" s="50"/>
      <c r="GW51" s="50"/>
      <c r="GX51" s="50"/>
      <c r="GY51" s="50"/>
      <c r="GZ51" s="50"/>
      <c r="HA51" s="50"/>
      <c r="HB51" s="50"/>
      <c r="HC51" s="50"/>
      <c r="HD51" s="50"/>
      <c r="HE51" s="50"/>
      <c r="HF51" s="50"/>
      <c r="HG51" s="50"/>
      <c r="HH51" s="50"/>
      <c r="HI51" s="50"/>
      <c r="HJ51" s="50"/>
      <c r="HK51" s="50"/>
      <c r="HL51" s="50"/>
      <c r="HM51" s="50"/>
      <c r="HN51" s="50"/>
      <c r="HO51" s="50"/>
      <c r="HP51" s="50"/>
      <c r="HQ51" s="50"/>
      <c r="HR51" s="50"/>
      <c r="HS51" s="50"/>
      <c r="HT51" s="50"/>
      <c r="HU51" s="50"/>
      <c r="HV51" s="50"/>
      <c r="HW51" s="50"/>
      <c r="HX51" s="50"/>
      <c r="HY51" s="50"/>
      <c r="HZ51" s="50"/>
      <c r="IA51" s="50"/>
      <c r="IB51" s="50"/>
      <c r="IC51" s="50"/>
      <c r="ID51" s="50"/>
      <c r="IE51" s="50"/>
      <c r="IF51" s="50"/>
      <c r="IG51" s="50"/>
      <c r="IH51" s="50"/>
    </row>
    <row r="52" spans="1:242" x14ac:dyDescent="0.25">
      <c r="A52" s="60">
        <v>7</v>
      </c>
      <c r="B52" s="89"/>
      <c r="C52" s="89"/>
      <c r="D52" s="89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  <c r="AA52" s="50"/>
      <c r="AB52" s="50"/>
      <c r="AC52" s="50"/>
      <c r="AD52" s="50"/>
      <c r="AE52" s="50"/>
      <c r="AF52" s="50"/>
      <c r="AG52" s="50"/>
      <c r="AH52" s="50"/>
      <c r="AI52" s="50"/>
      <c r="AJ52" s="50"/>
      <c r="AK52" s="50"/>
      <c r="AL52" s="50"/>
      <c r="AM52" s="50"/>
      <c r="AN52" s="50"/>
      <c r="AO52" s="50"/>
      <c r="AP52" s="50"/>
      <c r="AQ52" s="50"/>
      <c r="AR52" s="50"/>
      <c r="AS52" s="50"/>
      <c r="AT52" s="50"/>
      <c r="AU52" s="50"/>
      <c r="AV52" s="50"/>
      <c r="AW52" s="50"/>
      <c r="AX52" s="50"/>
      <c r="AY52" s="50"/>
      <c r="AZ52" s="50"/>
      <c r="BA52" s="50"/>
      <c r="BB52" s="50"/>
      <c r="BC52" s="50"/>
      <c r="BD52" s="50"/>
      <c r="BE52" s="50"/>
      <c r="BF52" s="50"/>
      <c r="BG52" s="50"/>
      <c r="BH52" s="50"/>
      <c r="BI52" s="50"/>
      <c r="BJ52" s="50"/>
      <c r="BK52" s="50"/>
      <c r="BL52" s="50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0"/>
      <c r="CA52" s="50"/>
      <c r="CB52" s="50"/>
      <c r="CC52" s="50"/>
      <c r="CD52" s="50"/>
      <c r="CE52" s="50"/>
      <c r="CF52" s="50"/>
      <c r="CG52" s="50"/>
      <c r="CH52" s="50"/>
      <c r="CI52" s="50"/>
      <c r="CJ52" s="50"/>
      <c r="CK52" s="50"/>
      <c r="CL52" s="50"/>
      <c r="CM52" s="50"/>
      <c r="CN52" s="50"/>
      <c r="CO52" s="50"/>
      <c r="CP52" s="50"/>
      <c r="CQ52" s="50"/>
      <c r="CR52" s="50"/>
      <c r="CS52" s="50"/>
      <c r="CT52" s="50"/>
      <c r="CU52" s="50"/>
      <c r="CV52" s="50"/>
      <c r="CW52" s="50"/>
      <c r="CX52" s="50"/>
      <c r="CY52" s="50"/>
      <c r="CZ52" s="50"/>
      <c r="DA52" s="50"/>
      <c r="DB52" s="50"/>
      <c r="DC52" s="50"/>
      <c r="DD52" s="50"/>
      <c r="DE52" s="50"/>
      <c r="DF52" s="50"/>
      <c r="DG52" s="50"/>
      <c r="DH52" s="50"/>
      <c r="DI52" s="50"/>
      <c r="DJ52" s="50"/>
      <c r="DK52" s="50"/>
      <c r="DL52" s="50"/>
      <c r="DM52" s="50"/>
      <c r="DN52" s="50"/>
      <c r="DO52" s="50"/>
      <c r="DP52" s="50"/>
      <c r="DQ52" s="50"/>
      <c r="DR52" s="50"/>
      <c r="DS52" s="50"/>
      <c r="DT52" s="50"/>
      <c r="DU52" s="50"/>
      <c r="DV52" s="50"/>
      <c r="DW52" s="50"/>
      <c r="DX52" s="50"/>
      <c r="DY52" s="50"/>
      <c r="DZ52" s="50"/>
      <c r="EA52" s="50"/>
      <c r="EB52" s="50"/>
      <c r="EC52" s="50"/>
      <c r="ED52" s="50"/>
      <c r="EE52" s="50"/>
      <c r="EF52" s="50"/>
      <c r="EG52" s="50"/>
      <c r="EH52" s="50"/>
      <c r="EI52" s="50"/>
      <c r="EJ52" s="50"/>
      <c r="EK52" s="50"/>
      <c r="EL52" s="50"/>
      <c r="EM52" s="50"/>
      <c r="EN52" s="50"/>
      <c r="EO52" s="50"/>
      <c r="EP52" s="50"/>
      <c r="EQ52" s="50"/>
      <c r="ER52" s="50"/>
      <c r="ES52" s="50"/>
      <c r="ET52" s="50"/>
      <c r="EU52" s="50"/>
      <c r="EV52" s="50"/>
      <c r="EW52" s="50"/>
      <c r="EX52" s="50"/>
      <c r="EY52" s="50"/>
      <c r="EZ52" s="50"/>
      <c r="FA52" s="50"/>
      <c r="FB52" s="50"/>
      <c r="FC52" s="50"/>
      <c r="FD52" s="50"/>
      <c r="FE52" s="50"/>
      <c r="FF52" s="50"/>
      <c r="FG52" s="50"/>
      <c r="FH52" s="50"/>
      <c r="FI52" s="50"/>
      <c r="FJ52" s="50"/>
      <c r="FK52" s="50"/>
      <c r="FL52" s="50"/>
      <c r="FM52" s="50"/>
      <c r="FN52" s="50"/>
      <c r="FO52" s="50"/>
      <c r="FP52" s="50"/>
      <c r="FQ52" s="50"/>
      <c r="FR52" s="50"/>
      <c r="FS52" s="50"/>
      <c r="FT52" s="50"/>
      <c r="FU52" s="50"/>
      <c r="FV52" s="50"/>
      <c r="FW52" s="50"/>
      <c r="FX52" s="50"/>
      <c r="FY52" s="50"/>
      <c r="FZ52" s="50"/>
      <c r="GA52" s="50"/>
      <c r="GB52" s="50"/>
      <c r="GC52" s="50"/>
      <c r="GD52" s="50"/>
      <c r="GE52" s="50"/>
      <c r="GF52" s="50"/>
      <c r="GG52" s="50"/>
      <c r="GH52" s="50"/>
      <c r="GI52" s="50"/>
      <c r="GJ52" s="50"/>
      <c r="GK52" s="50"/>
      <c r="GL52" s="50"/>
      <c r="GM52" s="50"/>
      <c r="GN52" s="50"/>
      <c r="GO52" s="50"/>
      <c r="GP52" s="50"/>
      <c r="GQ52" s="50"/>
      <c r="GR52" s="50"/>
      <c r="GS52" s="50"/>
      <c r="GT52" s="50"/>
      <c r="GU52" s="50"/>
      <c r="GV52" s="50"/>
      <c r="GW52" s="50"/>
      <c r="GX52" s="50"/>
      <c r="GY52" s="50"/>
      <c r="GZ52" s="50"/>
      <c r="HA52" s="50"/>
      <c r="HB52" s="50"/>
      <c r="HC52" s="50"/>
      <c r="HD52" s="50"/>
      <c r="HE52" s="50"/>
      <c r="HF52" s="50"/>
      <c r="HG52" s="50"/>
      <c r="HH52" s="50"/>
      <c r="HI52" s="50"/>
      <c r="HJ52" s="50"/>
      <c r="HK52" s="50"/>
      <c r="HL52" s="50"/>
      <c r="HM52" s="50"/>
      <c r="HN52" s="50"/>
      <c r="HO52" s="50"/>
      <c r="HP52" s="50"/>
      <c r="HQ52" s="50"/>
      <c r="HR52" s="50"/>
      <c r="HS52" s="50"/>
      <c r="HT52" s="50"/>
      <c r="HU52" s="50"/>
      <c r="HV52" s="50"/>
      <c r="HW52" s="50"/>
      <c r="HX52" s="50"/>
      <c r="HY52" s="50"/>
      <c r="HZ52" s="50"/>
      <c r="IA52" s="50"/>
      <c r="IB52" s="50"/>
      <c r="IC52" s="50"/>
      <c r="ID52" s="50"/>
      <c r="IE52" s="50"/>
      <c r="IF52" s="50"/>
      <c r="IG52" s="50"/>
      <c r="IH52" s="50"/>
    </row>
    <row r="53" spans="1:242" x14ac:dyDescent="0.25">
      <c r="A53" s="60">
        <v>8</v>
      </c>
      <c r="B53" s="89"/>
      <c r="C53" s="89"/>
      <c r="D53" s="89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  <c r="AA53" s="50"/>
      <c r="AB53" s="50"/>
      <c r="AC53" s="50"/>
      <c r="AD53" s="50"/>
      <c r="AE53" s="50"/>
      <c r="AF53" s="50"/>
      <c r="AG53" s="50"/>
      <c r="AH53" s="50"/>
      <c r="AI53" s="50"/>
      <c r="AJ53" s="50"/>
      <c r="AK53" s="50"/>
      <c r="AL53" s="50"/>
      <c r="AM53" s="50"/>
      <c r="AN53" s="50"/>
      <c r="AO53" s="50"/>
      <c r="AP53" s="50"/>
      <c r="AQ53" s="50"/>
      <c r="AR53" s="50"/>
      <c r="AS53" s="50"/>
      <c r="AT53" s="50"/>
      <c r="AU53" s="50"/>
      <c r="AV53" s="50"/>
      <c r="AW53" s="50"/>
      <c r="AX53" s="50"/>
      <c r="AY53" s="50"/>
      <c r="AZ53" s="50"/>
      <c r="BA53" s="50"/>
      <c r="BB53" s="50"/>
      <c r="BC53" s="50"/>
      <c r="BD53" s="50"/>
      <c r="BE53" s="50"/>
      <c r="BF53" s="50"/>
      <c r="BG53" s="50"/>
      <c r="BH53" s="50"/>
      <c r="BI53" s="50"/>
      <c r="BJ53" s="50"/>
      <c r="BK53" s="50"/>
      <c r="BL53" s="50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0"/>
      <c r="CA53" s="50"/>
      <c r="CB53" s="50"/>
      <c r="CC53" s="50"/>
      <c r="CD53" s="50"/>
      <c r="CE53" s="50"/>
      <c r="CF53" s="50"/>
      <c r="CG53" s="50"/>
      <c r="CH53" s="50"/>
      <c r="CI53" s="50"/>
      <c r="CJ53" s="50"/>
      <c r="CK53" s="50"/>
      <c r="CL53" s="50"/>
      <c r="CM53" s="50"/>
      <c r="CN53" s="50"/>
      <c r="CO53" s="50"/>
      <c r="CP53" s="50"/>
      <c r="CQ53" s="50"/>
      <c r="CR53" s="50"/>
      <c r="CS53" s="50"/>
      <c r="CT53" s="50"/>
      <c r="CU53" s="50"/>
      <c r="CV53" s="50"/>
      <c r="CW53" s="50"/>
      <c r="CX53" s="50"/>
      <c r="CY53" s="50"/>
      <c r="CZ53" s="50"/>
      <c r="DA53" s="50"/>
      <c r="DB53" s="50"/>
      <c r="DC53" s="50"/>
      <c r="DD53" s="50"/>
      <c r="DE53" s="50"/>
      <c r="DF53" s="50"/>
      <c r="DG53" s="50"/>
      <c r="DH53" s="50"/>
      <c r="DI53" s="50"/>
      <c r="DJ53" s="50"/>
      <c r="DK53" s="50"/>
      <c r="DL53" s="50"/>
      <c r="DM53" s="50"/>
      <c r="DN53" s="50"/>
      <c r="DO53" s="50"/>
      <c r="DP53" s="50"/>
      <c r="DQ53" s="50"/>
      <c r="DR53" s="50"/>
      <c r="DS53" s="50"/>
      <c r="DT53" s="50"/>
      <c r="DU53" s="50"/>
      <c r="DV53" s="50"/>
      <c r="DW53" s="50"/>
      <c r="DX53" s="50"/>
      <c r="DY53" s="50"/>
      <c r="DZ53" s="50"/>
      <c r="EA53" s="50"/>
      <c r="EB53" s="50"/>
      <c r="EC53" s="50"/>
      <c r="ED53" s="50"/>
      <c r="EE53" s="50"/>
      <c r="EF53" s="50"/>
      <c r="EG53" s="50"/>
      <c r="EH53" s="50"/>
      <c r="EI53" s="50"/>
      <c r="EJ53" s="50"/>
      <c r="EK53" s="50"/>
      <c r="EL53" s="50"/>
      <c r="EM53" s="50"/>
      <c r="EN53" s="50"/>
      <c r="EO53" s="50"/>
      <c r="EP53" s="50"/>
      <c r="EQ53" s="50"/>
      <c r="ER53" s="50"/>
      <c r="ES53" s="50"/>
      <c r="ET53" s="50"/>
      <c r="EU53" s="50"/>
      <c r="EV53" s="50"/>
      <c r="EW53" s="50"/>
      <c r="EX53" s="50"/>
      <c r="EY53" s="50"/>
      <c r="EZ53" s="50"/>
      <c r="FA53" s="50"/>
      <c r="FB53" s="50"/>
      <c r="FC53" s="50"/>
      <c r="FD53" s="50"/>
      <c r="FE53" s="50"/>
      <c r="FF53" s="50"/>
      <c r="FG53" s="50"/>
      <c r="FH53" s="50"/>
      <c r="FI53" s="50"/>
      <c r="FJ53" s="50"/>
      <c r="FK53" s="50"/>
      <c r="FL53" s="50"/>
      <c r="FM53" s="50"/>
      <c r="FN53" s="50"/>
      <c r="FO53" s="50"/>
      <c r="FP53" s="50"/>
      <c r="FQ53" s="50"/>
      <c r="FR53" s="50"/>
      <c r="FS53" s="50"/>
      <c r="FT53" s="50"/>
      <c r="FU53" s="50"/>
      <c r="FV53" s="50"/>
      <c r="FW53" s="50"/>
      <c r="FX53" s="50"/>
      <c r="FY53" s="50"/>
      <c r="FZ53" s="50"/>
      <c r="GA53" s="50"/>
      <c r="GB53" s="50"/>
      <c r="GC53" s="50"/>
      <c r="GD53" s="50"/>
      <c r="GE53" s="50"/>
      <c r="GF53" s="50"/>
      <c r="GG53" s="50"/>
      <c r="GH53" s="50"/>
      <c r="GI53" s="50"/>
      <c r="GJ53" s="50"/>
      <c r="GK53" s="50"/>
      <c r="GL53" s="50"/>
      <c r="GM53" s="50"/>
      <c r="GN53" s="50"/>
      <c r="GO53" s="50"/>
      <c r="GP53" s="50"/>
      <c r="GQ53" s="50"/>
      <c r="GR53" s="50"/>
      <c r="GS53" s="50"/>
      <c r="GT53" s="50"/>
      <c r="GU53" s="50"/>
      <c r="GV53" s="50"/>
      <c r="GW53" s="50"/>
      <c r="GX53" s="50"/>
      <c r="GY53" s="50"/>
      <c r="GZ53" s="50"/>
      <c r="HA53" s="50"/>
      <c r="HB53" s="50"/>
      <c r="HC53" s="50"/>
      <c r="HD53" s="50"/>
      <c r="HE53" s="50"/>
      <c r="HF53" s="50"/>
      <c r="HG53" s="50"/>
      <c r="HH53" s="50"/>
      <c r="HI53" s="50"/>
      <c r="HJ53" s="50"/>
      <c r="HK53" s="50"/>
      <c r="HL53" s="50"/>
      <c r="HM53" s="50"/>
      <c r="HN53" s="50"/>
      <c r="HO53" s="50"/>
      <c r="HP53" s="50"/>
      <c r="HQ53" s="50"/>
      <c r="HR53" s="50"/>
      <c r="HS53" s="50"/>
      <c r="HT53" s="50"/>
      <c r="HU53" s="50"/>
      <c r="HV53" s="50"/>
      <c r="HW53" s="50"/>
      <c r="HX53" s="50"/>
      <c r="HY53" s="50"/>
      <c r="HZ53" s="50"/>
      <c r="IA53" s="50"/>
      <c r="IB53" s="50"/>
      <c r="IC53" s="50"/>
      <c r="ID53" s="50"/>
      <c r="IE53" s="50"/>
      <c r="IF53" s="50"/>
      <c r="IG53" s="50"/>
      <c r="IH53" s="50"/>
    </row>
    <row r="54" spans="1:242" x14ac:dyDescent="0.25">
      <c r="A54" s="60">
        <v>9</v>
      </c>
      <c r="B54" s="89"/>
      <c r="C54" s="89"/>
      <c r="D54" s="89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  <c r="AA54" s="50"/>
      <c r="AB54" s="50"/>
      <c r="AC54" s="50"/>
      <c r="AD54" s="50"/>
      <c r="AE54" s="50"/>
      <c r="AF54" s="50"/>
      <c r="AG54" s="50"/>
      <c r="AH54" s="50"/>
      <c r="AI54" s="50"/>
      <c r="AJ54" s="50"/>
      <c r="AK54" s="50"/>
      <c r="AL54" s="50"/>
      <c r="AM54" s="50"/>
      <c r="AN54" s="50"/>
      <c r="AO54" s="50"/>
      <c r="AP54" s="50"/>
      <c r="AQ54" s="50"/>
      <c r="AR54" s="50"/>
      <c r="AS54" s="50"/>
      <c r="AT54" s="50"/>
      <c r="AU54" s="50"/>
      <c r="AV54" s="50"/>
      <c r="AW54" s="50"/>
      <c r="AX54" s="50"/>
      <c r="AY54" s="50"/>
      <c r="AZ54" s="50"/>
      <c r="BA54" s="50"/>
      <c r="BB54" s="50"/>
      <c r="BC54" s="50"/>
      <c r="BD54" s="50"/>
      <c r="BE54" s="50"/>
      <c r="BF54" s="50"/>
      <c r="BG54" s="50"/>
      <c r="BH54" s="50"/>
      <c r="BI54" s="50"/>
      <c r="BJ54" s="50"/>
      <c r="BK54" s="50"/>
      <c r="BL54" s="50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0"/>
      <c r="CA54" s="50"/>
      <c r="CB54" s="50"/>
      <c r="CC54" s="50"/>
      <c r="CD54" s="50"/>
      <c r="CE54" s="50"/>
      <c r="CF54" s="50"/>
      <c r="CG54" s="50"/>
      <c r="CH54" s="50"/>
      <c r="CI54" s="50"/>
      <c r="CJ54" s="50"/>
      <c r="CK54" s="50"/>
      <c r="CL54" s="50"/>
      <c r="CM54" s="50"/>
      <c r="CN54" s="50"/>
      <c r="CO54" s="50"/>
      <c r="CP54" s="50"/>
      <c r="CQ54" s="50"/>
      <c r="CR54" s="50"/>
      <c r="CS54" s="50"/>
      <c r="CT54" s="50"/>
      <c r="CU54" s="50"/>
      <c r="CV54" s="50"/>
      <c r="CW54" s="50"/>
      <c r="CX54" s="50"/>
      <c r="CY54" s="50"/>
      <c r="CZ54" s="50"/>
      <c r="DA54" s="50"/>
      <c r="DB54" s="50"/>
      <c r="DC54" s="50"/>
      <c r="DD54" s="50"/>
      <c r="DE54" s="50"/>
      <c r="DF54" s="50"/>
      <c r="DG54" s="50"/>
      <c r="DH54" s="50"/>
      <c r="DI54" s="50"/>
      <c r="DJ54" s="50"/>
      <c r="DK54" s="50"/>
      <c r="DL54" s="50"/>
      <c r="DM54" s="50"/>
      <c r="DN54" s="50"/>
      <c r="DO54" s="50"/>
      <c r="DP54" s="50"/>
      <c r="DQ54" s="50"/>
      <c r="DR54" s="50"/>
      <c r="DS54" s="50"/>
      <c r="DT54" s="50"/>
      <c r="DU54" s="50"/>
      <c r="DV54" s="50"/>
      <c r="DW54" s="50"/>
      <c r="DX54" s="50"/>
      <c r="DY54" s="50"/>
      <c r="DZ54" s="50"/>
      <c r="EA54" s="50"/>
      <c r="EB54" s="50"/>
      <c r="EC54" s="50"/>
      <c r="ED54" s="50"/>
      <c r="EE54" s="50"/>
      <c r="EF54" s="50"/>
      <c r="EG54" s="50"/>
      <c r="EH54" s="50"/>
      <c r="EI54" s="50"/>
      <c r="EJ54" s="50"/>
      <c r="EK54" s="50"/>
      <c r="EL54" s="50"/>
      <c r="EM54" s="50"/>
      <c r="EN54" s="50"/>
      <c r="EO54" s="50"/>
      <c r="EP54" s="50"/>
      <c r="EQ54" s="50"/>
      <c r="ER54" s="50"/>
      <c r="ES54" s="50"/>
      <c r="ET54" s="50"/>
      <c r="EU54" s="50"/>
      <c r="EV54" s="50"/>
      <c r="EW54" s="50"/>
      <c r="EX54" s="50"/>
      <c r="EY54" s="50"/>
      <c r="EZ54" s="50"/>
      <c r="FA54" s="50"/>
      <c r="FB54" s="50"/>
      <c r="FC54" s="50"/>
      <c r="FD54" s="50"/>
      <c r="FE54" s="50"/>
      <c r="FF54" s="50"/>
      <c r="FG54" s="50"/>
      <c r="FH54" s="50"/>
      <c r="FI54" s="50"/>
      <c r="FJ54" s="50"/>
      <c r="FK54" s="50"/>
      <c r="FL54" s="50"/>
      <c r="FM54" s="50"/>
      <c r="FN54" s="50"/>
      <c r="FO54" s="50"/>
      <c r="FP54" s="50"/>
      <c r="FQ54" s="50"/>
      <c r="FR54" s="50"/>
      <c r="FS54" s="50"/>
      <c r="FT54" s="50"/>
      <c r="FU54" s="50"/>
      <c r="FV54" s="50"/>
      <c r="FW54" s="50"/>
      <c r="FX54" s="50"/>
      <c r="FY54" s="50"/>
      <c r="FZ54" s="50"/>
      <c r="GA54" s="50"/>
      <c r="GB54" s="50"/>
      <c r="GC54" s="50"/>
      <c r="GD54" s="50"/>
      <c r="GE54" s="50"/>
      <c r="GF54" s="50"/>
      <c r="GG54" s="50"/>
      <c r="GH54" s="50"/>
      <c r="GI54" s="50"/>
      <c r="GJ54" s="50"/>
      <c r="GK54" s="50"/>
      <c r="GL54" s="50"/>
      <c r="GM54" s="50"/>
      <c r="GN54" s="50"/>
      <c r="GO54" s="50"/>
      <c r="GP54" s="50"/>
      <c r="GQ54" s="50"/>
      <c r="GR54" s="50"/>
      <c r="GS54" s="50"/>
      <c r="GT54" s="50"/>
      <c r="GU54" s="50"/>
      <c r="GV54" s="50"/>
      <c r="GW54" s="50"/>
      <c r="GX54" s="50"/>
      <c r="GY54" s="50"/>
      <c r="GZ54" s="50"/>
      <c r="HA54" s="50"/>
      <c r="HB54" s="50"/>
      <c r="HC54" s="50"/>
      <c r="HD54" s="50"/>
      <c r="HE54" s="50"/>
      <c r="HF54" s="50"/>
      <c r="HG54" s="50"/>
      <c r="HH54" s="50"/>
      <c r="HI54" s="50"/>
      <c r="HJ54" s="50"/>
      <c r="HK54" s="50"/>
      <c r="HL54" s="50"/>
      <c r="HM54" s="50"/>
      <c r="HN54" s="50"/>
      <c r="HO54" s="50"/>
      <c r="HP54" s="50"/>
      <c r="HQ54" s="50"/>
      <c r="HR54" s="50"/>
      <c r="HS54" s="50"/>
      <c r="HT54" s="50"/>
      <c r="HU54" s="50"/>
      <c r="HV54" s="50"/>
      <c r="HW54" s="50"/>
      <c r="HX54" s="50"/>
      <c r="HY54" s="50"/>
      <c r="HZ54" s="50"/>
      <c r="IA54" s="50"/>
      <c r="IB54" s="50"/>
      <c r="IC54" s="50"/>
      <c r="ID54" s="50"/>
      <c r="IE54" s="50"/>
      <c r="IF54" s="50"/>
      <c r="IG54" s="50"/>
      <c r="IH54" s="50"/>
    </row>
    <row r="55" spans="1:242" x14ac:dyDescent="0.25">
      <c r="A55" s="60">
        <v>10</v>
      </c>
      <c r="B55" s="89"/>
      <c r="C55" s="89"/>
      <c r="D55" s="89"/>
    </row>
    <row r="56" spans="1:242" x14ac:dyDescent="0.25">
      <c r="A56" s="60">
        <v>11</v>
      </c>
      <c r="B56" s="89"/>
      <c r="C56" s="89"/>
      <c r="D56" s="89"/>
    </row>
    <row r="57" spans="1:242" x14ac:dyDescent="0.25">
      <c r="A57" s="60">
        <v>12</v>
      </c>
      <c r="B57" s="89"/>
      <c r="C57" s="89"/>
      <c r="D57" s="89"/>
    </row>
    <row r="58" spans="1:242" x14ac:dyDescent="0.25">
      <c r="A58" s="60">
        <v>13</v>
      </c>
      <c r="B58" s="89"/>
      <c r="C58" s="89"/>
      <c r="D58" s="89"/>
    </row>
    <row r="59" spans="1:242" x14ac:dyDescent="0.25">
      <c r="A59" s="60">
        <v>14</v>
      </c>
      <c r="B59" s="89"/>
      <c r="C59" s="89"/>
      <c r="D59" s="89"/>
    </row>
    <row r="60" spans="1:242" x14ac:dyDescent="0.25">
      <c r="A60" s="60">
        <v>15</v>
      </c>
      <c r="B60" s="89"/>
      <c r="C60" s="89"/>
      <c r="D60" s="89"/>
    </row>
    <row r="61" spans="1:242" x14ac:dyDescent="0.25">
      <c r="A61" s="60">
        <v>16</v>
      </c>
      <c r="B61" s="89"/>
      <c r="C61" s="89"/>
      <c r="D61" s="89"/>
    </row>
    <row r="62" spans="1:242" x14ac:dyDescent="0.25">
      <c r="A62" s="60">
        <v>17</v>
      </c>
      <c r="B62" s="89"/>
      <c r="C62" s="89"/>
      <c r="D62" s="89"/>
    </row>
    <row r="63" spans="1:242" x14ac:dyDescent="0.25">
      <c r="A63" s="60">
        <v>18</v>
      </c>
      <c r="B63" s="89"/>
      <c r="C63" s="89"/>
      <c r="D63" s="89"/>
    </row>
    <row r="64" spans="1:242" x14ac:dyDescent="0.25">
      <c r="A64" s="60">
        <v>19</v>
      </c>
      <c r="B64" s="89"/>
      <c r="C64" s="89"/>
      <c r="D64" s="89"/>
    </row>
    <row r="65" spans="1:4" x14ac:dyDescent="0.25">
      <c r="A65" s="60">
        <v>20</v>
      </c>
      <c r="B65" s="89"/>
      <c r="C65" s="89"/>
      <c r="D65" s="89"/>
    </row>
    <row r="66" spans="1:4" x14ac:dyDescent="0.25">
      <c r="A66" s="60">
        <v>21</v>
      </c>
      <c r="B66" s="89"/>
      <c r="C66" s="89"/>
      <c r="D66" s="89"/>
    </row>
    <row r="67" spans="1:4" x14ac:dyDescent="0.25">
      <c r="A67" s="60">
        <v>22</v>
      </c>
      <c r="B67" s="89"/>
      <c r="C67" s="89"/>
      <c r="D67" s="89"/>
    </row>
    <row r="68" spans="1:4" x14ac:dyDescent="0.25">
      <c r="A68" s="60">
        <v>23</v>
      </c>
      <c r="B68" s="89"/>
      <c r="C68" s="89"/>
      <c r="D68" s="89"/>
    </row>
    <row r="69" spans="1:4" x14ac:dyDescent="0.25">
      <c r="A69" s="60">
        <v>24</v>
      </c>
      <c r="B69" s="89"/>
      <c r="C69" s="89"/>
      <c r="D69" s="89"/>
    </row>
    <row r="70" spans="1:4" x14ac:dyDescent="0.25">
      <c r="A70" s="60">
        <v>25</v>
      </c>
      <c r="B70" s="89"/>
      <c r="C70" s="89"/>
      <c r="D70" s="89"/>
    </row>
    <row r="71" spans="1:4" x14ac:dyDescent="0.25">
      <c r="A71" s="60">
        <v>26</v>
      </c>
      <c r="B71" s="89"/>
      <c r="C71" s="89"/>
      <c r="D71" s="89"/>
    </row>
    <row r="72" spans="1:4" x14ac:dyDescent="0.25">
      <c r="A72" s="60">
        <v>27</v>
      </c>
      <c r="B72" s="89"/>
      <c r="C72" s="89"/>
      <c r="D72" s="89"/>
    </row>
    <row r="73" spans="1:4" x14ac:dyDescent="0.25">
      <c r="A73" s="60">
        <v>28</v>
      </c>
      <c r="B73" s="89"/>
      <c r="C73" s="89"/>
      <c r="D73" s="89"/>
    </row>
    <row r="74" spans="1:4" x14ac:dyDescent="0.25">
      <c r="A74" s="60">
        <v>29</v>
      </c>
      <c r="B74" s="89"/>
      <c r="C74" s="89"/>
      <c r="D74" s="89"/>
    </row>
    <row r="75" spans="1:4" x14ac:dyDescent="0.25">
      <c r="A75" s="60">
        <v>30</v>
      </c>
      <c r="B75" s="89"/>
      <c r="C75" s="89"/>
      <c r="D75" s="89"/>
    </row>
    <row r="76" spans="1:4" x14ac:dyDescent="0.25">
      <c r="A76" s="60">
        <v>31</v>
      </c>
      <c r="B76" s="89"/>
      <c r="C76" s="89"/>
      <c r="D76" s="89"/>
    </row>
    <row r="77" spans="1:4" x14ac:dyDescent="0.25">
      <c r="A77" s="60">
        <v>32</v>
      </c>
      <c r="B77" s="89"/>
      <c r="C77" s="89"/>
      <c r="D77" s="89"/>
    </row>
    <row r="78" spans="1:4" x14ac:dyDescent="0.25">
      <c r="A78" s="60">
        <v>33</v>
      </c>
      <c r="B78" s="89"/>
      <c r="C78" s="89"/>
      <c r="D78" s="89"/>
    </row>
    <row r="79" spans="1:4" x14ac:dyDescent="0.25">
      <c r="A79" s="60">
        <v>34</v>
      </c>
      <c r="B79" s="89"/>
      <c r="C79" s="89"/>
      <c r="D79" s="89"/>
    </row>
    <row r="80" spans="1:4" x14ac:dyDescent="0.25">
      <c r="A80" s="60">
        <v>35</v>
      </c>
      <c r="B80" s="89"/>
      <c r="C80" s="89"/>
      <c r="D80" s="89"/>
    </row>
    <row r="81" spans="1:4" x14ac:dyDescent="0.25">
      <c r="A81" s="60">
        <v>36</v>
      </c>
      <c r="B81" s="89"/>
      <c r="C81" s="89"/>
      <c r="D81" s="89"/>
    </row>
    <row r="82" spans="1:4" x14ac:dyDescent="0.25">
      <c r="A82" s="60">
        <v>37</v>
      </c>
      <c r="B82" s="89"/>
      <c r="C82" s="89"/>
      <c r="D82" s="89"/>
    </row>
    <row r="83" spans="1:4" x14ac:dyDescent="0.25">
      <c r="A83" s="60">
        <v>38</v>
      </c>
      <c r="B83" s="89"/>
      <c r="C83" s="89"/>
      <c r="D83" s="89"/>
    </row>
    <row r="84" spans="1:4" x14ac:dyDescent="0.25">
      <c r="A84" s="60">
        <v>39</v>
      </c>
      <c r="B84" s="89"/>
      <c r="C84" s="89"/>
      <c r="D84" s="89"/>
    </row>
    <row r="85" spans="1:4" x14ac:dyDescent="0.25">
      <c r="A85" s="60">
        <v>40</v>
      </c>
      <c r="B85" s="89"/>
      <c r="C85" s="89"/>
      <c r="D85" s="89"/>
    </row>
    <row r="86" spans="1:4" x14ac:dyDescent="0.25">
      <c r="A86" s="60">
        <v>41</v>
      </c>
      <c r="B86" s="89"/>
      <c r="C86" s="89"/>
      <c r="D86" s="89"/>
    </row>
    <row r="87" spans="1:4" x14ac:dyDescent="0.25">
      <c r="A87" s="60">
        <v>42</v>
      </c>
      <c r="B87" s="89"/>
      <c r="C87" s="89"/>
      <c r="D87" s="89"/>
    </row>
    <row r="88" spans="1:4" x14ac:dyDescent="0.25">
      <c r="A88" s="60">
        <v>43</v>
      </c>
      <c r="B88" s="89"/>
      <c r="C88" s="89"/>
      <c r="D88" s="89"/>
    </row>
    <row r="89" spans="1:4" x14ac:dyDescent="0.25">
      <c r="A89" s="60">
        <v>44</v>
      </c>
      <c r="B89" s="89"/>
      <c r="C89" s="89"/>
      <c r="D89" s="89"/>
    </row>
    <row r="90" spans="1:4" x14ac:dyDescent="0.25">
      <c r="A90" s="60">
        <v>45</v>
      </c>
      <c r="B90" s="89"/>
      <c r="C90" s="89"/>
      <c r="D90" s="89"/>
    </row>
    <row r="91" spans="1:4" x14ac:dyDescent="0.25">
      <c r="A91" s="60">
        <v>46</v>
      </c>
      <c r="B91" s="89"/>
      <c r="C91" s="89"/>
      <c r="D91" s="89"/>
    </row>
    <row r="92" spans="1:4" x14ac:dyDescent="0.25">
      <c r="A92" s="60">
        <v>47</v>
      </c>
      <c r="B92" s="89"/>
      <c r="C92" s="89"/>
      <c r="D92" s="89"/>
    </row>
    <row r="93" spans="1:4" x14ac:dyDescent="0.25">
      <c r="A93" s="60">
        <v>48</v>
      </c>
      <c r="B93" s="89"/>
      <c r="C93" s="89"/>
      <c r="D93" s="89"/>
    </row>
    <row r="94" spans="1:4" x14ac:dyDescent="0.25">
      <c r="A94" s="60">
        <v>49</v>
      </c>
      <c r="B94" s="89"/>
      <c r="C94" s="89"/>
      <c r="D94" s="89"/>
    </row>
    <row r="95" spans="1:4" x14ac:dyDescent="0.25">
      <c r="A95" s="60">
        <v>50</v>
      </c>
      <c r="B95" s="89"/>
      <c r="C95" s="89"/>
      <c r="D95" s="89"/>
    </row>
    <row r="96" spans="1:4" x14ac:dyDescent="0.25">
      <c r="A96" s="60">
        <v>51</v>
      </c>
      <c r="B96" s="89"/>
      <c r="C96" s="89"/>
      <c r="D96" s="89"/>
    </row>
    <row r="97" spans="1:242" x14ac:dyDescent="0.25">
      <c r="A97" s="60">
        <v>52</v>
      </c>
      <c r="B97" s="89"/>
      <c r="C97" s="89"/>
      <c r="D97" s="89"/>
    </row>
    <row r="98" spans="1:242" x14ac:dyDescent="0.25">
      <c r="A98" s="60">
        <v>53</v>
      </c>
      <c r="B98" s="89"/>
      <c r="C98" s="89"/>
      <c r="D98" s="89"/>
    </row>
    <row r="99" spans="1:242" x14ac:dyDescent="0.25">
      <c r="A99" s="60">
        <v>54</v>
      </c>
      <c r="B99" s="89"/>
      <c r="C99" s="89"/>
      <c r="D99" s="89"/>
      <c r="E99" s="163">
        <f>(E14-(E11*20+E12))*9</f>
        <v>0</v>
      </c>
      <c r="F99" s="163">
        <f t="shared" ref="F99:BQ99" si="30">(F14-(F11*20+F12))*9</f>
        <v>0</v>
      </c>
      <c r="G99" s="163">
        <f t="shared" si="30"/>
        <v>0</v>
      </c>
      <c r="H99" s="163">
        <f t="shared" si="30"/>
        <v>0</v>
      </c>
      <c r="I99" s="163">
        <f t="shared" si="30"/>
        <v>0</v>
      </c>
      <c r="J99" s="163">
        <f t="shared" si="30"/>
        <v>0</v>
      </c>
      <c r="K99" s="163">
        <f t="shared" si="30"/>
        <v>0</v>
      </c>
      <c r="L99" s="163">
        <f t="shared" si="30"/>
        <v>0</v>
      </c>
      <c r="M99" s="163">
        <f t="shared" si="30"/>
        <v>0</v>
      </c>
      <c r="N99" s="163">
        <f t="shared" si="30"/>
        <v>0</v>
      </c>
      <c r="O99" s="163">
        <f t="shared" si="30"/>
        <v>0</v>
      </c>
      <c r="P99" s="163">
        <f t="shared" si="30"/>
        <v>0</v>
      </c>
      <c r="Q99" s="163">
        <f t="shared" si="30"/>
        <v>0</v>
      </c>
      <c r="R99" s="163">
        <f t="shared" si="30"/>
        <v>0</v>
      </c>
      <c r="S99" s="163">
        <f t="shared" si="30"/>
        <v>0</v>
      </c>
      <c r="T99" s="163">
        <f t="shared" si="30"/>
        <v>0</v>
      </c>
      <c r="U99" s="163">
        <f t="shared" si="30"/>
        <v>0</v>
      </c>
      <c r="V99" s="163">
        <f t="shared" si="30"/>
        <v>0</v>
      </c>
      <c r="W99" s="163">
        <f t="shared" si="30"/>
        <v>0</v>
      </c>
      <c r="X99" s="163">
        <f t="shared" si="30"/>
        <v>0</v>
      </c>
      <c r="Y99" s="163">
        <f t="shared" si="30"/>
        <v>0</v>
      </c>
      <c r="Z99" s="163">
        <f t="shared" si="30"/>
        <v>0</v>
      </c>
      <c r="AA99" s="163">
        <f t="shared" si="30"/>
        <v>0</v>
      </c>
      <c r="AB99" s="163">
        <f t="shared" si="30"/>
        <v>0</v>
      </c>
      <c r="AC99" s="163">
        <f t="shared" si="30"/>
        <v>0</v>
      </c>
      <c r="AD99" s="163">
        <f t="shared" si="30"/>
        <v>0</v>
      </c>
      <c r="AE99" s="163">
        <f t="shared" si="30"/>
        <v>0</v>
      </c>
      <c r="AF99" s="163">
        <f t="shared" si="30"/>
        <v>0</v>
      </c>
      <c r="AG99" s="163">
        <f t="shared" si="30"/>
        <v>0</v>
      </c>
      <c r="AH99" s="163">
        <f t="shared" si="30"/>
        <v>0</v>
      </c>
      <c r="AI99" s="163">
        <f t="shared" si="30"/>
        <v>0</v>
      </c>
      <c r="AJ99" s="163">
        <f t="shared" si="30"/>
        <v>0</v>
      </c>
      <c r="AK99" s="163">
        <f t="shared" si="30"/>
        <v>0</v>
      </c>
      <c r="AL99" s="163">
        <f t="shared" si="30"/>
        <v>0</v>
      </c>
      <c r="AM99" s="163">
        <f t="shared" si="30"/>
        <v>0</v>
      </c>
      <c r="AN99" s="163">
        <f t="shared" si="30"/>
        <v>0</v>
      </c>
      <c r="AO99" s="163">
        <f t="shared" si="30"/>
        <v>0</v>
      </c>
      <c r="AP99" s="163">
        <f t="shared" si="30"/>
        <v>0</v>
      </c>
      <c r="AQ99" s="163">
        <f t="shared" si="30"/>
        <v>0</v>
      </c>
      <c r="AR99" s="163">
        <f t="shared" si="30"/>
        <v>0</v>
      </c>
      <c r="AS99" s="163">
        <f t="shared" si="30"/>
        <v>0</v>
      </c>
      <c r="AT99" s="163">
        <f t="shared" si="30"/>
        <v>0</v>
      </c>
      <c r="AU99" s="163">
        <f t="shared" si="30"/>
        <v>0</v>
      </c>
      <c r="AV99" s="163">
        <f t="shared" si="30"/>
        <v>0</v>
      </c>
      <c r="AW99" s="163">
        <f t="shared" si="30"/>
        <v>0</v>
      </c>
      <c r="AX99" s="163">
        <f t="shared" si="30"/>
        <v>0</v>
      </c>
      <c r="AY99" s="163">
        <f t="shared" si="30"/>
        <v>0</v>
      </c>
      <c r="AZ99" s="163">
        <f t="shared" si="30"/>
        <v>0</v>
      </c>
      <c r="BA99" s="163">
        <f t="shared" si="30"/>
        <v>0</v>
      </c>
      <c r="BB99" s="163">
        <f t="shared" si="30"/>
        <v>0</v>
      </c>
      <c r="BC99" s="163">
        <f t="shared" si="30"/>
        <v>0</v>
      </c>
      <c r="BD99" s="163">
        <f t="shared" si="30"/>
        <v>0</v>
      </c>
      <c r="BE99" s="163">
        <f t="shared" si="30"/>
        <v>0</v>
      </c>
      <c r="BF99" s="163">
        <f t="shared" si="30"/>
        <v>0</v>
      </c>
      <c r="BG99" s="163">
        <f t="shared" si="30"/>
        <v>0</v>
      </c>
      <c r="BH99" s="163">
        <f t="shared" si="30"/>
        <v>0</v>
      </c>
      <c r="BI99" s="163">
        <f t="shared" si="30"/>
        <v>0</v>
      </c>
      <c r="BJ99" s="163">
        <f t="shared" si="30"/>
        <v>0</v>
      </c>
      <c r="BK99" s="163">
        <f t="shared" si="30"/>
        <v>0</v>
      </c>
      <c r="BL99" s="163">
        <f t="shared" si="30"/>
        <v>0</v>
      </c>
      <c r="BM99" s="163">
        <f t="shared" si="30"/>
        <v>0</v>
      </c>
      <c r="BN99" s="163">
        <f t="shared" si="30"/>
        <v>0</v>
      </c>
      <c r="BO99" s="163">
        <f t="shared" si="30"/>
        <v>0</v>
      </c>
      <c r="BP99" s="163">
        <f t="shared" si="30"/>
        <v>0</v>
      </c>
      <c r="BQ99" s="163">
        <f t="shared" si="30"/>
        <v>0</v>
      </c>
      <c r="BR99" s="163">
        <f t="shared" ref="BR99:EC99" si="31">(BR14-(BR11*20+BR12))*9</f>
        <v>0</v>
      </c>
      <c r="BS99" s="163">
        <f t="shared" si="31"/>
        <v>0</v>
      </c>
      <c r="BT99" s="163">
        <f t="shared" si="31"/>
        <v>0</v>
      </c>
      <c r="BU99" s="163">
        <f t="shared" si="31"/>
        <v>0</v>
      </c>
      <c r="BV99" s="163">
        <f t="shared" si="31"/>
        <v>0</v>
      </c>
      <c r="BW99" s="163">
        <f t="shared" si="31"/>
        <v>0</v>
      </c>
      <c r="BX99" s="163">
        <f t="shared" si="31"/>
        <v>0</v>
      </c>
      <c r="BY99" s="163">
        <f t="shared" si="31"/>
        <v>0</v>
      </c>
      <c r="BZ99" s="163">
        <f t="shared" si="31"/>
        <v>0</v>
      </c>
      <c r="CA99" s="163">
        <f t="shared" si="31"/>
        <v>0</v>
      </c>
      <c r="CB99" s="163">
        <f t="shared" si="31"/>
        <v>0</v>
      </c>
      <c r="CC99" s="163">
        <f t="shared" si="31"/>
        <v>0</v>
      </c>
      <c r="CD99" s="163">
        <f t="shared" si="31"/>
        <v>0</v>
      </c>
      <c r="CE99" s="163">
        <f t="shared" si="31"/>
        <v>0</v>
      </c>
      <c r="CF99" s="163">
        <f t="shared" si="31"/>
        <v>0</v>
      </c>
      <c r="CG99" s="163">
        <f t="shared" si="31"/>
        <v>0</v>
      </c>
      <c r="CH99" s="163">
        <f t="shared" si="31"/>
        <v>0</v>
      </c>
      <c r="CI99" s="163">
        <f t="shared" si="31"/>
        <v>0</v>
      </c>
      <c r="CJ99" s="163">
        <f t="shared" si="31"/>
        <v>0</v>
      </c>
      <c r="CK99" s="163">
        <f t="shared" si="31"/>
        <v>0</v>
      </c>
      <c r="CL99" s="163">
        <f t="shared" si="31"/>
        <v>0</v>
      </c>
      <c r="CM99" s="163">
        <f t="shared" si="31"/>
        <v>0</v>
      </c>
      <c r="CN99" s="163">
        <f t="shared" si="31"/>
        <v>0</v>
      </c>
      <c r="CO99" s="163">
        <f t="shared" si="31"/>
        <v>0</v>
      </c>
      <c r="CP99" s="163">
        <f t="shared" si="31"/>
        <v>0</v>
      </c>
      <c r="CQ99" s="163">
        <f t="shared" si="31"/>
        <v>0</v>
      </c>
      <c r="CR99" s="163">
        <f t="shared" si="31"/>
        <v>0</v>
      </c>
      <c r="CS99" s="163">
        <f t="shared" si="31"/>
        <v>0</v>
      </c>
      <c r="CT99" s="163">
        <f t="shared" si="31"/>
        <v>0</v>
      </c>
      <c r="CU99" s="163">
        <f t="shared" si="31"/>
        <v>0</v>
      </c>
      <c r="CV99" s="163">
        <f t="shared" si="31"/>
        <v>0</v>
      </c>
      <c r="CW99" s="163">
        <f t="shared" si="31"/>
        <v>0</v>
      </c>
      <c r="CX99" s="163">
        <f t="shared" si="31"/>
        <v>0</v>
      </c>
      <c r="CY99" s="163">
        <f t="shared" si="31"/>
        <v>0</v>
      </c>
      <c r="CZ99" s="163">
        <f t="shared" si="31"/>
        <v>0</v>
      </c>
      <c r="DA99" s="163">
        <f t="shared" si="31"/>
        <v>0</v>
      </c>
      <c r="DB99" s="163">
        <f t="shared" si="31"/>
        <v>0</v>
      </c>
      <c r="DC99" s="163">
        <f t="shared" si="31"/>
        <v>0</v>
      </c>
      <c r="DD99" s="163">
        <f t="shared" si="31"/>
        <v>0</v>
      </c>
      <c r="DE99" s="163">
        <f t="shared" si="31"/>
        <v>0</v>
      </c>
      <c r="DF99" s="163">
        <f t="shared" si="31"/>
        <v>0</v>
      </c>
      <c r="DG99" s="163">
        <f t="shared" si="31"/>
        <v>0</v>
      </c>
      <c r="DH99" s="163">
        <f t="shared" si="31"/>
        <v>0</v>
      </c>
      <c r="DI99" s="163">
        <f t="shared" si="31"/>
        <v>0</v>
      </c>
      <c r="DJ99" s="163">
        <f t="shared" si="31"/>
        <v>0</v>
      </c>
      <c r="DK99" s="163">
        <f t="shared" si="31"/>
        <v>0</v>
      </c>
      <c r="DL99" s="163">
        <f t="shared" si="31"/>
        <v>0</v>
      </c>
      <c r="DM99" s="163">
        <f t="shared" si="31"/>
        <v>0</v>
      </c>
      <c r="DN99" s="163">
        <f t="shared" si="31"/>
        <v>0</v>
      </c>
      <c r="DO99" s="163">
        <f t="shared" si="31"/>
        <v>0</v>
      </c>
      <c r="DP99" s="163">
        <f t="shared" si="31"/>
        <v>0</v>
      </c>
      <c r="DQ99" s="163">
        <f t="shared" si="31"/>
        <v>0</v>
      </c>
      <c r="DR99" s="163">
        <f t="shared" si="31"/>
        <v>0</v>
      </c>
      <c r="DS99" s="163">
        <f t="shared" si="31"/>
        <v>0</v>
      </c>
      <c r="DT99" s="163">
        <f t="shared" si="31"/>
        <v>0</v>
      </c>
      <c r="DU99" s="163">
        <f t="shared" si="31"/>
        <v>0</v>
      </c>
      <c r="DV99" s="163">
        <f t="shared" si="31"/>
        <v>0</v>
      </c>
      <c r="DW99" s="163">
        <f t="shared" si="31"/>
        <v>0</v>
      </c>
      <c r="DX99" s="163">
        <f t="shared" si="31"/>
        <v>0</v>
      </c>
      <c r="DY99" s="163">
        <f t="shared" si="31"/>
        <v>0</v>
      </c>
      <c r="DZ99" s="163">
        <f t="shared" si="31"/>
        <v>0</v>
      </c>
      <c r="EA99" s="163">
        <f t="shared" si="31"/>
        <v>0</v>
      </c>
      <c r="EB99" s="163">
        <f t="shared" si="31"/>
        <v>0</v>
      </c>
      <c r="EC99" s="163">
        <f t="shared" si="31"/>
        <v>0</v>
      </c>
      <c r="ED99" s="163">
        <f t="shared" ref="ED99:GO99" si="32">(ED14-(ED11*20+ED12))*9</f>
        <v>0</v>
      </c>
      <c r="EE99" s="163">
        <f t="shared" si="32"/>
        <v>0</v>
      </c>
      <c r="EF99" s="163">
        <f t="shared" si="32"/>
        <v>0</v>
      </c>
      <c r="EG99" s="163">
        <f t="shared" si="32"/>
        <v>0</v>
      </c>
      <c r="EH99" s="163">
        <f t="shared" si="32"/>
        <v>0</v>
      </c>
      <c r="EI99" s="163">
        <f t="shared" si="32"/>
        <v>0</v>
      </c>
      <c r="EJ99" s="163">
        <f t="shared" si="32"/>
        <v>0</v>
      </c>
      <c r="EK99" s="163">
        <f t="shared" si="32"/>
        <v>0</v>
      </c>
      <c r="EL99" s="163">
        <f t="shared" si="32"/>
        <v>0</v>
      </c>
      <c r="EM99" s="163">
        <f t="shared" si="32"/>
        <v>0</v>
      </c>
      <c r="EN99" s="163">
        <f t="shared" si="32"/>
        <v>0</v>
      </c>
      <c r="EO99" s="163">
        <f t="shared" si="32"/>
        <v>0</v>
      </c>
      <c r="EP99" s="163">
        <f t="shared" si="32"/>
        <v>0</v>
      </c>
      <c r="EQ99" s="163">
        <f t="shared" si="32"/>
        <v>0</v>
      </c>
      <c r="ER99" s="163">
        <f t="shared" si="32"/>
        <v>0</v>
      </c>
      <c r="ES99" s="163">
        <f t="shared" si="32"/>
        <v>0</v>
      </c>
      <c r="ET99" s="163">
        <f t="shared" si="32"/>
        <v>0</v>
      </c>
      <c r="EU99" s="163">
        <f t="shared" si="32"/>
        <v>0</v>
      </c>
      <c r="EV99" s="163">
        <f t="shared" si="32"/>
        <v>0</v>
      </c>
      <c r="EW99" s="163">
        <f t="shared" si="32"/>
        <v>0</v>
      </c>
      <c r="EX99" s="163">
        <f t="shared" si="32"/>
        <v>0</v>
      </c>
      <c r="EY99" s="163">
        <f t="shared" si="32"/>
        <v>0</v>
      </c>
      <c r="EZ99" s="163">
        <f t="shared" si="32"/>
        <v>0</v>
      </c>
      <c r="FA99" s="163">
        <f t="shared" si="32"/>
        <v>0</v>
      </c>
      <c r="FB99" s="163">
        <f t="shared" si="32"/>
        <v>0</v>
      </c>
      <c r="FC99" s="163">
        <f t="shared" si="32"/>
        <v>0</v>
      </c>
      <c r="FD99" s="163">
        <f t="shared" si="32"/>
        <v>0</v>
      </c>
      <c r="FE99" s="163">
        <f t="shared" si="32"/>
        <v>0</v>
      </c>
      <c r="FF99" s="163">
        <f t="shared" si="32"/>
        <v>0</v>
      </c>
      <c r="FG99" s="163">
        <f t="shared" si="32"/>
        <v>0</v>
      </c>
      <c r="FH99" s="163">
        <f t="shared" si="32"/>
        <v>0</v>
      </c>
      <c r="FI99" s="163">
        <f t="shared" si="32"/>
        <v>0</v>
      </c>
      <c r="FJ99" s="163">
        <f t="shared" si="32"/>
        <v>0</v>
      </c>
      <c r="FK99" s="163">
        <f t="shared" si="32"/>
        <v>0</v>
      </c>
      <c r="FL99" s="163">
        <f t="shared" si="32"/>
        <v>0</v>
      </c>
      <c r="FM99" s="163">
        <f t="shared" si="32"/>
        <v>0</v>
      </c>
      <c r="FN99" s="163">
        <f t="shared" si="32"/>
        <v>0</v>
      </c>
      <c r="FO99" s="163">
        <f t="shared" si="32"/>
        <v>0</v>
      </c>
      <c r="FP99" s="163">
        <f t="shared" si="32"/>
        <v>0</v>
      </c>
      <c r="FQ99" s="163">
        <f t="shared" si="32"/>
        <v>0</v>
      </c>
      <c r="FR99" s="163">
        <f t="shared" si="32"/>
        <v>0</v>
      </c>
      <c r="FS99" s="163">
        <f t="shared" si="32"/>
        <v>0</v>
      </c>
      <c r="FT99" s="163">
        <f t="shared" si="32"/>
        <v>0</v>
      </c>
      <c r="FU99" s="163">
        <f t="shared" si="32"/>
        <v>0</v>
      </c>
      <c r="FV99" s="163">
        <f t="shared" si="32"/>
        <v>0</v>
      </c>
      <c r="FW99" s="163">
        <f t="shared" si="32"/>
        <v>0</v>
      </c>
      <c r="FX99" s="163">
        <f t="shared" si="32"/>
        <v>0</v>
      </c>
      <c r="FY99" s="163">
        <f t="shared" si="32"/>
        <v>0</v>
      </c>
      <c r="FZ99" s="163">
        <f t="shared" si="32"/>
        <v>0</v>
      </c>
      <c r="GA99" s="163">
        <f t="shared" si="32"/>
        <v>0</v>
      </c>
      <c r="GB99" s="163">
        <f t="shared" si="32"/>
        <v>0</v>
      </c>
      <c r="GC99" s="163">
        <f t="shared" si="32"/>
        <v>0</v>
      </c>
      <c r="GD99" s="163">
        <f t="shared" si="32"/>
        <v>0</v>
      </c>
      <c r="GE99" s="163">
        <f t="shared" si="32"/>
        <v>0</v>
      </c>
      <c r="GF99" s="163">
        <f t="shared" si="32"/>
        <v>0</v>
      </c>
      <c r="GG99" s="163">
        <f t="shared" si="32"/>
        <v>0</v>
      </c>
      <c r="GH99" s="163">
        <f t="shared" si="32"/>
        <v>0</v>
      </c>
      <c r="GI99" s="163">
        <f t="shared" si="32"/>
        <v>0</v>
      </c>
      <c r="GJ99" s="163">
        <f t="shared" si="32"/>
        <v>0</v>
      </c>
      <c r="GK99" s="163">
        <f t="shared" si="32"/>
        <v>0</v>
      </c>
      <c r="GL99" s="163">
        <f t="shared" si="32"/>
        <v>0</v>
      </c>
      <c r="GM99" s="163">
        <f t="shared" si="32"/>
        <v>0</v>
      </c>
      <c r="GN99" s="163">
        <f t="shared" si="32"/>
        <v>0</v>
      </c>
      <c r="GO99" s="163">
        <f t="shared" si="32"/>
        <v>0</v>
      </c>
      <c r="GP99" s="163">
        <f t="shared" ref="GP99:IH99" si="33">(GP14-(GP11*20+GP12))*9</f>
        <v>0</v>
      </c>
      <c r="GQ99" s="163">
        <f t="shared" si="33"/>
        <v>0</v>
      </c>
      <c r="GR99" s="163">
        <f t="shared" si="33"/>
        <v>0</v>
      </c>
      <c r="GS99" s="163">
        <f t="shared" si="33"/>
        <v>0</v>
      </c>
      <c r="GT99" s="163">
        <f t="shared" si="33"/>
        <v>0</v>
      </c>
      <c r="GU99" s="163">
        <f t="shared" si="33"/>
        <v>0</v>
      </c>
      <c r="GV99" s="163">
        <f t="shared" si="33"/>
        <v>0</v>
      </c>
      <c r="GW99" s="163">
        <f t="shared" si="33"/>
        <v>0</v>
      </c>
      <c r="GX99" s="163">
        <f t="shared" si="33"/>
        <v>0</v>
      </c>
      <c r="GY99" s="163">
        <f t="shared" si="33"/>
        <v>0</v>
      </c>
      <c r="GZ99" s="163">
        <f t="shared" si="33"/>
        <v>0</v>
      </c>
      <c r="HA99" s="163">
        <f t="shared" si="33"/>
        <v>0</v>
      </c>
      <c r="HB99" s="163">
        <f t="shared" si="33"/>
        <v>0</v>
      </c>
      <c r="HC99" s="163">
        <f t="shared" si="33"/>
        <v>0</v>
      </c>
      <c r="HD99" s="163">
        <f t="shared" si="33"/>
        <v>0</v>
      </c>
      <c r="HE99" s="163">
        <f t="shared" si="33"/>
        <v>0</v>
      </c>
      <c r="HF99" s="163">
        <f t="shared" si="33"/>
        <v>0</v>
      </c>
      <c r="HG99" s="163">
        <f t="shared" si="33"/>
        <v>0</v>
      </c>
      <c r="HH99" s="163">
        <f t="shared" si="33"/>
        <v>0</v>
      </c>
      <c r="HI99" s="163">
        <f t="shared" si="33"/>
        <v>0</v>
      </c>
      <c r="HJ99" s="163">
        <f t="shared" si="33"/>
        <v>0</v>
      </c>
      <c r="HK99" s="163">
        <f t="shared" si="33"/>
        <v>0</v>
      </c>
      <c r="HL99" s="163">
        <f t="shared" si="33"/>
        <v>0</v>
      </c>
      <c r="HM99" s="163">
        <f t="shared" si="33"/>
        <v>0</v>
      </c>
      <c r="HN99" s="163">
        <f t="shared" si="33"/>
        <v>0</v>
      </c>
      <c r="HO99" s="163">
        <f t="shared" si="33"/>
        <v>0</v>
      </c>
      <c r="HP99" s="163">
        <f t="shared" si="33"/>
        <v>0</v>
      </c>
      <c r="HQ99" s="163">
        <f t="shared" si="33"/>
        <v>0</v>
      </c>
      <c r="HR99" s="163">
        <f t="shared" si="33"/>
        <v>0</v>
      </c>
      <c r="HS99" s="163">
        <f t="shared" si="33"/>
        <v>0</v>
      </c>
      <c r="HT99" s="163">
        <f t="shared" si="33"/>
        <v>0</v>
      </c>
      <c r="HU99" s="163">
        <f t="shared" si="33"/>
        <v>0</v>
      </c>
      <c r="HV99" s="163">
        <f t="shared" si="33"/>
        <v>0</v>
      </c>
      <c r="HW99" s="163">
        <f t="shared" si="33"/>
        <v>0</v>
      </c>
      <c r="HX99" s="163">
        <f t="shared" si="33"/>
        <v>0</v>
      </c>
      <c r="HY99" s="163">
        <f t="shared" si="33"/>
        <v>0</v>
      </c>
      <c r="HZ99" s="163">
        <f t="shared" si="33"/>
        <v>0</v>
      </c>
      <c r="IA99" s="163">
        <f t="shared" si="33"/>
        <v>0</v>
      </c>
      <c r="IB99" s="163">
        <f t="shared" si="33"/>
        <v>0</v>
      </c>
      <c r="IC99" s="163">
        <f t="shared" si="33"/>
        <v>0</v>
      </c>
      <c r="ID99" s="163">
        <f t="shared" si="33"/>
        <v>0</v>
      </c>
      <c r="IE99" s="163">
        <f t="shared" si="33"/>
        <v>0</v>
      </c>
      <c r="IF99" s="163">
        <f t="shared" si="33"/>
        <v>0</v>
      </c>
      <c r="IG99" s="163">
        <f t="shared" si="33"/>
        <v>0</v>
      </c>
      <c r="IH99" s="163">
        <f t="shared" si="33"/>
        <v>0</v>
      </c>
    </row>
    <row r="100" spans="1:242" x14ac:dyDescent="0.25">
      <c r="A100" s="60">
        <v>55</v>
      </c>
      <c r="B100" s="89"/>
      <c r="C100" s="89"/>
      <c r="D100" s="89"/>
      <c r="E100" s="163">
        <f>ROUND((E14-(E11*20+E12))*9,0)</f>
        <v>0</v>
      </c>
      <c r="F100" s="163">
        <f t="shared" ref="F100:BP100" si="34">ROUND((F14-(F11*20+F12))*9,0)</f>
        <v>0</v>
      </c>
      <c r="G100" s="163">
        <f t="shared" si="34"/>
        <v>0</v>
      </c>
      <c r="H100" s="163">
        <f t="shared" si="34"/>
        <v>0</v>
      </c>
      <c r="I100" s="163">
        <f t="shared" si="34"/>
        <v>0</v>
      </c>
      <c r="J100" s="163">
        <f t="shared" si="34"/>
        <v>0</v>
      </c>
      <c r="K100" s="163">
        <f t="shared" si="34"/>
        <v>0</v>
      </c>
      <c r="L100" s="163">
        <f t="shared" si="34"/>
        <v>0</v>
      </c>
      <c r="M100" s="163">
        <f t="shared" si="34"/>
        <v>0</v>
      </c>
      <c r="N100" s="163">
        <f t="shared" si="34"/>
        <v>0</v>
      </c>
      <c r="O100" s="163">
        <f t="shared" si="34"/>
        <v>0</v>
      </c>
      <c r="P100" s="163">
        <f t="shared" si="34"/>
        <v>0</v>
      </c>
      <c r="Q100" s="163">
        <f t="shared" si="34"/>
        <v>0</v>
      </c>
      <c r="R100" s="163">
        <f t="shared" si="34"/>
        <v>0</v>
      </c>
      <c r="S100" s="163">
        <f t="shared" si="34"/>
        <v>0</v>
      </c>
      <c r="T100" s="163">
        <f t="shared" si="34"/>
        <v>0</v>
      </c>
      <c r="U100" s="163">
        <f t="shared" si="34"/>
        <v>0</v>
      </c>
      <c r="V100" s="163">
        <f t="shared" si="34"/>
        <v>0</v>
      </c>
      <c r="W100" s="163">
        <f t="shared" si="34"/>
        <v>0</v>
      </c>
      <c r="X100" s="163">
        <f t="shared" si="34"/>
        <v>0</v>
      </c>
      <c r="Y100" s="163">
        <f t="shared" si="34"/>
        <v>0</v>
      </c>
      <c r="Z100" s="163">
        <f t="shared" si="34"/>
        <v>0</v>
      </c>
      <c r="AA100" s="163">
        <f t="shared" si="34"/>
        <v>0</v>
      </c>
      <c r="AB100" s="163">
        <f t="shared" si="34"/>
        <v>0</v>
      </c>
      <c r="AC100" s="163">
        <f t="shared" si="34"/>
        <v>0</v>
      </c>
      <c r="AD100" s="163">
        <f t="shared" si="34"/>
        <v>0</v>
      </c>
      <c r="AE100" s="163">
        <f t="shared" si="34"/>
        <v>0</v>
      </c>
      <c r="AF100" s="163">
        <f t="shared" si="34"/>
        <v>0</v>
      </c>
      <c r="AG100" s="163">
        <f t="shared" si="34"/>
        <v>0</v>
      </c>
      <c r="AH100" s="163">
        <f t="shared" si="34"/>
        <v>0</v>
      </c>
      <c r="AI100" s="163">
        <f t="shared" si="34"/>
        <v>0</v>
      </c>
      <c r="AJ100" s="163">
        <f t="shared" si="34"/>
        <v>0</v>
      </c>
      <c r="AK100" s="163">
        <f t="shared" si="34"/>
        <v>0</v>
      </c>
      <c r="AL100" s="163">
        <f t="shared" si="34"/>
        <v>0</v>
      </c>
      <c r="AM100" s="163">
        <f t="shared" si="34"/>
        <v>0</v>
      </c>
      <c r="AN100" s="163">
        <f t="shared" si="34"/>
        <v>0</v>
      </c>
      <c r="AO100" s="163">
        <f t="shared" si="34"/>
        <v>0</v>
      </c>
      <c r="AP100" s="163">
        <f t="shared" si="34"/>
        <v>0</v>
      </c>
      <c r="AQ100" s="163">
        <f t="shared" si="34"/>
        <v>0</v>
      </c>
      <c r="AR100" s="163">
        <f t="shared" si="34"/>
        <v>0</v>
      </c>
      <c r="AS100" s="163">
        <f t="shared" si="34"/>
        <v>0</v>
      </c>
      <c r="AT100" s="163">
        <f t="shared" si="34"/>
        <v>0</v>
      </c>
      <c r="AU100" s="163">
        <f t="shared" si="34"/>
        <v>0</v>
      </c>
      <c r="AV100" s="163">
        <f t="shared" si="34"/>
        <v>0</v>
      </c>
      <c r="AW100" s="163">
        <f t="shared" si="34"/>
        <v>0</v>
      </c>
      <c r="AX100" s="163">
        <f t="shared" si="34"/>
        <v>0</v>
      </c>
      <c r="AY100" s="163">
        <f t="shared" si="34"/>
        <v>0</v>
      </c>
      <c r="AZ100" s="163">
        <f t="shared" si="34"/>
        <v>0</v>
      </c>
      <c r="BA100" s="163">
        <f t="shared" si="34"/>
        <v>0</v>
      </c>
      <c r="BB100" s="163">
        <f t="shared" si="34"/>
        <v>0</v>
      </c>
      <c r="BC100" s="163">
        <f t="shared" si="34"/>
        <v>0</v>
      </c>
      <c r="BD100" s="163">
        <f t="shared" si="34"/>
        <v>0</v>
      </c>
      <c r="BE100" s="163">
        <f t="shared" si="34"/>
        <v>0</v>
      </c>
      <c r="BF100" s="163">
        <f t="shared" si="34"/>
        <v>0</v>
      </c>
      <c r="BG100" s="163">
        <f t="shared" si="34"/>
        <v>0</v>
      </c>
      <c r="BH100" s="163">
        <f t="shared" si="34"/>
        <v>0</v>
      </c>
      <c r="BI100" s="163">
        <f t="shared" si="34"/>
        <v>0</v>
      </c>
      <c r="BJ100" s="163">
        <f t="shared" si="34"/>
        <v>0</v>
      </c>
      <c r="BK100" s="163">
        <f t="shared" si="34"/>
        <v>0</v>
      </c>
      <c r="BL100" s="163">
        <f t="shared" si="34"/>
        <v>0</v>
      </c>
      <c r="BM100" s="163">
        <f t="shared" si="34"/>
        <v>0</v>
      </c>
      <c r="BN100" s="163">
        <f t="shared" si="34"/>
        <v>0</v>
      </c>
      <c r="BO100" s="163">
        <f t="shared" si="34"/>
        <v>0</v>
      </c>
      <c r="BP100" s="163">
        <f t="shared" si="34"/>
        <v>0</v>
      </c>
      <c r="BQ100" s="163">
        <f t="shared" ref="BQ100:EB100" si="35">ROUND((BQ14-(BQ11*20+BQ12))*9,0)</f>
        <v>0</v>
      </c>
      <c r="BR100" s="163">
        <f t="shared" si="35"/>
        <v>0</v>
      </c>
      <c r="BS100" s="163">
        <f t="shared" si="35"/>
        <v>0</v>
      </c>
      <c r="BT100" s="163">
        <f t="shared" si="35"/>
        <v>0</v>
      </c>
      <c r="BU100" s="163">
        <f t="shared" si="35"/>
        <v>0</v>
      </c>
      <c r="BV100" s="163">
        <f t="shared" si="35"/>
        <v>0</v>
      </c>
      <c r="BW100" s="163">
        <f t="shared" si="35"/>
        <v>0</v>
      </c>
      <c r="BX100" s="163">
        <f t="shared" si="35"/>
        <v>0</v>
      </c>
      <c r="BY100" s="163">
        <f t="shared" si="35"/>
        <v>0</v>
      </c>
      <c r="BZ100" s="163">
        <f t="shared" si="35"/>
        <v>0</v>
      </c>
      <c r="CA100" s="163">
        <f t="shared" si="35"/>
        <v>0</v>
      </c>
      <c r="CB100" s="163">
        <f t="shared" si="35"/>
        <v>0</v>
      </c>
      <c r="CC100" s="163">
        <f t="shared" si="35"/>
        <v>0</v>
      </c>
      <c r="CD100" s="163">
        <f t="shared" si="35"/>
        <v>0</v>
      </c>
      <c r="CE100" s="163">
        <f t="shared" si="35"/>
        <v>0</v>
      </c>
      <c r="CF100" s="163">
        <f t="shared" si="35"/>
        <v>0</v>
      </c>
      <c r="CG100" s="163">
        <f t="shared" si="35"/>
        <v>0</v>
      </c>
      <c r="CH100" s="163">
        <f t="shared" si="35"/>
        <v>0</v>
      </c>
      <c r="CI100" s="163">
        <f t="shared" si="35"/>
        <v>0</v>
      </c>
      <c r="CJ100" s="163">
        <f t="shared" si="35"/>
        <v>0</v>
      </c>
      <c r="CK100" s="163">
        <f t="shared" si="35"/>
        <v>0</v>
      </c>
      <c r="CL100" s="163">
        <f t="shared" si="35"/>
        <v>0</v>
      </c>
      <c r="CM100" s="163">
        <f t="shared" si="35"/>
        <v>0</v>
      </c>
      <c r="CN100" s="163">
        <f t="shared" si="35"/>
        <v>0</v>
      </c>
      <c r="CO100" s="163">
        <f t="shared" si="35"/>
        <v>0</v>
      </c>
      <c r="CP100" s="163">
        <f t="shared" si="35"/>
        <v>0</v>
      </c>
      <c r="CQ100" s="163">
        <f t="shared" si="35"/>
        <v>0</v>
      </c>
      <c r="CR100" s="163">
        <f t="shared" si="35"/>
        <v>0</v>
      </c>
      <c r="CS100" s="163">
        <f t="shared" si="35"/>
        <v>0</v>
      </c>
      <c r="CT100" s="163">
        <f t="shared" si="35"/>
        <v>0</v>
      </c>
      <c r="CU100" s="163">
        <f t="shared" si="35"/>
        <v>0</v>
      </c>
      <c r="CV100" s="163">
        <f t="shared" si="35"/>
        <v>0</v>
      </c>
      <c r="CW100" s="163">
        <f t="shared" si="35"/>
        <v>0</v>
      </c>
      <c r="CX100" s="163">
        <f t="shared" si="35"/>
        <v>0</v>
      </c>
      <c r="CY100" s="163">
        <f t="shared" si="35"/>
        <v>0</v>
      </c>
      <c r="CZ100" s="163">
        <f t="shared" si="35"/>
        <v>0</v>
      </c>
      <c r="DA100" s="163">
        <f t="shared" si="35"/>
        <v>0</v>
      </c>
      <c r="DB100" s="163">
        <f t="shared" si="35"/>
        <v>0</v>
      </c>
      <c r="DC100" s="163">
        <f t="shared" si="35"/>
        <v>0</v>
      </c>
      <c r="DD100" s="163">
        <f t="shared" si="35"/>
        <v>0</v>
      </c>
      <c r="DE100" s="163">
        <f t="shared" si="35"/>
        <v>0</v>
      </c>
      <c r="DF100" s="163">
        <f t="shared" si="35"/>
        <v>0</v>
      </c>
      <c r="DG100" s="163">
        <f t="shared" si="35"/>
        <v>0</v>
      </c>
      <c r="DH100" s="163">
        <f t="shared" si="35"/>
        <v>0</v>
      </c>
      <c r="DI100" s="163">
        <f t="shared" si="35"/>
        <v>0</v>
      </c>
      <c r="DJ100" s="163">
        <f t="shared" si="35"/>
        <v>0</v>
      </c>
      <c r="DK100" s="163">
        <f t="shared" si="35"/>
        <v>0</v>
      </c>
      <c r="DL100" s="163">
        <f t="shared" si="35"/>
        <v>0</v>
      </c>
      <c r="DM100" s="163">
        <f t="shared" si="35"/>
        <v>0</v>
      </c>
      <c r="DN100" s="163">
        <f t="shared" si="35"/>
        <v>0</v>
      </c>
      <c r="DO100" s="163">
        <f t="shared" si="35"/>
        <v>0</v>
      </c>
      <c r="DP100" s="163">
        <f t="shared" si="35"/>
        <v>0</v>
      </c>
      <c r="DQ100" s="163">
        <f t="shared" si="35"/>
        <v>0</v>
      </c>
      <c r="DR100" s="163">
        <f t="shared" si="35"/>
        <v>0</v>
      </c>
      <c r="DS100" s="163">
        <f t="shared" si="35"/>
        <v>0</v>
      </c>
      <c r="DT100" s="163">
        <f t="shared" si="35"/>
        <v>0</v>
      </c>
      <c r="DU100" s="163">
        <f t="shared" si="35"/>
        <v>0</v>
      </c>
      <c r="DV100" s="163">
        <f t="shared" si="35"/>
        <v>0</v>
      </c>
      <c r="DW100" s="163">
        <f t="shared" si="35"/>
        <v>0</v>
      </c>
      <c r="DX100" s="163">
        <f t="shared" si="35"/>
        <v>0</v>
      </c>
      <c r="DY100" s="163">
        <f t="shared" si="35"/>
        <v>0</v>
      </c>
      <c r="DZ100" s="163">
        <f t="shared" si="35"/>
        <v>0</v>
      </c>
      <c r="EA100" s="163">
        <f t="shared" si="35"/>
        <v>0</v>
      </c>
      <c r="EB100" s="163">
        <f t="shared" si="35"/>
        <v>0</v>
      </c>
      <c r="EC100" s="163">
        <f t="shared" ref="EC100:GN100" si="36">ROUND((EC14-(EC11*20+EC12))*9,0)</f>
        <v>0</v>
      </c>
      <c r="ED100" s="163">
        <f t="shared" si="36"/>
        <v>0</v>
      </c>
      <c r="EE100" s="163">
        <f t="shared" si="36"/>
        <v>0</v>
      </c>
      <c r="EF100" s="163">
        <f t="shared" si="36"/>
        <v>0</v>
      </c>
      <c r="EG100" s="163">
        <f t="shared" si="36"/>
        <v>0</v>
      </c>
      <c r="EH100" s="163">
        <f t="shared" si="36"/>
        <v>0</v>
      </c>
      <c r="EI100" s="163">
        <f t="shared" si="36"/>
        <v>0</v>
      </c>
      <c r="EJ100" s="163">
        <f t="shared" si="36"/>
        <v>0</v>
      </c>
      <c r="EK100" s="163">
        <f t="shared" si="36"/>
        <v>0</v>
      </c>
      <c r="EL100" s="163">
        <f t="shared" si="36"/>
        <v>0</v>
      </c>
      <c r="EM100" s="163">
        <f t="shared" si="36"/>
        <v>0</v>
      </c>
      <c r="EN100" s="163">
        <f t="shared" si="36"/>
        <v>0</v>
      </c>
      <c r="EO100" s="163">
        <f t="shared" si="36"/>
        <v>0</v>
      </c>
      <c r="EP100" s="163">
        <f t="shared" si="36"/>
        <v>0</v>
      </c>
      <c r="EQ100" s="163">
        <f t="shared" si="36"/>
        <v>0</v>
      </c>
      <c r="ER100" s="163">
        <f t="shared" si="36"/>
        <v>0</v>
      </c>
      <c r="ES100" s="163">
        <f t="shared" si="36"/>
        <v>0</v>
      </c>
      <c r="ET100" s="163">
        <f t="shared" si="36"/>
        <v>0</v>
      </c>
      <c r="EU100" s="163">
        <f t="shared" si="36"/>
        <v>0</v>
      </c>
      <c r="EV100" s="163">
        <f t="shared" si="36"/>
        <v>0</v>
      </c>
      <c r="EW100" s="163">
        <f t="shared" si="36"/>
        <v>0</v>
      </c>
      <c r="EX100" s="163">
        <f t="shared" si="36"/>
        <v>0</v>
      </c>
      <c r="EY100" s="163">
        <f t="shared" si="36"/>
        <v>0</v>
      </c>
      <c r="EZ100" s="163">
        <f t="shared" si="36"/>
        <v>0</v>
      </c>
      <c r="FA100" s="163">
        <f t="shared" si="36"/>
        <v>0</v>
      </c>
      <c r="FB100" s="163">
        <f t="shared" si="36"/>
        <v>0</v>
      </c>
      <c r="FC100" s="163">
        <f t="shared" si="36"/>
        <v>0</v>
      </c>
      <c r="FD100" s="163">
        <f t="shared" si="36"/>
        <v>0</v>
      </c>
      <c r="FE100" s="163">
        <f t="shared" si="36"/>
        <v>0</v>
      </c>
      <c r="FF100" s="163">
        <f t="shared" si="36"/>
        <v>0</v>
      </c>
      <c r="FG100" s="163">
        <f t="shared" si="36"/>
        <v>0</v>
      </c>
      <c r="FH100" s="163">
        <f t="shared" si="36"/>
        <v>0</v>
      </c>
      <c r="FI100" s="163">
        <f t="shared" si="36"/>
        <v>0</v>
      </c>
      <c r="FJ100" s="163">
        <f t="shared" si="36"/>
        <v>0</v>
      </c>
      <c r="FK100" s="163">
        <f t="shared" si="36"/>
        <v>0</v>
      </c>
      <c r="FL100" s="163">
        <f t="shared" si="36"/>
        <v>0</v>
      </c>
      <c r="FM100" s="163">
        <f t="shared" si="36"/>
        <v>0</v>
      </c>
      <c r="FN100" s="163">
        <f t="shared" si="36"/>
        <v>0</v>
      </c>
      <c r="FO100" s="163">
        <f t="shared" si="36"/>
        <v>0</v>
      </c>
      <c r="FP100" s="163">
        <f t="shared" si="36"/>
        <v>0</v>
      </c>
      <c r="FQ100" s="163">
        <f t="shared" si="36"/>
        <v>0</v>
      </c>
      <c r="FR100" s="163">
        <f t="shared" si="36"/>
        <v>0</v>
      </c>
      <c r="FS100" s="163">
        <f t="shared" si="36"/>
        <v>0</v>
      </c>
      <c r="FT100" s="163">
        <f t="shared" si="36"/>
        <v>0</v>
      </c>
      <c r="FU100" s="163">
        <f t="shared" si="36"/>
        <v>0</v>
      </c>
      <c r="FV100" s="163">
        <f t="shared" si="36"/>
        <v>0</v>
      </c>
      <c r="FW100" s="163">
        <f t="shared" si="36"/>
        <v>0</v>
      </c>
      <c r="FX100" s="163">
        <f t="shared" si="36"/>
        <v>0</v>
      </c>
      <c r="FY100" s="163">
        <f t="shared" si="36"/>
        <v>0</v>
      </c>
      <c r="FZ100" s="163">
        <f t="shared" si="36"/>
        <v>0</v>
      </c>
      <c r="GA100" s="163">
        <f t="shared" si="36"/>
        <v>0</v>
      </c>
      <c r="GB100" s="163">
        <f t="shared" si="36"/>
        <v>0</v>
      </c>
      <c r="GC100" s="163">
        <f t="shared" si="36"/>
        <v>0</v>
      </c>
      <c r="GD100" s="163">
        <f t="shared" si="36"/>
        <v>0</v>
      </c>
      <c r="GE100" s="163">
        <f t="shared" si="36"/>
        <v>0</v>
      </c>
      <c r="GF100" s="163">
        <f t="shared" si="36"/>
        <v>0</v>
      </c>
      <c r="GG100" s="163">
        <f t="shared" si="36"/>
        <v>0</v>
      </c>
      <c r="GH100" s="163">
        <f t="shared" si="36"/>
        <v>0</v>
      </c>
      <c r="GI100" s="163">
        <f t="shared" si="36"/>
        <v>0</v>
      </c>
      <c r="GJ100" s="163">
        <f t="shared" si="36"/>
        <v>0</v>
      </c>
      <c r="GK100" s="163">
        <f t="shared" si="36"/>
        <v>0</v>
      </c>
      <c r="GL100" s="163">
        <f t="shared" si="36"/>
        <v>0</v>
      </c>
      <c r="GM100" s="163">
        <f t="shared" si="36"/>
        <v>0</v>
      </c>
      <c r="GN100" s="163">
        <f t="shared" si="36"/>
        <v>0</v>
      </c>
      <c r="GO100" s="163">
        <f t="shared" ref="GO100:IH100" si="37">ROUND((GO14-(GO11*20+GO12))*9,0)</f>
        <v>0</v>
      </c>
      <c r="GP100" s="163">
        <f t="shared" si="37"/>
        <v>0</v>
      </c>
      <c r="GQ100" s="163">
        <f t="shared" si="37"/>
        <v>0</v>
      </c>
      <c r="GR100" s="163">
        <f t="shared" si="37"/>
        <v>0</v>
      </c>
      <c r="GS100" s="163">
        <f t="shared" si="37"/>
        <v>0</v>
      </c>
      <c r="GT100" s="163">
        <f t="shared" si="37"/>
        <v>0</v>
      </c>
      <c r="GU100" s="163">
        <f t="shared" si="37"/>
        <v>0</v>
      </c>
      <c r="GV100" s="163">
        <f t="shared" si="37"/>
        <v>0</v>
      </c>
      <c r="GW100" s="163">
        <f t="shared" si="37"/>
        <v>0</v>
      </c>
      <c r="GX100" s="163">
        <f t="shared" si="37"/>
        <v>0</v>
      </c>
      <c r="GY100" s="163">
        <f t="shared" si="37"/>
        <v>0</v>
      </c>
      <c r="GZ100" s="163">
        <f t="shared" si="37"/>
        <v>0</v>
      </c>
      <c r="HA100" s="163">
        <f t="shared" si="37"/>
        <v>0</v>
      </c>
      <c r="HB100" s="163">
        <f t="shared" si="37"/>
        <v>0</v>
      </c>
      <c r="HC100" s="163">
        <f t="shared" si="37"/>
        <v>0</v>
      </c>
      <c r="HD100" s="163">
        <f t="shared" si="37"/>
        <v>0</v>
      </c>
      <c r="HE100" s="163">
        <f t="shared" si="37"/>
        <v>0</v>
      </c>
      <c r="HF100" s="163">
        <f t="shared" si="37"/>
        <v>0</v>
      </c>
      <c r="HG100" s="163">
        <f t="shared" si="37"/>
        <v>0</v>
      </c>
      <c r="HH100" s="163">
        <f t="shared" si="37"/>
        <v>0</v>
      </c>
      <c r="HI100" s="163">
        <f t="shared" si="37"/>
        <v>0</v>
      </c>
      <c r="HJ100" s="163">
        <f t="shared" si="37"/>
        <v>0</v>
      </c>
      <c r="HK100" s="163">
        <f t="shared" si="37"/>
        <v>0</v>
      </c>
      <c r="HL100" s="163">
        <f t="shared" si="37"/>
        <v>0</v>
      </c>
      <c r="HM100" s="163">
        <f t="shared" si="37"/>
        <v>0</v>
      </c>
      <c r="HN100" s="163">
        <f t="shared" si="37"/>
        <v>0</v>
      </c>
      <c r="HO100" s="163">
        <f t="shared" si="37"/>
        <v>0</v>
      </c>
      <c r="HP100" s="163">
        <f t="shared" si="37"/>
        <v>0</v>
      </c>
      <c r="HQ100" s="163">
        <f t="shared" si="37"/>
        <v>0</v>
      </c>
      <c r="HR100" s="163">
        <f t="shared" si="37"/>
        <v>0</v>
      </c>
      <c r="HS100" s="163">
        <f t="shared" si="37"/>
        <v>0</v>
      </c>
      <c r="HT100" s="163">
        <f t="shared" si="37"/>
        <v>0</v>
      </c>
      <c r="HU100" s="163">
        <f t="shared" si="37"/>
        <v>0</v>
      </c>
      <c r="HV100" s="163">
        <f t="shared" si="37"/>
        <v>0</v>
      </c>
      <c r="HW100" s="163">
        <f t="shared" si="37"/>
        <v>0</v>
      </c>
      <c r="HX100" s="163">
        <f t="shared" si="37"/>
        <v>0</v>
      </c>
      <c r="HY100" s="163">
        <f t="shared" si="37"/>
        <v>0</v>
      </c>
      <c r="HZ100" s="163">
        <f t="shared" si="37"/>
        <v>0</v>
      </c>
      <c r="IA100" s="163">
        <f t="shared" si="37"/>
        <v>0</v>
      </c>
      <c r="IB100" s="163">
        <f t="shared" si="37"/>
        <v>0</v>
      </c>
      <c r="IC100" s="163">
        <f t="shared" si="37"/>
        <v>0</v>
      </c>
      <c r="ID100" s="163">
        <f t="shared" si="37"/>
        <v>0</v>
      </c>
      <c r="IE100" s="163">
        <f t="shared" si="37"/>
        <v>0</v>
      </c>
      <c r="IF100" s="163">
        <f t="shared" si="37"/>
        <v>0</v>
      </c>
      <c r="IG100" s="163">
        <f t="shared" si="37"/>
        <v>0</v>
      </c>
      <c r="IH100" s="163">
        <f t="shared" si="37"/>
        <v>0</v>
      </c>
    </row>
    <row r="101" spans="1:242" x14ac:dyDescent="0.25">
      <c r="A101" s="60">
        <v>56</v>
      </c>
      <c r="B101" s="89"/>
      <c r="C101" s="89"/>
      <c r="D101" s="89"/>
      <c r="E101" s="163">
        <f>ROUND($A$2/9*E99,0)</f>
        <v>0</v>
      </c>
      <c r="F101" s="163">
        <f t="shared" ref="F101:BQ101" si="38">ROUND($A$2/9*F99,0)</f>
        <v>0</v>
      </c>
      <c r="G101" s="163">
        <f t="shared" si="38"/>
        <v>0</v>
      </c>
      <c r="H101" s="163">
        <f t="shared" si="38"/>
        <v>0</v>
      </c>
      <c r="I101" s="163">
        <f t="shared" si="38"/>
        <v>0</v>
      </c>
      <c r="J101" s="163">
        <f t="shared" si="38"/>
        <v>0</v>
      </c>
      <c r="K101" s="163">
        <f t="shared" si="38"/>
        <v>0</v>
      </c>
      <c r="L101" s="163">
        <f t="shared" si="38"/>
        <v>0</v>
      </c>
      <c r="M101" s="163">
        <f t="shared" si="38"/>
        <v>0</v>
      </c>
      <c r="N101" s="163">
        <f t="shared" si="38"/>
        <v>0</v>
      </c>
      <c r="O101" s="163">
        <f t="shared" si="38"/>
        <v>0</v>
      </c>
      <c r="P101" s="163">
        <f t="shared" si="38"/>
        <v>0</v>
      </c>
      <c r="Q101" s="163">
        <f t="shared" si="38"/>
        <v>0</v>
      </c>
      <c r="R101" s="163">
        <f t="shared" si="38"/>
        <v>0</v>
      </c>
      <c r="S101" s="163">
        <f t="shared" si="38"/>
        <v>0</v>
      </c>
      <c r="T101" s="163">
        <f t="shared" si="38"/>
        <v>0</v>
      </c>
      <c r="U101" s="163">
        <f t="shared" si="38"/>
        <v>0</v>
      </c>
      <c r="V101" s="163">
        <f t="shared" si="38"/>
        <v>0</v>
      </c>
      <c r="W101" s="163">
        <f t="shared" si="38"/>
        <v>0</v>
      </c>
      <c r="X101" s="163">
        <f t="shared" si="38"/>
        <v>0</v>
      </c>
      <c r="Y101" s="163">
        <f t="shared" si="38"/>
        <v>0</v>
      </c>
      <c r="Z101" s="163">
        <f t="shared" si="38"/>
        <v>0</v>
      </c>
      <c r="AA101" s="163">
        <f t="shared" si="38"/>
        <v>0</v>
      </c>
      <c r="AB101" s="163">
        <f t="shared" si="38"/>
        <v>0</v>
      </c>
      <c r="AC101" s="163">
        <f t="shared" si="38"/>
        <v>0</v>
      </c>
      <c r="AD101" s="163">
        <f t="shared" si="38"/>
        <v>0</v>
      </c>
      <c r="AE101" s="163">
        <f t="shared" si="38"/>
        <v>0</v>
      </c>
      <c r="AF101" s="163">
        <f t="shared" si="38"/>
        <v>0</v>
      </c>
      <c r="AG101" s="163">
        <f t="shared" si="38"/>
        <v>0</v>
      </c>
      <c r="AH101" s="163">
        <f t="shared" si="38"/>
        <v>0</v>
      </c>
      <c r="AI101" s="163">
        <f t="shared" si="38"/>
        <v>0</v>
      </c>
      <c r="AJ101" s="163">
        <f t="shared" si="38"/>
        <v>0</v>
      </c>
      <c r="AK101" s="163">
        <f t="shared" si="38"/>
        <v>0</v>
      </c>
      <c r="AL101" s="163">
        <f t="shared" si="38"/>
        <v>0</v>
      </c>
      <c r="AM101" s="163">
        <f t="shared" si="38"/>
        <v>0</v>
      </c>
      <c r="AN101" s="163">
        <f t="shared" si="38"/>
        <v>0</v>
      </c>
      <c r="AO101" s="163">
        <f t="shared" si="38"/>
        <v>0</v>
      </c>
      <c r="AP101" s="163">
        <f t="shared" si="38"/>
        <v>0</v>
      </c>
      <c r="AQ101" s="163">
        <f t="shared" si="38"/>
        <v>0</v>
      </c>
      <c r="AR101" s="163">
        <f t="shared" si="38"/>
        <v>0</v>
      </c>
      <c r="AS101" s="163">
        <f t="shared" si="38"/>
        <v>0</v>
      </c>
      <c r="AT101" s="163">
        <f t="shared" si="38"/>
        <v>0</v>
      </c>
      <c r="AU101" s="163">
        <f t="shared" si="38"/>
        <v>0</v>
      </c>
      <c r="AV101" s="163">
        <f t="shared" si="38"/>
        <v>0</v>
      </c>
      <c r="AW101" s="163">
        <f t="shared" si="38"/>
        <v>0</v>
      </c>
      <c r="AX101" s="163">
        <f t="shared" si="38"/>
        <v>0</v>
      </c>
      <c r="AY101" s="163">
        <f t="shared" si="38"/>
        <v>0</v>
      </c>
      <c r="AZ101" s="163">
        <f t="shared" si="38"/>
        <v>0</v>
      </c>
      <c r="BA101" s="163">
        <f t="shared" si="38"/>
        <v>0</v>
      </c>
      <c r="BB101" s="163">
        <f t="shared" si="38"/>
        <v>0</v>
      </c>
      <c r="BC101" s="163">
        <f t="shared" si="38"/>
        <v>0</v>
      </c>
      <c r="BD101" s="163">
        <f t="shared" si="38"/>
        <v>0</v>
      </c>
      <c r="BE101" s="163">
        <f t="shared" si="38"/>
        <v>0</v>
      </c>
      <c r="BF101" s="163">
        <f t="shared" si="38"/>
        <v>0</v>
      </c>
      <c r="BG101" s="163">
        <f t="shared" si="38"/>
        <v>0</v>
      </c>
      <c r="BH101" s="163">
        <f t="shared" si="38"/>
        <v>0</v>
      </c>
      <c r="BI101" s="163">
        <f t="shared" si="38"/>
        <v>0</v>
      </c>
      <c r="BJ101" s="163">
        <f t="shared" si="38"/>
        <v>0</v>
      </c>
      <c r="BK101" s="163">
        <f t="shared" si="38"/>
        <v>0</v>
      </c>
      <c r="BL101" s="163">
        <f t="shared" si="38"/>
        <v>0</v>
      </c>
      <c r="BM101" s="163">
        <f t="shared" si="38"/>
        <v>0</v>
      </c>
      <c r="BN101" s="163">
        <f t="shared" si="38"/>
        <v>0</v>
      </c>
      <c r="BO101" s="163">
        <f t="shared" si="38"/>
        <v>0</v>
      </c>
      <c r="BP101" s="163">
        <f t="shared" si="38"/>
        <v>0</v>
      </c>
      <c r="BQ101" s="163">
        <f t="shared" si="38"/>
        <v>0</v>
      </c>
      <c r="BR101" s="163">
        <f t="shared" ref="BR101:EC101" si="39">ROUND($A$2/9*BR99,0)</f>
        <v>0</v>
      </c>
      <c r="BS101" s="163">
        <f t="shared" si="39"/>
        <v>0</v>
      </c>
      <c r="BT101" s="163">
        <f t="shared" si="39"/>
        <v>0</v>
      </c>
      <c r="BU101" s="163">
        <f t="shared" si="39"/>
        <v>0</v>
      </c>
      <c r="BV101" s="163">
        <f t="shared" si="39"/>
        <v>0</v>
      </c>
      <c r="BW101" s="163">
        <f t="shared" si="39"/>
        <v>0</v>
      </c>
      <c r="BX101" s="163">
        <f t="shared" si="39"/>
        <v>0</v>
      </c>
      <c r="BY101" s="163">
        <f t="shared" si="39"/>
        <v>0</v>
      </c>
      <c r="BZ101" s="163">
        <f t="shared" si="39"/>
        <v>0</v>
      </c>
      <c r="CA101" s="163">
        <f t="shared" si="39"/>
        <v>0</v>
      </c>
      <c r="CB101" s="163">
        <f t="shared" si="39"/>
        <v>0</v>
      </c>
      <c r="CC101" s="163">
        <f t="shared" si="39"/>
        <v>0</v>
      </c>
      <c r="CD101" s="163">
        <f t="shared" si="39"/>
        <v>0</v>
      </c>
      <c r="CE101" s="163">
        <f t="shared" si="39"/>
        <v>0</v>
      </c>
      <c r="CF101" s="163">
        <f t="shared" si="39"/>
        <v>0</v>
      </c>
      <c r="CG101" s="163">
        <f t="shared" si="39"/>
        <v>0</v>
      </c>
      <c r="CH101" s="163">
        <f t="shared" si="39"/>
        <v>0</v>
      </c>
      <c r="CI101" s="163">
        <f t="shared" si="39"/>
        <v>0</v>
      </c>
      <c r="CJ101" s="163">
        <f t="shared" si="39"/>
        <v>0</v>
      </c>
      <c r="CK101" s="163">
        <f t="shared" si="39"/>
        <v>0</v>
      </c>
      <c r="CL101" s="163">
        <f t="shared" si="39"/>
        <v>0</v>
      </c>
      <c r="CM101" s="163">
        <f t="shared" si="39"/>
        <v>0</v>
      </c>
      <c r="CN101" s="163">
        <f t="shared" si="39"/>
        <v>0</v>
      </c>
      <c r="CO101" s="163">
        <f t="shared" si="39"/>
        <v>0</v>
      </c>
      <c r="CP101" s="163">
        <f t="shared" si="39"/>
        <v>0</v>
      </c>
      <c r="CQ101" s="163">
        <f t="shared" si="39"/>
        <v>0</v>
      </c>
      <c r="CR101" s="163">
        <f t="shared" si="39"/>
        <v>0</v>
      </c>
      <c r="CS101" s="163">
        <f t="shared" si="39"/>
        <v>0</v>
      </c>
      <c r="CT101" s="163">
        <f t="shared" si="39"/>
        <v>0</v>
      </c>
      <c r="CU101" s="163">
        <f t="shared" si="39"/>
        <v>0</v>
      </c>
      <c r="CV101" s="163">
        <f t="shared" si="39"/>
        <v>0</v>
      </c>
      <c r="CW101" s="163">
        <f t="shared" si="39"/>
        <v>0</v>
      </c>
      <c r="CX101" s="163">
        <f t="shared" si="39"/>
        <v>0</v>
      </c>
      <c r="CY101" s="163">
        <f t="shared" si="39"/>
        <v>0</v>
      </c>
      <c r="CZ101" s="163">
        <f t="shared" si="39"/>
        <v>0</v>
      </c>
      <c r="DA101" s="163">
        <f t="shared" si="39"/>
        <v>0</v>
      </c>
      <c r="DB101" s="163">
        <f t="shared" si="39"/>
        <v>0</v>
      </c>
      <c r="DC101" s="163">
        <f t="shared" si="39"/>
        <v>0</v>
      </c>
      <c r="DD101" s="163">
        <f t="shared" si="39"/>
        <v>0</v>
      </c>
      <c r="DE101" s="163">
        <f t="shared" si="39"/>
        <v>0</v>
      </c>
      <c r="DF101" s="163">
        <f t="shared" si="39"/>
        <v>0</v>
      </c>
      <c r="DG101" s="163">
        <f t="shared" si="39"/>
        <v>0</v>
      </c>
      <c r="DH101" s="163">
        <f t="shared" si="39"/>
        <v>0</v>
      </c>
      <c r="DI101" s="163">
        <f t="shared" si="39"/>
        <v>0</v>
      </c>
      <c r="DJ101" s="163">
        <f t="shared" si="39"/>
        <v>0</v>
      </c>
      <c r="DK101" s="163">
        <f t="shared" si="39"/>
        <v>0</v>
      </c>
      <c r="DL101" s="163">
        <f t="shared" si="39"/>
        <v>0</v>
      </c>
      <c r="DM101" s="163">
        <f t="shared" si="39"/>
        <v>0</v>
      </c>
      <c r="DN101" s="163">
        <f t="shared" si="39"/>
        <v>0</v>
      </c>
      <c r="DO101" s="163">
        <f t="shared" si="39"/>
        <v>0</v>
      </c>
      <c r="DP101" s="163">
        <f t="shared" si="39"/>
        <v>0</v>
      </c>
      <c r="DQ101" s="163">
        <f t="shared" si="39"/>
        <v>0</v>
      </c>
      <c r="DR101" s="163">
        <f t="shared" si="39"/>
        <v>0</v>
      </c>
      <c r="DS101" s="163">
        <f t="shared" si="39"/>
        <v>0</v>
      </c>
      <c r="DT101" s="163">
        <f t="shared" si="39"/>
        <v>0</v>
      </c>
      <c r="DU101" s="163">
        <f t="shared" si="39"/>
        <v>0</v>
      </c>
      <c r="DV101" s="163">
        <f t="shared" si="39"/>
        <v>0</v>
      </c>
      <c r="DW101" s="163">
        <f t="shared" si="39"/>
        <v>0</v>
      </c>
      <c r="DX101" s="163">
        <f t="shared" si="39"/>
        <v>0</v>
      </c>
      <c r="DY101" s="163">
        <f t="shared" si="39"/>
        <v>0</v>
      </c>
      <c r="DZ101" s="163">
        <f t="shared" si="39"/>
        <v>0</v>
      </c>
      <c r="EA101" s="163">
        <f t="shared" si="39"/>
        <v>0</v>
      </c>
      <c r="EB101" s="163">
        <f t="shared" si="39"/>
        <v>0</v>
      </c>
      <c r="EC101" s="163">
        <f t="shared" si="39"/>
        <v>0</v>
      </c>
      <c r="ED101" s="163">
        <f t="shared" ref="ED101:GO101" si="40">ROUND($A$2/9*ED99,0)</f>
        <v>0</v>
      </c>
      <c r="EE101" s="163">
        <f t="shared" si="40"/>
        <v>0</v>
      </c>
      <c r="EF101" s="163">
        <f t="shared" si="40"/>
        <v>0</v>
      </c>
      <c r="EG101" s="163">
        <f t="shared" si="40"/>
        <v>0</v>
      </c>
      <c r="EH101" s="163">
        <f t="shared" si="40"/>
        <v>0</v>
      </c>
      <c r="EI101" s="163">
        <f t="shared" si="40"/>
        <v>0</v>
      </c>
      <c r="EJ101" s="163">
        <f t="shared" si="40"/>
        <v>0</v>
      </c>
      <c r="EK101" s="163">
        <f t="shared" si="40"/>
        <v>0</v>
      </c>
      <c r="EL101" s="163">
        <f t="shared" si="40"/>
        <v>0</v>
      </c>
      <c r="EM101" s="163">
        <f t="shared" si="40"/>
        <v>0</v>
      </c>
      <c r="EN101" s="163">
        <f t="shared" si="40"/>
        <v>0</v>
      </c>
      <c r="EO101" s="163">
        <f t="shared" si="40"/>
        <v>0</v>
      </c>
      <c r="EP101" s="163">
        <f t="shared" si="40"/>
        <v>0</v>
      </c>
      <c r="EQ101" s="163">
        <f t="shared" si="40"/>
        <v>0</v>
      </c>
      <c r="ER101" s="163">
        <f t="shared" si="40"/>
        <v>0</v>
      </c>
      <c r="ES101" s="163">
        <f t="shared" si="40"/>
        <v>0</v>
      </c>
      <c r="ET101" s="163">
        <f t="shared" si="40"/>
        <v>0</v>
      </c>
      <c r="EU101" s="163">
        <f t="shared" si="40"/>
        <v>0</v>
      </c>
      <c r="EV101" s="163">
        <f t="shared" si="40"/>
        <v>0</v>
      </c>
      <c r="EW101" s="163">
        <f t="shared" si="40"/>
        <v>0</v>
      </c>
      <c r="EX101" s="163">
        <f t="shared" si="40"/>
        <v>0</v>
      </c>
      <c r="EY101" s="163">
        <f t="shared" si="40"/>
        <v>0</v>
      </c>
      <c r="EZ101" s="163">
        <f t="shared" si="40"/>
        <v>0</v>
      </c>
      <c r="FA101" s="163">
        <f t="shared" si="40"/>
        <v>0</v>
      </c>
      <c r="FB101" s="163">
        <f t="shared" si="40"/>
        <v>0</v>
      </c>
      <c r="FC101" s="163">
        <f t="shared" si="40"/>
        <v>0</v>
      </c>
      <c r="FD101" s="163">
        <f t="shared" si="40"/>
        <v>0</v>
      </c>
      <c r="FE101" s="163">
        <f t="shared" si="40"/>
        <v>0</v>
      </c>
      <c r="FF101" s="163">
        <f t="shared" si="40"/>
        <v>0</v>
      </c>
      <c r="FG101" s="163">
        <f t="shared" si="40"/>
        <v>0</v>
      </c>
      <c r="FH101" s="163">
        <f t="shared" si="40"/>
        <v>0</v>
      </c>
      <c r="FI101" s="163">
        <f t="shared" si="40"/>
        <v>0</v>
      </c>
      <c r="FJ101" s="163">
        <f t="shared" si="40"/>
        <v>0</v>
      </c>
      <c r="FK101" s="163">
        <f t="shared" si="40"/>
        <v>0</v>
      </c>
      <c r="FL101" s="163">
        <f t="shared" si="40"/>
        <v>0</v>
      </c>
      <c r="FM101" s="163">
        <f t="shared" si="40"/>
        <v>0</v>
      </c>
      <c r="FN101" s="163">
        <f t="shared" si="40"/>
        <v>0</v>
      </c>
      <c r="FO101" s="163">
        <f t="shared" si="40"/>
        <v>0</v>
      </c>
      <c r="FP101" s="163">
        <f t="shared" si="40"/>
        <v>0</v>
      </c>
      <c r="FQ101" s="163">
        <f t="shared" si="40"/>
        <v>0</v>
      </c>
      <c r="FR101" s="163">
        <f t="shared" si="40"/>
        <v>0</v>
      </c>
      <c r="FS101" s="163">
        <f t="shared" si="40"/>
        <v>0</v>
      </c>
      <c r="FT101" s="163">
        <f t="shared" si="40"/>
        <v>0</v>
      </c>
      <c r="FU101" s="163">
        <f t="shared" si="40"/>
        <v>0</v>
      </c>
      <c r="FV101" s="163">
        <f t="shared" si="40"/>
        <v>0</v>
      </c>
      <c r="FW101" s="163">
        <f t="shared" si="40"/>
        <v>0</v>
      </c>
      <c r="FX101" s="163">
        <f t="shared" si="40"/>
        <v>0</v>
      </c>
      <c r="FY101" s="163">
        <f t="shared" si="40"/>
        <v>0</v>
      </c>
      <c r="FZ101" s="163">
        <f t="shared" si="40"/>
        <v>0</v>
      </c>
      <c r="GA101" s="163">
        <f t="shared" si="40"/>
        <v>0</v>
      </c>
      <c r="GB101" s="163">
        <f t="shared" si="40"/>
        <v>0</v>
      </c>
      <c r="GC101" s="163">
        <f t="shared" si="40"/>
        <v>0</v>
      </c>
      <c r="GD101" s="163">
        <f t="shared" si="40"/>
        <v>0</v>
      </c>
      <c r="GE101" s="163">
        <f t="shared" si="40"/>
        <v>0</v>
      </c>
      <c r="GF101" s="163">
        <f t="shared" si="40"/>
        <v>0</v>
      </c>
      <c r="GG101" s="163">
        <f t="shared" si="40"/>
        <v>0</v>
      </c>
      <c r="GH101" s="163">
        <f t="shared" si="40"/>
        <v>0</v>
      </c>
      <c r="GI101" s="163">
        <f t="shared" si="40"/>
        <v>0</v>
      </c>
      <c r="GJ101" s="163">
        <f t="shared" si="40"/>
        <v>0</v>
      </c>
      <c r="GK101" s="163">
        <f t="shared" si="40"/>
        <v>0</v>
      </c>
      <c r="GL101" s="163">
        <f t="shared" si="40"/>
        <v>0</v>
      </c>
      <c r="GM101" s="163">
        <f t="shared" si="40"/>
        <v>0</v>
      </c>
      <c r="GN101" s="163">
        <f t="shared" si="40"/>
        <v>0</v>
      </c>
      <c r="GO101" s="163">
        <f t="shared" si="40"/>
        <v>0</v>
      </c>
      <c r="GP101" s="163">
        <f t="shared" ref="GP101:IH101" si="41">ROUND($A$2/9*GP99,0)</f>
        <v>0</v>
      </c>
      <c r="GQ101" s="163">
        <f t="shared" si="41"/>
        <v>0</v>
      </c>
      <c r="GR101" s="163">
        <f t="shared" si="41"/>
        <v>0</v>
      </c>
      <c r="GS101" s="163">
        <f t="shared" si="41"/>
        <v>0</v>
      </c>
      <c r="GT101" s="163">
        <f t="shared" si="41"/>
        <v>0</v>
      </c>
      <c r="GU101" s="163">
        <f t="shared" si="41"/>
        <v>0</v>
      </c>
      <c r="GV101" s="163">
        <f t="shared" si="41"/>
        <v>0</v>
      </c>
      <c r="GW101" s="163">
        <f t="shared" si="41"/>
        <v>0</v>
      </c>
      <c r="GX101" s="163">
        <f t="shared" si="41"/>
        <v>0</v>
      </c>
      <c r="GY101" s="163">
        <f t="shared" si="41"/>
        <v>0</v>
      </c>
      <c r="GZ101" s="163">
        <f t="shared" si="41"/>
        <v>0</v>
      </c>
      <c r="HA101" s="163">
        <f t="shared" si="41"/>
        <v>0</v>
      </c>
      <c r="HB101" s="163">
        <f t="shared" si="41"/>
        <v>0</v>
      </c>
      <c r="HC101" s="163">
        <f t="shared" si="41"/>
        <v>0</v>
      </c>
      <c r="HD101" s="163">
        <f t="shared" si="41"/>
        <v>0</v>
      </c>
      <c r="HE101" s="163">
        <f t="shared" si="41"/>
        <v>0</v>
      </c>
      <c r="HF101" s="163">
        <f t="shared" si="41"/>
        <v>0</v>
      </c>
      <c r="HG101" s="163">
        <f t="shared" si="41"/>
        <v>0</v>
      </c>
      <c r="HH101" s="163">
        <f t="shared" si="41"/>
        <v>0</v>
      </c>
      <c r="HI101" s="163">
        <f t="shared" si="41"/>
        <v>0</v>
      </c>
      <c r="HJ101" s="163">
        <f t="shared" si="41"/>
        <v>0</v>
      </c>
      <c r="HK101" s="163">
        <f t="shared" si="41"/>
        <v>0</v>
      </c>
      <c r="HL101" s="163">
        <f t="shared" si="41"/>
        <v>0</v>
      </c>
      <c r="HM101" s="163">
        <f t="shared" si="41"/>
        <v>0</v>
      </c>
      <c r="HN101" s="163">
        <f t="shared" si="41"/>
        <v>0</v>
      </c>
      <c r="HO101" s="163">
        <f t="shared" si="41"/>
        <v>0</v>
      </c>
      <c r="HP101" s="163">
        <f t="shared" si="41"/>
        <v>0</v>
      </c>
      <c r="HQ101" s="163">
        <f t="shared" si="41"/>
        <v>0</v>
      </c>
      <c r="HR101" s="163">
        <f t="shared" si="41"/>
        <v>0</v>
      </c>
      <c r="HS101" s="163">
        <f t="shared" si="41"/>
        <v>0</v>
      </c>
      <c r="HT101" s="163">
        <f t="shared" si="41"/>
        <v>0</v>
      </c>
      <c r="HU101" s="163">
        <f t="shared" si="41"/>
        <v>0</v>
      </c>
      <c r="HV101" s="163">
        <f t="shared" si="41"/>
        <v>0</v>
      </c>
      <c r="HW101" s="163">
        <f t="shared" si="41"/>
        <v>0</v>
      </c>
      <c r="HX101" s="163">
        <f t="shared" si="41"/>
        <v>0</v>
      </c>
      <c r="HY101" s="163">
        <f t="shared" si="41"/>
        <v>0</v>
      </c>
      <c r="HZ101" s="163">
        <f t="shared" si="41"/>
        <v>0</v>
      </c>
      <c r="IA101" s="163">
        <f t="shared" si="41"/>
        <v>0</v>
      </c>
      <c r="IB101" s="163">
        <f t="shared" si="41"/>
        <v>0</v>
      </c>
      <c r="IC101" s="163">
        <f t="shared" si="41"/>
        <v>0</v>
      </c>
      <c r="ID101" s="163">
        <f t="shared" si="41"/>
        <v>0</v>
      </c>
      <c r="IE101" s="163">
        <f t="shared" si="41"/>
        <v>0</v>
      </c>
      <c r="IF101" s="163">
        <f t="shared" si="41"/>
        <v>0</v>
      </c>
      <c r="IG101" s="163">
        <f t="shared" si="41"/>
        <v>0</v>
      </c>
      <c r="IH101" s="163">
        <f t="shared" si="41"/>
        <v>0</v>
      </c>
    </row>
    <row r="102" spans="1:242" x14ac:dyDescent="0.25">
      <c r="A102" s="60">
        <v>57</v>
      </c>
      <c r="B102" s="89"/>
      <c r="C102" s="89"/>
      <c r="D102" s="89"/>
    </row>
    <row r="103" spans="1:242" x14ac:dyDescent="0.25">
      <c r="A103" s="60">
        <v>58</v>
      </c>
      <c r="B103" s="89"/>
      <c r="C103" s="89"/>
      <c r="D103" s="89"/>
    </row>
    <row r="104" spans="1:242" x14ac:dyDescent="0.25">
      <c r="A104" s="60">
        <v>59</v>
      </c>
      <c r="B104" s="89"/>
      <c r="C104" s="89"/>
      <c r="D104" s="89"/>
    </row>
    <row r="105" spans="1:242" x14ac:dyDescent="0.25">
      <c r="A105" s="60">
        <v>60</v>
      </c>
      <c r="B105" s="89"/>
      <c r="C105" s="89"/>
      <c r="D105" s="89"/>
    </row>
    <row r="106" spans="1:242" x14ac:dyDescent="0.25">
      <c r="A106" s="60">
        <v>61</v>
      </c>
      <c r="B106" s="89"/>
      <c r="C106" s="89"/>
      <c r="D106" s="89"/>
    </row>
    <row r="107" spans="1:242" x14ac:dyDescent="0.25">
      <c r="A107" s="60">
        <v>62</v>
      </c>
      <c r="B107" s="89"/>
      <c r="C107" s="89"/>
      <c r="D107" s="89"/>
    </row>
    <row r="108" spans="1:242" x14ac:dyDescent="0.25">
      <c r="A108" s="60">
        <v>63</v>
      </c>
      <c r="B108" s="89"/>
      <c r="C108" s="89"/>
      <c r="D108" s="89"/>
    </row>
    <row r="109" spans="1:242" x14ac:dyDescent="0.25">
      <c r="A109" s="60">
        <v>64</v>
      </c>
      <c r="B109" s="89"/>
      <c r="C109" s="89"/>
      <c r="D109" s="89"/>
    </row>
    <row r="110" spans="1:242" x14ac:dyDescent="0.25">
      <c r="A110" s="60">
        <v>65</v>
      </c>
      <c r="B110" s="89"/>
      <c r="C110" s="89"/>
      <c r="D110" s="89"/>
    </row>
    <row r="111" spans="1:242" x14ac:dyDescent="0.25">
      <c r="A111" s="60">
        <v>66</v>
      </c>
      <c r="B111" s="89"/>
      <c r="C111" s="89"/>
      <c r="D111" s="89"/>
    </row>
    <row r="112" spans="1:242" x14ac:dyDescent="0.25">
      <c r="A112" s="60">
        <v>67</v>
      </c>
      <c r="B112" s="89"/>
      <c r="C112" s="89"/>
      <c r="D112" s="89"/>
    </row>
    <row r="113" spans="1:4" x14ac:dyDescent="0.25">
      <c r="A113" s="60">
        <v>68</v>
      </c>
      <c r="B113" s="89"/>
      <c r="C113" s="89"/>
      <c r="D113" s="89"/>
    </row>
    <row r="114" spans="1:4" x14ac:dyDescent="0.25">
      <c r="A114" s="60">
        <v>69</v>
      </c>
      <c r="B114" s="89"/>
      <c r="C114" s="89"/>
      <c r="D114" s="89"/>
    </row>
    <row r="115" spans="1:4" x14ac:dyDescent="0.25">
      <c r="A115" s="60">
        <v>70</v>
      </c>
      <c r="B115" s="89"/>
      <c r="C115" s="89"/>
      <c r="D115" s="89"/>
    </row>
    <row r="116" spans="1:4" x14ac:dyDescent="0.25">
      <c r="A116" s="60">
        <v>71</v>
      </c>
      <c r="B116" s="89"/>
      <c r="C116" s="89"/>
      <c r="D116" s="89"/>
    </row>
    <row r="117" spans="1:4" x14ac:dyDescent="0.25">
      <c r="A117" s="60">
        <v>72</v>
      </c>
      <c r="B117" s="89"/>
      <c r="C117" s="89"/>
      <c r="D117" s="89"/>
    </row>
    <row r="118" spans="1:4" x14ac:dyDescent="0.25">
      <c r="A118" s="60">
        <v>73</v>
      </c>
      <c r="B118" s="89"/>
      <c r="C118" s="89"/>
      <c r="D118" s="89"/>
    </row>
    <row r="119" spans="1:4" x14ac:dyDescent="0.25">
      <c r="A119" s="60">
        <v>74</v>
      </c>
      <c r="B119" s="89"/>
      <c r="C119" s="89"/>
      <c r="D119" s="89"/>
    </row>
    <row r="120" spans="1:4" x14ac:dyDescent="0.25">
      <c r="A120" s="60">
        <v>75</v>
      </c>
      <c r="B120" s="89"/>
      <c r="C120" s="89"/>
      <c r="D120" s="89"/>
    </row>
    <row r="121" spans="1:4" x14ac:dyDescent="0.25">
      <c r="A121" s="60">
        <v>76</v>
      </c>
      <c r="B121" s="89"/>
      <c r="C121" s="89"/>
      <c r="D121" s="89"/>
    </row>
    <row r="122" spans="1:4" x14ac:dyDescent="0.25">
      <c r="A122" s="60">
        <v>77</v>
      </c>
      <c r="B122" s="89"/>
      <c r="C122" s="89"/>
      <c r="D122" s="89"/>
    </row>
    <row r="123" spans="1:4" x14ac:dyDescent="0.25">
      <c r="A123" s="60">
        <v>78</v>
      </c>
      <c r="B123" s="89"/>
      <c r="C123" s="89"/>
      <c r="D123" s="89"/>
    </row>
    <row r="124" spans="1:4" x14ac:dyDescent="0.25">
      <c r="A124" s="60">
        <v>79</v>
      </c>
      <c r="B124" s="89"/>
      <c r="C124" s="89"/>
      <c r="D124" s="89"/>
    </row>
    <row r="125" spans="1:4" x14ac:dyDescent="0.25">
      <c r="A125" s="60">
        <v>80</v>
      </c>
      <c r="B125" s="89"/>
      <c r="C125" s="89"/>
      <c r="D125" s="89"/>
    </row>
    <row r="126" spans="1:4" x14ac:dyDescent="0.25">
      <c r="A126" s="60">
        <v>81</v>
      </c>
      <c r="B126" s="89"/>
      <c r="C126" s="89"/>
      <c r="D126" s="89"/>
    </row>
    <row r="127" spans="1:4" x14ac:dyDescent="0.25">
      <c r="A127" s="60">
        <v>82</v>
      </c>
      <c r="B127" s="89"/>
      <c r="C127" s="89"/>
      <c r="D127" s="89"/>
    </row>
    <row r="128" spans="1:4" x14ac:dyDescent="0.25">
      <c r="A128" s="60">
        <v>83</v>
      </c>
      <c r="B128" s="89"/>
      <c r="C128" s="89"/>
      <c r="D128" s="89"/>
    </row>
    <row r="129" spans="1:4" x14ac:dyDescent="0.25">
      <c r="A129" s="60">
        <v>84</v>
      </c>
      <c r="B129" s="89"/>
      <c r="C129" s="89"/>
      <c r="D129" s="89"/>
    </row>
    <row r="130" spans="1:4" x14ac:dyDescent="0.25">
      <c r="A130" s="60">
        <v>85</v>
      </c>
      <c r="B130" s="89"/>
      <c r="C130" s="89"/>
      <c r="D130" s="89"/>
    </row>
    <row r="131" spans="1:4" x14ac:dyDescent="0.25">
      <c r="A131" s="60">
        <v>86</v>
      </c>
      <c r="B131" s="89"/>
      <c r="C131" s="89"/>
      <c r="D131" s="89"/>
    </row>
    <row r="132" spans="1:4" x14ac:dyDescent="0.25">
      <c r="A132" s="60">
        <v>87</v>
      </c>
      <c r="B132" s="89"/>
      <c r="C132" s="89"/>
      <c r="D132" s="89"/>
    </row>
    <row r="133" spans="1:4" x14ac:dyDescent="0.25">
      <c r="A133" s="60">
        <v>88</v>
      </c>
      <c r="B133" s="89"/>
      <c r="C133" s="89"/>
      <c r="D133" s="89"/>
    </row>
    <row r="134" spans="1:4" x14ac:dyDescent="0.25">
      <c r="A134" s="60">
        <v>89</v>
      </c>
      <c r="B134" s="89"/>
      <c r="C134" s="89"/>
      <c r="D134" s="89"/>
    </row>
    <row r="135" spans="1:4" x14ac:dyDescent="0.25">
      <c r="A135" s="60">
        <v>90</v>
      </c>
      <c r="B135" s="89"/>
      <c r="C135" s="89"/>
      <c r="D135" s="89"/>
    </row>
    <row r="136" spans="1:4" x14ac:dyDescent="0.25">
      <c r="A136" s="60">
        <v>91</v>
      </c>
      <c r="B136" s="89"/>
      <c r="C136" s="89"/>
      <c r="D136" s="89"/>
    </row>
    <row r="137" spans="1:4" x14ac:dyDescent="0.25">
      <c r="A137" s="60">
        <v>92</v>
      </c>
      <c r="B137" s="89"/>
      <c r="C137" s="89"/>
      <c r="D137" s="89"/>
    </row>
    <row r="138" spans="1:4" x14ac:dyDescent="0.25">
      <c r="A138" s="60">
        <v>93</v>
      </c>
      <c r="B138" s="89"/>
      <c r="C138" s="89"/>
      <c r="D138" s="89"/>
    </row>
    <row r="139" spans="1:4" x14ac:dyDescent="0.25">
      <c r="A139" s="60">
        <v>94</v>
      </c>
      <c r="B139" s="89"/>
      <c r="C139" s="89"/>
      <c r="D139" s="89"/>
    </row>
    <row r="140" spans="1:4" x14ac:dyDescent="0.25">
      <c r="A140" s="60">
        <v>95</v>
      </c>
      <c r="B140" s="89"/>
      <c r="C140" s="89"/>
      <c r="D140" s="89"/>
    </row>
    <row r="141" spans="1:4" x14ac:dyDescent="0.25">
      <c r="A141" s="60">
        <v>96</v>
      </c>
      <c r="B141" s="89"/>
      <c r="C141" s="89"/>
      <c r="D141" s="89"/>
    </row>
    <row r="142" spans="1:4" x14ac:dyDescent="0.25">
      <c r="A142" s="60">
        <v>97</v>
      </c>
      <c r="B142" s="89"/>
      <c r="C142" s="89"/>
      <c r="D142" s="89"/>
    </row>
    <row r="143" spans="1:4" x14ac:dyDescent="0.25">
      <c r="A143" s="60">
        <v>98</v>
      </c>
      <c r="B143" s="89"/>
      <c r="C143" s="89"/>
      <c r="D143" s="89"/>
    </row>
    <row r="144" spans="1:4" x14ac:dyDescent="0.25">
      <c r="A144" s="60">
        <v>99</v>
      </c>
      <c r="B144" s="89"/>
      <c r="C144" s="89"/>
      <c r="D144" s="89"/>
    </row>
    <row r="145" spans="1:4" x14ac:dyDescent="0.25">
      <c r="A145" s="60">
        <v>100</v>
      </c>
      <c r="B145" s="89"/>
      <c r="C145" s="89"/>
      <c r="D145" s="89"/>
    </row>
    <row r="146" spans="1:4" x14ac:dyDescent="0.25">
      <c r="A146" s="60">
        <v>101</v>
      </c>
      <c r="B146" s="89"/>
      <c r="C146" s="89"/>
      <c r="D146" s="89"/>
    </row>
    <row r="147" spans="1:4" x14ac:dyDescent="0.25">
      <c r="A147" s="60">
        <v>102</v>
      </c>
      <c r="B147" s="89"/>
      <c r="C147" s="89"/>
      <c r="D147" s="89"/>
    </row>
    <row r="148" spans="1:4" x14ac:dyDescent="0.25">
      <c r="A148" s="60">
        <v>103</v>
      </c>
      <c r="B148" s="89"/>
      <c r="C148" s="89"/>
      <c r="D148" s="89"/>
    </row>
    <row r="149" spans="1:4" x14ac:dyDescent="0.25">
      <c r="A149" s="60">
        <v>104</v>
      </c>
      <c r="B149" s="89"/>
      <c r="C149" s="89"/>
      <c r="D149" s="89"/>
    </row>
    <row r="150" spans="1:4" x14ac:dyDescent="0.25">
      <c r="A150" s="60">
        <v>105</v>
      </c>
      <c r="B150" s="89"/>
      <c r="C150" s="89"/>
      <c r="D150" s="89"/>
    </row>
    <row r="151" spans="1:4" x14ac:dyDescent="0.25">
      <c r="A151" s="60">
        <v>106</v>
      </c>
      <c r="B151" s="89"/>
      <c r="C151" s="89"/>
      <c r="D151" s="89"/>
    </row>
    <row r="152" spans="1:4" x14ac:dyDescent="0.25">
      <c r="A152" s="60">
        <v>107</v>
      </c>
      <c r="B152" s="89"/>
      <c r="C152" s="89"/>
      <c r="D152" s="89"/>
    </row>
    <row r="153" spans="1:4" x14ac:dyDescent="0.25">
      <c r="A153" s="60">
        <v>108</v>
      </c>
      <c r="B153" s="89"/>
      <c r="C153" s="89"/>
      <c r="D153" s="89"/>
    </row>
    <row r="154" spans="1:4" x14ac:dyDescent="0.25">
      <c r="A154" s="60">
        <v>109</v>
      </c>
      <c r="B154" s="89"/>
      <c r="C154" s="89"/>
      <c r="D154" s="89"/>
    </row>
    <row r="155" spans="1:4" x14ac:dyDescent="0.25">
      <c r="A155" s="60">
        <v>110</v>
      </c>
      <c r="B155" s="89"/>
      <c r="C155" s="89"/>
      <c r="D155" s="89"/>
    </row>
    <row r="156" spans="1:4" x14ac:dyDescent="0.25">
      <c r="A156" s="60">
        <v>111</v>
      </c>
      <c r="B156" s="89"/>
      <c r="C156" s="89"/>
      <c r="D156" s="89"/>
    </row>
    <row r="157" spans="1:4" x14ac:dyDescent="0.25">
      <c r="A157" s="60">
        <v>112</v>
      </c>
      <c r="B157" s="89"/>
      <c r="C157" s="89"/>
      <c r="D157" s="89"/>
    </row>
    <row r="158" spans="1:4" x14ac:dyDescent="0.25">
      <c r="A158" s="60">
        <v>113</v>
      </c>
      <c r="B158" s="89"/>
      <c r="C158" s="89"/>
      <c r="D158" s="89"/>
    </row>
    <row r="159" spans="1:4" x14ac:dyDescent="0.25">
      <c r="A159" s="60">
        <v>114</v>
      </c>
      <c r="B159" s="89"/>
      <c r="C159" s="89"/>
      <c r="D159" s="89"/>
    </row>
    <row r="160" spans="1:4" x14ac:dyDescent="0.25">
      <c r="A160" s="60">
        <v>115</v>
      </c>
      <c r="B160" s="89"/>
      <c r="C160" s="89"/>
      <c r="D160" s="89"/>
    </row>
    <row r="161" spans="1:4" x14ac:dyDescent="0.25">
      <c r="A161" s="60">
        <v>116</v>
      </c>
      <c r="B161" s="89"/>
      <c r="C161" s="89"/>
      <c r="D161" s="89"/>
    </row>
    <row r="162" spans="1:4" x14ac:dyDescent="0.25">
      <c r="A162" s="60">
        <v>117</v>
      </c>
      <c r="B162" s="89"/>
      <c r="C162" s="89"/>
      <c r="D162" s="89"/>
    </row>
    <row r="163" spans="1:4" x14ac:dyDescent="0.25">
      <c r="A163" s="60">
        <v>118</v>
      </c>
      <c r="B163" s="89"/>
      <c r="C163" s="89"/>
      <c r="D163" s="89"/>
    </row>
    <row r="164" spans="1:4" x14ac:dyDescent="0.25">
      <c r="A164" s="60">
        <v>119</v>
      </c>
      <c r="B164" s="89"/>
      <c r="C164" s="89"/>
      <c r="D164" s="89"/>
    </row>
    <row r="165" spans="1:4" x14ac:dyDescent="0.25">
      <c r="A165" s="60">
        <v>120</v>
      </c>
      <c r="B165" s="89"/>
      <c r="C165" s="89"/>
      <c r="D165" s="89"/>
    </row>
    <row r="166" spans="1:4" x14ac:dyDescent="0.25">
      <c r="A166" s="60">
        <v>121</v>
      </c>
      <c r="B166" s="89"/>
      <c r="C166" s="89"/>
      <c r="D166" s="89"/>
    </row>
    <row r="167" spans="1:4" x14ac:dyDescent="0.25">
      <c r="A167" s="60">
        <v>122</v>
      </c>
      <c r="B167" s="89"/>
      <c r="C167" s="89"/>
      <c r="D167" s="89"/>
    </row>
    <row r="168" spans="1:4" x14ac:dyDescent="0.25">
      <c r="A168" s="60">
        <v>123</v>
      </c>
      <c r="B168" s="89"/>
      <c r="C168" s="89"/>
      <c r="D168" s="89"/>
    </row>
    <row r="169" spans="1:4" x14ac:dyDescent="0.25">
      <c r="A169" s="60">
        <v>124</v>
      </c>
      <c r="B169" s="89"/>
      <c r="C169" s="89"/>
      <c r="D169" s="89"/>
    </row>
    <row r="170" spans="1:4" x14ac:dyDescent="0.25">
      <c r="A170" s="60">
        <v>125</v>
      </c>
      <c r="B170" s="89"/>
      <c r="C170" s="89"/>
      <c r="D170" s="89"/>
    </row>
    <row r="171" spans="1:4" x14ac:dyDescent="0.25">
      <c r="A171" s="60">
        <v>126</v>
      </c>
      <c r="B171" s="89"/>
      <c r="C171" s="89"/>
      <c r="D171" s="89"/>
    </row>
    <row r="172" spans="1:4" x14ac:dyDescent="0.25">
      <c r="A172" s="60">
        <v>127</v>
      </c>
      <c r="B172" s="89"/>
      <c r="C172" s="89"/>
      <c r="D172" s="89"/>
    </row>
    <row r="173" spans="1:4" x14ac:dyDescent="0.25">
      <c r="A173" s="60">
        <v>128</v>
      </c>
      <c r="B173" s="89"/>
      <c r="C173" s="89"/>
      <c r="D173" s="89"/>
    </row>
    <row r="174" spans="1:4" x14ac:dyDescent="0.25">
      <c r="A174" s="60">
        <v>129</v>
      </c>
      <c r="B174" s="89"/>
      <c r="C174" s="89"/>
      <c r="D174" s="89"/>
    </row>
    <row r="175" spans="1:4" x14ac:dyDescent="0.25">
      <c r="A175" s="60">
        <v>130</v>
      </c>
      <c r="B175" s="89"/>
      <c r="C175" s="89"/>
      <c r="D175" s="89"/>
    </row>
    <row r="176" spans="1:4" x14ac:dyDescent="0.25">
      <c r="A176" s="60">
        <v>131</v>
      </c>
      <c r="B176" s="89"/>
      <c r="C176" s="89"/>
      <c r="D176" s="89"/>
    </row>
    <row r="177" spans="1:4" x14ac:dyDescent="0.25">
      <c r="A177" s="60">
        <v>132</v>
      </c>
      <c r="B177" s="89"/>
      <c r="C177" s="89"/>
      <c r="D177" s="89"/>
    </row>
    <row r="178" spans="1:4" x14ac:dyDescent="0.25">
      <c r="A178" s="60">
        <v>133</v>
      </c>
      <c r="B178" s="89"/>
      <c r="C178" s="89"/>
      <c r="D178" s="89"/>
    </row>
    <row r="179" spans="1:4" x14ac:dyDescent="0.25">
      <c r="A179" s="60">
        <v>134</v>
      </c>
      <c r="B179" s="89"/>
      <c r="C179" s="89"/>
      <c r="D179" s="89"/>
    </row>
    <row r="180" spans="1:4" x14ac:dyDescent="0.25">
      <c r="A180" s="60">
        <v>135</v>
      </c>
      <c r="B180" s="89"/>
      <c r="C180" s="89"/>
      <c r="D180" s="89"/>
    </row>
    <row r="181" spans="1:4" x14ac:dyDescent="0.25">
      <c r="A181" s="60">
        <v>136</v>
      </c>
      <c r="B181" s="89"/>
      <c r="C181" s="89"/>
      <c r="D181" s="89"/>
    </row>
    <row r="182" spans="1:4" x14ac:dyDescent="0.25">
      <c r="A182" s="60">
        <v>137</v>
      </c>
      <c r="B182" s="89"/>
      <c r="C182" s="89"/>
      <c r="D182" s="89"/>
    </row>
    <row r="183" spans="1:4" x14ac:dyDescent="0.25">
      <c r="A183" s="60">
        <v>138</v>
      </c>
      <c r="B183" s="89"/>
      <c r="C183" s="89"/>
      <c r="D183" s="89"/>
    </row>
    <row r="184" spans="1:4" x14ac:dyDescent="0.25">
      <c r="A184" s="60">
        <v>139</v>
      </c>
      <c r="B184" s="89"/>
      <c r="C184" s="89"/>
      <c r="D184" s="89"/>
    </row>
    <row r="185" spans="1:4" x14ac:dyDescent="0.25">
      <c r="A185" s="60">
        <v>140</v>
      </c>
      <c r="B185" s="89"/>
      <c r="C185" s="89"/>
      <c r="D185" s="89"/>
    </row>
    <row r="186" spans="1:4" x14ac:dyDescent="0.25">
      <c r="A186" s="60">
        <v>141</v>
      </c>
      <c r="B186" s="89"/>
      <c r="C186" s="89"/>
      <c r="D186" s="89"/>
    </row>
    <row r="187" spans="1:4" x14ac:dyDescent="0.25">
      <c r="A187" s="60">
        <v>142</v>
      </c>
      <c r="B187" s="89"/>
      <c r="C187" s="89"/>
      <c r="D187" s="89"/>
    </row>
    <row r="188" spans="1:4" x14ac:dyDescent="0.25">
      <c r="A188" s="60">
        <v>143</v>
      </c>
      <c r="B188" s="89"/>
      <c r="C188" s="89"/>
      <c r="D188" s="89"/>
    </row>
    <row r="189" spans="1:4" x14ac:dyDescent="0.25">
      <c r="A189" s="60">
        <v>144</v>
      </c>
      <c r="B189" s="89"/>
      <c r="C189" s="89"/>
      <c r="D189" s="89"/>
    </row>
    <row r="190" spans="1:4" x14ac:dyDescent="0.25">
      <c r="A190" s="60">
        <v>145</v>
      </c>
      <c r="B190" s="89"/>
      <c r="C190" s="89"/>
      <c r="D190" s="89"/>
    </row>
    <row r="191" spans="1:4" x14ac:dyDescent="0.25">
      <c r="A191" s="60">
        <v>146</v>
      </c>
      <c r="B191" s="89"/>
      <c r="C191" s="89"/>
      <c r="D191" s="89"/>
    </row>
    <row r="192" spans="1:4" x14ac:dyDescent="0.25">
      <c r="A192" s="60">
        <v>147</v>
      </c>
      <c r="B192" s="89"/>
      <c r="C192" s="89"/>
      <c r="D192" s="89"/>
    </row>
    <row r="193" spans="1:4" x14ac:dyDescent="0.25">
      <c r="A193" s="60">
        <v>148</v>
      </c>
      <c r="B193" s="89"/>
      <c r="C193" s="89"/>
      <c r="D193" s="89"/>
    </row>
    <row r="194" spans="1:4" x14ac:dyDescent="0.25">
      <c r="A194" s="60">
        <v>149</v>
      </c>
      <c r="B194" s="89"/>
      <c r="C194" s="89"/>
      <c r="D194" s="89"/>
    </row>
    <row r="195" spans="1:4" x14ac:dyDescent="0.25">
      <c r="A195" s="60">
        <v>150</v>
      </c>
      <c r="B195" s="89"/>
      <c r="C195" s="89"/>
      <c r="D195" s="89"/>
    </row>
    <row r="196" spans="1:4" x14ac:dyDescent="0.25">
      <c r="A196" s="60">
        <v>151</v>
      </c>
      <c r="B196" s="89"/>
      <c r="C196" s="89"/>
      <c r="D196" s="89"/>
    </row>
    <row r="197" spans="1:4" x14ac:dyDescent="0.25">
      <c r="A197" s="60">
        <v>152</v>
      </c>
      <c r="B197" s="89"/>
      <c r="C197" s="89"/>
      <c r="D197" s="89"/>
    </row>
    <row r="198" spans="1:4" x14ac:dyDescent="0.25">
      <c r="A198" s="60">
        <v>153</v>
      </c>
      <c r="B198" s="89"/>
      <c r="C198" s="89"/>
      <c r="D198" s="89"/>
    </row>
    <row r="199" spans="1:4" x14ac:dyDescent="0.25">
      <c r="A199" s="60">
        <v>154</v>
      </c>
      <c r="B199" s="89"/>
      <c r="C199" s="89"/>
      <c r="D199" s="89"/>
    </row>
    <row r="200" spans="1:4" x14ac:dyDescent="0.25">
      <c r="A200" s="60">
        <v>155</v>
      </c>
      <c r="B200" s="89"/>
      <c r="C200" s="89"/>
      <c r="D200" s="89"/>
    </row>
    <row r="201" spans="1:4" x14ac:dyDescent="0.25">
      <c r="A201" s="60">
        <v>156</v>
      </c>
      <c r="B201" s="89"/>
      <c r="C201" s="89"/>
      <c r="D201" s="89"/>
    </row>
    <row r="202" spans="1:4" x14ac:dyDescent="0.25">
      <c r="A202" s="60">
        <v>157</v>
      </c>
      <c r="B202" s="89"/>
      <c r="C202" s="89"/>
      <c r="D202" s="89"/>
    </row>
    <row r="203" spans="1:4" x14ac:dyDescent="0.25">
      <c r="A203" s="60">
        <v>158</v>
      </c>
      <c r="B203" s="89"/>
      <c r="C203" s="89"/>
      <c r="D203" s="89"/>
    </row>
    <row r="204" spans="1:4" x14ac:dyDescent="0.25">
      <c r="A204" s="60">
        <v>159</v>
      </c>
      <c r="B204" s="89"/>
      <c r="C204" s="89"/>
      <c r="D204" s="89"/>
    </row>
    <row r="205" spans="1:4" x14ac:dyDescent="0.25">
      <c r="A205" s="60">
        <v>160</v>
      </c>
      <c r="B205" s="89"/>
      <c r="C205" s="89"/>
      <c r="D205" s="89"/>
    </row>
    <row r="206" spans="1:4" x14ac:dyDescent="0.25">
      <c r="A206" s="60">
        <v>161</v>
      </c>
      <c r="B206" s="89"/>
      <c r="C206" s="89"/>
      <c r="D206" s="89"/>
    </row>
    <row r="207" spans="1:4" x14ac:dyDescent="0.25">
      <c r="A207" s="60">
        <v>162</v>
      </c>
      <c r="B207" s="89"/>
      <c r="C207" s="89"/>
      <c r="D207" s="89"/>
    </row>
    <row r="208" spans="1:4" x14ac:dyDescent="0.25">
      <c r="A208" s="60">
        <v>163</v>
      </c>
      <c r="B208" s="89"/>
      <c r="C208" s="89"/>
      <c r="D208" s="89"/>
    </row>
    <row r="209" spans="1:4" x14ac:dyDescent="0.25">
      <c r="A209" s="60">
        <v>164</v>
      </c>
      <c r="B209" s="89"/>
      <c r="C209" s="89"/>
      <c r="D209" s="89"/>
    </row>
    <row r="210" spans="1:4" x14ac:dyDescent="0.25">
      <c r="A210" s="60">
        <v>165</v>
      </c>
      <c r="B210" s="89"/>
      <c r="C210" s="89"/>
      <c r="D210" s="89"/>
    </row>
    <row r="211" spans="1:4" x14ac:dyDescent="0.25">
      <c r="A211" s="60">
        <v>166</v>
      </c>
      <c r="B211" s="89"/>
      <c r="C211" s="89"/>
      <c r="D211" s="89"/>
    </row>
    <row r="212" spans="1:4" x14ac:dyDescent="0.25">
      <c r="A212" s="60">
        <v>167</v>
      </c>
      <c r="B212" s="89"/>
      <c r="C212" s="89"/>
      <c r="D212" s="89"/>
    </row>
    <row r="213" spans="1:4" x14ac:dyDescent="0.25">
      <c r="A213" s="60">
        <v>168</v>
      </c>
      <c r="B213" s="89"/>
      <c r="C213" s="89"/>
      <c r="D213" s="89"/>
    </row>
    <row r="214" spans="1:4" x14ac:dyDescent="0.25">
      <c r="A214" s="60">
        <v>169</v>
      </c>
      <c r="B214" s="89"/>
      <c r="C214" s="89"/>
      <c r="D214" s="89"/>
    </row>
    <row r="215" spans="1:4" x14ac:dyDescent="0.25">
      <c r="A215" s="60">
        <v>170</v>
      </c>
      <c r="B215" s="89"/>
      <c r="C215" s="89"/>
      <c r="D215" s="89"/>
    </row>
    <row r="216" spans="1:4" x14ac:dyDescent="0.25">
      <c r="A216" s="60">
        <v>171</v>
      </c>
      <c r="B216" s="89"/>
      <c r="C216" s="89"/>
      <c r="D216" s="89"/>
    </row>
    <row r="217" spans="1:4" x14ac:dyDescent="0.25">
      <c r="A217" s="60">
        <v>172</v>
      </c>
      <c r="B217" s="89"/>
      <c r="C217" s="89"/>
      <c r="D217" s="89"/>
    </row>
    <row r="218" spans="1:4" x14ac:dyDescent="0.25">
      <c r="A218" s="60">
        <v>173</v>
      </c>
      <c r="B218" s="89"/>
      <c r="C218" s="89"/>
      <c r="D218" s="89"/>
    </row>
    <row r="219" spans="1:4" x14ac:dyDescent="0.25">
      <c r="A219" s="60">
        <v>174</v>
      </c>
      <c r="B219" s="89"/>
      <c r="C219" s="89"/>
      <c r="D219" s="89"/>
    </row>
    <row r="220" spans="1:4" x14ac:dyDescent="0.25">
      <c r="A220" s="60">
        <v>175</v>
      </c>
      <c r="B220" s="89"/>
      <c r="C220" s="89"/>
      <c r="D220" s="89"/>
    </row>
    <row r="221" spans="1:4" x14ac:dyDescent="0.25">
      <c r="A221" s="60">
        <v>176</v>
      </c>
      <c r="B221" s="89"/>
      <c r="C221" s="89"/>
      <c r="D221" s="89"/>
    </row>
    <row r="222" spans="1:4" x14ac:dyDescent="0.25">
      <c r="A222" s="60">
        <v>177</v>
      </c>
      <c r="B222" s="89"/>
      <c r="C222" s="89"/>
      <c r="D222" s="89"/>
    </row>
    <row r="223" spans="1:4" x14ac:dyDescent="0.25">
      <c r="A223" s="60">
        <v>178</v>
      </c>
      <c r="B223" s="89"/>
      <c r="C223" s="89"/>
      <c r="D223" s="89"/>
    </row>
    <row r="224" spans="1:4" x14ac:dyDescent="0.25">
      <c r="A224" s="60">
        <v>179</v>
      </c>
      <c r="B224" s="89"/>
      <c r="C224" s="89"/>
      <c r="D224" s="89"/>
    </row>
    <row r="225" spans="1:4" x14ac:dyDescent="0.25">
      <c r="A225" s="60">
        <v>180</v>
      </c>
      <c r="B225" s="89"/>
      <c r="C225" s="89"/>
      <c r="D225" s="89"/>
    </row>
    <row r="226" spans="1:4" x14ac:dyDescent="0.25">
      <c r="A226" s="60">
        <v>181</v>
      </c>
      <c r="B226" s="89"/>
      <c r="C226" s="89"/>
      <c r="D226" s="89"/>
    </row>
    <row r="227" spans="1:4" x14ac:dyDescent="0.25">
      <c r="A227" s="60">
        <v>182</v>
      </c>
      <c r="B227" s="89"/>
      <c r="C227" s="89"/>
      <c r="D227" s="89"/>
    </row>
    <row r="228" spans="1:4" x14ac:dyDescent="0.25">
      <c r="A228" s="60">
        <v>183</v>
      </c>
      <c r="B228" s="89"/>
      <c r="C228" s="89"/>
      <c r="D228" s="89"/>
    </row>
    <row r="229" spans="1:4" x14ac:dyDescent="0.25">
      <c r="A229" s="60">
        <v>184</v>
      </c>
      <c r="B229" s="89"/>
      <c r="C229" s="89"/>
      <c r="D229" s="89"/>
    </row>
    <row r="230" spans="1:4" x14ac:dyDescent="0.25">
      <c r="A230" s="60">
        <v>185</v>
      </c>
      <c r="B230" s="89"/>
      <c r="C230" s="89"/>
      <c r="D230" s="89"/>
    </row>
    <row r="231" spans="1:4" x14ac:dyDescent="0.25">
      <c r="A231" s="60">
        <v>186</v>
      </c>
      <c r="B231" s="89"/>
      <c r="C231" s="89"/>
      <c r="D231" s="89"/>
    </row>
    <row r="232" spans="1:4" x14ac:dyDescent="0.25">
      <c r="A232" s="60">
        <v>187</v>
      </c>
      <c r="B232" s="89"/>
      <c r="C232" s="89"/>
      <c r="D232" s="89"/>
    </row>
    <row r="233" spans="1:4" x14ac:dyDescent="0.25">
      <c r="A233" s="60">
        <v>188</v>
      </c>
      <c r="B233" s="89"/>
      <c r="C233" s="89"/>
      <c r="D233" s="89"/>
    </row>
    <row r="234" spans="1:4" x14ac:dyDescent="0.25">
      <c r="A234" s="60">
        <v>189</v>
      </c>
      <c r="B234" s="89"/>
      <c r="C234" s="89"/>
      <c r="D234" s="89"/>
    </row>
    <row r="235" spans="1:4" x14ac:dyDescent="0.25">
      <c r="A235" s="60">
        <v>190</v>
      </c>
      <c r="B235" s="89"/>
      <c r="C235" s="89"/>
      <c r="D235" s="89"/>
    </row>
    <row r="236" spans="1:4" x14ac:dyDescent="0.25">
      <c r="A236" s="60">
        <v>191</v>
      </c>
      <c r="B236" s="89"/>
      <c r="C236" s="89"/>
      <c r="D236" s="89"/>
    </row>
    <row r="237" spans="1:4" x14ac:dyDescent="0.25">
      <c r="A237" s="60">
        <v>192</v>
      </c>
      <c r="B237" s="89"/>
      <c r="C237" s="89"/>
      <c r="D237" s="89"/>
    </row>
    <row r="238" spans="1:4" x14ac:dyDescent="0.25">
      <c r="A238" s="60">
        <v>193</v>
      </c>
      <c r="B238" s="89"/>
      <c r="C238" s="89"/>
      <c r="D238" s="89"/>
    </row>
    <row r="239" spans="1:4" x14ac:dyDescent="0.25">
      <c r="A239" s="60">
        <v>194</v>
      </c>
      <c r="B239" s="89"/>
      <c r="C239" s="89"/>
      <c r="D239" s="89"/>
    </row>
    <row r="240" spans="1:4" x14ac:dyDescent="0.25">
      <c r="A240" s="60">
        <v>195</v>
      </c>
      <c r="B240" s="89"/>
      <c r="C240" s="89"/>
      <c r="D240" s="89"/>
    </row>
    <row r="241" spans="1:4" x14ac:dyDescent="0.25">
      <c r="A241" s="60">
        <v>196</v>
      </c>
      <c r="B241" s="89"/>
      <c r="C241" s="89"/>
      <c r="D241" s="89"/>
    </row>
    <row r="242" spans="1:4" x14ac:dyDescent="0.25">
      <c r="A242" s="60">
        <v>197</v>
      </c>
      <c r="B242" s="89"/>
      <c r="C242" s="89"/>
      <c r="D242" s="89"/>
    </row>
    <row r="243" spans="1:4" x14ac:dyDescent="0.25">
      <c r="A243" s="60">
        <v>198</v>
      </c>
      <c r="B243" s="89"/>
      <c r="C243" s="89"/>
      <c r="D243" s="89"/>
    </row>
    <row r="244" spans="1:4" x14ac:dyDescent="0.25">
      <c r="A244" s="60">
        <v>199</v>
      </c>
      <c r="B244" s="89"/>
      <c r="C244" s="89"/>
      <c r="D244" s="89"/>
    </row>
    <row r="245" spans="1:4" x14ac:dyDescent="0.25">
      <c r="A245" s="60">
        <v>200</v>
      </c>
      <c r="B245" s="89"/>
      <c r="C245" s="89"/>
      <c r="D245" s="89"/>
    </row>
    <row r="246" spans="1:4" x14ac:dyDescent="0.25">
      <c r="A246" s="60">
        <v>201</v>
      </c>
      <c r="B246" s="89"/>
      <c r="C246" s="89"/>
      <c r="D246" s="89"/>
    </row>
    <row r="247" spans="1:4" x14ac:dyDescent="0.25">
      <c r="A247" s="60">
        <v>202</v>
      </c>
      <c r="B247" s="89"/>
      <c r="C247" s="89"/>
      <c r="D247" s="89"/>
    </row>
    <row r="248" spans="1:4" x14ac:dyDescent="0.25">
      <c r="A248" s="60">
        <v>203</v>
      </c>
      <c r="B248" s="89"/>
      <c r="C248" s="89"/>
      <c r="D248" s="89"/>
    </row>
    <row r="249" spans="1:4" x14ac:dyDescent="0.25">
      <c r="A249" s="60">
        <v>204</v>
      </c>
      <c r="B249" s="89"/>
      <c r="C249" s="89"/>
      <c r="D249" s="89"/>
    </row>
    <row r="250" spans="1:4" x14ac:dyDescent="0.25">
      <c r="A250" s="60">
        <v>205</v>
      </c>
      <c r="B250" s="89"/>
      <c r="C250" s="89"/>
      <c r="D250" s="89"/>
    </row>
    <row r="251" spans="1:4" x14ac:dyDescent="0.25">
      <c r="A251" s="60">
        <v>206</v>
      </c>
      <c r="B251" s="89"/>
      <c r="C251" s="89"/>
      <c r="D251" s="89"/>
    </row>
    <row r="252" spans="1:4" x14ac:dyDescent="0.25">
      <c r="A252" s="60">
        <v>207</v>
      </c>
      <c r="B252" s="89"/>
      <c r="C252" s="89"/>
      <c r="D252" s="89"/>
    </row>
    <row r="253" spans="1:4" x14ac:dyDescent="0.25">
      <c r="A253" s="60">
        <v>208</v>
      </c>
      <c r="B253" s="89"/>
      <c r="C253" s="89"/>
      <c r="D253" s="89"/>
    </row>
    <row r="254" spans="1:4" x14ac:dyDescent="0.25">
      <c r="A254" s="60">
        <v>209</v>
      </c>
      <c r="B254" s="89"/>
      <c r="C254" s="89"/>
      <c r="D254" s="89"/>
    </row>
    <row r="255" spans="1:4" x14ac:dyDescent="0.25">
      <c r="A255" s="60">
        <v>210</v>
      </c>
      <c r="B255" s="89"/>
      <c r="C255" s="89"/>
      <c r="D255" s="89"/>
    </row>
    <row r="256" spans="1:4" x14ac:dyDescent="0.25">
      <c r="A256" s="60">
        <v>211</v>
      </c>
      <c r="B256" s="89"/>
      <c r="C256" s="89"/>
      <c r="D256" s="89"/>
    </row>
    <row r="257" spans="1:4" x14ac:dyDescent="0.25">
      <c r="A257" s="60">
        <v>212</v>
      </c>
      <c r="B257" s="89"/>
      <c r="C257" s="89"/>
      <c r="D257" s="89"/>
    </row>
    <row r="258" spans="1:4" x14ac:dyDescent="0.25">
      <c r="A258" s="60">
        <v>213</v>
      </c>
      <c r="B258" s="89"/>
      <c r="C258" s="89"/>
      <c r="D258" s="89"/>
    </row>
    <row r="259" spans="1:4" x14ac:dyDescent="0.25">
      <c r="A259" s="60">
        <v>214</v>
      </c>
      <c r="B259" s="89"/>
      <c r="C259" s="89"/>
      <c r="D259" s="89"/>
    </row>
    <row r="260" spans="1:4" x14ac:dyDescent="0.25">
      <c r="A260" s="60">
        <v>215</v>
      </c>
      <c r="B260" s="89"/>
      <c r="C260" s="89"/>
      <c r="D260" s="89"/>
    </row>
    <row r="261" spans="1:4" x14ac:dyDescent="0.25">
      <c r="A261" s="60">
        <v>216</v>
      </c>
      <c r="B261" s="89"/>
      <c r="C261" s="89"/>
      <c r="D261" s="89"/>
    </row>
    <row r="262" spans="1:4" x14ac:dyDescent="0.25">
      <c r="A262" s="60">
        <v>217</v>
      </c>
      <c r="B262" s="89"/>
      <c r="C262" s="89"/>
      <c r="D262" s="89"/>
    </row>
    <row r="263" spans="1:4" x14ac:dyDescent="0.25">
      <c r="A263" s="60">
        <v>218</v>
      </c>
      <c r="B263" s="89"/>
      <c r="C263" s="89"/>
      <c r="D263" s="89"/>
    </row>
    <row r="264" spans="1:4" x14ac:dyDescent="0.25">
      <c r="A264" s="60">
        <v>219</v>
      </c>
      <c r="B264" s="89"/>
      <c r="C264" s="89"/>
      <c r="D264" s="89"/>
    </row>
    <row r="265" spans="1:4" x14ac:dyDescent="0.25">
      <c r="A265" s="60">
        <v>220</v>
      </c>
      <c r="B265" s="89"/>
      <c r="C265" s="89"/>
      <c r="D265" s="89"/>
    </row>
    <row r="266" spans="1:4" x14ac:dyDescent="0.25">
      <c r="A266" s="60">
        <v>221</v>
      </c>
      <c r="B266" s="89"/>
      <c r="C266" s="89"/>
      <c r="D266" s="89"/>
    </row>
    <row r="267" spans="1:4" x14ac:dyDescent="0.25">
      <c r="A267" s="60">
        <v>222</v>
      </c>
      <c r="B267" s="89"/>
      <c r="C267" s="89"/>
      <c r="D267" s="89"/>
    </row>
    <row r="268" spans="1:4" x14ac:dyDescent="0.25">
      <c r="A268" s="60">
        <v>223</v>
      </c>
      <c r="B268" s="89"/>
      <c r="C268" s="89"/>
      <c r="D268" s="89"/>
    </row>
    <row r="269" spans="1:4" x14ac:dyDescent="0.25">
      <c r="A269" s="60">
        <v>224</v>
      </c>
      <c r="B269" s="89"/>
      <c r="C269" s="89"/>
      <c r="D269" s="89"/>
    </row>
    <row r="270" spans="1:4" x14ac:dyDescent="0.25">
      <c r="A270" s="60">
        <v>225</v>
      </c>
      <c r="B270" s="89"/>
      <c r="C270" s="89"/>
      <c r="D270" s="89"/>
    </row>
    <row r="271" spans="1:4" x14ac:dyDescent="0.25">
      <c r="A271" s="60">
        <v>226</v>
      </c>
      <c r="B271" s="89"/>
      <c r="C271" s="89"/>
      <c r="D271" s="89"/>
    </row>
    <row r="272" spans="1:4" x14ac:dyDescent="0.25">
      <c r="A272" s="60">
        <v>227</v>
      </c>
      <c r="B272" s="89"/>
      <c r="C272" s="89"/>
      <c r="D272" s="89"/>
    </row>
    <row r="273" spans="1:4" x14ac:dyDescent="0.25">
      <c r="A273" s="60">
        <v>228</v>
      </c>
      <c r="B273" s="89"/>
      <c r="C273" s="89"/>
      <c r="D273" s="89"/>
    </row>
    <row r="274" spans="1:4" x14ac:dyDescent="0.25">
      <c r="A274" s="60">
        <v>229</v>
      </c>
      <c r="B274" s="89"/>
      <c r="C274" s="89"/>
      <c r="D274" s="89"/>
    </row>
    <row r="275" spans="1:4" x14ac:dyDescent="0.25">
      <c r="A275" s="60">
        <v>230</v>
      </c>
      <c r="B275" s="89"/>
      <c r="C275" s="89"/>
      <c r="D275" s="89"/>
    </row>
    <row r="276" spans="1:4" x14ac:dyDescent="0.25">
      <c r="A276" s="60">
        <v>231</v>
      </c>
      <c r="B276" s="89"/>
      <c r="C276" s="89"/>
      <c r="D276" s="89"/>
    </row>
    <row r="277" spans="1:4" x14ac:dyDescent="0.25">
      <c r="A277" s="60">
        <v>232</v>
      </c>
      <c r="B277" s="89"/>
      <c r="C277" s="89"/>
      <c r="D277" s="89"/>
    </row>
    <row r="278" spans="1:4" x14ac:dyDescent="0.25">
      <c r="A278" s="60">
        <v>233</v>
      </c>
      <c r="B278" s="89"/>
      <c r="C278" s="89"/>
      <c r="D278" s="89"/>
    </row>
    <row r="279" spans="1:4" x14ac:dyDescent="0.25">
      <c r="A279" s="60">
        <v>234</v>
      </c>
      <c r="B279" s="89"/>
      <c r="C279" s="89"/>
      <c r="D279" s="89"/>
    </row>
    <row r="280" spans="1:4" x14ac:dyDescent="0.25">
      <c r="A280" s="60">
        <v>235</v>
      </c>
      <c r="B280" s="89"/>
      <c r="C280" s="89"/>
      <c r="D280" s="89"/>
    </row>
    <row r="281" spans="1:4" x14ac:dyDescent="0.25">
      <c r="A281" s="60">
        <v>236</v>
      </c>
      <c r="B281" s="89"/>
      <c r="C281" s="89"/>
      <c r="D281" s="89"/>
    </row>
    <row r="282" spans="1:4" x14ac:dyDescent="0.25">
      <c r="A282" s="60">
        <v>237</v>
      </c>
      <c r="B282" s="89"/>
      <c r="C282" s="89"/>
      <c r="D282" s="89"/>
    </row>
    <row r="283" spans="1:4" x14ac:dyDescent="0.25">
      <c r="A283" s="60">
        <v>238</v>
      </c>
      <c r="B283" s="89"/>
      <c r="C283" s="89"/>
      <c r="D283" s="89"/>
    </row>
    <row r="284" spans="1:4" x14ac:dyDescent="0.25">
      <c r="A284" s="60">
        <v>239</v>
      </c>
      <c r="B284" s="89"/>
      <c r="C284" s="89"/>
      <c r="D284" s="89"/>
    </row>
    <row r="285" spans="1:4" x14ac:dyDescent="0.25">
      <c r="A285" s="60">
        <v>240</v>
      </c>
      <c r="B285" s="89"/>
      <c r="C285" s="89"/>
      <c r="D285" s="89"/>
    </row>
    <row r="286" spans="1:4" x14ac:dyDescent="0.25">
      <c r="A286" s="60">
        <v>241</v>
      </c>
      <c r="B286" s="89"/>
      <c r="C286" s="89"/>
      <c r="D286" s="89"/>
    </row>
    <row r="287" spans="1:4" x14ac:dyDescent="0.25">
      <c r="A287" s="60">
        <v>242</v>
      </c>
      <c r="B287" s="89"/>
      <c r="C287" s="89"/>
      <c r="D287" s="89"/>
    </row>
    <row r="288" spans="1:4" x14ac:dyDescent="0.25">
      <c r="A288" s="60">
        <v>243</v>
      </c>
      <c r="B288" s="89"/>
      <c r="C288" s="89"/>
      <c r="D288" s="89"/>
    </row>
    <row r="289" spans="1:4" x14ac:dyDescent="0.25">
      <c r="A289" s="60">
        <v>244</v>
      </c>
      <c r="B289" s="89"/>
      <c r="C289" s="89"/>
      <c r="D289" s="89"/>
    </row>
    <row r="290" spans="1:4" x14ac:dyDescent="0.25">
      <c r="A290" s="60">
        <v>245</v>
      </c>
      <c r="B290" s="89"/>
      <c r="C290" s="89"/>
      <c r="D290" s="89"/>
    </row>
    <row r="291" spans="1:4" x14ac:dyDescent="0.25">
      <c r="A291" s="60">
        <v>246</v>
      </c>
      <c r="B291" s="89"/>
      <c r="C291" s="89"/>
      <c r="D291" s="89"/>
    </row>
    <row r="292" spans="1:4" x14ac:dyDescent="0.25">
      <c r="A292" s="60">
        <v>247</v>
      </c>
      <c r="B292" s="89"/>
      <c r="C292" s="89"/>
      <c r="D292" s="89"/>
    </row>
    <row r="293" spans="1:4" x14ac:dyDescent="0.25">
      <c r="A293" s="60">
        <v>248</v>
      </c>
      <c r="B293" s="89"/>
      <c r="C293" s="89"/>
      <c r="D293" s="89"/>
    </row>
    <row r="294" spans="1:4" x14ac:dyDescent="0.25">
      <c r="A294" s="60">
        <v>249</v>
      </c>
      <c r="B294" s="89"/>
      <c r="C294" s="89"/>
      <c r="D294" s="89"/>
    </row>
    <row r="295" spans="1:4" x14ac:dyDescent="0.25">
      <c r="A295" s="60">
        <v>250</v>
      </c>
      <c r="B295" s="89"/>
      <c r="C295" s="89"/>
      <c r="D295" s="89"/>
    </row>
    <row r="296" spans="1:4" x14ac:dyDescent="0.25">
      <c r="A296" s="60">
        <v>251</v>
      </c>
      <c r="B296" s="89"/>
      <c r="C296" s="89"/>
      <c r="D296" s="89"/>
    </row>
    <row r="297" spans="1:4" x14ac:dyDescent="0.25">
      <c r="A297" s="60">
        <v>252</v>
      </c>
      <c r="B297" s="89"/>
      <c r="C297" s="89"/>
      <c r="D297" s="89"/>
    </row>
    <row r="298" spans="1:4" x14ac:dyDescent="0.25">
      <c r="A298" s="60">
        <v>253</v>
      </c>
      <c r="B298" s="89"/>
      <c r="C298" s="89"/>
      <c r="D298" s="89"/>
    </row>
    <row r="299" spans="1:4" x14ac:dyDescent="0.25">
      <c r="A299" s="60">
        <v>254</v>
      </c>
      <c r="B299" s="89"/>
      <c r="C299" s="89"/>
      <c r="D299" s="89"/>
    </row>
    <row r="300" spans="1:4" x14ac:dyDescent="0.25">
      <c r="A300" s="60">
        <v>255</v>
      </c>
      <c r="B300" s="89"/>
      <c r="C300" s="89"/>
      <c r="D300" s="89"/>
    </row>
    <row r="301" spans="1:4" x14ac:dyDescent="0.25">
      <c r="A301" s="60">
        <v>256</v>
      </c>
      <c r="B301" s="89"/>
      <c r="C301" s="89"/>
      <c r="D301" s="89"/>
    </row>
    <row r="302" spans="1:4" x14ac:dyDescent="0.25">
      <c r="A302" s="60">
        <v>257</v>
      </c>
      <c r="B302" s="89"/>
      <c r="C302" s="89"/>
      <c r="D302" s="89"/>
    </row>
    <row r="303" spans="1:4" x14ac:dyDescent="0.25">
      <c r="A303" s="60">
        <v>258</v>
      </c>
      <c r="B303" s="89"/>
      <c r="C303" s="89"/>
      <c r="D303" s="89"/>
    </row>
    <row r="304" spans="1:4" x14ac:dyDescent="0.25">
      <c r="A304" s="60">
        <v>259</v>
      </c>
      <c r="B304" s="89"/>
      <c r="C304" s="89"/>
      <c r="D304" s="89"/>
    </row>
    <row r="305" spans="1:4" x14ac:dyDescent="0.25">
      <c r="A305" s="60">
        <v>260</v>
      </c>
      <c r="B305" s="89"/>
      <c r="C305" s="89"/>
      <c r="D305" s="89"/>
    </row>
    <row r="306" spans="1:4" x14ac:dyDescent="0.25">
      <c r="A306" s="60">
        <v>261</v>
      </c>
      <c r="B306" s="89"/>
      <c r="C306" s="89"/>
      <c r="D306" s="89"/>
    </row>
    <row r="307" spans="1:4" x14ac:dyDescent="0.25">
      <c r="A307" s="60">
        <v>262</v>
      </c>
      <c r="B307" s="89"/>
      <c r="C307" s="89"/>
      <c r="D307" s="89"/>
    </row>
    <row r="308" spans="1:4" x14ac:dyDescent="0.25">
      <c r="A308" s="60">
        <v>263</v>
      </c>
      <c r="B308" s="89"/>
      <c r="C308" s="89"/>
      <c r="D308" s="89"/>
    </row>
    <row r="309" spans="1:4" x14ac:dyDescent="0.25">
      <c r="A309" s="60">
        <v>264</v>
      </c>
      <c r="B309" s="89"/>
      <c r="C309" s="89"/>
      <c r="D309" s="89"/>
    </row>
    <row r="310" spans="1:4" x14ac:dyDescent="0.25">
      <c r="A310" s="60">
        <v>265</v>
      </c>
      <c r="B310" s="89"/>
      <c r="C310" s="89"/>
      <c r="D310" s="89"/>
    </row>
    <row r="311" spans="1:4" x14ac:dyDescent="0.25">
      <c r="A311" s="60">
        <v>266</v>
      </c>
      <c r="B311" s="89"/>
      <c r="C311" s="89"/>
      <c r="D311" s="89"/>
    </row>
    <row r="312" spans="1:4" x14ac:dyDescent="0.25">
      <c r="A312" s="60">
        <v>267</v>
      </c>
      <c r="B312" s="89"/>
      <c r="C312" s="89"/>
      <c r="D312" s="89"/>
    </row>
    <row r="313" spans="1:4" x14ac:dyDescent="0.25">
      <c r="A313" s="60">
        <v>268</v>
      </c>
      <c r="B313" s="89"/>
      <c r="C313" s="89"/>
      <c r="D313" s="89"/>
    </row>
    <row r="314" spans="1:4" x14ac:dyDescent="0.25">
      <c r="A314" s="60">
        <v>269</v>
      </c>
      <c r="B314" s="89"/>
      <c r="C314" s="89"/>
      <c r="D314" s="89"/>
    </row>
    <row r="315" spans="1:4" x14ac:dyDescent="0.25">
      <c r="A315" s="60">
        <v>270</v>
      </c>
      <c r="B315" s="89"/>
      <c r="C315" s="89"/>
      <c r="D315" s="89"/>
    </row>
    <row r="316" spans="1:4" x14ac:dyDescent="0.25">
      <c r="A316" s="60">
        <v>271</v>
      </c>
      <c r="B316" s="89"/>
      <c r="C316" s="89"/>
      <c r="D316" s="89"/>
    </row>
    <row r="317" spans="1:4" x14ac:dyDescent="0.25">
      <c r="A317" s="60">
        <v>272</v>
      </c>
      <c r="B317" s="89"/>
      <c r="C317" s="89"/>
      <c r="D317" s="89"/>
    </row>
    <row r="318" spans="1:4" x14ac:dyDescent="0.25">
      <c r="A318" s="60">
        <v>273</v>
      </c>
      <c r="B318" s="89"/>
      <c r="C318" s="89"/>
      <c r="D318" s="89"/>
    </row>
    <row r="319" spans="1:4" x14ac:dyDescent="0.25">
      <c r="A319" s="60">
        <v>274</v>
      </c>
      <c r="B319" s="89"/>
      <c r="C319" s="89"/>
      <c r="D319" s="89"/>
    </row>
    <row r="320" spans="1:4" x14ac:dyDescent="0.25">
      <c r="A320" s="60">
        <v>275</v>
      </c>
      <c r="B320" s="89"/>
      <c r="C320" s="89"/>
      <c r="D320" s="89"/>
    </row>
    <row r="321" spans="1:4" x14ac:dyDescent="0.25">
      <c r="A321" s="60">
        <v>276</v>
      </c>
      <c r="B321" s="89"/>
      <c r="C321" s="89"/>
      <c r="D321" s="89"/>
    </row>
    <row r="322" spans="1:4" x14ac:dyDescent="0.25">
      <c r="A322" s="60">
        <v>277</v>
      </c>
      <c r="B322" s="89"/>
      <c r="C322" s="89"/>
      <c r="D322" s="89"/>
    </row>
    <row r="323" spans="1:4" x14ac:dyDescent="0.25">
      <c r="A323" s="60">
        <v>278</v>
      </c>
      <c r="B323" s="89"/>
      <c r="C323" s="89"/>
      <c r="D323" s="89"/>
    </row>
    <row r="324" spans="1:4" x14ac:dyDescent="0.25">
      <c r="A324" s="60">
        <v>279</v>
      </c>
      <c r="B324" s="89"/>
      <c r="C324" s="89"/>
      <c r="D324" s="89"/>
    </row>
    <row r="325" spans="1:4" x14ac:dyDescent="0.25">
      <c r="A325" s="60">
        <v>280</v>
      </c>
      <c r="B325" s="89"/>
      <c r="C325" s="89"/>
      <c r="D325" s="89"/>
    </row>
    <row r="326" spans="1:4" x14ac:dyDescent="0.25">
      <c r="A326" s="60">
        <v>281</v>
      </c>
      <c r="B326" s="89"/>
      <c r="C326" s="89"/>
      <c r="D326" s="89"/>
    </row>
    <row r="327" spans="1:4" x14ac:dyDescent="0.25">
      <c r="A327" s="60">
        <v>282</v>
      </c>
      <c r="B327" s="89"/>
      <c r="C327" s="89"/>
      <c r="D327" s="89"/>
    </row>
    <row r="328" spans="1:4" x14ac:dyDescent="0.25">
      <c r="A328" s="60">
        <v>283</v>
      </c>
      <c r="B328" s="89"/>
      <c r="C328" s="89"/>
      <c r="D328" s="89"/>
    </row>
    <row r="329" spans="1:4" x14ac:dyDescent="0.25">
      <c r="A329" s="60">
        <v>284</v>
      </c>
      <c r="B329" s="89"/>
      <c r="C329" s="89"/>
      <c r="D329" s="89"/>
    </row>
    <row r="330" spans="1:4" x14ac:dyDescent="0.25">
      <c r="A330" s="60">
        <v>285</v>
      </c>
      <c r="B330" s="89"/>
      <c r="C330" s="89"/>
      <c r="D330" s="89"/>
    </row>
    <row r="331" spans="1:4" x14ac:dyDescent="0.25">
      <c r="A331" s="60">
        <v>286</v>
      </c>
      <c r="B331" s="89"/>
      <c r="C331" s="89"/>
      <c r="D331" s="89"/>
    </row>
    <row r="332" spans="1:4" x14ac:dyDescent="0.25">
      <c r="A332" s="60">
        <v>287</v>
      </c>
      <c r="B332" s="89"/>
      <c r="C332" s="89"/>
      <c r="D332" s="89"/>
    </row>
    <row r="333" spans="1:4" x14ac:dyDescent="0.25">
      <c r="A333" s="60">
        <v>288</v>
      </c>
      <c r="B333" s="89"/>
      <c r="C333" s="89"/>
      <c r="D333" s="89"/>
    </row>
    <row r="334" spans="1:4" x14ac:dyDescent="0.25">
      <c r="A334" s="60">
        <v>289</v>
      </c>
      <c r="B334" s="89"/>
      <c r="C334" s="89"/>
      <c r="D334" s="89"/>
    </row>
    <row r="335" spans="1:4" x14ac:dyDescent="0.25">
      <c r="A335" s="60">
        <v>290</v>
      </c>
      <c r="B335" s="89"/>
      <c r="C335" s="89"/>
      <c r="D335" s="89"/>
    </row>
    <row r="336" spans="1:4" x14ac:dyDescent="0.25">
      <c r="A336" s="60">
        <v>291</v>
      </c>
      <c r="B336" s="89"/>
      <c r="C336" s="89"/>
      <c r="D336" s="89"/>
    </row>
    <row r="337" spans="1:4" x14ac:dyDescent="0.25">
      <c r="A337" s="60">
        <v>292</v>
      </c>
      <c r="B337" s="89"/>
      <c r="C337" s="89"/>
      <c r="D337" s="89"/>
    </row>
    <row r="338" spans="1:4" x14ac:dyDescent="0.25">
      <c r="A338" s="60">
        <v>293</v>
      </c>
      <c r="B338" s="89"/>
      <c r="C338" s="89"/>
      <c r="D338" s="89"/>
    </row>
    <row r="339" spans="1:4" x14ac:dyDescent="0.25">
      <c r="A339" s="60">
        <v>294</v>
      </c>
      <c r="B339" s="89"/>
      <c r="C339" s="89"/>
      <c r="D339" s="89"/>
    </row>
    <row r="340" spans="1:4" x14ac:dyDescent="0.25">
      <c r="A340" s="60">
        <v>295</v>
      </c>
      <c r="B340" s="89"/>
      <c r="C340" s="89"/>
      <c r="D340" s="89"/>
    </row>
    <row r="341" spans="1:4" x14ac:dyDescent="0.25">
      <c r="A341" s="60">
        <v>296</v>
      </c>
      <c r="B341" s="89"/>
      <c r="C341" s="89"/>
      <c r="D341" s="89"/>
    </row>
    <row r="342" spans="1:4" x14ac:dyDescent="0.25">
      <c r="A342" s="60">
        <v>297</v>
      </c>
      <c r="B342" s="89"/>
      <c r="C342" s="89"/>
      <c r="D342" s="89"/>
    </row>
    <row r="343" spans="1:4" x14ac:dyDescent="0.25">
      <c r="A343" s="60">
        <v>298</v>
      </c>
      <c r="B343" s="89"/>
      <c r="C343" s="89"/>
      <c r="D343" s="89"/>
    </row>
    <row r="344" spans="1:4" x14ac:dyDescent="0.25">
      <c r="A344" s="60">
        <v>299</v>
      </c>
      <c r="B344" s="89"/>
      <c r="C344" s="89"/>
      <c r="D344" s="89"/>
    </row>
    <row r="345" spans="1:4" x14ac:dyDescent="0.25">
      <c r="A345" s="60">
        <v>300</v>
      </c>
      <c r="B345" s="89"/>
      <c r="C345" s="89"/>
      <c r="D345" s="89"/>
    </row>
    <row r="346" spans="1:4" x14ac:dyDescent="0.25">
      <c r="A346" s="60">
        <v>301</v>
      </c>
      <c r="B346" s="89"/>
      <c r="C346" s="89"/>
      <c r="D346" s="89"/>
    </row>
    <row r="347" spans="1:4" x14ac:dyDescent="0.25">
      <c r="A347" s="60">
        <v>302</v>
      </c>
      <c r="B347" s="89"/>
      <c r="C347" s="89"/>
      <c r="D347" s="89"/>
    </row>
    <row r="348" spans="1:4" x14ac:dyDescent="0.25">
      <c r="A348" s="60">
        <v>303</v>
      </c>
      <c r="B348" s="89"/>
      <c r="C348" s="89"/>
      <c r="D348" s="89"/>
    </row>
    <row r="349" spans="1:4" x14ac:dyDescent="0.25">
      <c r="A349" s="60">
        <v>304</v>
      </c>
      <c r="B349" s="89"/>
      <c r="C349" s="89"/>
      <c r="D349" s="89"/>
    </row>
    <row r="350" spans="1:4" x14ac:dyDescent="0.25">
      <c r="A350" s="60">
        <v>305</v>
      </c>
      <c r="B350" s="89"/>
      <c r="C350" s="89"/>
      <c r="D350" s="89"/>
    </row>
    <row r="351" spans="1:4" x14ac:dyDescent="0.25">
      <c r="A351" s="60">
        <v>306</v>
      </c>
      <c r="B351" s="89"/>
      <c r="C351" s="89"/>
      <c r="D351" s="89"/>
    </row>
    <row r="352" spans="1:4" x14ac:dyDescent="0.25">
      <c r="A352" s="60">
        <v>307</v>
      </c>
      <c r="B352" s="89"/>
      <c r="C352" s="89"/>
      <c r="D352" s="89"/>
    </row>
    <row r="353" spans="1:4" x14ac:dyDescent="0.25">
      <c r="A353" s="60">
        <v>308</v>
      </c>
      <c r="B353" s="89"/>
      <c r="C353" s="89"/>
      <c r="D353" s="89"/>
    </row>
    <row r="354" spans="1:4" x14ac:dyDescent="0.25">
      <c r="A354" s="60">
        <v>309</v>
      </c>
      <c r="B354" s="89"/>
      <c r="C354" s="89"/>
      <c r="D354" s="89"/>
    </row>
    <row r="355" spans="1:4" x14ac:dyDescent="0.25">
      <c r="A355" s="60">
        <v>310</v>
      </c>
      <c r="B355" s="89"/>
      <c r="C355" s="89"/>
      <c r="D355" s="89"/>
    </row>
    <row r="356" spans="1:4" x14ac:dyDescent="0.25">
      <c r="A356" s="60">
        <v>311</v>
      </c>
      <c r="B356" s="89"/>
      <c r="C356" s="89"/>
      <c r="D356" s="89"/>
    </row>
    <row r="357" spans="1:4" x14ac:dyDescent="0.25">
      <c r="A357" s="60">
        <v>312</v>
      </c>
      <c r="B357" s="89"/>
      <c r="C357" s="89"/>
      <c r="D357" s="89"/>
    </row>
    <row r="358" spans="1:4" x14ac:dyDescent="0.25">
      <c r="A358" s="60">
        <v>313</v>
      </c>
      <c r="B358" s="89"/>
      <c r="C358" s="89"/>
      <c r="D358" s="89"/>
    </row>
    <row r="359" spans="1:4" x14ac:dyDescent="0.25">
      <c r="A359" s="60">
        <v>314</v>
      </c>
      <c r="B359" s="89"/>
      <c r="C359" s="89"/>
      <c r="D359" s="89"/>
    </row>
    <row r="360" spans="1:4" x14ac:dyDescent="0.25">
      <c r="A360" s="60">
        <v>315</v>
      </c>
      <c r="B360" s="89"/>
      <c r="C360" s="89"/>
      <c r="D360" s="89"/>
    </row>
    <row r="361" spans="1:4" x14ac:dyDescent="0.25">
      <c r="A361" s="60">
        <v>316</v>
      </c>
      <c r="B361" s="89"/>
      <c r="C361" s="89"/>
      <c r="D361" s="89"/>
    </row>
    <row r="362" spans="1:4" x14ac:dyDescent="0.25">
      <c r="A362" s="60">
        <v>317</v>
      </c>
      <c r="B362" s="89"/>
      <c r="C362" s="89"/>
      <c r="D362" s="89"/>
    </row>
    <row r="363" spans="1:4" x14ac:dyDescent="0.25">
      <c r="A363" s="60">
        <v>318</v>
      </c>
      <c r="B363" s="89"/>
      <c r="C363" s="89"/>
      <c r="D363" s="89"/>
    </row>
    <row r="364" spans="1:4" x14ac:dyDescent="0.25">
      <c r="A364" s="60">
        <v>319</v>
      </c>
      <c r="B364" s="89"/>
      <c r="C364" s="89"/>
      <c r="D364" s="89"/>
    </row>
    <row r="365" spans="1:4" x14ac:dyDescent="0.25">
      <c r="A365" s="60">
        <v>320</v>
      </c>
      <c r="B365" s="89"/>
      <c r="C365" s="89"/>
      <c r="D365" s="89"/>
    </row>
    <row r="366" spans="1:4" x14ac:dyDescent="0.25">
      <c r="A366" s="60">
        <v>321</v>
      </c>
      <c r="B366" s="89"/>
      <c r="C366" s="89"/>
      <c r="D366" s="89"/>
    </row>
    <row r="367" spans="1:4" x14ac:dyDescent="0.25">
      <c r="A367" s="60">
        <v>322</v>
      </c>
      <c r="B367" s="89"/>
      <c r="C367" s="89"/>
      <c r="D367" s="89"/>
    </row>
    <row r="368" spans="1:4" x14ac:dyDescent="0.25">
      <c r="A368" s="60">
        <v>323</v>
      </c>
      <c r="B368" s="89"/>
      <c r="C368" s="89"/>
      <c r="D368" s="89"/>
    </row>
    <row r="369" spans="1:4" x14ac:dyDescent="0.25">
      <c r="A369" s="60">
        <v>324</v>
      </c>
      <c r="B369" s="89"/>
      <c r="C369" s="89"/>
      <c r="D369" s="89"/>
    </row>
    <row r="370" spans="1:4" x14ac:dyDescent="0.25">
      <c r="A370" s="60">
        <v>325</v>
      </c>
      <c r="B370" s="89"/>
      <c r="C370" s="89"/>
      <c r="D370" s="89"/>
    </row>
    <row r="371" spans="1:4" x14ac:dyDescent="0.25">
      <c r="A371" s="60">
        <v>326</v>
      </c>
      <c r="B371" s="89"/>
      <c r="C371" s="89"/>
      <c r="D371" s="89"/>
    </row>
    <row r="372" spans="1:4" x14ac:dyDescent="0.25">
      <c r="A372" s="60">
        <v>327</v>
      </c>
      <c r="B372" s="89"/>
      <c r="C372" s="89"/>
      <c r="D372" s="89"/>
    </row>
    <row r="373" spans="1:4" x14ac:dyDescent="0.25">
      <c r="A373" s="60">
        <v>328</v>
      </c>
      <c r="B373" s="89"/>
      <c r="C373" s="89"/>
      <c r="D373" s="89"/>
    </row>
    <row r="374" spans="1:4" x14ac:dyDescent="0.25">
      <c r="A374" s="60">
        <v>329</v>
      </c>
      <c r="B374" s="89"/>
      <c r="C374" s="89"/>
      <c r="D374" s="89"/>
    </row>
    <row r="375" spans="1:4" x14ac:dyDescent="0.25">
      <c r="A375" s="60">
        <v>330</v>
      </c>
      <c r="B375" s="89"/>
      <c r="C375" s="89"/>
      <c r="D375" s="89"/>
    </row>
    <row r="376" spans="1:4" x14ac:dyDescent="0.25">
      <c r="A376" s="60">
        <v>331</v>
      </c>
      <c r="B376" s="89"/>
      <c r="C376" s="89"/>
      <c r="D376" s="89"/>
    </row>
    <row r="377" spans="1:4" x14ac:dyDescent="0.25">
      <c r="A377" s="60">
        <v>332</v>
      </c>
      <c r="B377" s="89"/>
      <c r="C377" s="89"/>
      <c r="D377" s="89"/>
    </row>
    <row r="378" spans="1:4" x14ac:dyDescent="0.25">
      <c r="A378" s="60">
        <v>333</v>
      </c>
      <c r="B378" s="89"/>
      <c r="C378" s="89"/>
      <c r="D378" s="89"/>
    </row>
    <row r="379" spans="1:4" x14ac:dyDescent="0.25">
      <c r="A379" s="60">
        <v>334</v>
      </c>
      <c r="B379" s="89"/>
      <c r="C379" s="89"/>
      <c r="D379" s="89"/>
    </row>
    <row r="380" spans="1:4" x14ac:dyDescent="0.25">
      <c r="A380" s="60">
        <v>335</v>
      </c>
      <c r="B380" s="89"/>
      <c r="C380" s="89"/>
      <c r="D380" s="89"/>
    </row>
    <row r="381" spans="1:4" x14ac:dyDescent="0.25">
      <c r="A381" s="60">
        <v>336</v>
      </c>
      <c r="B381" s="89"/>
      <c r="C381" s="89"/>
      <c r="D381" s="89"/>
    </row>
    <row r="382" spans="1:4" x14ac:dyDescent="0.25">
      <c r="A382" s="60">
        <v>337</v>
      </c>
      <c r="B382" s="89"/>
      <c r="C382" s="89"/>
      <c r="D382" s="89"/>
    </row>
    <row r="383" spans="1:4" x14ac:dyDescent="0.25">
      <c r="A383" s="60">
        <v>338</v>
      </c>
      <c r="B383" s="89"/>
      <c r="C383" s="89"/>
      <c r="D383" s="89"/>
    </row>
    <row r="384" spans="1:4" x14ac:dyDescent="0.25">
      <c r="A384" s="60">
        <v>339</v>
      </c>
      <c r="B384" s="89"/>
      <c r="C384" s="89"/>
      <c r="D384" s="89"/>
    </row>
    <row r="385" spans="1:4" x14ac:dyDescent="0.25">
      <c r="A385" s="60">
        <v>340</v>
      </c>
      <c r="B385" s="89"/>
      <c r="C385" s="89"/>
      <c r="D385" s="89"/>
    </row>
    <row r="386" spans="1:4" x14ac:dyDescent="0.25">
      <c r="A386" s="60">
        <v>341</v>
      </c>
      <c r="B386" s="89"/>
      <c r="C386" s="89"/>
      <c r="D386" s="89"/>
    </row>
    <row r="387" spans="1:4" x14ac:dyDescent="0.25">
      <c r="A387" s="60">
        <v>342</v>
      </c>
      <c r="B387" s="89"/>
      <c r="C387" s="89"/>
      <c r="D387" s="89"/>
    </row>
    <row r="388" spans="1:4" x14ac:dyDescent="0.25">
      <c r="A388" s="60">
        <v>343</v>
      </c>
      <c r="B388" s="89"/>
      <c r="C388" s="89"/>
      <c r="D388" s="89"/>
    </row>
    <row r="389" spans="1:4" x14ac:dyDescent="0.25">
      <c r="A389" s="60">
        <v>344</v>
      </c>
      <c r="B389" s="89"/>
      <c r="C389" s="89"/>
      <c r="D389" s="89"/>
    </row>
    <row r="390" spans="1:4" x14ac:dyDescent="0.25">
      <c r="A390" s="60">
        <v>345</v>
      </c>
      <c r="B390" s="89"/>
      <c r="C390" s="89"/>
      <c r="D390" s="89"/>
    </row>
    <row r="391" spans="1:4" x14ac:dyDescent="0.25">
      <c r="A391" s="60">
        <v>346</v>
      </c>
      <c r="B391" s="89"/>
      <c r="C391" s="89"/>
      <c r="D391" s="89"/>
    </row>
    <row r="392" spans="1:4" x14ac:dyDescent="0.25">
      <c r="A392" s="60">
        <v>347</v>
      </c>
      <c r="B392" s="89"/>
      <c r="C392" s="89"/>
      <c r="D392" s="89"/>
    </row>
    <row r="393" spans="1:4" x14ac:dyDescent="0.25">
      <c r="A393" s="60">
        <v>348</v>
      </c>
      <c r="B393" s="89"/>
      <c r="C393" s="89"/>
      <c r="D393" s="89"/>
    </row>
    <row r="394" spans="1:4" x14ac:dyDescent="0.25">
      <c r="A394" s="60">
        <v>349</v>
      </c>
      <c r="B394" s="89"/>
      <c r="C394" s="89"/>
      <c r="D394" s="89"/>
    </row>
    <row r="395" spans="1:4" x14ac:dyDescent="0.25">
      <c r="A395" s="60">
        <v>350</v>
      </c>
      <c r="B395" s="89"/>
      <c r="C395" s="89"/>
      <c r="D395" s="89"/>
    </row>
    <row r="396" spans="1:4" x14ac:dyDescent="0.25">
      <c r="A396" s="60">
        <v>351</v>
      </c>
      <c r="B396" s="89"/>
      <c r="C396" s="89"/>
      <c r="D396" s="89"/>
    </row>
    <row r="397" spans="1:4" x14ac:dyDescent="0.25">
      <c r="A397" s="60">
        <v>352</v>
      </c>
      <c r="B397" s="89"/>
      <c r="C397" s="89"/>
      <c r="D397" s="89"/>
    </row>
    <row r="398" spans="1:4" x14ac:dyDescent="0.25">
      <c r="A398" s="60">
        <v>353</v>
      </c>
      <c r="B398" s="89"/>
      <c r="C398" s="89"/>
      <c r="D398" s="89"/>
    </row>
    <row r="399" spans="1:4" x14ac:dyDescent="0.25">
      <c r="A399" s="60">
        <v>354</v>
      </c>
      <c r="B399" s="89"/>
      <c r="C399" s="89"/>
      <c r="D399" s="89"/>
    </row>
    <row r="400" spans="1:4" x14ac:dyDescent="0.25">
      <c r="A400" s="60">
        <v>355</v>
      </c>
      <c r="B400" s="89"/>
      <c r="C400" s="89"/>
      <c r="D400" s="89"/>
    </row>
    <row r="401" spans="1:4" x14ac:dyDescent="0.25">
      <c r="A401" s="60">
        <v>356</v>
      </c>
      <c r="B401" s="89"/>
      <c r="C401" s="89"/>
      <c r="D401" s="89"/>
    </row>
    <row r="402" spans="1:4" x14ac:dyDescent="0.25">
      <c r="A402" s="60">
        <v>357</v>
      </c>
      <c r="B402" s="89"/>
      <c r="C402" s="89"/>
      <c r="D402" s="89"/>
    </row>
    <row r="403" spans="1:4" x14ac:dyDescent="0.25">
      <c r="A403" s="60">
        <v>358</v>
      </c>
      <c r="B403" s="89"/>
      <c r="C403" s="89"/>
      <c r="D403" s="89"/>
    </row>
    <row r="404" spans="1:4" x14ac:dyDescent="0.25">
      <c r="A404" s="60">
        <v>359</v>
      </c>
      <c r="B404" s="89"/>
      <c r="C404" s="89"/>
      <c r="D404" s="89"/>
    </row>
    <row r="405" spans="1:4" x14ac:dyDescent="0.25">
      <c r="A405" s="60">
        <v>360</v>
      </c>
      <c r="B405" s="89"/>
      <c r="C405" s="89"/>
      <c r="D405" s="89"/>
    </row>
    <row r="406" spans="1:4" x14ac:dyDescent="0.25">
      <c r="A406" s="60">
        <v>361</v>
      </c>
      <c r="B406" s="89"/>
      <c r="C406" s="89"/>
      <c r="D406" s="89"/>
    </row>
    <row r="407" spans="1:4" x14ac:dyDescent="0.25">
      <c r="A407" s="60">
        <v>362</v>
      </c>
      <c r="B407" s="89"/>
      <c r="C407" s="89"/>
      <c r="D407" s="89"/>
    </row>
    <row r="408" spans="1:4" x14ac:dyDescent="0.25">
      <c r="A408" s="60">
        <v>363</v>
      </c>
      <c r="B408" s="89"/>
      <c r="C408" s="89"/>
      <c r="D408" s="89"/>
    </row>
    <row r="409" spans="1:4" x14ac:dyDescent="0.25">
      <c r="A409" s="60">
        <v>364</v>
      </c>
      <c r="B409" s="89"/>
      <c r="C409" s="89"/>
      <c r="D409" s="89"/>
    </row>
    <row r="410" spans="1:4" x14ac:dyDescent="0.25">
      <c r="A410" s="60">
        <v>365</v>
      </c>
      <c r="B410" s="89"/>
      <c r="C410" s="89"/>
      <c r="D410" s="89"/>
    </row>
    <row r="411" spans="1:4" x14ac:dyDescent="0.25">
      <c r="A411" s="60">
        <v>366</v>
      </c>
      <c r="B411" s="89"/>
      <c r="C411" s="89"/>
      <c r="D411" s="89"/>
    </row>
    <row r="412" spans="1:4" x14ac:dyDescent="0.25">
      <c r="A412" s="60">
        <v>367</v>
      </c>
      <c r="B412" s="89"/>
      <c r="C412" s="89"/>
      <c r="D412" s="89"/>
    </row>
    <row r="413" spans="1:4" x14ac:dyDescent="0.25">
      <c r="A413" s="60">
        <v>368</v>
      </c>
      <c r="B413" s="89"/>
      <c r="C413" s="89"/>
      <c r="D413" s="89"/>
    </row>
    <row r="414" spans="1:4" x14ac:dyDescent="0.25">
      <c r="A414" s="60">
        <v>369</v>
      </c>
      <c r="B414" s="89"/>
      <c r="C414" s="89"/>
      <c r="D414" s="89"/>
    </row>
    <row r="415" spans="1:4" x14ac:dyDescent="0.25">
      <c r="A415" s="60">
        <v>370</v>
      </c>
      <c r="B415" s="89"/>
      <c r="C415" s="89"/>
      <c r="D415" s="89"/>
    </row>
    <row r="416" spans="1:4" x14ac:dyDescent="0.25">
      <c r="A416" s="60">
        <v>371</v>
      </c>
      <c r="B416" s="89"/>
      <c r="C416" s="89"/>
      <c r="D416" s="89"/>
    </row>
    <row r="417" spans="1:4" x14ac:dyDescent="0.25">
      <c r="A417" s="60">
        <v>372</v>
      </c>
      <c r="B417" s="89"/>
      <c r="C417" s="89"/>
      <c r="D417" s="89"/>
    </row>
    <row r="418" spans="1:4" x14ac:dyDescent="0.25">
      <c r="A418" s="60">
        <v>373</v>
      </c>
      <c r="B418" s="89"/>
      <c r="C418" s="89"/>
      <c r="D418" s="89"/>
    </row>
    <row r="419" spans="1:4" x14ac:dyDescent="0.25">
      <c r="A419" s="60">
        <v>374</v>
      </c>
      <c r="B419" s="89"/>
      <c r="C419" s="89"/>
      <c r="D419" s="89"/>
    </row>
    <row r="420" spans="1:4" x14ac:dyDescent="0.25">
      <c r="A420" s="60">
        <v>375</v>
      </c>
      <c r="B420" s="89"/>
      <c r="C420" s="89"/>
      <c r="D420" s="89"/>
    </row>
    <row r="421" spans="1:4" x14ac:dyDescent="0.25">
      <c r="A421" s="60">
        <v>376</v>
      </c>
      <c r="B421" s="89"/>
      <c r="C421" s="89"/>
      <c r="D421" s="89"/>
    </row>
    <row r="422" spans="1:4" x14ac:dyDescent="0.25">
      <c r="A422" s="60">
        <v>377</v>
      </c>
      <c r="B422" s="89"/>
      <c r="C422" s="89"/>
      <c r="D422" s="89"/>
    </row>
    <row r="423" spans="1:4" x14ac:dyDescent="0.25">
      <c r="A423" s="60">
        <v>378</v>
      </c>
      <c r="B423" s="89"/>
      <c r="C423" s="89"/>
      <c r="D423" s="89"/>
    </row>
    <row r="424" spans="1:4" x14ac:dyDescent="0.25">
      <c r="A424" s="60">
        <v>379</v>
      </c>
      <c r="B424" s="89"/>
      <c r="C424" s="89"/>
      <c r="D424" s="89"/>
    </row>
    <row r="425" spans="1:4" x14ac:dyDescent="0.25">
      <c r="A425" s="60">
        <v>380</v>
      </c>
      <c r="B425" s="89"/>
      <c r="C425" s="89"/>
      <c r="D425" s="89"/>
    </row>
    <row r="426" spans="1:4" x14ac:dyDescent="0.25">
      <c r="A426" s="60">
        <v>381</v>
      </c>
      <c r="B426" s="89"/>
      <c r="C426" s="89"/>
      <c r="D426" s="89"/>
    </row>
    <row r="427" spans="1:4" x14ac:dyDescent="0.25">
      <c r="A427" s="60">
        <v>382</v>
      </c>
      <c r="B427" s="89"/>
      <c r="C427" s="89"/>
      <c r="D427" s="89"/>
    </row>
    <row r="428" spans="1:4" x14ac:dyDescent="0.25">
      <c r="A428" s="60">
        <v>383</v>
      </c>
      <c r="B428" s="89"/>
      <c r="C428" s="89"/>
      <c r="D428" s="89"/>
    </row>
    <row r="429" spans="1:4" x14ac:dyDescent="0.25">
      <c r="A429" s="60">
        <v>384</v>
      </c>
      <c r="B429" s="89"/>
      <c r="C429" s="89"/>
      <c r="D429" s="89"/>
    </row>
    <row r="430" spans="1:4" x14ac:dyDescent="0.25">
      <c r="A430" s="60">
        <v>385</v>
      </c>
      <c r="B430" s="89"/>
      <c r="C430" s="89"/>
      <c r="D430" s="89"/>
    </row>
    <row r="431" spans="1:4" x14ac:dyDescent="0.25">
      <c r="A431" s="60">
        <v>386</v>
      </c>
      <c r="B431" s="89"/>
      <c r="C431" s="89"/>
      <c r="D431" s="89"/>
    </row>
    <row r="432" spans="1:4" x14ac:dyDescent="0.25">
      <c r="A432" s="60">
        <v>387</v>
      </c>
      <c r="B432" s="89"/>
      <c r="C432" s="89"/>
      <c r="D432" s="89"/>
    </row>
    <row r="433" spans="1:4" x14ac:dyDescent="0.25">
      <c r="A433" s="60">
        <v>388</v>
      </c>
      <c r="B433" s="89"/>
      <c r="C433" s="89"/>
      <c r="D433" s="89"/>
    </row>
    <row r="434" spans="1:4" x14ac:dyDescent="0.25">
      <c r="A434" s="60">
        <v>389</v>
      </c>
      <c r="B434" s="89"/>
      <c r="C434" s="89"/>
      <c r="D434" s="89"/>
    </row>
    <row r="435" spans="1:4" x14ac:dyDescent="0.25">
      <c r="A435" s="60">
        <v>390</v>
      </c>
      <c r="B435" s="89"/>
      <c r="C435" s="89"/>
      <c r="D435" s="89"/>
    </row>
    <row r="436" spans="1:4" x14ac:dyDescent="0.25">
      <c r="A436" s="60">
        <v>391</v>
      </c>
      <c r="B436" s="89"/>
      <c r="C436" s="89"/>
      <c r="D436" s="89"/>
    </row>
    <row r="437" spans="1:4" x14ac:dyDescent="0.25">
      <c r="A437" s="60">
        <v>392</v>
      </c>
      <c r="B437" s="89"/>
      <c r="C437" s="89"/>
      <c r="D437" s="89"/>
    </row>
    <row r="438" spans="1:4" x14ac:dyDescent="0.25">
      <c r="A438" s="60">
        <v>393</v>
      </c>
      <c r="B438" s="89"/>
      <c r="C438" s="89"/>
      <c r="D438" s="89"/>
    </row>
    <row r="439" spans="1:4" x14ac:dyDescent="0.25">
      <c r="A439" s="60">
        <v>394</v>
      </c>
      <c r="B439" s="89"/>
      <c r="C439" s="89"/>
      <c r="D439" s="89"/>
    </row>
    <row r="440" spans="1:4" x14ac:dyDescent="0.25">
      <c r="A440" s="60">
        <v>395</v>
      </c>
      <c r="B440" s="89"/>
      <c r="C440" s="89"/>
      <c r="D440" s="89"/>
    </row>
    <row r="441" spans="1:4" x14ac:dyDescent="0.25">
      <c r="A441" s="60">
        <v>396</v>
      </c>
      <c r="B441" s="89"/>
      <c r="C441" s="89"/>
      <c r="D441" s="89"/>
    </row>
    <row r="442" spans="1:4" x14ac:dyDescent="0.25">
      <c r="A442" s="60">
        <v>397</v>
      </c>
      <c r="B442" s="89"/>
      <c r="C442" s="89"/>
      <c r="D442" s="89"/>
    </row>
    <row r="443" spans="1:4" x14ac:dyDescent="0.25">
      <c r="A443" s="60">
        <v>398</v>
      </c>
      <c r="B443" s="89"/>
      <c r="C443" s="89"/>
      <c r="D443" s="89"/>
    </row>
    <row r="444" spans="1:4" x14ac:dyDescent="0.25">
      <c r="A444" s="60">
        <v>399</v>
      </c>
      <c r="B444" s="89"/>
      <c r="C444" s="89"/>
      <c r="D444" s="89"/>
    </row>
    <row r="445" spans="1:4" x14ac:dyDescent="0.25">
      <c r="A445" s="60">
        <v>400</v>
      </c>
      <c r="B445" s="89"/>
      <c r="C445" s="89"/>
      <c r="D445" s="89"/>
    </row>
    <row r="446" spans="1:4" x14ac:dyDescent="0.25">
      <c r="A446" s="60">
        <v>401</v>
      </c>
      <c r="B446" s="89"/>
      <c r="C446" s="89"/>
      <c r="D446" s="89"/>
    </row>
    <row r="447" spans="1:4" x14ac:dyDescent="0.25">
      <c r="A447" s="60">
        <v>402</v>
      </c>
      <c r="B447" s="89"/>
      <c r="C447" s="89"/>
      <c r="D447" s="89"/>
    </row>
    <row r="448" spans="1:4" x14ac:dyDescent="0.25">
      <c r="A448" s="60">
        <v>403</v>
      </c>
      <c r="B448" s="89"/>
      <c r="C448" s="89"/>
      <c r="D448" s="89"/>
    </row>
    <row r="449" spans="1:4" x14ac:dyDescent="0.25">
      <c r="A449" s="60">
        <v>404</v>
      </c>
      <c r="B449" s="89"/>
      <c r="C449" s="89"/>
      <c r="D449" s="89"/>
    </row>
    <row r="450" spans="1:4" x14ac:dyDescent="0.25">
      <c r="A450" s="60">
        <v>405</v>
      </c>
      <c r="B450" s="89"/>
      <c r="C450" s="89"/>
      <c r="D450" s="89"/>
    </row>
    <row r="451" spans="1:4" x14ac:dyDescent="0.25">
      <c r="A451" s="60">
        <v>406</v>
      </c>
      <c r="B451" s="89"/>
      <c r="C451" s="89"/>
      <c r="D451" s="89"/>
    </row>
    <row r="452" spans="1:4" x14ac:dyDescent="0.25">
      <c r="A452" s="60">
        <v>407</v>
      </c>
      <c r="B452" s="89"/>
      <c r="C452" s="89"/>
      <c r="D452" s="89"/>
    </row>
    <row r="453" spans="1:4" x14ac:dyDescent="0.25">
      <c r="A453" s="60">
        <v>408</v>
      </c>
      <c r="B453" s="89"/>
      <c r="C453" s="89"/>
      <c r="D453" s="89"/>
    </row>
    <row r="454" spans="1:4" x14ac:dyDescent="0.25">
      <c r="A454" s="60">
        <v>409</v>
      </c>
      <c r="B454" s="89"/>
      <c r="C454" s="89"/>
      <c r="D454" s="89"/>
    </row>
    <row r="455" spans="1:4" x14ac:dyDescent="0.25">
      <c r="A455" s="60">
        <v>410</v>
      </c>
      <c r="B455" s="89"/>
      <c r="C455" s="89"/>
      <c r="D455" s="89"/>
    </row>
    <row r="456" spans="1:4" x14ac:dyDescent="0.25">
      <c r="A456" s="60">
        <v>411</v>
      </c>
      <c r="B456" s="89"/>
      <c r="C456" s="89"/>
      <c r="D456" s="89"/>
    </row>
    <row r="457" spans="1:4" x14ac:dyDescent="0.25">
      <c r="A457" s="60">
        <v>412</v>
      </c>
      <c r="B457" s="89"/>
      <c r="C457" s="89"/>
      <c r="D457" s="89"/>
    </row>
    <row r="458" spans="1:4" x14ac:dyDescent="0.25">
      <c r="A458" s="60">
        <v>413</v>
      </c>
      <c r="B458" s="89"/>
      <c r="C458" s="89"/>
      <c r="D458" s="89"/>
    </row>
    <row r="459" spans="1:4" x14ac:dyDescent="0.25">
      <c r="A459" s="60">
        <v>414</v>
      </c>
      <c r="B459" s="89"/>
      <c r="C459" s="89"/>
      <c r="D459" s="89"/>
    </row>
    <row r="460" spans="1:4" x14ac:dyDescent="0.25">
      <c r="A460" s="60">
        <v>415</v>
      </c>
      <c r="B460" s="89"/>
      <c r="C460" s="89"/>
      <c r="D460" s="89"/>
    </row>
    <row r="461" spans="1:4" x14ac:dyDescent="0.25">
      <c r="A461" s="60">
        <v>416</v>
      </c>
      <c r="B461" s="89"/>
      <c r="C461" s="89"/>
      <c r="D461" s="89"/>
    </row>
    <row r="462" spans="1:4" x14ac:dyDescent="0.25">
      <c r="A462" s="60">
        <v>417</v>
      </c>
      <c r="B462" s="89"/>
      <c r="C462" s="89"/>
      <c r="D462" s="89"/>
    </row>
    <row r="463" spans="1:4" x14ac:dyDescent="0.25">
      <c r="A463" s="60">
        <v>418</v>
      </c>
      <c r="B463" s="89"/>
      <c r="C463" s="89"/>
      <c r="D463" s="89"/>
    </row>
    <row r="464" spans="1:4" x14ac:dyDescent="0.25">
      <c r="A464" s="60">
        <v>419</v>
      </c>
      <c r="B464" s="89"/>
      <c r="C464" s="89"/>
      <c r="D464" s="89"/>
    </row>
    <row r="465" spans="1:4" x14ac:dyDescent="0.25">
      <c r="A465" s="60">
        <v>420</v>
      </c>
      <c r="B465" s="89"/>
      <c r="C465" s="89"/>
      <c r="D465" s="89"/>
    </row>
    <row r="466" spans="1:4" x14ac:dyDescent="0.25">
      <c r="A466" s="60">
        <v>421</v>
      </c>
      <c r="B466" s="89"/>
      <c r="C466" s="89"/>
      <c r="D466" s="89"/>
    </row>
    <row r="467" spans="1:4" x14ac:dyDescent="0.25">
      <c r="A467" s="60">
        <v>422</v>
      </c>
      <c r="B467" s="89"/>
      <c r="C467" s="89"/>
      <c r="D467" s="89"/>
    </row>
    <row r="468" spans="1:4" x14ac:dyDescent="0.25">
      <c r="A468" s="60">
        <v>423</v>
      </c>
      <c r="B468" s="89"/>
      <c r="C468" s="89"/>
      <c r="D468" s="89"/>
    </row>
    <row r="469" spans="1:4" x14ac:dyDescent="0.25">
      <c r="A469" s="60">
        <v>424</v>
      </c>
      <c r="B469" s="89"/>
      <c r="C469" s="89"/>
      <c r="D469" s="89"/>
    </row>
    <row r="470" spans="1:4" x14ac:dyDescent="0.25">
      <c r="A470" s="60">
        <v>425</v>
      </c>
      <c r="B470" s="89"/>
      <c r="C470" s="89"/>
      <c r="D470" s="89"/>
    </row>
    <row r="471" spans="1:4" x14ac:dyDescent="0.25">
      <c r="A471" s="60">
        <v>426</v>
      </c>
      <c r="B471" s="89"/>
      <c r="C471" s="89"/>
      <c r="D471" s="89"/>
    </row>
    <row r="472" spans="1:4" x14ac:dyDescent="0.25">
      <c r="A472" s="60">
        <v>427</v>
      </c>
      <c r="B472" s="89"/>
      <c r="C472" s="89"/>
      <c r="D472" s="89"/>
    </row>
    <row r="473" spans="1:4" x14ac:dyDescent="0.25">
      <c r="A473" s="60">
        <v>428</v>
      </c>
      <c r="B473" s="89"/>
      <c r="C473" s="89"/>
      <c r="D473" s="89"/>
    </row>
    <row r="474" spans="1:4" ht="15.75" thickBot="1" x14ac:dyDescent="0.3">
      <c r="A474" s="60">
        <v>429</v>
      </c>
      <c r="B474" s="90"/>
      <c r="C474" s="90"/>
      <c r="D474" s="90"/>
    </row>
  </sheetData>
  <sheetProtection password="E8B5" sheet="1" objects="1" scenarios="1"/>
  <dataConsolidate/>
  <mergeCells count="13">
    <mergeCell ref="B1:C1"/>
    <mergeCell ref="G1:K1"/>
    <mergeCell ref="N1:Q3"/>
    <mergeCell ref="B2:C2"/>
    <mergeCell ref="B3:B5"/>
    <mergeCell ref="G3:H3"/>
    <mergeCell ref="A11:B11"/>
    <mergeCell ref="A4:A5"/>
    <mergeCell ref="C4:C5"/>
    <mergeCell ref="G4:H4"/>
    <mergeCell ref="G5:H5"/>
    <mergeCell ref="G6:H6"/>
    <mergeCell ref="A10:B10"/>
  </mergeCells>
  <conditionalFormatting sqref="DK17:HJ17">
    <cfRule type="dataBar" priority="14">
      <dataBar>
        <cfvo type="min"/>
        <cfvo type="max"/>
        <color rgb="FF63C384"/>
      </dataBar>
    </cfRule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  <cfRule type="cellIs" dxfId="11" priority="16" operator="greaterThan">
      <formula>100</formula>
    </cfRule>
  </conditionalFormatting>
  <conditionalFormatting sqref="DK18:HJ18">
    <cfRule type="dataBar" priority="11">
      <dataBar>
        <cfvo type="min"/>
        <cfvo type="max"/>
        <color rgb="FF63C384"/>
      </dataBar>
    </cfRule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  <cfRule type="cellIs" dxfId="10" priority="13" operator="greaterThan">
      <formula>100</formula>
    </cfRule>
  </conditionalFormatting>
  <conditionalFormatting sqref="IL2">
    <cfRule type="dataBar" priority="8">
      <dataBar>
        <cfvo type="min"/>
        <cfvo type="max"/>
        <color rgb="FF008AEF"/>
      </dataBar>
    </cfRule>
    <cfRule type="notContainsBlanks" dxfId="9" priority="9">
      <formula>LEN(TRIM(IL2))&gt;0</formula>
    </cfRule>
    <cfRule type="notContainsBlanks" priority="10">
      <formula>LEN(TRIM(IL2))&gt;0</formula>
    </cfRule>
  </conditionalFormatting>
  <conditionalFormatting sqref="G1">
    <cfRule type="cellIs" dxfId="8" priority="7" operator="equal">
      <formula>"Khewat is not Equal"</formula>
    </cfRule>
  </conditionalFormatting>
  <conditionalFormatting sqref="A6:C7">
    <cfRule type="expression" dxfId="7" priority="2">
      <formula>ISERROR(A6)</formula>
    </cfRule>
    <cfRule type="cellIs" dxfId="6" priority="3" operator="equal">
      <formula>$G$1</formula>
    </cfRule>
    <cfRule type="cellIs" dxfId="5" priority="4" operator="equal">
      <formula>$G$1</formula>
    </cfRule>
    <cfRule type="cellIs" dxfId="4" priority="5" operator="equal">
      <formula>$G$1</formula>
    </cfRule>
    <cfRule type="cellIs" dxfId="3" priority="6" operator="equal">
      <formula>$G$1</formula>
    </cfRule>
  </conditionalFormatting>
  <conditionalFormatting sqref="A6:C7">
    <cfRule type="expression" dxfId="2" priority="1">
      <formula>ISERROR(A6)</formula>
    </cfRule>
  </conditionalFormatting>
  <dataValidations count="4">
    <dataValidation type="list" allowBlank="1" showInputMessage="1" showErrorMessage="1" sqref="A2" xr:uid="{00000000-0002-0000-0400-000000000000}">
      <formula1>"225,272"</formula1>
    </dataValidation>
    <dataValidation type="custom" allowBlank="1" showInputMessage="1" showErrorMessage="1" errorTitle="Invalid Entry" error="You have enter invlalid entry please entry following formate_x000a_&quot;K-M-S&quot; or 12-19-272" sqref="B2:C2" xr:uid="{00000000-0002-0000-0400-000001000000}">
      <formula1>IF(JB2="TRUE",JC2,JA2)</formula1>
    </dataValidation>
    <dataValidation type="custom" allowBlank="1" showInputMessage="1" showErrorMessage="1" sqref="IL2" xr:uid="{00000000-0002-0000-0400-000002000000}">
      <formula1>IF(II2="TRUE",IH2,IJ2)</formula1>
    </dataValidation>
    <dataValidation type="list" allowBlank="1" showInputMessage="1" showErrorMessage="1" sqref="D2" xr:uid="{00000000-0002-0000-0400-000003000000}">
      <formula1>"Sarsahi,Square Foot"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7" tint="-0.499984740745262"/>
  </sheetPr>
  <dimension ref="A1:AK65"/>
  <sheetViews>
    <sheetView showGridLines="0" showRowColHeaders="0" showZeros="0" zoomScale="115" workbookViewId="0">
      <selection activeCell="F10" sqref="F10"/>
    </sheetView>
  </sheetViews>
  <sheetFormatPr defaultColWidth="0" defaultRowHeight="12.75" zeroHeight="1" x14ac:dyDescent="0.2"/>
  <cols>
    <col min="1" max="1" width="9.140625" customWidth="1"/>
    <col min="2" max="2" width="15.28515625" bestFit="1" customWidth="1"/>
    <col min="3" max="6" width="9.140625" customWidth="1"/>
    <col min="7" max="7" width="11.140625" bestFit="1" customWidth="1"/>
    <col min="8" max="13" width="9.140625" customWidth="1"/>
    <col min="14" max="16384" width="9.140625" hidden="1"/>
  </cols>
  <sheetData>
    <row r="1" spans="1:37" ht="31.5" customHeight="1" thickBot="1" x14ac:dyDescent="1.25">
      <c r="A1" s="96"/>
      <c r="B1" s="215" t="s">
        <v>196</v>
      </c>
      <c r="C1" s="216"/>
      <c r="D1" s="216"/>
      <c r="E1" s="216"/>
      <c r="F1" s="216"/>
      <c r="G1" s="216"/>
      <c r="H1" s="216"/>
      <c r="I1" s="216"/>
      <c r="J1" s="216"/>
      <c r="K1" s="216"/>
      <c r="L1" s="217"/>
      <c r="M1" s="19"/>
      <c r="N1" s="19"/>
      <c r="O1" s="19"/>
    </row>
    <row r="2" spans="1:37" ht="13.5" hidden="1" thickBot="1" x14ac:dyDescent="0.25">
      <c r="D2" s="126">
        <v>1</v>
      </c>
      <c r="N2">
        <f>D2+1</f>
        <v>2</v>
      </c>
    </row>
    <row r="3" spans="1:37" ht="13.5" thickBot="1" x14ac:dyDescent="0.25">
      <c r="H3" s="223" t="s">
        <v>12</v>
      </c>
      <c r="I3" s="223"/>
      <c r="J3" s="131" t="s">
        <v>443</v>
      </c>
      <c r="K3" s="131" t="s">
        <v>17</v>
      </c>
      <c r="R3">
        <v>0</v>
      </c>
      <c r="U3" s="28" t="str">
        <f>E5</f>
        <v>10-11-0</v>
      </c>
      <c r="V3" s="25" t="str">
        <f>RIGHT(U3,W3)</f>
        <v>11-0</v>
      </c>
      <c r="W3" s="26">
        <f>AB3-Z3</f>
        <v>4</v>
      </c>
      <c r="X3" s="26">
        <f>AA3-Z3</f>
        <v>3</v>
      </c>
      <c r="Y3" s="26">
        <f>AB3-AA3</f>
        <v>1</v>
      </c>
      <c r="Z3" s="26">
        <f>SEARCH("-",U3,2)</f>
        <v>3</v>
      </c>
      <c r="AA3" s="26">
        <f>SEARCH("-",U3,Z3+1)</f>
        <v>6</v>
      </c>
      <c r="AB3" s="26">
        <f>LEN(U3)</f>
        <v>7</v>
      </c>
      <c r="AC3" s="26"/>
      <c r="AD3" s="27" t="str">
        <f>LEFT(U3,Z3-1)</f>
        <v>10</v>
      </c>
      <c r="AE3" s="27" t="str">
        <f>LEFT(V3,X3-1)</f>
        <v>11</v>
      </c>
      <c r="AF3" s="27" t="str">
        <f>RIGHT(U3,Y3)</f>
        <v>0</v>
      </c>
      <c r="AG3" s="26">
        <f>AD3*1</f>
        <v>10</v>
      </c>
      <c r="AH3" s="26">
        <f>IF((AE3*1)&gt;20,AE3*p,AE3*1)</f>
        <v>11</v>
      </c>
      <c r="AI3" s="27" t="str">
        <f>AF3</f>
        <v>0</v>
      </c>
      <c r="AJ3" s="26"/>
      <c r="AK3" s="26"/>
    </row>
    <row r="4" spans="1:37" ht="13.5" thickBot="1" x14ac:dyDescent="0.25">
      <c r="B4" s="20" t="s">
        <v>12</v>
      </c>
      <c r="C4" s="21" t="s">
        <v>11</v>
      </c>
      <c r="E4" s="226" t="s">
        <v>18</v>
      </c>
      <c r="F4" s="227"/>
      <c r="G4" s="165" t="s">
        <v>437</v>
      </c>
      <c r="H4" s="219" t="str">
        <f>IF(C5&gt;1,"Each Wife Share","Share of Wife")</f>
        <v>Share of Wife</v>
      </c>
      <c r="I4" s="220"/>
      <c r="J4" s="230" t="str">
        <f>CONCATENATE(O19,"/",O20)</f>
        <v>0/0</v>
      </c>
      <c r="K4" s="232" t="str">
        <f>C14</f>
        <v/>
      </c>
      <c r="N4">
        <f>C12</f>
        <v>0</v>
      </c>
      <c r="O4">
        <f>N4-INT(N4)</f>
        <v>0</v>
      </c>
      <c r="R4">
        <v>1</v>
      </c>
      <c r="U4" s="24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>
        <f>AG3*20*9</f>
        <v>1800</v>
      </c>
      <c r="AH4" s="26">
        <f>AH3*9</f>
        <v>99</v>
      </c>
      <c r="AI4" s="26" t="str">
        <f>AI3</f>
        <v>0</v>
      </c>
      <c r="AJ4" s="26">
        <f>SUM(AG4:AI4)</f>
        <v>1899</v>
      </c>
      <c r="AK4" s="26"/>
    </row>
    <row r="5" spans="1:37" ht="13.5" thickBot="1" x14ac:dyDescent="0.25">
      <c r="B5" s="22" t="s">
        <v>8</v>
      </c>
      <c r="C5" s="127">
        <v>0</v>
      </c>
      <c r="E5" s="224" t="s">
        <v>439</v>
      </c>
      <c r="F5" s="225"/>
      <c r="G5" s="166" t="s">
        <v>440</v>
      </c>
      <c r="H5" s="221"/>
      <c r="I5" s="221"/>
      <c r="J5" s="231"/>
      <c r="K5" s="218"/>
      <c r="N5">
        <f>C13</f>
        <v>0</v>
      </c>
      <c r="O5">
        <f>N5-INT(N5)</f>
        <v>0</v>
      </c>
      <c r="R5">
        <v>2</v>
      </c>
      <c r="U5" s="26"/>
      <c r="V5" s="26"/>
      <c r="W5" s="26"/>
      <c r="X5" s="26"/>
      <c r="Y5" s="26"/>
      <c r="Z5" s="26"/>
      <c r="AA5" s="26"/>
      <c r="AB5" s="24"/>
      <c r="AC5" s="24"/>
      <c r="AD5" s="26"/>
      <c r="AE5" s="26"/>
      <c r="AF5" s="26"/>
      <c r="AG5" s="26"/>
      <c r="AH5" s="26"/>
      <c r="AI5" s="26"/>
      <c r="AJ5" s="26">
        <f>AJ4/20/9</f>
        <v>10.55</v>
      </c>
      <c r="AK5" s="26"/>
    </row>
    <row r="6" spans="1:37" ht="13.5" thickBot="1" x14ac:dyDescent="0.25">
      <c r="B6" s="22" t="s">
        <v>9</v>
      </c>
      <c r="C6" s="127">
        <v>0</v>
      </c>
      <c r="H6" s="221" t="str">
        <f>IF(C6&gt;1,"Each Son Share","Share of Son")</f>
        <v>Share of Son</v>
      </c>
      <c r="I6" s="221"/>
      <c r="J6" s="231" t="str">
        <f>CONCATENATE(O22,"/",O23)</f>
        <v>0/0</v>
      </c>
      <c r="K6" s="218" t="str">
        <f>C19</f>
        <v/>
      </c>
      <c r="N6">
        <f>C17</f>
        <v>0</v>
      </c>
      <c r="O6">
        <f>N6-INT(N6)</f>
        <v>0</v>
      </c>
      <c r="R6">
        <v>3</v>
      </c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 t="s">
        <v>19</v>
      </c>
      <c r="AJ6" s="26">
        <f>INT(AJ5)</f>
        <v>10</v>
      </c>
      <c r="AK6" s="26"/>
    </row>
    <row r="7" spans="1:37" ht="13.5" thickBot="1" x14ac:dyDescent="0.25">
      <c r="B7" s="23" t="s">
        <v>10</v>
      </c>
      <c r="C7" s="128">
        <v>0</v>
      </c>
      <c r="E7" s="226" t="s">
        <v>22</v>
      </c>
      <c r="F7" s="227"/>
      <c r="G7" s="165" t="s">
        <v>438</v>
      </c>
      <c r="H7" s="222"/>
      <c r="I7" s="222"/>
      <c r="J7" s="231"/>
      <c r="K7" s="218"/>
      <c r="N7">
        <f>C18</f>
        <v>0</v>
      </c>
      <c r="O7">
        <f>N7-INT(N7)</f>
        <v>0</v>
      </c>
      <c r="R7">
        <v>4</v>
      </c>
      <c r="U7" s="26"/>
      <c r="V7" s="26"/>
      <c r="W7" s="26"/>
      <c r="X7" s="26" t="e">
        <f>AJ4*C12/C13</f>
        <v>#DIV/0!</v>
      </c>
      <c r="Y7" s="26">
        <f>COUNT(C12:L12)</f>
        <v>10</v>
      </c>
      <c r="Z7" s="26" t="e">
        <f>X7*Y7</f>
        <v>#DIV/0!</v>
      </c>
      <c r="AA7" s="26" t="e">
        <f>AJ4*C17/C18</f>
        <v>#DIV/0!</v>
      </c>
      <c r="AB7" s="26">
        <f>COUNT(C17:L17)</f>
        <v>10</v>
      </c>
      <c r="AC7" s="26" t="e">
        <f>AA7*AB7</f>
        <v>#DIV/0!</v>
      </c>
      <c r="AD7" s="26" t="e">
        <f>AJ4*C22/C23</f>
        <v>#DIV/0!</v>
      </c>
      <c r="AE7" s="26">
        <f>COUNT(C22:L22)</f>
        <v>10</v>
      </c>
      <c r="AF7" s="26" t="e">
        <f>AD7*AE7</f>
        <v>#DIV/0!</v>
      </c>
      <c r="AG7" s="26" t="e">
        <f>SUM(Z7,AC7,AF7)</f>
        <v>#DIV/0!</v>
      </c>
      <c r="AH7" s="26"/>
      <c r="AI7" s="26"/>
      <c r="AJ7" s="26">
        <f>(AJ5-AJ6)*20</f>
        <v>11.000000000000014</v>
      </c>
      <c r="AK7" s="26"/>
    </row>
    <row r="8" spans="1:37" ht="13.5" thickBot="1" x14ac:dyDescent="0.25">
      <c r="A8" s="148" t="s">
        <v>199</v>
      </c>
      <c r="B8" s="149" t="s">
        <v>200</v>
      </c>
      <c r="E8" s="228" t="str">
        <f>F35</f>
        <v>0-0-0</v>
      </c>
      <c r="F8" s="229"/>
      <c r="G8" s="164">
        <v>272</v>
      </c>
      <c r="H8" s="221" t="str">
        <f>IF(C7&gt;1,"Each Daughter Share","Share of Daoughter")</f>
        <v>Share of Daoughter</v>
      </c>
      <c r="I8" s="221"/>
      <c r="J8" s="231" t="str">
        <f>CONCATENATE(O25,"/",O26)</f>
        <v>0/0</v>
      </c>
      <c r="K8" s="218" t="str">
        <f>C24</f>
        <v/>
      </c>
      <c r="N8">
        <f>IF(C7=0,0,C22)</f>
        <v>0</v>
      </c>
      <c r="O8">
        <f>IF(N8="",0,N8-INT(N8))</f>
        <v>0</v>
      </c>
      <c r="R8">
        <v>5</v>
      </c>
      <c r="U8" s="26"/>
      <c r="V8" s="26"/>
      <c r="W8" s="26"/>
      <c r="X8" s="26" t="e">
        <f>X7/20/9</f>
        <v>#DIV/0!</v>
      </c>
      <c r="Y8" s="26"/>
      <c r="Z8" s="26"/>
      <c r="AA8" s="26" t="e">
        <f>AA7/20/9</f>
        <v>#DIV/0!</v>
      </c>
      <c r="AB8" s="26"/>
      <c r="AC8" s="26"/>
      <c r="AD8" s="26" t="e">
        <f>AD7/20/9</f>
        <v>#DIV/0!</v>
      </c>
      <c r="AE8" s="26"/>
      <c r="AF8" s="26"/>
      <c r="AG8" s="26"/>
      <c r="AH8" s="26"/>
      <c r="AI8" s="26" t="s">
        <v>20</v>
      </c>
      <c r="AJ8" s="26">
        <f>INT(AJ7)</f>
        <v>11</v>
      </c>
      <c r="AK8" s="26"/>
    </row>
    <row r="9" spans="1:37" x14ac:dyDescent="0.2">
      <c r="A9" s="148" t="s">
        <v>197</v>
      </c>
      <c r="B9" s="149" t="s">
        <v>198</v>
      </c>
      <c r="H9" s="222"/>
      <c r="I9" s="222"/>
      <c r="J9" s="231"/>
      <c r="K9" s="218"/>
      <c r="N9">
        <f>IF(C7=0,0,C23)</f>
        <v>0</v>
      </c>
      <c r="O9">
        <f>IF(N9="",0,N9-INT(N9))</f>
        <v>0</v>
      </c>
      <c r="R9">
        <v>6</v>
      </c>
      <c r="U9" s="26"/>
      <c r="V9" s="26"/>
      <c r="W9" s="26" t="s">
        <v>19</v>
      </c>
      <c r="X9" s="26" t="e">
        <f>INT(X8)</f>
        <v>#DIV/0!</v>
      </c>
      <c r="Y9" s="26"/>
      <c r="Z9" s="26" t="s">
        <v>19</v>
      </c>
      <c r="AA9" s="26" t="e">
        <f>INT(AA8)</f>
        <v>#DIV/0!</v>
      </c>
      <c r="AB9" s="26"/>
      <c r="AC9" s="26" t="s">
        <v>19</v>
      </c>
      <c r="AD9" s="26" t="e">
        <f>INT(AD8)</f>
        <v>#DIV/0!</v>
      </c>
      <c r="AE9" s="26"/>
      <c r="AF9" s="26"/>
      <c r="AG9" s="26"/>
      <c r="AH9" s="26"/>
      <c r="AI9" s="26"/>
      <c r="AJ9" s="26">
        <f>AJ7-AJ8</f>
        <v>1.4210854715202004E-14</v>
      </c>
      <c r="AK9" s="26"/>
    </row>
    <row r="10" spans="1:37" ht="13.5" thickBot="1" x14ac:dyDescent="0.25">
      <c r="O10">
        <f>SUM(O4:O9)</f>
        <v>0</v>
      </c>
      <c r="R10">
        <v>7</v>
      </c>
      <c r="U10" s="26"/>
      <c r="V10" s="26"/>
      <c r="W10" s="26"/>
      <c r="X10" s="26" t="e">
        <f>(X8-X9)*20</f>
        <v>#DIV/0!</v>
      </c>
      <c r="Y10" s="26"/>
      <c r="Z10" s="26"/>
      <c r="AA10" s="26" t="e">
        <f>(AA8-AA9)*20</f>
        <v>#DIV/0!</v>
      </c>
      <c r="AB10" s="26"/>
      <c r="AC10" s="26"/>
      <c r="AD10" s="26" t="e">
        <f>(AD8-AD9)*20</f>
        <v>#DIV/0!</v>
      </c>
      <c r="AE10" s="26"/>
      <c r="AF10" s="26"/>
      <c r="AG10" s="26"/>
      <c r="AH10" s="26"/>
      <c r="AI10" s="26" t="s">
        <v>21</v>
      </c>
      <c r="AJ10" s="26">
        <f>INT(AJ9)</f>
        <v>0</v>
      </c>
      <c r="AK10" s="26"/>
    </row>
    <row r="11" spans="1:37" x14ac:dyDescent="0.2">
      <c r="B11" s="29" t="s">
        <v>5</v>
      </c>
      <c r="C11" s="120">
        <v>1</v>
      </c>
      <c r="D11" s="120">
        <v>2</v>
      </c>
      <c r="E11" s="120">
        <v>3</v>
      </c>
      <c r="F11" s="120">
        <v>4</v>
      </c>
      <c r="G11" s="120">
        <v>5</v>
      </c>
      <c r="H11" s="120">
        <v>6</v>
      </c>
      <c r="I11" s="120">
        <v>7</v>
      </c>
      <c r="J11" s="120">
        <v>8</v>
      </c>
      <c r="K11" s="120">
        <v>9</v>
      </c>
      <c r="L11" s="121">
        <v>10</v>
      </c>
      <c r="R11">
        <v>8</v>
      </c>
      <c r="W11" s="26" t="s">
        <v>20</v>
      </c>
      <c r="X11" s="26" t="e">
        <f>INT(X10)</f>
        <v>#DIV/0!</v>
      </c>
      <c r="Z11" s="26" t="s">
        <v>20</v>
      </c>
      <c r="AA11" s="26" t="e">
        <f>INT(AA10)</f>
        <v>#DIV/0!</v>
      </c>
      <c r="AC11" s="26" t="s">
        <v>20</v>
      </c>
      <c r="AD11" s="26" t="e">
        <f>INT(AD10)</f>
        <v>#DIV/0!</v>
      </c>
    </row>
    <row r="12" spans="1:37" x14ac:dyDescent="0.2">
      <c r="B12" s="30" t="s">
        <v>13</v>
      </c>
      <c r="C12" s="31">
        <f>IF($C$5&gt;=C11,$N$16/$C$5,0)</f>
        <v>0</v>
      </c>
      <c r="D12" s="31">
        <f t="shared" ref="D12:L12" si="0">IF($C$5&gt;=D11,$N$16/$C$5,0)</f>
        <v>0</v>
      </c>
      <c r="E12" s="31">
        <f t="shared" si="0"/>
        <v>0</v>
      </c>
      <c r="F12" s="31">
        <f t="shared" si="0"/>
        <v>0</v>
      </c>
      <c r="G12" s="31">
        <f t="shared" si="0"/>
        <v>0</v>
      </c>
      <c r="H12" s="31">
        <f t="shared" si="0"/>
        <v>0</v>
      </c>
      <c r="I12" s="31">
        <f t="shared" si="0"/>
        <v>0</v>
      </c>
      <c r="J12" s="31">
        <f t="shared" si="0"/>
        <v>0</v>
      </c>
      <c r="K12" s="31">
        <f t="shared" si="0"/>
        <v>0</v>
      </c>
      <c r="L12" s="31">
        <f t="shared" si="0"/>
        <v>0</v>
      </c>
      <c r="N12">
        <f>C6*O12</f>
        <v>0</v>
      </c>
      <c r="O12">
        <f>D2</f>
        <v>1</v>
      </c>
      <c r="R12">
        <v>9</v>
      </c>
      <c r="W12" s="26"/>
      <c r="X12" s="26" t="e">
        <f>X10-X11</f>
        <v>#DIV/0!</v>
      </c>
      <c r="Z12" s="26"/>
      <c r="AA12" s="26" t="e">
        <f>AA10-AA11</f>
        <v>#DIV/0!</v>
      </c>
      <c r="AC12" s="26"/>
      <c r="AD12" s="26" t="e">
        <f>AD10-AD11</f>
        <v>#DIV/0!</v>
      </c>
    </row>
    <row r="13" spans="1:37" x14ac:dyDescent="0.2">
      <c r="B13" s="30"/>
      <c r="C13" s="31">
        <f>IF($C$5&gt;=C11,$N$15,0)</f>
        <v>0</v>
      </c>
      <c r="D13" s="31">
        <f t="shared" ref="D13:L13" si="1">IF($C$5&gt;=D11,$N$15,0)</f>
        <v>0</v>
      </c>
      <c r="E13" s="31">
        <f t="shared" si="1"/>
        <v>0</v>
      </c>
      <c r="F13" s="31">
        <f t="shared" si="1"/>
        <v>0</v>
      </c>
      <c r="G13" s="31">
        <f t="shared" si="1"/>
        <v>0</v>
      </c>
      <c r="H13" s="31">
        <f t="shared" si="1"/>
        <v>0</v>
      </c>
      <c r="I13" s="31">
        <f t="shared" si="1"/>
        <v>0</v>
      </c>
      <c r="J13" s="31">
        <f t="shared" si="1"/>
        <v>0</v>
      </c>
      <c r="K13" s="31">
        <f t="shared" si="1"/>
        <v>0</v>
      </c>
      <c r="L13" s="31">
        <f t="shared" si="1"/>
        <v>0</v>
      </c>
      <c r="N13">
        <f>C7*O13</f>
        <v>0</v>
      </c>
      <c r="O13">
        <f>O12/2</f>
        <v>0.5</v>
      </c>
      <c r="R13">
        <v>10</v>
      </c>
      <c r="W13" s="26" t="s">
        <v>21</v>
      </c>
      <c r="X13" s="26" t="e">
        <f>IF($G$5="Square Foot",ROUND(X12*9*($G$8/9),0),ROUND(X12*9,0))</f>
        <v>#DIV/0!</v>
      </c>
      <c r="Z13" s="26" t="s">
        <v>21</v>
      </c>
      <c r="AA13" s="26" t="e">
        <f>IF($G$5="Square Foot",ROUND(AA12*9*($G$8/9),0),ROUND(AA12*9,0))</f>
        <v>#DIV/0!</v>
      </c>
      <c r="AC13" s="26" t="s">
        <v>21</v>
      </c>
      <c r="AD13" s="26" t="e">
        <f>IF($G$5="Square Foot",ROUND(AD12*9*($G$8/9),0),ROUND(AD12*9,0))</f>
        <v>#DIV/0!</v>
      </c>
    </row>
    <row r="14" spans="1:37" ht="13.5" thickBot="1" x14ac:dyDescent="0.25">
      <c r="B14" s="172" t="s">
        <v>17</v>
      </c>
      <c r="C14" s="173" t="str">
        <f>IF(C13&lt;&gt;0,$X$15,"")</f>
        <v/>
      </c>
      <c r="D14" s="173" t="str">
        <f t="shared" ref="D14:L14" si="2">IF(D13&lt;&gt;0,$X$15,"")</f>
        <v/>
      </c>
      <c r="E14" s="173" t="str">
        <f t="shared" si="2"/>
        <v/>
      </c>
      <c r="F14" s="173" t="str">
        <f t="shared" si="2"/>
        <v/>
      </c>
      <c r="G14" s="173" t="str">
        <f t="shared" si="2"/>
        <v/>
      </c>
      <c r="H14" s="173" t="str">
        <f t="shared" si="2"/>
        <v/>
      </c>
      <c r="I14" s="173" t="str">
        <f t="shared" si="2"/>
        <v/>
      </c>
      <c r="J14" s="173" t="str">
        <f t="shared" si="2"/>
        <v/>
      </c>
      <c r="K14" s="173" t="str">
        <f t="shared" si="2"/>
        <v/>
      </c>
      <c r="L14" s="173" t="str">
        <f t="shared" si="2"/>
        <v/>
      </c>
      <c r="N14">
        <f>SUM(N12:N13)</f>
        <v>0</v>
      </c>
    </row>
    <row r="15" spans="1:37" ht="13.5" thickBot="1" x14ac:dyDescent="0.25">
      <c r="N15">
        <f>IF(C5&lt;=0,N14,N14/7*8)</f>
        <v>0</v>
      </c>
      <c r="X15" t="e">
        <f>CONCATENATE(X9,"-",X11,"-",X13)</f>
        <v>#DIV/0!</v>
      </c>
      <c r="AA15" t="e">
        <f>CONCATENATE(AA9,"-",AA11,"-",AA13)</f>
        <v>#DIV/0!</v>
      </c>
      <c r="AD15" t="e">
        <f>CONCATENATE(AD9,"-",AD11,"-",AD13)</f>
        <v>#DIV/0!</v>
      </c>
    </row>
    <row r="16" spans="1:37" x14ac:dyDescent="0.2">
      <c r="B16" s="29" t="s">
        <v>5</v>
      </c>
      <c r="C16" s="120">
        <v>1</v>
      </c>
      <c r="D16" s="120">
        <v>2</v>
      </c>
      <c r="E16" s="120">
        <v>3</v>
      </c>
      <c r="F16" s="120">
        <v>4</v>
      </c>
      <c r="G16" s="120">
        <v>5</v>
      </c>
      <c r="H16" s="120">
        <v>6</v>
      </c>
      <c r="I16" s="120">
        <v>7</v>
      </c>
      <c r="J16" s="120">
        <v>8</v>
      </c>
      <c r="K16" s="120">
        <v>9</v>
      </c>
      <c r="L16" s="121">
        <v>10</v>
      </c>
      <c r="N16">
        <f>N15-N14</f>
        <v>0</v>
      </c>
    </row>
    <row r="17" spans="2:34" x14ac:dyDescent="0.2">
      <c r="B17" s="30" t="s">
        <v>14</v>
      </c>
      <c r="C17" s="31">
        <f>IF($C$6&gt;=C16,$O$12,0)</f>
        <v>0</v>
      </c>
      <c r="D17" s="31">
        <f t="shared" ref="D17:L17" si="3">IF($C$6&gt;=D16,$O$12,0)</f>
        <v>0</v>
      </c>
      <c r="E17" s="31">
        <f t="shared" si="3"/>
        <v>0</v>
      </c>
      <c r="F17" s="31">
        <f t="shared" si="3"/>
        <v>0</v>
      </c>
      <c r="G17" s="31">
        <f t="shared" si="3"/>
        <v>0</v>
      </c>
      <c r="H17" s="31">
        <f t="shared" si="3"/>
        <v>0</v>
      </c>
      <c r="I17" s="31">
        <f t="shared" si="3"/>
        <v>0</v>
      </c>
      <c r="J17" s="31">
        <f t="shared" si="3"/>
        <v>0</v>
      </c>
      <c r="K17" s="31">
        <f t="shared" si="3"/>
        <v>0</v>
      </c>
      <c r="L17" s="31">
        <f t="shared" si="3"/>
        <v>0</v>
      </c>
    </row>
    <row r="18" spans="2:34" ht="12.75" customHeight="1" x14ac:dyDescent="0.2">
      <c r="B18" s="30"/>
      <c r="C18" s="31">
        <f>IF($C$6&gt;=C16,$N$15,0)</f>
        <v>0</v>
      </c>
      <c r="D18" s="31">
        <f t="shared" ref="D18:L18" si="4">IF($C$6&gt;=D16,$N$15,0)</f>
        <v>0</v>
      </c>
      <c r="E18" s="31">
        <f t="shared" si="4"/>
        <v>0</v>
      </c>
      <c r="F18" s="31">
        <f t="shared" si="4"/>
        <v>0</v>
      </c>
      <c r="G18" s="31">
        <f t="shared" si="4"/>
        <v>0</v>
      </c>
      <c r="H18" s="31">
        <f t="shared" si="4"/>
        <v>0</v>
      </c>
      <c r="I18" s="31">
        <f t="shared" si="4"/>
        <v>0</v>
      </c>
      <c r="J18" s="31">
        <f t="shared" si="4"/>
        <v>0</v>
      </c>
      <c r="K18" s="31">
        <f t="shared" si="4"/>
        <v>0</v>
      </c>
      <c r="L18" s="31">
        <f t="shared" si="4"/>
        <v>0</v>
      </c>
    </row>
    <row r="19" spans="2:34" ht="13.5" thickBot="1" x14ac:dyDescent="0.25">
      <c r="B19" s="172" t="s">
        <v>17</v>
      </c>
      <c r="C19" s="173" t="str">
        <f>IF(C18&lt;&gt;0,$AA$15,"")</f>
        <v/>
      </c>
      <c r="D19" s="173" t="str">
        <f t="shared" ref="D19:L19" si="5">IF(D18&lt;&gt;0,$AA$15,"")</f>
        <v/>
      </c>
      <c r="E19" s="173" t="str">
        <f t="shared" si="5"/>
        <v/>
      </c>
      <c r="F19" s="173" t="str">
        <f t="shared" si="5"/>
        <v/>
      </c>
      <c r="G19" s="173" t="str">
        <f t="shared" si="5"/>
        <v/>
      </c>
      <c r="H19" s="173" t="str">
        <f t="shared" si="5"/>
        <v/>
      </c>
      <c r="I19" s="173" t="str">
        <f t="shared" si="5"/>
        <v/>
      </c>
      <c r="J19" s="173" t="str">
        <f t="shared" si="5"/>
        <v/>
      </c>
      <c r="K19" s="173" t="str">
        <f t="shared" si="5"/>
        <v/>
      </c>
      <c r="L19" s="173" t="str">
        <f t="shared" si="5"/>
        <v/>
      </c>
      <c r="N19">
        <f>GCD(C12,C13)</f>
        <v>0</v>
      </c>
      <c r="O19">
        <f>IF(C12&lt;=0,0,C12/$N$19)</f>
        <v>0</v>
      </c>
      <c r="Z19" s="145"/>
      <c r="AA19" s="145"/>
      <c r="AB19" s="145"/>
      <c r="AD19" s="3"/>
      <c r="AE19" s="3"/>
      <c r="AF19" s="3"/>
      <c r="AG19" s="3"/>
      <c r="AH19" s="3"/>
    </row>
    <row r="20" spans="2:34" ht="13.5" thickBot="1" x14ac:dyDescent="0.25">
      <c r="O20">
        <f>IF(C13&lt;=0,0,C13/$N$19)</f>
        <v>0</v>
      </c>
      <c r="AB20" s="146"/>
    </row>
    <row r="21" spans="2:34" x14ac:dyDescent="0.2">
      <c r="B21" s="29" t="s">
        <v>5</v>
      </c>
      <c r="C21" s="120">
        <v>1</v>
      </c>
      <c r="D21" s="120">
        <v>2</v>
      </c>
      <c r="E21" s="120">
        <v>3</v>
      </c>
      <c r="F21" s="120">
        <v>4</v>
      </c>
      <c r="G21" s="120">
        <v>5</v>
      </c>
      <c r="H21" s="120">
        <v>6</v>
      </c>
      <c r="I21" s="120">
        <v>7</v>
      </c>
      <c r="J21" s="120">
        <v>8</v>
      </c>
      <c r="K21" s="120">
        <v>9</v>
      </c>
      <c r="L21" s="121">
        <v>10</v>
      </c>
      <c r="Z21" s="145"/>
      <c r="AA21" s="145"/>
      <c r="AB21" s="146"/>
    </row>
    <row r="22" spans="2:34" x14ac:dyDescent="0.2">
      <c r="B22" s="30" t="s">
        <v>15</v>
      </c>
      <c r="C22" s="31">
        <f>IF($C$7&gt;=C21,$O$13,0)</f>
        <v>0</v>
      </c>
      <c r="D22" s="31">
        <f t="shared" ref="D22:L22" si="6">IF($C$7&gt;=D21,$O$13,0)</f>
        <v>0</v>
      </c>
      <c r="E22" s="31">
        <f t="shared" si="6"/>
        <v>0</v>
      </c>
      <c r="F22" s="31">
        <f t="shared" si="6"/>
        <v>0</v>
      </c>
      <c r="G22" s="31">
        <f t="shared" si="6"/>
        <v>0</v>
      </c>
      <c r="H22" s="31">
        <f t="shared" si="6"/>
        <v>0</v>
      </c>
      <c r="I22" s="31">
        <f t="shared" si="6"/>
        <v>0</v>
      </c>
      <c r="J22" s="31">
        <f t="shared" si="6"/>
        <v>0</v>
      </c>
      <c r="K22" s="31">
        <f t="shared" si="6"/>
        <v>0</v>
      </c>
      <c r="L22" s="31">
        <f t="shared" si="6"/>
        <v>0</v>
      </c>
      <c r="N22">
        <f>GCD(C17,C18)</f>
        <v>0</v>
      </c>
      <c r="O22">
        <f>IF(C17&lt;=0,0,C17/N22)</f>
        <v>0</v>
      </c>
      <c r="AB22" s="146"/>
    </row>
    <row r="23" spans="2:34" x14ac:dyDescent="0.2">
      <c r="B23" s="30"/>
      <c r="C23" s="31">
        <f>IF($C$7&gt;=C21,$N$15,0)</f>
        <v>0</v>
      </c>
      <c r="D23" s="31">
        <f t="shared" ref="D23:L23" si="7">IF($C$7&gt;=D21,$N$15,0)</f>
        <v>0</v>
      </c>
      <c r="E23" s="31">
        <f t="shared" si="7"/>
        <v>0</v>
      </c>
      <c r="F23" s="31">
        <f t="shared" si="7"/>
        <v>0</v>
      </c>
      <c r="G23" s="31">
        <f t="shared" si="7"/>
        <v>0</v>
      </c>
      <c r="H23" s="31">
        <f t="shared" si="7"/>
        <v>0</v>
      </c>
      <c r="I23" s="31">
        <f t="shared" si="7"/>
        <v>0</v>
      </c>
      <c r="J23" s="31">
        <f t="shared" si="7"/>
        <v>0</v>
      </c>
      <c r="K23" s="31">
        <f t="shared" si="7"/>
        <v>0</v>
      </c>
      <c r="L23" s="31">
        <f t="shared" si="7"/>
        <v>0</v>
      </c>
      <c r="O23">
        <f>IF(C18&lt;=0,0,C18/N22)</f>
        <v>0</v>
      </c>
      <c r="AB23" s="146"/>
    </row>
    <row r="24" spans="2:34" ht="13.5" thickBot="1" x14ac:dyDescent="0.25">
      <c r="B24" s="172" t="s">
        <v>17</v>
      </c>
      <c r="C24" s="173" t="str">
        <f>IF(C23&lt;&gt;0,$AD$15,"")</f>
        <v/>
      </c>
      <c r="D24" s="173" t="str">
        <f t="shared" ref="D24:L24" si="8">IF(D23&lt;&gt;0,$AD$15,"")</f>
        <v/>
      </c>
      <c r="E24" s="173" t="str">
        <f t="shared" si="8"/>
        <v/>
      </c>
      <c r="F24" s="173" t="str">
        <f t="shared" si="8"/>
        <v/>
      </c>
      <c r="G24" s="173" t="str">
        <f t="shared" si="8"/>
        <v/>
      </c>
      <c r="H24" s="173" t="str">
        <f t="shared" si="8"/>
        <v/>
      </c>
      <c r="I24" s="173" t="str">
        <f t="shared" si="8"/>
        <v/>
      </c>
      <c r="J24" s="173" t="str">
        <f t="shared" si="8"/>
        <v/>
      </c>
      <c r="K24" s="173" t="str">
        <f t="shared" si="8"/>
        <v/>
      </c>
      <c r="L24" s="173" t="str">
        <f t="shared" si="8"/>
        <v/>
      </c>
      <c r="AB24" s="146"/>
    </row>
    <row r="25" spans="2:34" x14ac:dyDescent="0.2">
      <c r="N25">
        <f>GCD(C22,C23)</f>
        <v>0</v>
      </c>
      <c r="O25">
        <f>IF(C22&lt;=0,0,C22/N25)</f>
        <v>0</v>
      </c>
    </row>
    <row r="26" spans="2:34" x14ac:dyDescent="0.2">
      <c r="O26">
        <f>IF(C23&lt;=0,0,C23/N25)</f>
        <v>0</v>
      </c>
    </row>
    <row r="27" spans="2:34" x14ac:dyDescent="0.2"/>
    <row r="28" spans="2:34" x14ac:dyDescent="0.2"/>
    <row r="29" spans="2:34" x14ac:dyDescent="0.2"/>
    <row r="30" spans="2:34" x14ac:dyDescent="0.2"/>
    <row r="31" spans="2:34" x14ac:dyDescent="0.2"/>
    <row r="32" spans="2:34" x14ac:dyDescent="0.2"/>
    <row r="33" spans="2:29" x14ac:dyDescent="0.2">
      <c r="T33" s="3"/>
    </row>
    <row r="34" spans="2:29" ht="45.75" hidden="1" thickBot="1" x14ac:dyDescent="0.25">
      <c r="D34" s="32" t="s">
        <v>23</v>
      </c>
      <c r="E34" s="213" t="s">
        <v>24</v>
      </c>
      <c r="F34" s="214"/>
      <c r="S34" s="33">
        <f>IF(G5="Square Foot",S35*20*$G$8,S35*20*9)</f>
        <v>0</v>
      </c>
      <c r="T34">
        <f>IF(G5="Square Foot",T35*$G$8,T35*9)</f>
        <v>0</v>
      </c>
      <c r="U34" s="33">
        <f>U35</f>
        <v>0</v>
      </c>
      <c r="V34" s="33">
        <f>SUM(S34:U34)</f>
        <v>0</v>
      </c>
    </row>
    <row r="35" spans="2:29" ht="15" hidden="1" x14ac:dyDescent="0.25">
      <c r="C35" t="s">
        <v>25</v>
      </c>
      <c r="D35" s="34">
        <v>272</v>
      </c>
      <c r="E35" s="35" t="s">
        <v>26</v>
      </c>
      <c r="F35" s="36" t="str">
        <f>CONCATENATE(X35,"-",AA35,"-",AC35)</f>
        <v>0-0-0</v>
      </c>
      <c r="P35" s="37"/>
      <c r="S35" s="33">
        <f>SUMIF(S36:S10015,"&gt;0",S36:S10015)</f>
        <v>0</v>
      </c>
      <c r="T35" s="33">
        <f>SUMIF(T36:T10015,"&gt;0",T36:T10015)</f>
        <v>0</v>
      </c>
      <c r="U35" s="33">
        <f>SUMIF(U36:U10015,"&gt;0",U36:U10015)</f>
        <v>0</v>
      </c>
      <c r="W35">
        <f>IF(G5="Square Foot",V34/20/$G$8,V34/9/20)</f>
        <v>0</v>
      </c>
      <c r="X35">
        <f>INT(W35)</f>
        <v>0</v>
      </c>
      <c r="Y35">
        <f>W35-X35</f>
        <v>0</v>
      </c>
      <c r="Z35">
        <f>Y35*20</f>
        <v>0</v>
      </c>
      <c r="AA35">
        <f>INT(Z35)</f>
        <v>0</v>
      </c>
      <c r="AB35">
        <f>Z35-AA35</f>
        <v>0</v>
      </c>
      <c r="AC35">
        <f>IF(G5="Square Foot",ROUND(AB35*9,0)*(G8/9),ROUND(AB35*9,0))</f>
        <v>0</v>
      </c>
    </row>
    <row r="36" spans="2:29" hidden="1" x14ac:dyDescent="0.2">
      <c r="B36" t="b">
        <f t="shared" ref="B36:B44" si="9">ISNUMBER(C36)</f>
        <v>0</v>
      </c>
      <c r="C36" t="e">
        <f t="shared" ref="C36:C44" si="10">SUM(S36:U36)</f>
        <v>#VALUE!</v>
      </c>
      <c r="E36" s="38">
        <v>1</v>
      </c>
      <c r="F36" s="40" t="str">
        <f>$C$14</f>
        <v/>
      </c>
      <c r="H36" s="39" t="e">
        <f t="shared" ref="H36:H65" si="11">RIGHT(F36,I36)</f>
        <v>#VALUE!</v>
      </c>
      <c r="I36" t="e">
        <f>N36-L36</f>
        <v>#VALUE!</v>
      </c>
      <c r="J36" t="e">
        <f>M36-L36</f>
        <v>#VALUE!</v>
      </c>
      <c r="K36" t="e">
        <f>N36-M36</f>
        <v>#VALUE!</v>
      </c>
      <c r="L36" t="e">
        <f t="shared" ref="L36:L65" si="12">SEARCH("-",F36,2)</f>
        <v>#VALUE!</v>
      </c>
      <c r="M36" t="e">
        <f t="shared" ref="M36:M65" si="13">SEARCH("-",F36,L36+1)</f>
        <v>#VALUE!</v>
      </c>
      <c r="N36">
        <f t="shared" ref="N36:N65" si="14">LEN(F36)</f>
        <v>0</v>
      </c>
      <c r="P36" s="37" t="e">
        <f t="shared" ref="P36:P65" si="15">LEFT(F36,L36-1)</f>
        <v>#VALUE!</v>
      </c>
      <c r="Q36" s="37" t="e">
        <f>LEFT(H36,J36-1)</f>
        <v>#VALUE!</v>
      </c>
      <c r="R36" s="37" t="e">
        <f t="shared" ref="R36:R65" si="16">RIGHT(F36,K36)</f>
        <v>#VALUE!</v>
      </c>
      <c r="S36" t="e">
        <f>P36*1</f>
        <v>#VALUE!</v>
      </c>
      <c r="T36" t="e">
        <f>Q36*1</f>
        <v>#VALUE!</v>
      </c>
      <c r="U36" t="e">
        <f>R36*1</f>
        <v>#VALUE!</v>
      </c>
    </row>
    <row r="37" spans="2:29" hidden="1" x14ac:dyDescent="0.2">
      <c r="B37" t="b">
        <f t="shared" si="9"/>
        <v>0</v>
      </c>
      <c r="C37" t="e">
        <f t="shared" si="10"/>
        <v>#VALUE!</v>
      </c>
      <c r="E37" s="38">
        <v>2</v>
      </c>
      <c r="F37" s="40" t="str">
        <f>$D$14</f>
        <v/>
      </c>
      <c r="H37" s="39" t="e">
        <f t="shared" si="11"/>
        <v>#VALUE!</v>
      </c>
      <c r="I37" t="e">
        <f t="shared" ref="I37:I65" si="17">N37-L37</f>
        <v>#VALUE!</v>
      </c>
      <c r="J37" t="e">
        <f t="shared" ref="J37:K52" si="18">M37-L37</f>
        <v>#VALUE!</v>
      </c>
      <c r="K37" t="e">
        <f t="shared" si="18"/>
        <v>#VALUE!</v>
      </c>
      <c r="L37" t="e">
        <f t="shared" si="12"/>
        <v>#VALUE!</v>
      </c>
      <c r="M37" t="e">
        <f t="shared" si="13"/>
        <v>#VALUE!</v>
      </c>
      <c r="N37">
        <f t="shared" si="14"/>
        <v>0</v>
      </c>
      <c r="P37" s="37" t="e">
        <f t="shared" si="15"/>
        <v>#VALUE!</v>
      </c>
      <c r="Q37" s="37" t="e">
        <f t="shared" ref="Q37:Q65" si="19">LEFT(H37,J37-1)</f>
        <v>#VALUE!</v>
      </c>
      <c r="R37" s="37" t="e">
        <f t="shared" si="16"/>
        <v>#VALUE!</v>
      </c>
      <c r="S37" t="e">
        <f>P37*1</f>
        <v>#VALUE!</v>
      </c>
      <c r="T37" t="e">
        <f t="shared" ref="S37:U65" si="20">Q37*1</f>
        <v>#VALUE!</v>
      </c>
      <c r="U37" t="e">
        <f>R37*1</f>
        <v>#VALUE!</v>
      </c>
    </row>
    <row r="38" spans="2:29" hidden="1" x14ac:dyDescent="0.2">
      <c r="B38" t="b">
        <f t="shared" si="9"/>
        <v>0</v>
      </c>
      <c r="C38" t="e">
        <f t="shared" si="10"/>
        <v>#VALUE!</v>
      </c>
      <c r="E38" s="38">
        <v>3</v>
      </c>
      <c r="F38" s="40" t="str">
        <f>$E$14</f>
        <v/>
      </c>
      <c r="H38" s="39" t="e">
        <f t="shared" si="11"/>
        <v>#VALUE!</v>
      </c>
      <c r="I38" t="e">
        <f t="shared" si="17"/>
        <v>#VALUE!</v>
      </c>
      <c r="J38" t="e">
        <f t="shared" si="18"/>
        <v>#VALUE!</v>
      </c>
      <c r="K38" t="e">
        <f t="shared" si="18"/>
        <v>#VALUE!</v>
      </c>
      <c r="L38" t="e">
        <f t="shared" si="12"/>
        <v>#VALUE!</v>
      </c>
      <c r="M38" t="e">
        <f t="shared" si="13"/>
        <v>#VALUE!</v>
      </c>
      <c r="N38">
        <f t="shared" si="14"/>
        <v>0</v>
      </c>
      <c r="P38" s="37" t="e">
        <f t="shared" si="15"/>
        <v>#VALUE!</v>
      </c>
      <c r="Q38" s="37" t="e">
        <f t="shared" si="19"/>
        <v>#VALUE!</v>
      </c>
      <c r="R38" s="37" t="e">
        <f t="shared" si="16"/>
        <v>#VALUE!</v>
      </c>
      <c r="S38" t="e">
        <f t="shared" si="20"/>
        <v>#VALUE!</v>
      </c>
      <c r="T38" t="e">
        <f t="shared" si="20"/>
        <v>#VALUE!</v>
      </c>
      <c r="U38" t="e">
        <f t="shared" si="20"/>
        <v>#VALUE!</v>
      </c>
    </row>
    <row r="39" spans="2:29" hidden="1" x14ac:dyDescent="0.2">
      <c r="B39" t="b">
        <f t="shared" si="9"/>
        <v>0</v>
      </c>
      <c r="C39" t="e">
        <f t="shared" si="10"/>
        <v>#VALUE!</v>
      </c>
      <c r="E39" s="38">
        <v>4</v>
      </c>
      <c r="F39" s="40" t="str">
        <f>$F$14</f>
        <v/>
      </c>
      <c r="H39" s="39" t="e">
        <f t="shared" si="11"/>
        <v>#VALUE!</v>
      </c>
      <c r="I39" t="e">
        <f t="shared" si="17"/>
        <v>#VALUE!</v>
      </c>
      <c r="J39" t="e">
        <f t="shared" si="18"/>
        <v>#VALUE!</v>
      </c>
      <c r="K39" t="e">
        <f t="shared" si="18"/>
        <v>#VALUE!</v>
      </c>
      <c r="L39" t="e">
        <f t="shared" si="12"/>
        <v>#VALUE!</v>
      </c>
      <c r="M39" t="e">
        <f t="shared" si="13"/>
        <v>#VALUE!</v>
      </c>
      <c r="N39">
        <f t="shared" si="14"/>
        <v>0</v>
      </c>
      <c r="P39" s="37" t="e">
        <f t="shared" si="15"/>
        <v>#VALUE!</v>
      </c>
      <c r="Q39" s="37" t="e">
        <f t="shared" si="19"/>
        <v>#VALUE!</v>
      </c>
      <c r="R39" s="37" t="e">
        <f t="shared" si="16"/>
        <v>#VALUE!</v>
      </c>
      <c r="S39" t="e">
        <f t="shared" si="20"/>
        <v>#VALUE!</v>
      </c>
      <c r="T39" t="e">
        <f t="shared" si="20"/>
        <v>#VALUE!</v>
      </c>
      <c r="U39" t="e">
        <f t="shared" si="20"/>
        <v>#VALUE!</v>
      </c>
    </row>
    <row r="40" spans="2:29" hidden="1" x14ac:dyDescent="0.2">
      <c r="B40" t="b">
        <f t="shared" si="9"/>
        <v>0</v>
      </c>
      <c r="C40" t="e">
        <f t="shared" si="10"/>
        <v>#VALUE!</v>
      </c>
      <c r="E40" s="38">
        <v>5</v>
      </c>
      <c r="F40" s="40" t="str">
        <f>$G$14</f>
        <v/>
      </c>
      <c r="H40" s="39" t="e">
        <f t="shared" si="11"/>
        <v>#VALUE!</v>
      </c>
      <c r="I40" t="e">
        <f t="shared" si="17"/>
        <v>#VALUE!</v>
      </c>
      <c r="J40" t="e">
        <f t="shared" si="18"/>
        <v>#VALUE!</v>
      </c>
      <c r="K40" t="e">
        <f t="shared" si="18"/>
        <v>#VALUE!</v>
      </c>
      <c r="L40" t="e">
        <f t="shared" si="12"/>
        <v>#VALUE!</v>
      </c>
      <c r="M40" t="e">
        <f t="shared" si="13"/>
        <v>#VALUE!</v>
      </c>
      <c r="N40">
        <f t="shared" si="14"/>
        <v>0</v>
      </c>
      <c r="P40" s="37" t="e">
        <f t="shared" si="15"/>
        <v>#VALUE!</v>
      </c>
      <c r="Q40" s="37" t="e">
        <f t="shared" si="19"/>
        <v>#VALUE!</v>
      </c>
      <c r="R40" s="37" t="e">
        <f t="shared" si="16"/>
        <v>#VALUE!</v>
      </c>
      <c r="S40" t="e">
        <f t="shared" si="20"/>
        <v>#VALUE!</v>
      </c>
      <c r="T40" t="e">
        <f t="shared" si="20"/>
        <v>#VALUE!</v>
      </c>
      <c r="U40" t="e">
        <f t="shared" si="20"/>
        <v>#VALUE!</v>
      </c>
    </row>
    <row r="41" spans="2:29" hidden="1" x14ac:dyDescent="0.2">
      <c r="B41" t="b">
        <f t="shared" si="9"/>
        <v>0</v>
      </c>
      <c r="C41" t="e">
        <f t="shared" si="10"/>
        <v>#VALUE!</v>
      </c>
      <c r="E41" s="38">
        <v>6</v>
      </c>
      <c r="F41" s="40" t="str">
        <f>$H$14</f>
        <v/>
      </c>
      <c r="H41" s="39" t="e">
        <f t="shared" si="11"/>
        <v>#VALUE!</v>
      </c>
      <c r="I41" t="e">
        <f t="shared" si="17"/>
        <v>#VALUE!</v>
      </c>
      <c r="J41" t="e">
        <f t="shared" si="18"/>
        <v>#VALUE!</v>
      </c>
      <c r="K41" t="e">
        <f t="shared" si="18"/>
        <v>#VALUE!</v>
      </c>
      <c r="L41" t="e">
        <f t="shared" si="12"/>
        <v>#VALUE!</v>
      </c>
      <c r="M41" t="e">
        <f t="shared" si="13"/>
        <v>#VALUE!</v>
      </c>
      <c r="N41">
        <f t="shared" si="14"/>
        <v>0</v>
      </c>
      <c r="P41" s="37" t="e">
        <f t="shared" si="15"/>
        <v>#VALUE!</v>
      </c>
      <c r="Q41" s="37" t="e">
        <f t="shared" si="19"/>
        <v>#VALUE!</v>
      </c>
      <c r="R41" s="37" t="e">
        <f t="shared" si="16"/>
        <v>#VALUE!</v>
      </c>
      <c r="S41" t="e">
        <f t="shared" si="20"/>
        <v>#VALUE!</v>
      </c>
      <c r="T41" t="e">
        <f t="shared" si="20"/>
        <v>#VALUE!</v>
      </c>
      <c r="U41" t="e">
        <f t="shared" si="20"/>
        <v>#VALUE!</v>
      </c>
    </row>
    <row r="42" spans="2:29" hidden="1" x14ac:dyDescent="0.2">
      <c r="B42" t="b">
        <f t="shared" si="9"/>
        <v>0</v>
      </c>
      <c r="C42" t="e">
        <f t="shared" si="10"/>
        <v>#VALUE!</v>
      </c>
      <c r="E42" s="38">
        <v>7</v>
      </c>
      <c r="F42" s="40" t="str">
        <f>$I$14</f>
        <v/>
      </c>
      <c r="H42" s="39" t="e">
        <f t="shared" si="11"/>
        <v>#VALUE!</v>
      </c>
      <c r="I42" t="e">
        <f t="shared" si="17"/>
        <v>#VALUE!</v>
      </c>
      <c r="J42" t="e">
        <f t="shared" si="18"/>
        <v>#VALUE!</v>
      </c>
      <c r="K42" t="e">
        <f t="shared" si="18"/>
        <v>#VALUE!</v>
      </c>
      <c r="L42" t="e">
        <f t="shared" si="12"/>
        <v>#VALUE!</v>
      </c>
      <c r="M42" t="e">
        <f t="shared" si="13"/>
        <v>#VALUE!</v>
      </c>
      <c r="N42">
        <f t="shared" si="14"/>
        <v>0</v>
      </c>
      <c r="P42" s="37" t="e">
        <f t="shared" si="15"/>
        <v>#VALUE!</v>
      </c>
      <c r="Q42" s="37" t="e">
        <f t="shared" si="19"/>
        <v>#VALUE!</v>
      </c>
      <c r="R42" s="37" t="e">
        <f t="shared" si="16"/>
        <v>#VALUE!</v>
      </c>
      <c r="S42" t="e">
        <f t="shared" si="20"/>
        <v>#VALUE!</v>
      </c>
      <c r="T42" t="e">
        <f t="shared" si="20"/>
        <v>#VALUE!</v>
      </c>
      <c r="U42" t="e">
        <f t="shared" si="20"/>
        <v>#VALUE!</v>
      </c>
    </row>
    <row r="43" spans="2:29" hidden="1" x14ac:dyDescent="0.2">
      <c r="B43" t="b">
        <f t="shared" si="9"/>
        <v>0</v>
      </c>
      <c r="C43" t="e">
        <f t="shared" si="10"/>
        <v>#VALUE!</v>
      </c>
      <c r="E43" s="38">
        <v>8</v>
      </c>
      <c r="F43" s="40" t="str">
        <f>$J$14</f>
        <v/>
      </c>
      <c r="H43" s="39" t="e">
        <f t="shared" si="11"/>
        <v>#VALUE!</v>
      </c>
      <c r="I43" t="e">
        <f t="shared" si="17"/>
        <v>#VALUE!</v>
      </c>
      <c r="J43" t="e">
        <f t="shared" si="18"/>
        <v>#VALUE!</v>
      </c>
      <c r="K43" t="e">
        <f t="shared" si="18"/>
        <v>#VALUE!</v>
      </c>
      <c r="L43" t="e">
        <f t="shared" si="12"/>
        <v>#VALUE!</v>
      </c>
      <c r="M43" t="e">
        <f t="shared" si="13"/>
        <v>#VALUE!</v>
      </c>
      <c r="N43">
        <f t="shared" si="14"/>
        <v>0</v>
      </c>
      <c r="P43" s="37" t="e">
        <f t="shared" si="15"/>
        <v>#VALUE!</v>
      </c>
      <c r="Q43" s="37" t="e">
        <f t="shared" si="19"/>
        <v>#VALUE!</v>
      </c>
      <c r="R43" s="37" t="e">
        <f t="shared" si="16"/>
        <v>#VALUE!</v>
      </c>
      <c r="S43" t="e">
        <f t="shared" si="20"/>
        <v>#VALUE!</v>
      </c>
      <c r="T43" t="e">
        <f t="shared" si="20"/>
        <v>#VALUE!</v>
      </c>
      <c r="U43" t="e">
        <f t="shared" si="20"/>
        <v>#VALUE!</v>
      </c>
    </row>
    <row r="44" spans="2:29" hidden="1" x14ac:dyDescent="0.2">
      <c r="B44" t="b">
        <f t="shared" si="9"/>
        <v>0</v>
      </c>
      <c r="C44" t="e">
        <f t="shared" si="10"/>
        <v>#VALUE!</v>
      </c>
      <c r="E44" s="38">
        <v>9</v>
      </c>
      <c r="F44" s="40" t="str">
        <f>$K$14</f>
        <v/>
      </c>
      <c r="H44" s="39" t="e">
        <f t="shared" si="11"/>
        <v>#VALUE!</v>
      </c>
      <c r="I44" t="e">
        <f t="shared" si="17"/>
        <v>#VALUE!</v>
      </c>
      <c r="J44" t="e">
        <f t="shared" si="18"/>
        <v>#VALUE!</v>
      </c>
      <c r="K44" t="e">
        <f t="shared" si="18"/>
        <v>#VALUE!</v>
      </c>
      <c r="L44" t="e">
        <f t="shared" si="12"/>
        <v>#VALUE!</v>
      </c>
      <c r="M44" t="e">
        <f t="shared" si="13"/>
        <v>#VALUE!</v>
      </c>
      <c r="N44">
        <f t="shared" si="14"/>
        <v>0</v>
      </c>
      <c r="P44" s="37" t="e">
        <f t="shared" si="15"/>
        <v>#VALUE!</v>
      </c>
      <c r="Q44" s="37" t="e">
        <f t="shared" si="19"/>
        <v>#VALUE!</v>
      </c>
      <c r="R44" s="37" t="e">
        <f t="shared" si="16"/>
        <v>#VALUE!</v>
      </c>
      <c r="S44" t="e">
        <f t="shared" si="20"/>
        <v>#VALUE!</v>
      </c>
      <c r="T44" t="e">
        <f t="shared" si="20"/>
        <v>#VALUE!</v>
      </c>
      <c r="U44" t="e">
        <f t="shared" si="20"/>
        <v>#VALUE!</v>
      </c>
    </row>
    <row r="45" spans="2:29" hidden="1" x14ac:dyDescent="0.2">
      <c r="B45" t="b">
        <f>ISNUMBER(C45)</f>
        <v>0</v>
      </c>
      <c r="C45" t="e">
        <f>SUM(S45:U45)</f>
        <v>#VALUE!</v>
      </c>
      <c r="E45" s="38">
        <v>10</v>
      </c>
      <c r="F45" s="40" t="str">
        <f>$L$14</f>
        <v/>
      </c>
      <c r="H45" s="39" t="e">
        <f t="shared" si="11"/>
        <v>#VALUE!</v>
      </c>
      <c r="I45" t="e">
        <f t="shared" si="17"/>
        <v>#VALUE!</v>
      </c>
      <c r="J45" t="e">
        <f t="shared" si="18"/>
        <v>#VALUE!</v>
      </c>
      <c r="K45" t="e">
        <f t="shared" si="18"/>
        <v>#VALUE!</v>
      </c>
      <c r="L45" t="e">
        <f t="shared" si="12"/>
        <v>#VALUE!</v>
      </c>
      <c r="M45" t="e">
        <f t="shared" si="13"/>
        <v>#VALUE!</v>
      </c>
      <c r="N45">
        <f t="shared" si="14"/>
        <v>0</v>
      </c>
      <c r="P45" s="37" t="e">
        <f t="shared" si="15"/>
        <v>#VALUE!</v>
      </c>
      <c r="Q45" s="37" t="e">
        <f t="shared" si="19"/>
        <v>#VALUE!</v>
      </c>
      <c r="R45" s="37" t="e">
        <f t="shared" si="16"/>
        <v>#VALUE!</v>
      </c>
      <c r="S45" t="e">
        <f t="shared" si="20"/>
        <v>#VALUE!</v>
      </c>
      <c r="T45" t="e">
        <f t="shared" si="20"/>
        <v>#VALUE!</v>
      </c>
      <c r="U45" t="e">
        <f t="shared" si="20"/>
        <v>#VALUE!</v>
      </c>
    </row>
    <row r="46" spans="2:29" hidden="1" x14ac:dyDescent="0.2">
      <c r="B46" t="b">
        <f t="shared" ref="B46:B65" si="21">ISNUMBER(C46)</f>
        <v>0</v>
      </c>
      <c r="C46" t="e">
        <f t="shared" ref="C46:C65" si="22">SUM(S46:U46)</f>
        <v>#VALUE!</v>
      </c>
      <c r="E46" s="38">
        <v>1</v>
      </c>
      <c r="F46" s="40" t="str">
        <f>$C$19</f>
        <v/>
      </c>
      <c r="H46" s="39" t="e">
        <f t="shared" si="11"/>
        <v>#VALUE!</v>
      </c>
      <c r="I46" t="e">
        <f t="shared" si="17"/>
        <v>#VALUE!</v>
      </c>
      <c r="J46" t="e">
        <f t="shared" si="18"/>
        <v>#VALUE!</v>
      </c>
      <c r="K46" t="e">
        <f t="shared" si="18"/>
        <v>#VALUE!</v>
      </c>
      <c r="L46" t="e">
        <f t="shared" si="12"/>
        <v>#VALUE!</v>
      </c>
      <c r="M46" t="e">
        <f t="shared" si="13"/>
        <v>#VALUE!</v>
      </c>
      <c r="N46">
        <f t="shared" si="14"/>
        <v>0</v>
      </c>
      <c r="P46" s="37" t="e">
        <f t="shared" si="15"/>
        <v>#VALUE!</v>
      </c>
      <c r="Q46" s="37" t="e">
        <f t="shared" si="19"/>
        <v>#VALUE!</v>
      </c>
      <c r="R46" s="37" t="e">
        <f t="shared" si="16"/>
        <v>#VALUE!</v>
      </c>
      <c r="S46" t="e">
        <f t="shared" si="20"/>
        <v>#VALUE!</v>
      </c>
      <c r="T46" t="e">
        <f t="shared" si="20"/>
        <v>#VALUE!</v>
      </c>
      <c r="U46" t="e">
        <f t="shared" si="20"/>
        <v>#VALUE!</v>
      </c>
    </row>
    <row r="47" spans="2:29" hidden="1" x14ac:dyDescent="0.2">
      <c r="B47" t="b">
        <f t="shared" si="21"/>
        <v>0</v>
      </c>
      <c r="C47" t="e">
        <f t="shared" si="22"/>
        <v>#VALUE!</v>
      </c>
      <c r="E47" s="38">
        <v>2</v>
      </c>
      <c r="F47" s="40" t="str">
        <f>$D$19</f>
        <v/>
      </c>
      <c r="H47" s="39" t="e">
        <f t="shared" si="11"/>
        <v>#VALUE!</v>
      </c>
      <c r="I47" t="e">
        <f t="shared" si="17"/>
        <v>#VALUE!</v>
      </c>
      <c r="J47" t="e">
        <f t="shared" si="18"/>
        <v>#VALUE!</v>
      </c>
      <c r="K47" t="e">
        <f t="shared" si="18"/>
        <v>#VALUE!</v>
      </c>
      <c r="L47" t="e">
        <f t="shared" si="12"/>
        <v>#VALUE!</v>
      </c>
      <c r="M47" t="e">
        <f t="shared" si="13"/>
        <v>#VALUE!</v>
      </c>
      <c r="N47">
        <f t="shared" si="14"/>
        <v>0</v>
      </c>
      <c r="P47" s="37" t="e">
        <f t="shared" si="15"/>
        <v>#VALUE!</v>
      </c>
      <c r="Q47" s="37" t="e">
        <f t="shared" si="19"/>
        <v>#VALUE!</v>
      </c>
      <c r="R47" s="37" t="e">
        <f t="shared" si="16"/>
        <v>#VALUE!</v>
      </c>
      <c r="S47" t="e">
        <f t="shared" si="20"/>
        <v>#VALUE!</v>
      </c>
      <c r="T47" t="e">
        <f t="shared" si="20"/>
        <v>#VALUE!</v>
      </c>
      <c r="U47" t="e">
        <f t="shared" si="20"/>
        <v>#VALUE!</v>
      </c>
    </row>
    <row r="48" spans="2:29" hidden="1" x14ac:dyDescent="0.2">
      <c r="B48" t="b">
        <f t="shared" si="21"/>
        <v>0</v>
      </c>
      <c r="C48" t="e">
        <f t="shared" si="22"/>
        <v>#VALUE!</v>
      </c>
      <c r="E48" s="38">
        <v>3</v>
      </c>
      <c r="F48" s="40" t="str">
        <f>$E$19</f>
        <v/>
      </c>
      <c r="H48" s="39" t="e">
        <f t="shared" si="11"/>
        <v>#VALUE!</v>
      </c>
      <c r="I48" t="e">
        <f t="shared" si="17"/>
        <v>#VALUE!</v>
      </c>
      <c r="J48" t="e">
        <f t="shared" si="18"/>
        <v>#VALUE!</v>
      </c>
      <c r="K48" t="e">
        <f t="shared" si="18"/>
        <v>#VALUE!</v>
      </c>
      <c r="L48" t="e">
        <f t="shared" si="12"/>
        <v>#VALUE!</v>
      </c>
      <c r="M48" t="e">
        <f t="shared" si="13"/>
        <v>#VALUE!</v>
      </c>
      <c r="N48">
        <f t="shared" si="14"/>
        <v>0</v>
      </c>
      <c r="P48" s="37" t="e">
        <f t="shared" si="15"/>
        <v>#VALUE!</v>
      </c>
      <c r="Q48" s="37" t="e">
        <f t="shared" si="19"/>
        <v>#VALUE!</v>
      </c>
      <c r="R48" s="37" t="e">
        <f t="shared" si="16"/>
        <v>#VALUE!</v>
      </c>
      <c r="S48" t="e">
        <f t="shared" si="20"/>
        <v>#VALUE!</v>
      </c>
      <c r="T48" t="e">
        <f t="shared" si="20"/>
        <v>#VALUE!</v>
      </c>
      <c r="U48" t="e">
        <f t="shared" si="20"/>
        <v>#VALUE!</v>
      </c>
    </row>
    <row r="49" spans="2:21" hidden="1" x14ac:dyDescent="0.2">
      <c r="B49" t="b">
        <f t="shared" si="21"/>
        <v>0</v>
      </c>
      <c r="C49" t="e">
        <f t="shared" si="22"/>
        <v>#VALUE!</v>
      </c>
      <c r="E49" s="38">
        <v>4</v>
      </c>
      <c r="F49" s="40" t="str">
        <f>$F$19</f>
        <v/>
      </c>
      <c r="H49" s="39" t="e">
        <f t="shared" si="11"/>
        <v>#VALUE!</v>
      </c>
      <c r="I49" t="e">
        <f t="shared" si="17"/>
        <v>#VALUE!</v>
      </c>
      <c r="J49" t="e">
        <f t="shared" si="18"/>
        <v>#VALUE!</v>
      </c>
      <c r="K49" t="e">
        <f t="shared" si="18"/>
        <v>#VALUE!</v>
      </c>
      <c r="L49" t="e">
        <f t="shared" si="12"/>
        <v>#VALUE!</v>
      </c>
      <c r="M49" t="e">
        <f t="shared" si="13"/>
        <v>#VALUE!</v>
      </c>
      <c r="N49">
        <f t="shared" si="14"/>
        <v>0</v>
      </c>
      <c r="P49" s="37" t="e">
        <f t="shared" si="15"/>
        <v>#VALUE!</v>
      </c>
      <c r="Q49" s="37" t="e">
        <f t="shared" si="19"/>
        <v>#VALUE!</v>
      </c>
      <c r="R49" s="37" t="e">
        <f t="shared" si="16"/>
        <v>#VALUE!</v>
      </c>
      <c r="S49" t="e">
        <f t="shared" si="20"/>
        <v>#VALUE!</v>
      </c>
      <c r="T49" t="e">
        <f t="shared" si="20"/>
        <v>#VALUE!</v>
      </c>
      <c r="U49" t="e">
        <f t="shared" si="20"/>
        <v>#VALUE!</v>
      </c>
    </row>
    <row r="50" spans="2:21" hidden="1" x14ac:dyDescent="0.2">
      <c r="B50" t="b">
        <f t="shared" si="21"/>
        <v>0</v>
      </c>
      <c r="C50" t="e">
        <f t="shared" si="22"/>
        <v>#VALUE!</v>
      </c>
      <c r="E50" s="38">
        <v>5</v>
      </c>
      <c r="F50" s="40" t="str">
        <f>$G$19</f>
        <v/>
      </c>
      <c r="H50" s="39" t="e">
        <f t="shared" si="11"/>
        <v>#VALUE!</v>
      </c>
      <c r="I50" t="e">
        <f t="shared" si="17"/>
        <v>#VALUE!</v>
      </c>
      <c r="J50" t="e">
        <f t="shared" si="18"/>
        <v>#VALUE!</v>
      </c>
      <c r="K50" t="e">
        <f t="shared" si="18"/>
        <v>#VALUE!</v>
      </c>
      <c r="L50" t="e">
        <f t="shared" si="12"/>
        <v>#VALUE!</v>
      </c>
      <c r="M50" t="e">
        <f t="shared" si="13"/>
        <v>#VALUE!</v>
      </c>
      <c r="N50">
        <f t="shared" si="14"/>
        <v>0</v>
      </c>
      <c r="P50" s="37" t="e">
        <f t="shared" si="15"/>
        <v>#VALUE!</v>
      </c>
      <c r="Q50" s="37" t="e">
        <f t="shared" si="19"/>
        <v>#VALUE!</v>
      </c>
      <c r="R50" s="37" t="e">
        <f t="shared" si="16"/>
        <v>#VALUE!</v>
      </c>
      <c r="S50" t="e">
        <f t="shared" si="20"/>
        <v>#VALUE!</v>
      </c>
      <c r="T50" t="e">
        <f t="shared" si="20"/>
        <v>#VALUE!</v>
      </c>
      <c r="U50" t="e">
        <f t="shared" si="20"/>
        <v>#VALUE!</v>
      </c>
    </row>
    <row r="51" spans="2:21" hidden="1" x14ac:dyDescent="0.2">
      <c r="B51" t="b">
        <f t="shared" si="21"/>
        <v>0</v>
      </c>
      <c r="C51" t="e">
        <f t="shared" si="22"/>
        <v>#VALUE!</v>
      </c>
      <c r="E51" s="38">
        <v>6</v>
      </c>
      <c r="F51" s="40" t="str">
        <f>$H$19</f>
        <v/>
      </c>
      <c r="H51" s="39" t="e">
        <f t="shared" si="11"/>
        <v>#VALUE!</v>
      </c>
      <c r="I51" t="e">
        <f t="shared" si="17"/>
        <v>#VALUE!</v>
      </c>
      <c r="J51" t="e">
        <f t="shared" si="18"/>
        <v>#VALUE!</v>
      </c>
      <c r="K51" t="e">
        <f t="shared" si="18"/>
        <v>#VALUE!</v>
      </c>
      <c r="L51" t="e">
        <f t="shared" si="12"/>
        <v>#VALUE!</v>
      </c>
      <c r="M51" t="e">
        <f t="shared" si="13"/>
        <v>#VALUE!</v>
      </c>
      <c r="N51">
        <f t="shared" si="14"/>
        <v>0</v>
      </c>
      <c r="P51" s="37" t="e">
        <f t="shared" si="15"/>
        <v>#VALUE!</v>
      </c>
      <c r="Q51" s="37" t="e">
        <f t="shared" si="19"/>
        <v>#VALUE!</v>
      </c>
      <c r="R51" s="37" t="e">
        <f t="shared" si="16"/>
        <v>#VALUE!</v>
      </c>
      <c r="S51" t="e">
        <f t="shared" si="20"/>
        <v>#VALUE!</v>
      </c>
      <c r="T51" t="e">
        <f t="shared" si="20"/>
        <v>#VALUE!</v>
      </c>
      <c r="U51" t="e">
        <f t="shared" si="20"/>
        <v>#VALUE!</v>
      </c>
    </row>
    <row r="52" spans="2:21" hidden="1" x14ac:dyDescent="0.2">
      <c r="B52" t="b">
        <f t="shared" si="21"/>
        <v>0</v>
      </c>
      <c r="C52" t="e">
        <f t="shared" si="22"/>
        <v>#VALUE!</v>
      </c>
      <c r="E52" s="38">
        <v>7</v>
      </c>
      <c r="F52" s="40" t="str">
        <f>$I$19</f>
        <v/>
      </c>
      <c r="H52" s="39" t="e">
        <f t="shared" si="11"/>
        <v>#VALUE!</v>
      </c>
      <c r="I52" t="e">
        <f t="shared" si="17"/>
        <v>#VALUE!</v>
      </c>
      <c r="J52" t="e">
        <f t="shared" si="18"/>
        <v>#VALUE!</v>
      </c>
      <c r="K52" t="e">
        <f t="shared" si="18"/>
        <v>#VALUE!</v>
      </c>
      <c r="L52" t="e">
        <f t="shared" si="12"/>
        <v>#VALUE!</v>
      </c>
      <c r="M52" t="e">
        <f t="shared" si="13"/>
        <v>#VALUE!</v>
      </c>
      <c r="N52">
        <f t="shared" si="14"/>
        <v>0</v>
      </c>
      <c r="P52" s="37" t="e">
        <f t="shared" si="15"/>
        <v>#VALUE!</v>
      </c>
      <c r="Q52" s="37" t="e">
        <f t="shared" si="19"/>
        <v>#VALUE!</v>
      </c>
      <c r="R52" s="37" t="e">
        <f t="shared" si="16"/>
        <v>#VALUE!</v>
      </c>
      <c r="S52" t="e">
        <f t="shared" si="20"/>
        <v>#VALUE!</v>
      </c>
      <c r="T52" t="e">
        <f t="shared" si="20"/>
        <v>#VALUE!</v>
      </c>
      <c r="U52" t="e">
        <f t="shared" si="20"/>
        <v>#VALUE!</v>
      </c>
    </row>
    <row r="53" spans="2:21" hidden="1" x14ac:dyDescent="0.2">
      <c r="B53" t="b">
        <f t="shared" si="21"/>
        <v>0</v>
      </c>
      <c r="C53" t="e">
        <f t="shared" si="22"/>
        <v>#VALUE!</v>
      </c>
      <c r="E53" s="38">
        <v>8</v>
      </c>
      <c r="F53" s="40" t="str">
        <f>$J$19</f>
        <v/>
      </c>
      <c r="H53" s="39" t="e">
        <f t="shared" si="11"/>
        <v>#VALUE!</v>
      </c>
      <c r="I53" t="e">
        <f t="shared" si="17"/>
        <v>#VALUE!</v>
      </c>
      <c r="J53" t="e">
        <f t="shared" ref="J53:K65" si="23">M53-L53</f>
        <v>#VALUE!</v>
      </c>
      <c r="K53" t="e">
        <f t="shared" si="23"/>
        <v>#VALUE!</v>
      </c>
      <c r="L53" t="e">
        <f t="shared" si="12"/>
        <v>#VALUE!</v>
      </c>
      <c r="M53" t="e">
        <f t="shared" si="13"/>
        <v>#VALUE!</v>
      </c>
      <c r="N53">
        <f t="shared" si="14"/>
        <v>0</v>
      </c>
      <c r="P53" s="37" t="e">
        <f t="shared" si="15"/>
        <v>#VALUE!</v>
      </c>
      <c r="Q53" s="37" t="e">
        <f t="shared" si="19"/>
        <v>#VALUE!</v>
      </c>
      <c r="R53" s="37" t="e">
        <f t="shared" si="16"/>
        <v>#VALUE!</v>
      </c>
      <c r="S53" t="e">
        <f t="shared" si="20"/>
        <v>#VALUE!</v>
      </c>
      <c r="T53" t="e">
        <f t="shared" si="20"/>
        <v>#VALUE!</v>
      </c>
      <c r="U53" t="e">
        <f t="shared" si="20"/>
        <v>#VALUE!</v>
      </c>
    </row>
    <row r="54" spans="2:21" hidden="1" x14ac:dyDescent="0.2">
      <c r="B54" t="b">
        <f t="shared" si="21"/>
        <v>0</v>
      </c>
      <c r="C54" t="e">
        <f t="shared" si="22"/>
        <v>#VALUE!</v>
      </c>
      <c r="E54" s="38">
        <v>9</v>
      </c>
      <c r="F54" s="40" t="str">
        <f>$K$19</f>
        <v/>
      </c>
      <c r="H54" s="39" t="e">
        <f t="shared" si="11"/>
        <v>#VALUE!</v>
      </c>
      <c r="I54" t="e">
        <f t="shared" si="17"/>
        <v>#VALUE!</v>
      </c>
      <c r="J54" t="e">
        <f t="shared" si="23"/>
        <v>#VALUE!</v>
      </c>
      <c r="K54" t="e">
        <f t="shared" si="23"/>
        <v>#VALUE!</v>
      </c>
      <c r="L54" t="e">
        <f t="shared" si="12"/>
        <v>#VALUE!</v>
      </c>
      <c r="M54" t="e">
        <f t="shared" si="13"/>
        <v>#VALUE!</v>
      </c>
      <c r="N54">
        <f t="shared" si="14"/>
        <v>0</v>
      </c>
      <c r="P54" s="37" t="e">
        <f t="shared" si="15"/>
        <v>#VALUE!</v>
      </c>
      <c r="Q54" s="37" t="e">
        <f t="shared" si="19"/>
        <v>#VALUE!</v>
      </c>
      <c r="R54" s="37" t="e">
        <f t="shared" si="16"/>
        <v>#VALUE!</v>
      </c>
      <c r="S54" t="e">
        <f t="shared" si="20"/>
        <v>#VALUE!</v>
      </c>
      <c r="T54" t="e">
        <f t="shared" si="20"/>
        <v>#VALUE!</v>
      </c>
      <c r="U54" t="e">
        <f t="shared" si="20"/>
        <v>#VALUE!</v>
      </c>
    </row>
    <row r="55" spans="2:21" hidden="1" x14ac:dyDescent="0.2">
      <c r="B55" t="b">
        <f t="shared" si="21"/>
        <v>0</v>
      </c>
      <c r="C55" t="e">
        <f t="shared" si="22"/>
        <v>#VALUE!</v>
      </c>
      <c r="E55" s="38">
        <v>10</v>
      </c>
      <c r="F55" s="40" t="str">
        <f>$L$19</f>
        <v/>
      </c>
      <c r="H55" s="39" t="e">
        <f t="shared" si="11"/>
        <v>#VALUE!</v>
      </c>
      <c r="I55" t="e">
        <f t="shared" si="17"/>
        <v>#VALUE!</v>
      </c>
      <c r="J55" t="e">
        <f t="shared" si="23"/>
        <v>#VALUE!</v>
      </c>
      <c r="K55" t="e">
        <f t="shared" si="23"/>
        <v>#VALUE!</v>
      </c>
      <c r="L55" t="e">
        <f t="shared" si="12"/>
        <v>#VALUE!</v>
      </c>
      <c r="M55" t="e">
        <f t="shared" si="13"/>
        <v>#VALUE!</v>
      </c>
      <c r="N55">
        <f t="shared" si="14"/>
        <v>0</v>
      </c>
      <c r="P55" s="37" t="e">
        <f t="shared" si="15"/>
        <v>#VALUE!</v>
      </c>
      <c r="Q55" s="37" t="e">
        <f t="shared" si="19"/>
        <v>#VALUE!</v>
      </c>
      <c r="R55" s="37" t="e">
        <f t="shared" si="16"/>
        <v>#VALUE!</v>
      </c>
      <c r="S55" t="e">
        <f t="shared" si="20"/>
        <v>#VALUE!</v>
      </c>
      <c r="T55" t="e">
        <f t="shared" si="20"/>
        <v>#VALUE!</v>
      </c>
      <c r="U55" t="e">
        <f t="shared" si="20"/>
        <v>#VALUE!</v>
      </c>
    </row>
    <row r="56" spans="2:21" hidden="1" x14ac:dyDescent="0.2">
      <c r="B56" t="b">
        <f t="shared" si="21"/>
        <v>0</v>
      </c>
      <c r="C56" t="e">
        <f t="shared" si="22"/>
        <v>#VALUE!</v>
      </c>
      <c r="E56" s="38">
        <v>1</v>
      </c>
      <c r="F56" s="40" t="str">
        <f>$C$24</f>
        <v/>
      </c>
      <c r="H56" s="39" t="e">
        <f t="shared" si="11"/>
        <v>#VALUE!</v>
      </c>
      <c r="I56" t="e">
        <f t="shared" si="17"/>
        <v>#VALUE!</v>
      </c>
      <c r="J56" t="e">
        <f t="shared" si="23"/>
        <v>#VALUE!</v>
      </c>
      <c r="K56" t="e">
        <f t="shared" si="23"/>
        <v>#VALUE!</v>
      </c>
      <c r="L56" t="e">
        <f t="shared" si="12"/>
        <v>#VALUE!</v>
      </c>
      <c r="M56" t="e">
        <f t="shared" si="13"/>
        <v>#VALUE!</v>
      </c>
      <c r="N56">
        <f t="shared" si="14"/>
        <v>0</v>
      </c>
      <c r="P56" s="37" t="e">
        <f t="shared" si="15"/>
        <v>#VALUE!</v>
      </c>
      <c r="Q56" s="37" t="e">
        <f t="shared" si="19"/>
        <v>#VALUE!</v>
      </c>
      <c r="R56" s="37" t="e">
        <f t="shared" si="16"/>
        <v>#VALUE!</v>
      </c>
      <c r="S56" t="e">
        <f t="shared" si="20"/>
        <v>#VALUE!</v>
      </c>
      <c r="T56" t="e">
        <f t="shared" si="20"/>
        <v>#VALUE!</v>
      </c>
      <c r="U56" t="e">
        <f t="shared" si="20"/>
        <v>#VALUE!</v>
      </c>
    </row>
    <row r="57" spans="2:21" hidden="1" x14ac:dyDescent="0.2">
      <c r="B57" t="b">
        <f t="shared" si="21"/>
        <v>0</v>
      </c>
      <c r="C57" t="e">
        <f t="shared" si="22"/>
        <v>#VALUE!</v>
      </c>
      <c r="E57" s="38">
        <v>2</v>
      </c>
      <c r="F57" s="40" t="str">
        <f>$D$24</f>
        <v/>
      </c>
      <c r="H57" s="39" t="e">
        <f t="shared" si="11"/>
        <v>#VALUE!</v>
      </c>
      <c r="I57" t="e">
        <f t="shared" si="17"/>
        <v>#VALUE!</v>
      </c>
      <c r="J57" t="e">
        <f t="shared" si="23"/>
        <v>#VALUE!</v>
      </c>
      <c r="K57" t="e">
        <f t="shared" si="23"/>
        <v>#VALUE!</v>
      </c>
      <c r="L57" t="e">
        <f t="shared" si="12"/>
        <v>#VALUE!</v>
      </c>
      <c r="M57" t="e">
        <f t="shared" si="13"/>
        <v>#VALUE!</v>
      </c>
      <c r="N57">
        <f t="shared" si="14"/>
        <v>0</v>
      </c>
      <c r="P57" s="37" t="e">
        <f t="shared" si="15"/>
        <v>#VALUE!</v>
      </c>
      <c r="Q57" s="37" t="e">
        <f t="shared" si="19"/>
        <v>#VALUE!</v>
      </c>
      <c r="R57" s="37" t="e">
        <f t="shared" si="16"/>
        <v>#VALUE!</v>
      </c>
      <c r="S57" t="e">
        <f t="shared" si="20"/>
        <v>#VALUE!</v>
      </c>
      <c r="T57" t="e">
        <f t="shared" si="20"/>
        <v>#VALUE!</v>
      </c>
      <c r="U57" t="e">
        <f t="shared" si="20"/>
        <v>#VALUE!</v>
      </c>
    </row>
    <row r="58" spans="2:21" hidden="1" x14ac:dyDescent="0.2">
      <c r="B58" t="b">
        <f t="shared" si="21"/>
        <v>0</v>
      </c>
      <c r="C58" t="e">
        <f t="shared" si="22"/>
        <v>#VALUE!</v>
      </c>
      <c r="E58" s="38">
        <v>3</v>
      </c>
      <c r="F58" s="40" t="str">
        <f>$E$24</f>
        <v/>
      </c>
      <c r="H58" s="39" t="e">
        <f t="shared" si="11"/>
        <v>#VALUE!</v>
      </c>
      <c r="I58" t="e">
        <f t="shared" si="17"/>
        <v>#VALUE!</v>
      </c>
      <c r="J58" t="e">
        <f t="shared" si="23"/>
        <v>#VALUE!</v>
      </c>
      <c r="K58" t="e">
        <f t="shared" si="23"/>
        <v>#VALUE!</v>
      </c>
      <c r="L58" t="e">
        <f t="shared" si="12"/>
        <v>#VALUE!</v>
      </c>
      <c r="M58" t="e">
        <f t="shared" si="13"/>
        <v>#VALUE!</v>
      </c>
      <c r="N58">
        <f t="shared" si="14"/>
        <v>0</v>
      </c>
      <c r="P58" s="37" t="e">
        <f t="shared" si="15"/>
        <v>#VALUE!</v>
      </c>
      <c r="Q58" s="37" t="e">
        <f t="shared" si="19"/>
        <v>#VALUE!</v>
      </c>
      <c r="R58" s="37" t="e">
        <f t="shared" si="16"/>
        <v>#VALUE!</v>
      </c>
      <c r="S58" t="e">
        <f t="shared" si="20"/>
        <v>#VALUE!</v>
      </c>
      <c r="T58" t="e">
        <f t="shared" si="20"/>
        <v>#VALUE!</v>
      </c>
      <c r="U58" t="e">
        <f t="shared" si="20"/>
        <v>#VALUE!</v>
      </c>
    </row>
    <row r="59" spans="2:21" hidden="1" x14ac:dyDescent="0.2">
      <c r="B59" t="b">
        <f t="shared" si="21"/>
        <v>0</v>
      </c>
      <c r="C59" t="e">
        <f t="shared" si="22"/>
        <v>#VALUE!</v>
      </c>
      <c r="E59" s="38">
        <v>4</v>
      </c>
      <c r="F59" s="40" t="str">
        <f>$F$24</f>
        <v/>
      </c>
      <c r="H59" s="39" t="e">
        <f t="shared" si="11"/>
        <v>#VALUE!</v>
      </c>
      <c r="I59" t="e">
        <f t="shared" si="17"/>
        <v>#VALUE!</v>
      </c>
      <c r="J59" t="e">
        <f t="shared" si="23"/>
        <v>#VALUE!</v>
      </c>
      <c r="K59" t="e">
        <f t="shared" si="23"/>
        <v>#VALUE!</v>
      </c>
      <c r="L59" t="e">
        <f t="shared" si="12"/>
        <v>#VALUE!</v>
      </c>
      <c r="M59" t="e">
        <f t="shared" si="13"/>
        <v>#VALUE!</v>
      </c>
      <c r="N59">
        <f t="shared" si="14"/>
        <v>0</v>
      </c>
      <c r="P59" s="37" t="e">
        <f t="shared" si="15"/>
        <v>#VALUE!</v>
      </c>
      <c r="Q59" s="37" t="e">
        <f t="shared" si="19"/>
        <v>#VALUE!</v>
      </c>
      <c r="R59" s="37" t="e">
        <f t="shared" si="16"/>
        <v>#VALUE!</v>
      </c>
      <c r="S59" t="e">
        <f t="shared" si="20"/>
        <v>#VALUE!</v>
      </c>
      <c r="T59" t="e">
        <f t="shared" si="20"/>
        <v>#VALUE!</v>
      </c>
      <c r="U59" t="e">
        <f t="shared" si="20"/>
        <v>#VALUE!</v>
      </c>
    </row>
    <row r="60" spans="2:21" hidden="1" x14ac:dyDescent="0.2">
      <c r="B60" t="b">
        <f t="shared" si="21"/>
        <v>0</v>
      </c>
      <c r="C60" t="e">
        <f t="shared" si="22"/>
        <v>#VALUE!</v>
      </c>
      <c r="E60" s="38">
        <v>5</v>
      </c>
      <c r="F60" s="40" t="str">
        <f>$G$24</f>
        <v/>
      </c>
      <c r="H60" s="39" t="e">
        <f t="shared" si="11"/>
        <v>#VALUE!</v>
      </c>
      <c r="I60" t="e">
        <f t="shared" si="17"/>
        <v>#VALUE!</v>
      </c>
      <c r="J60" t="e">
        <f t="shared" si="23"/>
        <v>#VALUE!</v>
      </c>
      <c r="K60" t="e">
        <f t="shared" si="23"/>
        <v>#VALUE!</v>
      </c>
      <c r="L60" t="e">
        <f t="shared" si="12"/>
        <v>#VALUE!</v>
      </c>
      <c r="M60" t="e">
        <f t="shared" si="13"/>
        <v>#VALUE!</v>
      </c>
      <c r="N60">
        <f t="shared" si="14"/>
        <v>0</v>
      </c>
      <c r="P60" s="37" t="e">
        <f t="shared" si="15"/>
        <v>#VALUE!</v>
      </c>
      <c r="Q60" s="37" t="e">
        <f t="shared" si="19"/>
        <v>#VALUE!</v>
      </c>
      <c r="R60" s="37" t="e">
        <f t="shared" si="16"/>
        <v>#VALUE!</v>
      </c>
      <c r="S60" t="e">
        <f t="shared" si="20"/>
        <v>#VALUE!</v>
      </c>
      <c r="T60" t="e">
        <f t="shared" si="20"/>
        <v>#VALUE!</v>
      </c>
      <c r="U60" t="e">
        <f t="shared" si="20"/>
        <v>#VALUE!</v>
      </c>
    </row>
    <row r="61" spans="2:21" hidden="1" x14ac:dyDescent="0.2">
      <c r="B61" t="b">
        <f t="shared" si="21"/>
        <v>0</v>
      </c>
      <c r="C61" t="e">
        <f t="shared" si="22"/>
        <v>#VALUE!</v>
      </c>
      <c r="E61" s="38">
        <v>6</v>
      </c>
      <c r="F61" s="40" t="str">
        <f>$H$24</f>
        <v/>
      </c>
      <c r="H61" s="39" t="e">
        <f t="shared" si="11"/>
        <v>#VALUE!</v>
      </c>
      <c r="I61" t="e">
        <f t="shared" si="17"/>
        <v>#VALUE!</v>
      </c>
      <c r="J61" t="e">
        <f t="shared" si="23"/>
        <v>#VALUE!</v>
      </c>
      <c r="K61" t="e">
        <f t="shared" si="23"/>
        <v>#VALUE!</v>
      </c>
      <c r="L61" t="e">
        <f t="shared" si="12"/>
        <v>#VALUE!</v>
      </c>
      <c r="M61" t="e">
        <f t="shared" si="13"/>
        <v>#VALUE!</v>
      </c>
      <c r="N61">
        <f t="shared" si="14"/>
        <v>0</v>
      </c>
      <c r="P61" s="37" t="e">
        <f t="shared" si="15"/>
        <v>#VALUE!</v>
      </c>
      <c r="Q61" s="37" t="e">
        <f t="shared" si="19"/>
        <v>#VALUE!</v>
      </c>
      <c r="R61" s="37" t="e">
        <f t="shared" si="16"/>
        <v>#VALUE!</v>
      </c>
      <c r="S61" t="e">
        <f t="shared" si="20"/>
        <v>#VALUE!</v>
      </c>
      <c r="T61" t="e">
        <f t="shared" si="20"/>
        <v>#VALUE!</v>
      </c>
      <c r="U61" t="e">
        <f t="shared" si="20"/>
        <v>#VALUE!</v>
      </c>
    </row>
    <row r="62" spans="2:21" hidden="1" x14ac:dyDescent="0.2">
      <c r="B62" t="b">
        <f t="shared" si="21"/>
        <v>0</v>
      </c>
      <c r="C62" t="e">
        <f t="shared" si="22"/>
        <v>#VALUE!</v>
      </c>
      <c r="E62" s="38">
        <v>7</v>
      </c>
      <c r="F62" s="40" t="str">
        <f>$I$24</f>
        <v/>
      </c>
      <c r="H62" s="39" t="e">
        <f t="shared" si="11"/>
        <v>#VALUE!</v>
      </c>
      <c r="I62" t="e">
        <f t="shared" si="17"/>
        <v>#VALUE!</v>
      </c>
      <c r="J62" t="e">
        <f t="shared" si="23"/>
        <v>#VALUE!</v>
      </c>
      <c r="K62" t="e">
        <f t="shared" si="23"/>
        <v>#VALUE!</v>
      </c>
      <c r="L62" t="e">
        <f t="shared" si="12"/>
        <v>#VALUE!</v>
      </c>
      <c r="M62" t="e">
        <f t="shared" si="13"/>
        <v>#VALUE!</v>
      </c>
      <c r="N62">
        <f t="shared" si="14"/>
        <v>0</v>
      </c>
      <c r="P62" s="37" t="e">
        <f t="shared" si="15"/>
        <v>#VALUE!</v>
      </c>
      <c r="Q62" s="37" t="e">
        <f t="shared" si="19"/>
        <v>#VALUE!</v>
      </c>
      <c r="R62" s="37" t="e">
        <f t="shared" si="16"/>
        <v>#VALUE!</v>
      </c>
      <c r="S62" t="e">
        <f t="shared" si="20"/>
        <v>#VALUE!</v>
      </c>
      <c r="T62" t="e">
        <f t="shared" si="20"/>
        <v>#VALUE!</v>
      </c>
      <c r="U62" t="e">
        <f t="shared" si="20"/>
        <v>#VALUE!</v>
      </c>
    </row>
    <row r="63" spans="2:21" hidden="1" x14ac:dyDescent="0.2">
      <c r="B63" t="b">
        <f t="shared" si="21"/>
        <v>0</v>
      </c>
      <c r="C63" t="e">
        <f t="shared" si="22"/>
        <v>#VALUE!</v>
      </c>
      <c r="E63" s="38">
        <v>8</v>
      </c>
      <c r="F63" s="40" t="str">
        <f>$J$24</f>
        <v/>
      </c>
      <c r="H63" s="39" t="e">
        <f t="shared" si="11"/>
        <v>#VALUE!</v>
      </c>
      <c r="I63" t="e">
        <f t="shared" si="17"/>
        <v>#VALUE!</v>
      </c>
      <c r="J63" t="e">
        <f t="shared" si="23"/>
        <v>#VALUE!</v>
      </c>
      <c r="K63" t="e">
        <f t="shared" si="23"/>
        <v>#VALUE!</v>
      </c>
      <c r="L63" t="e">
        <f t="shared" si="12"/>
        <v>#VALUE!</v>
      </c>
      <c r="M63" t="e">
        <f t="shared" si="13"/>
        <v>#VALUE!</v>
      </c>
      <c r="N63">
        <f t="shared" si="14"/>
        <v>0</v>
      </c>
      <c r="P63" s="37" t="e">
        <f t="shared" si="15"/>
        <v>#VALUE!</v>
      </c>
      <c r="Q63" s="37" t="e">
        <f t="shared" si="19"/>
        <v>#VALUE!</v>
      </c>
      <c r="R63" s="37" t="e">
        <f t="shared" si="16"/>
        <v>#VALUE!</v>
      </c>
      <c r="S63" t="e">
        <f t="shared" si="20"/>
        <v>#VALUE!</v>
      </c>
      <c r="T63" t="e">
        <f t="shared" si="20"/>
        <v>#VALUE!</v>
      </c>
      <c r="U63" t="e">
        <f t="shared" si="20"/>
        <v>#VALUE!</v>
      </c>
    </row>
    <row r="64" spans="2:21" hidden="1" x14ac:dyDescent="0.2">
      <c r="B64" t="b">
        <f t="shared" si="21"/>
        <v>0</v>
      </c>
      <c r="C64" t="e">
        <f t="shared" si="22"/>
        <v>#VALUE!</v>
      </c>
      <c r="E64" s="38">
        <v>9</v>
      </c>
      <c r="F64" s="40" t="str">
        <f>$K$24</f>
        <v/>
      </c>
      <c r="H64" s="39" t="e">
        <f t="shared" si="11"/>
        <v>#VALUE!</v>
      </c>
      <c r="I64" t="e">
        <f t="shared" si="17"/>
        <v>#VALUE!</v>
      </c>
      <c r="J64" t="e">
        <f t="shared" si="23"/>
        <v>#VALUE!</v>
      </c>
      <c r="K64" t="e">
        <f t="shared" si="23"/>
        <v>#VALUE!</v>
      </c>
      <c r="L64" t="e">
        <f t="shared" si="12"/>
        <v>#VALUE!</v>
      </c>
      <c r="M64" t="e">
        <f t="shared" si="13"/>
        <v>#VALUE!</v>
      </c>
      <c r="N64">
        <f t="shared" si="14"/>
        <v>0</v>
      </c>
      <c r="P64" s="37" t="e">
        <f t="shared" si="15"/>
        <v>#VALUE!</v>
      </c>
      <c r="Q64" s="37" t="e">
        <f t="shared" si="19"/>
        <v>#VALUE!</v>
      </c>
      <c r="R64" s="37" t="e">
        <f t="shared" si="16"/>
        <v>#VALUE!</v>
      </c>
      <c r="S64" t="e">
        <f t="shared" si="20"/>
        <v>#VALUE!</v>
      </c>
      <c r="T64" t="e">
        <f t="shared" si="20"/>
        <v>#VALUE!</v>
      </c>
      <c r="U64" t="e">
        <f t="shared" si="20"/>
        <v>#VALUE!</v>
      </c>
    </row>
    <row r="65" spans="2:21" hidden="1" x14ac:dyDescent="0.2">
      <c r="B65" t="b">
        <f t="shared" si="21"/>
        <v>0</v>
      </c>
      <c r="C65" t="e">
        <f t="shared" si="22"/>
        <v>#VALUE!</v>
      </c>
      <c r="E65" s="38">
        <v>10</v>
      </c>
      <c r="F65" s="40" t="str">
        <f>$L$24</f>
        <v/>
      </c>
      <c r="H65" s="39" t="e">
        <f t="shared" si="11"/>
        <v>#VALUE!</v>
      </c>
      <c r="I65" t="e">
        <f t="shared" si="17"/>
        <v>#VALUE!</v>
      </c>
      <c r="J65" t="e">
        <f t="shared" si="23"/>
        <v>#VALUE!</v>
      </c>
      <c r="K65" t="e">
        <f t="shared" si="23"/>
        <v>#VALUE!</v>
      </c>
      <c r="L65" t="e">
        <f t="shared" si="12"/>
        <v>#VALUE!</v>
      </c>
      <c r="M65" t="e">
        <f t="shared" si="13"/>
        <v>#VALUE!</v>
      </c>
      <c r="N65">
        <f t="shared" si="14"/>
        <v>0</v>
      </c>
      <c r="P65" s="37" t="e">
        <f t="shared" si="15"/>
        <v>#VALUE!</v>
      </c>
      <c r="Q65" s="37" t="e">
        <f t="shared" si="19"/>
        <v>#VALUE!</v>
      </c>
      <c r="R65" s="37" t="e">
        <f t="shared" si="16"/>
        <v>#VALUE!</v>
      </c>
      <c r="S65" t="e">
        <f t="shared" si="20"/>
        <v>#VALUE!</v>
      </c>
      <c r="T65" t="e">
        <f t="shared" si="20"/>
        <v>#VALUE!</v>
      </c>
      <c r="U65" t="e">
        <f t="shared" si="20"/>
        <v>#VALUE!</v>
      </c>
    </row>
  </sheetData>
  <sheetProtection password="E8B5" sheet="1" objects="1" scenarios="1"/>
  <mergeCells count="16">
    <mergeCell ref="E34:F34"/>
    <mergeCell ref="B1:L1"/>
    <mergeCell ref="K8:K9"/>
    <mergeCell ref="H4:I5"/>
    <mergeCell ref="H6:I7"/>
    <mergeCell ref="H8:I9"/>
    <mergeCell ref="H3:I3"/>
    <mergeCell ref="E5:F5"/>
    <mergeCell ref="E4:F4"/>
    <mergeCell ref="E7:F7"/>
    <mergeCell ref="E8:F8"/>
    <mergeCell ref="J4:J5"/>
    <mergeCell ref="J6:J7"/>
    <mergeCell ref="J8:J9"/>
    <mergeCell ref="K4:K5"/>
    <mergeCell ref="K6:K7"/>
  </mergeCells>
  <phoneticPr fontId="0" type="noConversion"/>
  <conditionalFormatting sqref="U3">
    <cfRule type="dataBar" priority="4">
      <dataBar>
        <cfvo type="min"/>
        <cfvo type="max"/>
        <color rgb="FF008AEF"/>
      </dataBar>
    </cfRule>
    <cfRule type="notContainsBlanks" dxfId="1" priority="5">
      <formula>LEN(TRIM(U3))&gt;0</formula>
    </cfRule>
    <cfRule type="notContainsBlanks" priority="6">
      <formula>LEN(TRIM(U3))&gt;0</formula>
    </cfRule>
  </conditionalFormatting>
  <conditionalFormatting sqref="F36:F65">
    <cfRule type="dataBar" priority="10">
      <dataBar>
        <cfvo type="min"/>
        <cfvo type="max"/>
        <color rgb="FF008AEF"/>
      </dataBar>
    </cfRule>
    <cfRule type="notContainsBlanks" dxfId="0" priority="11">
      <formula>LEN(TRIM(F36))&gt;0</formula>
    </cfRule>
    <cfRule type="notContainsBlanks" priority="12">
      <formula>LEN(TRIM(F36))&gt;0</formula>
    </cfRule>
  </conditionalFormatting>
  <dataValidations count="4">
    <dataValidation type="list" allowBlank="1" showInputMessage="1" showErrorMessage="1" sqref="C5:C7" xr:uid="{00000000-0002-0000-0500-000000000000}">
      <formula1>$R$3:$R$13</formula1>
    </dataValidation>
    <dataValidation type="list" allowBlank="1" showInputMessage="1" showErrorMessage="1" sqref="D35" xr:uid="{00000000-0002-0000-0500-000001000000}">
      <formula1>$Y$3:$Y$4</formula1>
    </dataValidation>
    <dataValidation type="list" allowBlank="1" showInputMessage="1" showErrorMessage="1" sqref="G5" xr:uid="{00000000-0002-0000-0500-000002000000}">
      <formula1>"Sarsahi,Square Foot"</formula1>
    </dataValidation>
    <dataValidation type="list" allowBlank="1" showInputMessage="1" showErrorMessage="1" sqref="G8" xr:uid="{00000000-0002-0000-0500-000003000000}">
      <formula1>"225,272"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theme="8" tint="-0.249977111117893"/>
  </sheetPr>
  <dimension ref="A1:AA48"/>
  <sheetViews>
    <sheetView showGridLines="0" showRowColHeaders="0" topLeftCell="I1" workbookViewId="0">
      <selection activeCell="J12" sqref="J12"/>
    </sheetView>
  </sheetViews>
  <sheetFormatPr defaultColWidth="0" defaultRowHeight="12.75" zeroHeight="1" x14ac:dyDescent="0.2"/>
  <cols>
    <col min="1" max="8" width="9.140625" style="4" hidden="1" customWidth="1"/>
    <col min="9" max="9" width="9.140625" style="4" customWidth="1"/>
    <col min="10" max="10" width="12.5703125" style="4" customWidth="1"/>
    <col min="11" max="11" width="17.42578125" style="4" customWidth="1"/>
    <col min="12" max="23" width="9.140625" style="4" customWidth="1"/>
    <col min="24" max="26" width="9.140625" style="4" hidden="1" customWidth="1"/>
    <col min="27" max="27" width="10.7109375" style="4" hidden="1" customWidth="1"/>
    <col min="28" max="16384" width="9.140625" style="4" hidden="1"/>
  </cols>
  <sheetData>
    <row r="1" spans="1:23" ht="36" customHeight="1" x14ac:dyDescent="0.2">
      <c r="I1" s="233" t="s">
        <v>16</v>
      </c>
      <c r="J1" s="233"/>
      <c r="K1" s="233"/>
      <c r="L1" s="233"/>
      <c r="M1" s="233"/>
      <c r="N1" s="233"/>
      <c r="O1" s="233"/>
      <c r="P1" s="233"/>
      <c r="Q1" s="233"/>
      <c r="R1" s="233"/>
      <c r="S1" s="233"/>
      <c r="T1" s="233"/>
      <c r="U1" s="233"/>
      <c r="V1" s="233"/>
      <c r="W1" s="233"/>
    </row>
    <row r="2" spans="1:23" s="3" customFormat="1" ht="13.5" thickBot="1" x14ac:dyDescent="0.25"/>
    <row r="3" spans="1:23" ht="13.5" thickBot="1" x14ac:dyDescent="0.25">
      <c r="A3" s="3"/>
      <c r="B3" s="3"/>
      <c r="C3" s="3"/>
      <c r="D3" s="3"/>
      <c r="E3" s="3">
        <f>N3+1</f>
        <v>49</v>
      </c>
      <c r="F3" s="3"/>
      <c r="G3" s="3"/>
      <c r="H3" s="3"/>
      <c r="I3" s="3"/>
      <c r="J3" s="3"/>
      <c r="K3" s="3"/>
      <c r="L3" s="3"/>
      <c r="M3" s="3"/>
      <c r="N3" s="132">
        <v>48</v>
      </c>
      <c r="P3" s="112"/>
      <c r="T3" s="2">
        <f>360/3</f>
        <v>120</v>
      </c>
    </row>
    <row r="4" spans="1:23" x14ac:dyDescent="0.2"/>
    <row r="5" spans="1:23" ht="13.5" thickBot="1" x14ac:dyDescent="0.25"/>
    <row r="6" spans="1:23" ht="13.5" thickBot="1" x14ac:dyDescent="0.25">
      <c r="J6" s="1" t="s">
        <v>7</v>
      </c>
      <c r="L6" s="97" t="s">
        <v>0</v>
      </c>
      <c r="M6" s="98" t="s">
        <v>1</v>
      </c>
      <c r="N6" s="98" t="s">
        <v>2</v>
      </c>
      <c r="O6" s="99" t="s">
        <v>3</v>
      </c>
      <c r="P6" s="99" t="s">
        <v>6</v>
      </c>
      <c r="R6" s="170" t="s">
        <v>5</v>
      </c>
    </row>
    <row r="7" spans="1:23" ht="13.5" thickBot="1" x14ac:dyDescent="0.25">
      <c r="J7" s="133">
        <v>4</v>
      </c>
      <c r="K7" s="169" t="s">
        <v>52</v>
      </c>
      <c r="L7" s="113">
        <v>2</v>
      </c>
      <c r="M7" s="114">
        <v>1</v>
      </c>
      <c r="N7" s="114">
        <v>1</v>
      </c>
      <c r="O7" s="115"/>
      <c r="P7" s="115"/>
      <c r="R7" s="171">
        <f>SUM(L7:P7)</f>
        <v>4</v>
      </c>
      <c r="T7" s="18">
        <f>J7-R7</f>
        <v>0</v>
      </c>
    </row>
    <row r="8" spans="1:23" ht="13.5" hidden="1" thickBot="1" x14ac:dyDescent="0.25">
      <c r="A8" s="4">
        <f>B8-INT(B8)</f>
        <v>0</v>
      </c>
      <c r="B8" s="5">
        <f>IF(SUM(C8:D8)=0,0,D8/C8)</f>
        <v>8</v>
      </c>
      <c r="C8" s="6">
        <f>IF(OR(L9="",L9=0),1,L9)</f>
        <v>3</v>
      </c>
      <c r="D8" s="6">
        <f>$N$3*E8</f>
        <v>24</v>
      </c>
      <c r="E8" s="7">
        <f>IF(OR(F8=0,F9=0),0,F8/F9)</f>
        <v>0.5</v>
      </c>
      <c r="F8" s="8">
        <f>L7</f>
        <v>2</v>
      </c>
      <c r="H8" s="4">
        <f>B8</f>
        <v>8</v>
      </c>
      <c r="K8" s="9" t="s">
        <v>4</v>
      </c>
      <c r="L8" s="152">
        <f>$J$7</f>
        <v>4</v>
      </c>
      <c r="M8" s="152">
        <f t="shared" ref="M8:N8" si="0">$J$7</f>
        <v>4</v>
      </c>
      <c r="N8" s="152">
        <f t="shared" si="0"/>
        <v>4</v>
      </c>
      <c r="O8" s="153">
        <f>$J$7</f>
        <v>4</v>
      </c>
      <c r="P8" s="153">
        <f>$J$7</f>
        <v>4</v>
      </c>
      <c r="Q8" s="17">
        <f>R7/P8</f>
        <v>1</v>
      </c>
    </row>
    <row r="9" spans="1:23" ht="13.5" customHeight="1" thickBot="1" x14ac:dyDescent="0.25">
      <c r="B9" s="10"/>
      <c r="C9" s="11"/>
      <c r="D9" s="11"/>
      <c r="E9" s="11"/>
      <c r="F9" s="12">
        <f>L8</f>
        <v>4</v>
      </c>
      <c r="H9" s="4">
        <f>N3</f>
        <v>48</v>
      </c>
      <c r="K9" s="237" t="s">
        <v>442</v>
      </c>
      <c r="L9" s="116">
        <v>3</v>
      </c>
      <c r="M9" s="117">
        <v>2</v>
      </c>
      <c r="N9" s="117">
        <v>4</v>
      </c>
      <c r="O9" s="118"/>
      <c r="P9" s="118"/>
    </row>
    <row r="10" spans="1:23" ht="28.5" customHeight="1" thickBot="1" x14ac:dyDescent="0.25">
      <c r="A10" s="4">
        <f>B10-INT(B10)</f>
        <v>0</v>
      </c>
      <c r="B10" s="5">
        <f>IF(SUM(C10:D10)=0,0,D10/C10)</f>
        <v>6</v>
      </c>
      <c r="C10" s="6">
        <f>IF(OR(M9="",M9=0),1,M9)</f>
        <v>2</v>
      </c>
      <c r="D10" s="6">
        <f>$N$3*E10</f>
        <v>12</v>
      </c>
      <c r="E10" s="7">
        <f>IF(OR(F10=0,F11=0),0,F10/F11)</f>
        <v>0.25</v>
      </c>
      <c r="F10" s="8">
        <f>M7</f>
        <v>1</v>
      </c>
      <c r="H10" s="4">
        <f>B10</f>
        <v>6</v>
      </c>
      <c r="K10" s="237"/>
      <c r="L10" s="100" t="str">
        <f>IF(L7="","",M36)</f>
        <v>1/6</v>
      </c>
      <c r="M10" s="100" t="str">
        <f>IF(M7="","",M39)</f>
        <v>1/8</v>
      </c>
      <c r="N10" s="100" t="str">
        <f>IF(N7="","",M42)</f>
        <v>1/16</v>
      </c>
      <c r="O10" s="100" t="str">
        <f>IF(O7="","",M45)</f>
        <v/>
      </c>
      <c r="P10" s="100" t="str">
        <f>IF(P7="","",M48)</f>
        <v/>
      </c>
    </row>
    <row r="11" spans="1:23" ht="13.5" thickBot="1" x14ac:dyDescent="0.25">
      <c r="B11" s="10"/>
      <c r="C11" s="11"/>
      <c r="D11" s="11"/>
      <c r="E11" s="11"/>
      <c r="F11" s="12">
        <f>M8</f>
        <v>4</v>
      </c>
      <c r="H11" s="4">
        <f>$N$3</f>
        <v>48</v>
      </c>
    </row>
    <row r="12" spans="1:23" ht="13.5" thickBot="1" x14ac:dyDescent="0.25">
      <c r="A12" s="4">
        <f>B12-INT(B12)</f>
        <v>0</v>
      </c>
      <c r="B12" s="5">
        <f>IF(SUM(C12:D12)=0,0,D12/C12)</f>
        <v>3</v>
      </c>
      <c r="C12" s="6">
        <f>IF(OR(N9="",N9=0),1,N9)</f>
        <v>4</v>
      </c>
      <c r="D12" s="6">
        <f>$N$3*E12</f>
        <v>12</v>
      </c>
      <c r="E12" s="7">
        <f>IF(OR(F12=0,F13=0),0,F12/F13)</f>
        <v>0.25</v>
      </c>
      <c r="F12" s="8">
        <f>N7</f>
        <v>1</v>
      </c>
      <c r="H12" s="4">
        <f>B12</f>
        <v>3</v>
      </c>
    </row>
    <row r="13" spans="1:23" ht="13.5" thickBot="1" x14ac:dyDescent="0.25">
      <c r="B13" s="10"/>
      <c r="C13" s="11"/>
      <c r="D13" s="11"/>
      <c r="E13" s="11"/>
      <c r="F13" s="12">
        <f>N8</f>
        <v>4</v>
      </c>
      <c r="H13" s="4">
        <f>$N$3</f>
        <v>48</v>
      </c>
      <c r="K13" s="101"/>
      <c r="L13" s="102">
        <v>1</v>
      </c>
      <c r="M13" s="102">
        <v>2</v>
      </c>
      <c r="N13" s="102">
        <v>3</v>
      </c>
      <c r="O13" s="102">
        <v>4</v>
      </c>
      <c r="P13" s="102">
        <v>5</v>
      </c>
      <c r="Q13" s="102">
        <v>6</v>
      </c>
      <c r="R13" s="102">
        <v>7</v>
      </c>
      <c r="S13" s="102">
        <v>8</v>
      </c>
      <c r="T13" s="102">
        <v>9</v>
      </c>
      <c r="U13" s="103">
        <v>10</v>
      </c>
      <c r="V13" s="16" t="s">
        <v>5</v>
      </c>
    </row>
    <row r="14" spans="1:23" x14ac:dyDescent="0.2">
      <c r="A14" s="4">
        <f>B14-INT(B14)</f>
        <v>0</v>
      </c>
      <c r="B14" s="5">
        <f>IF(SUM(C14:D14)=0,0,D14/C14)</f>
        <v>0</v>
      </c>
      <c r="C14" s="6">
        <f>IF(OR(O9="",O9=0),1,O9)</f>
        <v>1</v>
      </c>
      <c r="D14" s="6">
        <f>$N$3*E14</f>
        <v>0</v>
      </c>
      <c r="E14" s="7">
        <f>IF(OR(F14=0,F15=0),0,F14/F15)</f>
        <v>0</v>
      </c>
      <c r="F14" s="8">
        <f>O7</f>
        <v>0</v>
      </c>
      <c r="H14" s="4">
        <f>B14</f>
        <v>0</v>
      </c>
      <c r="K14" s="236" t="s">
        <v>0</v>
      </c>
      <c r="L14" s="104">
        <f>IF(L13&lt;=$L$9,$H$8,"")</f>
        <v>8</v>
      </c>
      <c r="M14" s="104">
        <f t="shared" ref="M14:T14" si="1">IF(M13&lt;=$L$9,$H$8,"")</f>
        <v>8</v>
      </c>
      <c r="N14" s="104">
        <f t="shared" si="1"/>
        <v>8</v>
      </c>
      <c r="O14" s="104" t="str">
        <f t="shared" si="1"/>
        <v/>
      </c>
      <c r="P14" s="104" t="str">
        <f t="shared" si="1"/>
        <v/>
      </c>
      <c r="Q14" s="104" t="str">
        <f t="shared" si="1"/>
        <v/>
      </c>
      <c r="R14" s="104" t="str">
        <f t="shared" si="1"/>
        <v/>
      </c>
      <c r="S14" s="104" t="str">
        <f t="shared" si="1"/>
        <v/>
      </c>
      <c r="T14" s="104" t="str">
        <f t="shared" si="1"/>
        <v/>
      </c>
      <c r="U14" s="105"/>
      <c r="V14" s="13">
        <f>SUM(L14:U14)</f>
        <v>24</v>
      </c>
    </row>
    <row r="15" spans="1:23" ht="13.5" thickBot="1" x14ac:dyDescent="0.25">
      <c r="B15" s="10"/>
      <c r="C15" s="11"/>
      <c r="D15" s="11"/>
      <c r="E15" s="11"/>
      <c r="F15" s="12">
        <f>O8</f>
        <v>4</v>
      </c>
      <c r="H15" s="4">
        <f>$N$3</f>
        <v>48</v>
      </c>
      <c r="K15" s="235"/>
      <c r="L15" s="106">
        <f>IF(L13&lt;=$L$9,$H$9,"")</f>
        <v>48</v>
      </c>
      <c r="M15" s="106">
        <f t="shared" ref="M15:T15" si="2">IF(M13&lt;=$L$9,$H$9,"")</f>
        <v>48</v>
      </c>
      <c r="N15" s="106">
        <f t="shared" si="2"/>
        <v>48</v>
      </c>
      <c r="O15" s="106" t="str">
        <f t="shared" si="2"/>
        <v/>
      </c>
      <c r="P15" s="106" t="str">
        <f t="shared" si="2"/>
        <v/>
      </c>
      <c r="Q15" s="106" t="str">
        <f t="shared" si="2"/>
        <v/>
      </c>
      <c r="R15" s="106" t="str">
        <f t="shared" si="2"/>
        <v/>
      </c>
      <c r="S15" s="106" t="str">
        <f t="shared" si="2"/>
        <v/>
      </c>
      <c r="T15" s="106" t="str">
        <f t="shared" si="2"/>
        <v/>
      </c>
      <c r="U15" s="107"/>
    </row>
    <row r="16" spans="1:23" ht="13.5" thickBot="1" x14ac:dyDescent="0.25">
      <c r="A16" s="4">
        <f>B16-INT(B16)</f>
        <v>0</v>
      </c>
      <c r="B16" s="5">
        <f>IF(SUM(C16:D16)=0,0,D16/C16)</f>
        <v>0</v>
      </c>
      <c r="C16" s="6">
        <f>IF(OR(P9="",P9=0),1,P9)</f>
        <v>1</v>
      </c>
      <c r="D16" s="6">
        <f>$N$3*E16</f>
        <v>0</v>
      </c>
      <c r="E16" s="7">
        <f>IF(OR(F16=0,F17=0),0,F16/F17)</f>
        <v>0</v>
      </c>
      <c r="F16" s="8">
        <f>P7</f>
        <v>0</v>
      </c>
      <c r="H16" s="4">
        <f>B16</f>
        <v>0</v>
      </c>
    </row>
    <row r="17" spans="2:27" ht="13.5" thickBot="1" x14ac:dyDescent="0.25">
      <c r="B17" s="10"/>
      <c r="C17" s="11"/>
      <c r="D17" s="11"/>
      <c r="E17" s="11"/>
      <c r="F17" s="12">
        <f>P8</f>
        <v>4</v>
      </c>
      <c r="H17" s="4">
        <f>$N$3</f>
        <v>48</v>
      </c>
      <c r="K17" s="234" t="s">
        <v>1</v>
      </c>
      <c r="L17" s="108">
        <f>IF(L13&lt;=$M$9,$H$10,"")</f>
        <v>6</v>
      </c>
      <c r="M17" s="108">
        <f t="shared" ref="M17:T17" si="3">IF(M13&lt;=$M$9,$H$10,"")</f>
        <v>6</v>
      </c>
      <c r="N17" s="108" t="str">
        <f t="shared" si="3"/>
        <v/>
      </c>
      <c r="O17" s="108" t="str">
        <f t="shared" si="3"/>
        <v/>
      </c>
      <c r="P17" s="108" t="str">
        <f t="shared" si="3"/>
        <v/>
      </c>
      <c r="Q17" s="108" t="str">
        <f t="shared" si="3"/>
        <v/>
      </c>
      <c r="R17" s="108" t="str">
        <f t="shared" si="3"/>
        <v/>
      </c>
      <c r="S17" s="108" t="str">
        <f t="shared" si="3"/>
        <v/>
      </c>
      <c r="T17" s="108" t="str">
        <f t="shared" si="3"/>
        <v/>
      </c>
      <c r="U17" s="109"/>
      <c r="V17" s="13">
        <f>SUM(L17:U17)</f>
        <v>12</v>
      </c>
    </row>
    <row r="18" spans="2:27" ht="13.5" thickBot="1" x14ac:dyDescent="0.25">
      <c r="K18" s="235"/>
      <c r="L18" s="106">
        <f>IF(L13&lt;=$M$9,$H$11,"")</f>
        <v>48</v>
      </c>
      <c r="M18" s="106">
        <f t="shared" ref="M18:U18" si="4">IF(M13&lt;=$M$9,$H$11,"")</f>
        <v>48</v>
      </c>
      <c r="N18" s="106" t="str">
        <f t="shared" si="4"/>
        <v/>
      </c>
      <c r="O18" s="106" t="str">
        <f t="shared" si="4"/>
        <v/>
      </c>
      <c r="P18" s="106" t="str">
        <f t="shared" si="4"/>
        <v/>
      </c>
      <c r="Q18" s="106" t="str">
        <f t="shared" si="4"/>
        <v/>
      </c>
      <c r="R18" s="106" t="str">
        <f t="shared" si="4"/>
        <v/>
      </c>
      <c r="S18" s="106" t="str">
        <f t="shared" si="4"/>
        <v/>
      </c>
      <c r="T18" s="106" t="str">
        <f t="shared" si="4"/>
        <v/>
      </c>
      <c r="U18" s="107" t="str">
        <f t="shared" si="4"/>
        <v/>
      </c>
    </row>
    <row r="19" spans="2:27" ht="13.5" thickBot="1" x14ac:dyDescent="0.25">
      <c r="E19" s="14">
        <f ca="1">SUMIF(E8:E17,"&gt;0",E8:E14)</f>
        <v>1</v>
      </c>
    </row>
    <row r="20" spans="2:27" x14ac:dyDescent="0.2">
      <c r="K20" s="234" t="s">
        <v>2</v>
      </c>
      <c r="L20" s="108">
        <f>IF(L13&lt;=$N$9,$H$12,"")</f>
        <v>3</v>
      </c>
      <c r="M20" s="108">
        <f t="shared" ref="M20:U20" si="5">IF(M13&lt;=$N$9,$H$12,"")</f>
        <v>3</v>
      </c>
      <c r="N20" s="108">
        <f t="shared" si="5"/>
        <v>3</v>
      </c>
      <c r="O20" s="108">
        <f t="shared" si="5"/>
        <v>3</v>
      </c>
      <c r="P20" s="108" t="str">
        <f t="shared" si="5"/>
        <v/>
      </c>
      <c r="Q20" s="108" t="str">
        <f t="shared" si="5"/>
        <v/>
      </c>
      <c r="R20" s="108" t="str">
        <f t="shared" si="5"/>
        <v/>
      </c>
      <c r="S20" s="108" t="str">
        <f t="shared" si="5"/>
        <v/>
      </c>
      <c r="T20" s="108" t="str">
        <f t="shared" si="5"/>
        <v/>
      </c>
      <c r="U20" s="109" t="str">
        <f t="shared" si="5"/>
        <v/>
      </c>
      <c r="V20" s="13">
        <f>SUM(L20:U20)</f>
        <v>12</v>
      </c>
    </row>
    <row r="21" spans="2:27" ht="13.5" thickBot="1" x14ac:dyDescent="0.25">
      <c r="B21" s="4">
        <f>SUM(A8:A15)</f>
        <v>0</v>
      </c>
      <c r="K21" s="235"/>
      <c r="L21" s="106">
        <f>IF(L13&lt;=$N$9,$H$13,"")</f>
        <v>48</v>
      </c>
      <c r="M21" s="106">
        <f t="shared" ref="M21:U21" si="6">IF(M13&lt;=$N$9,$H$13,"")</f>
        <v>48</v>
      </c>
      <c r="N21" s="106">
        <f t="shared" si="6"/>
        <v>48</v>
      </c>
      <c r="O21" s="106">
        <f t="shared" si="6"/>
        <v>48</v>
      </c>
      <c r="P21" s="106" t="str">
        <f t="shared" si="6"/>
        <v/>
      </c>
      <c r="Q21" s="106" t="str">
        <f t="shared" si="6"/>
        <v/>
      </c>
      <c r="R21" s="106" t="str">
        <f t="shared" si="6"/>
        <v/>
      </c>
      <c r="S21" s="106" t="str">
        <f t="shared" si="6"/>
        <v/>
      </c>
      <c r="T21" s="106" t="str">
        <f t="shared" si="6"/>
        <v/>
      </c>
      <c r="U21" s="107" t="str">
        <f t="shared" si="6"/>
        <v/>
      </c>
    </row>
    <row r="22" spans="2:27" ht="13.5" thickBot="1" x14ac:dyDescent="0.25"/>
    <row r="23" spans="2:27" x14ac:dyDescent="0.2">
      <c r="K23" s="234" t="s">
        <v>3</v>
      </c>
      <c r="L23" s="108" t="str">
        <f>IF(L13&lt;=$O$9,$H$14,"")</f>
        <v/>
      </c>
      <c r="M23" s="108" t="str">
        <f t="shared" ref="M23:U23" si="7">IF(M13&lt;=$O$9,$H$14,"")</f>
        <v/>
      </c>
      <c r="N23" s="108" t="str">
        <f t="shared" si="7"/>
        <v/>
      </c>
      <c r="O23" s="108" t="str">
        <f t="shared" si="7"/>
        <v/>
      </c>
      <c r="P23" s="108" t="str">
        <f t="shared" si="7"/>
        <v/>
      </c>
      <c r="Q23" s="108" t="str">
        <f t="shared" si="7"/>
        <v/>
      </c>
      <c r="R23" s="108" t="str">
        <f t="shared" si="7"/>
        <v/>
      </c>
      <c r="S23" s="108" t="str">
        <f t="shared" si="7"/>
        <v/>
      </c>
      <c r="T23" s="108" t="str">
        <f t="shared" si="7"/>
        <v/>
      </c>
      <c r="U23" s="109" t="str">
        <f t="shared" si="7"/>
        <v/>
      </c>
      <c r="V23" s="13">
        <f>SUM(L23:U23)</f>
        <v>0</v>
      </c>
    </row>
    <row r="24" spans="2:27" ht="13.5" thickBot="1" x14ac:dyDescent="0.25">
      <c r="K24" s="235"/>
      <c r="L24" s="106" t="str">
        <f>IF(L13&lt;=$O$9,$H$15,"")</f>
        <v/>
      </c>
      <c r="M24" s="106" t="str">
        <f t="shared" ref="M24:U24" si="8">IF(M13&lt;=$O$9,$H$15,"")</f>
        <v/>
      </c>
      <c r="N24" s="106" t="str">
        <f t="shared" si="8"/>
        <v/>
      </c>
      <c r="O24" s="106" t="str">
        <f t="shared" si="8"/>
        <v/>
      </c>
      <c r="P24" s="106" t="str">
        <f t="shared" si="8"/>
        <v/>
      </c>
      <c r="Q24" s="106" t="str">
        <f t="shared" si="8"/>
        <v/>
      </c>
      <c r="R24" s="106" t="str">
        <f t="shared" si="8"/>
        <v/>
      </c>
      <c r="S24" s="106" t="str">
        <f t="shared" si="8"/>
        <v/>
      </c>
      <c r="T24" s="106" t="str">
        <f t="shared" si="8"/>
        <v/>
      </c>
      <c r="U24" s="107" t="str">
        <f t="shared" si="8"/>
        <v/>
      </c>
    </row>
    <row r="25" spans="2:27" ht="13.5" thickBot="1" x14ac:dyDescent="0.25"/>
    <row r="26" spans="2:27" x14ac:dyDescent="0.2">
      <c r="K26" s="234" t="s">
        <v>6</v>
      </c>
      <c r="L26" s="108" t="str">
        <f>IF(L13&lt;=$P$9,$H$16,"")</f>
        <v/>
      </c>
      <c r="M26" s="108" t="str">
        <f t="shared" ref="M26:U26" si="9">IF(M13&lt;=$P$9,$H$16,"")</f>
        <v/>
      </c>
      <c r="N26" s="108" t="str">
        <f t="shared" si="9"/>
        <v/>
      </c>
      <c r="O26" s="108" t="str">
        <f t="shared" si="9"/>
        <v/>
      </c>
      <c r="P26" s="108" t="str">
        <f t="shared" si="9"/>
        <v/>
      </c>
      <c r="Q26" s="108" t="str">
        <f t="shared" si="9"/>
        <v/>
      </c>
      <c r="R26" s="108" t="str">
        <f t="shared" si="9"/>
        <v/>
      </c>
      <c r="S26" s="108" t="str">
        <f t="shared" si="9"/>
        <v/>
      </c>
      <c r="T26" s="108" t="str">
        <f t="shared" si="9"/>
        <v/>
      </c>
      <c r="U26" s="109" t="str">
        <f t="shared" si="9"/>
        <v/>
      </c>
      <c r="V26" s="13">
        <f>SUM(L26:U26)</f>
        <v>0</v>
      </c>
    </row>
    <row r="27" spans="2:27" ht="13.5" thickBot="1" x14ac:dyDescent="0.25">
      <c r="K27" s="235"/>
      <c r="L27" s="106" t="str">
        <f>IF(L13&lt;=$P$9,$H$17,"")</f>
        <v/>
      </c>
      <c r="M27" s="106" t="str">
        <f t="shared" ref="M27:U27" si="10">IF(M13&lt;=$P$9,$H$17,"")</f>
        <v/>
      </c>
      <c r="N27" s="106" t="str">
        <f t="shared" si="10"/>
        <v/>
      </c>
      <c r="O27" s="106" t="str">
        <f t="shared" si="10"/>
        <v/>
      </c>
      <c r="P27" s="106" t="str">
        <f t="shared" si="10"/>
        <v/>
      </c>
      <c r="Q27" s="106" t="str">
        <f t="shared" si="10"/>
        <v/>
      </c>
      <c r="R27" s="106" t="str">
        <f t="shared" si="10"/>
        <v/>
      </c>
      <c r="S27" s="106" t="str">
        <f t="shared" si="10"/>
        <v/>
      </c>
      <c r="T27" s="106" t="str">
        <f t="shared" si="10"/>
        <v/>
      </c>
      <c r="U27" s="107" t="str">
        <f t="shared" si="10"/>
        <v/>
      </c>
    </row>
    <row r="28" spans="2:27" x14ac:dyDescent="0.2">
      <c r="AA28" s="15"/>
    </row>
    <row r="29" spans="2:27" x14ac:dyDescent="0.2">
      <c r="V29" s="4">
        <f>SUM(V14:V28)</f>
        <v>48</v>
      </c>
    </row>
    <row r="30" spans="2:27" x14ac:dyDescent="0.2"/>
    <row r="31" spans="2:27" x14ac:dyDescent="0.2"/>
    <row r="32" spans="2:27" x14ac:dyDescent="0.2"/>
    <row r="33" spans="12:13" x14ac:dyDescent="0.2"/>
    <row r="34" spans="12:13" hidden="1" x14ac:dyDescent="0.2">
      <c r="L34" s="110">
        <f>GCD(L14,L15)</f>
        <v>8</v>
      </c>
    </row>
    <row r="35" spans="12:13" hidden="1" x14ac:dyDescent="0.2">
      <c r="L35" s="111">
        <f>L14/L34</f>
        <v>1</v>
      </c>
    </row>
    <row r="36" spans="12:13" hidden="1" x14ac:dyDescent="0.2">
      <c r="L36" s="111">
        <f>L15/L34</f>
        <v>6</v>
      </c>
      <c r="M36" s="4" t="str">
        <f>CONCATENATE(L35,"/",L36)</f>
        <v>1/6</v>
      </c>
    </row>
    <row r="37" spans="12:13" hidden="1" x14ac:dyDescent="0.2">
      <c r="L37" s="110">
        <f>GCD(L17,L18)</f>
        <v>6</v>
      </c>
    </row>
    <row r="38" spans="12:13" hidden="1" x14ac:dyDescent="0.2">
      <c r="L38" s="111">
        <f>L17/L37</f>
        <v>1</v>
      </c>
    </row>
    <row r="39" spans="12:13" hidden="1" x14ac:dyDescent="0.2">
      <c r="L39" s="111">
        <f>L18/L37</f>
        <v>8</v>
      </c>
      <c r="M39" s="4" t="str">
        <f>CONCATENATE(L38,"/",L39)</f>
        <v>1/8</v>
      </c>
    </row>
    <row r="40" spans="12:13" hidden="1" x14ac:dyDescent="0.2">
      <c r="L40" s="110">
        <f>GCD(L20,L21)</f>
        <v>3</v>
      </c>
    </row>
    <row r="41" spans="12:13" hidden="1" x14ac:dyDescent="0.2">
      <c r="L41" s="111">
        <f>L20/L40</f>
        <v>1</v>
      </c>
    </row>
    <row r="42" spans="12:13" hidden="1" x14ac:dyDescent="0.2">
      <c r="L42" s="111">
        <f>L21/L40</f>
        <v>16</v>
      </c>
      <c r="M42" s="4" t="str">
        <f>CONCATENATE(L41,"/",L42)</f>
        <v>1/16</v>
      </c>
    </row>
    <row r="43" spans="12:13" hidden="1" x14ac:dyDescent="0.2">
      <c r="L43" s="110" t="e">
        <f>GCD(L23,L24)</f>
        <v>#VALUE!</v>
      </c>
    </row>
    <row r="44" spans="12:13" hidden="1" x14ac:dyDescent="0.2">
      <c r="L44" s="111" t="e">
        <f>L23/L43</f>
        <v>#VALUE!</v>
      </c>
    </row>
    <row r="45" spans="12:13" hidden="1" x14ac:dyDescent="0.2">
      <c r="L45" s="111" t="e">
        <f>L24/L43</f>
        <v>#VALUE!</v>
      </c>
      <c r="M45" s="4" t="e">
        <f>CONCATENATE(L44,"/",L45)</f>
        <v>#VALUE!</v>
      </c>
    </row>
    <row r="46" spans="12:13" hidden="1" x14ac:dyDescent="0.2">
      <c r="L46" s="110" t="e">
        <f>GCD(L26,L27)</f>
        <v>#VALUE!</v>
      </c>
    </row>
    <row r="47" spans="12:13" hidden="1" x14ac:dyDescent="0.2">
      <c r="L47" s="111" t="e">
        <f>L26/L46</f>
        <v>#VALUE!</v>
      </c>
    </row>
    <row r="48" spans="12:13" hidden="1" x14ac:dyDescent="0.2">
      <c r="L48" s="111" t="e">
        <f>L27/L46</f>
        <v>#VALUE!</v>
      </c>
      <c r="M48" s="4" t="e">
        <f>CONCATENATE(L47,"/",L48)</f>
        <v>#VALUE!</v>
      </c>
    </row>
  </sheetData>
  <sheetProtection password="E8B5" sheet="1" objects="1" scenarios="1"/>
  <mergeCells count="7">
    <mergeCell ref="I1:W1"/>
    <mergeCell ref="K26:K27"/>
    <mergeCell ref="K14:K15"/>
    <mergeCell ref="K17:K18"/>
    <mergeCell ref="K20:K21"/>
    <mergeCell ref="K23:K24"/>
    <mergeCell ref="K9:K10"/>
  </mergeCells>
  <phoneticPr fontId="0" type="noConversion"/>
  <dataValidations count="1">
    <dataValidation allowBlank="1" showInputMessage="1" showErrorMessage="1" sqref="M7:P7" xr:uid="{00000000-0002-0000-0600-000000000000}"/>
  </dataValidations>
  <pageMargins left="0.75" right="0.75" top="1" bottom="1" header="0.5" footer="0.5"/>
  <pageSetup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Main Sheet</vt:lpstr>
      <vt:lpstr>K-M-S</vt:lpstr>
      <vt:lpstr>K-M</vt:lpstr>
      <vt:lpstr>K-M-Sarshai</vt:lpstr>
      <vt:lpstr>1over1</vt:lpstr>
      <vt:lpstr>Warashat</vt:lpstr>
      <vt:lpstr>Khastkar</vt:lpstr>
      <vt:lpstr>'K-M-S'!_FilterDatabase</vt:lpstr>
      <vt:lpstr>Option</vt:lpstr>
    </vt:vector>
  </TitlesOfParts>
  <Company>PMU BOR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Atif</dc:creator>
  <cp:lastModifiedBy>aamir hussain</cp:lastModifiedBy>
  <dcterms:created xsi:type="dcterms:W3CDTF">2011-04-27T03:35:22Z</dcterms:created>
  <dcterms:modified xsi:type="dcterms:W3CDTF">2023-07-30T07:03:37Z</dcterms:modified>
</cp:coreProperties>
</file>